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codeName="ThisWorkbook" defaultThemeVersion="124226"/>
  <mc:AlternateContent xmlns:mc="http://schemas.openxmlformats.org/markup-compatibility/2006">
    <mc:Choice Requires="x15">
      <x15ac:absPath xmlns:x15ac="http://schemas.microsoft.com/office/spreadsheetml/2010/11/ac" url="C:\Users\Administrator\WPSDrive\389717562\WPS云盘\WPS\代码库\模版\银行数据库\"/>
    </mc:Choice>
  </mc:AlternateContent>
  <xr:revisionPtr revIDLastSave="0" documentId="13_ncr:1_{D9073AC2-EF93-4248-B34E-C04EA10C13D0}" xr6:coauthVersionLast="47" xr6:coauthVersionMax="47" xr10:uidLastSave="{00000000-0000-0000-0000-000000000000}"/>
  <bookViews>
    <workbookView xWindow="-120" yWindow="-120" windowWidth="29040" windowHeight="15720" tabRatio="635" xr2:uid="{00000000-000D-0000-FFFF-FFFF00000000}"/>
  </bookViews>
  <sheets>
    <sheet name="24" sheetId="7" r:id="rId1"/>
    <sheet name="22年 (2)" sheetId="10" state="hidden" r:id="rId2"/>
    <sheet name="Sheet2" sheetId="8" state="hidden" r:id="rId3"/>
  </sheets>
  <externalReferences>
    <externalReference r:id="rId4"/>
    <externalReference r:id="rId5"/>
    <externalReference r:id="rId6"/>
  </externalReferences>
  <definedNames>
    <definedName name="_xlnm._FilterDatabase" localSheetId="1" hidden="1">'22年 (2)'!$A$4:$CX$192</definedName>
    <definedName name="_xlnm._FilterDatabase" localSheetId="0" hidden="1">'24'!$B$2:$AD$190</definedName>
    <definedName name="_xlnm._FilterDatabase" localSheetId="2" hidden="1">Sheet2!$A$4:$P$4</definedName>
    <definedName name="solver_adj" localSheetId="2" hidden="1">Sheet2!$E$4:$H$4</definedName>
    <definedName name="solver_cvg" localSheetId="2" hidden="1">0.0001</definedName>
    <definedName name="solver_drv" localSheetId="2" hidden="1">1</definedName>
    <definedName name="solver_eng" localSheetId="2" hidden="1">1</definedName>
    <definedName name="solver_est" localSheetId="2" hidden="1">1</definedName>
    <definedName name="solver_itr" localSheetId="2" hidden="1">2147483647</definedName>
    <definedName name="solver_lhs1" localSheetId="2" hidden="1">Sheet2!$E$4</definedName>
    <definedName name="solver_lhs10" localSheetId="2" hidden="1">Sheet2!$H$4</definedName>
    <definedName name="solver_lhs11" localSheetId="2" hidden="1">Sheet2!$H$4</definedName>
    <definedName name="solver_lhs12" localSheetId="2" hidden="1">Sheet2!$H$4</definedName>
    <definedName name="solver_lhs13" localSheetId="2" hidden="1">Sheet2!$I$4</definedName>
    <definedName name="solver_lhs14" localSheetId="2" hidden="1">Sheet2!$I$4</definedName>
    <definedName name="solver_lhs2" localSheetId="2" hidden="1">Sheet2!$E$4</definedName>
    <definedName name="solver_lhs3" localSheetId="2" hidden="1">Sheet2!$E$4</definedName>
    <definedName name="solver_lhs4" localSheetId="2" hidden="1">Sheet2!$F$4</definedName>
    <definedName name="solver_lhs5" localSheetId="2" hidden="1">Sheet2!$F$4</definedName>
    <definedName name="solver_lhs6" localSheetId="2" hidden="1">Sheet2!$F$4</definedName>
    <definedName name="solver_lhs7" localSheetId="2" hidden="1">Sheet2!$G$4</definedName>
    <definedName name="solver_lhs8" localSheetId="2" hidden="1">Sheet2!$G$4</definedName>
    <definedName name="solver_lhs9" localSheetId="2" hidden="1">Sheet2!$G$4</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1</definedName>
    <definedName name="solver_nod" localSheetId="2" hidden="1">2147483647</definedName>
    <definedName name="solver_num" localSheetId="2" hidden="1">14</definedName>
    <definedName name="solver_nwt" localSheetId="2" hidden="1">1</definedName>
    <definedName name="solver_opt" localSheetId="2" hidden="1">Sheet2!$C$3</definedName>
    <definedName name="solver_pre" localSheetId="2" hidden="1">0.000001</definedName>
    <definedName name="solver_rbv" localSheetId="2" hidden="1">1</definedName>
    <definedName name="solver_rel1" localSheetId="2" hidden="1">1</definedName>
    <definedName name="solver_rel10" localSheetId="2" hidden="1">1</definedName>
    <definedName name="solver_rel11" localSheetId="2" hidden="1">4</definedName>
    <definedName name="solver_rel12" localSheetId="2" hidden="1">3</definedName>
    <definedName name="solver_rel13" localSheetId="2" hidden="1">1</definedName>
    <definedName name="solver_rel14" localSheetId="2" hidden="1">3</definedName>
    <definedName name="solver_rel2" localSheetId="2" hidden="1">4</definedName>
    <definedName name="solver_rel3" localSheetId="2" hidden="1">3</definedName>
    <definedName name="solver_rel4" localSheetId="2" hidden="1">1</definedName>
    <definedName name="solver_rel5" localSheetId="2" hidden="1">4</definedName>
    <definedName name="solver_rel6" localSheetId="2" hidden="1">3</definedName>
    <definedName name="solver_rel7" localSheetId="2" hidden="1">1</definedName>
    <definedName name="solver_rel8" localSheetId="2" hidden="1">4</definedName>
    <definedName name="solver_rel9" localSheetId="2" hidden="1">3</definedName>
    <definedName name="solver_rhs1" localSheetId="2" hidden="1">100</definedName>
    <definedName name="solver_rhs10" localSheetId="2" hidden="1">100</definedName>
    <definedName name="solver_rhs11" localSheetId="2" hidden="1">"整数"</definedName>
    <definedName name="solver_rhs12" localSheetId="2" hidden="1">0</definedName>
    <definedName name="solver_rhs13" localSheetId="2" hidden="1">100</definedName>
    <definedName name="solver_rhs14" localSheetId="2" hidden="1">0</definedName>
    <definedName name="solver_rhs2" localSheetId="2" hidden="1">"整数"</definedName>
    <definedName name="solver_rhs3" localSheetId="2" hidden="1">0</definedName>
    <definedName name="solver_rhs4" localSheetId="2" hidden="1">100</definedName>
    <definedName name="solver_rhs5" localSheetId="2" hidden="1">"整数"</definedName>
    <definedName name="solver_rhs6" localSheetId="2" hidden="1">0</definedName>
    <definedName name="solver_rhs7" localSheetId="2" hidden="1">100</definedName>
    <definedName name="solver_rhs8" localSheetId="2" hidden="1">"整数"</definedName>
    <definedName name="solver_rhs9" localSheetId="2" hidden="1">0</definedName>
    <definedName name="solver_rlx" localSheetId="2" hidden="1">2</definedName>
    <definedName name="solver_rsd" localSheetId="2" hidden="1">0</definedName>
    <definedName name="solver_scl" localSheetId="2" hidden="1">1</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2</definedName>
    <definedName name="solver_val" localSheetId="2" hidden="1">0</definedName>
    <definedName name="solver_ver" localSheetId="2"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J206" i="10" l="1"/>
  <c r="BD192" i="10"/>
  <c r="J192" i="10"/>
  <c r="BD191" i="10"/>
  <c r="BA191" i="10"/>
  <c r="AZ191" i="10"/>
  <c r="AY191" i="10"/>
  <c r="AS191" i="10"/>
  <c r="AR191" i="10"/>
  <c r="AQ191" i="10"/>
  <c r="AP191" i="10"/>
  <c r="AN191" i="10"/>
  <c r="J191" i="10"/>
  <c r="BA190" i="10"/>
  <c r="AZ190" i="10"/>
  <c r="AY190" i="10"/>
  <c r="J190" i="10"/>
  <c r="BA189" i="10"/>
  <c r="AZ189" i="10"/>
  <c r="AY189" i="10"/>
  <c r="J189" i="10"/>
  <c r="BA188" i="10"/>
  <c r="AZ188" i="10"/>
  <c r="AY188" i="10"/>
  <c r="BA187" i="10"/>
  <c r="AZ187" i="10"/>
  <c r="AY187" i="10"/>
  <c r="J187" i="10"/>
  <c r="BA186" i="10"/>
  <c r="AZ186" i="10"/>
  <c r="AY186" i="10"/>
  <c r="J186" i="10"/>
  <c r="BA185" i="10"/>
  <c r="AZ185" i="10"/>
  <c r="AY185" i="10"/>
  <c r="J185" i="10"/>
  <c r="BA184" i="10"/>
  <c r="AZ184" i="10"/>
  <c r="AY184" i="10"/>
  <c r="J184" i="10"/>
  <c r="BA183" i="10"/>
  <c r="AZ183" i="10"/>
  <c r="AY183" i="10"/>
  <c r="J183" i="10"/>
  <c r="BA182" i="10"/>
  <c r="AZ182" i="10"/>
  <c r="AY182" i="10"/>
  <c r="J182" i="10"/>
  <c r="BA181" i="10"/>
  <c r="AZ181" i="10"/>
  <c r="AY181" i="10"/>
  <c r="J181" i="10"/>
  <c r="BA180" i="10"/>
  <c r="AZ180" i="10"/>
  <c r="AY180" i="10"/>
  <c r="J180" i="10"/>
  <c r="BA179" i="10"/>
  <c r="AZ179" i="10"/>
  <c r="AY179" i="10"/>
  <c r="J179" i="10"/>
  <c r="BA178" i="10"/>
  <c r="AZ178" i="10"/>
  <c r="AY178" i="10"/>
  <c r="J178" i="10"/>
  <c r="BA177" i="10"/>
  <c r="AZ177" i="10"/>
  <c r="AY177" i="10"/>
  <c r="J177" i="10"/>
  <c r="BA176" i="10"/>
  <c r="AZ176" i="10"/>
  <c r="AY176" i="10"/>
  <c r="J176" i="10"/>
  <c r="BA175" i="10"/>
  <c r="AZ175" i="10"/>
  <c r="AY175" i="10"/>
  <c r="J175" i="10"/>
  <c r="BA174" i="10"/>
  <c r="AZ174" i="10"/>
  <c r="AY174" i="10"/>
  <c r="J174" i="10"/>
  <c r="BA173" i="10"/>
  <c r="AZ173" i="10"/>
  <c r="AY173" i="10"/>
  <c r="J173" i="10"/>
  <c r="BA172" i="10"/>
  <c r="AZ172" i="10"/>
  <c r="AY172" i="10"/>
  <c r="J172" i="10"/>
  <c r="BJ171" i="10"/>
  <c r="BA171" i="10"/>
  <c r="AZ171" i="10"/>
  <c r="AY171" i="10"/>
  <c r="J171" i="10"/>
  <c r="BA170" i="10"/>
  <c r="AZ170" i="10"/>
  <c r="AY170" i="10"/>
  <c r="J170" i="10"/>
  <c r="BA169" i="10"/>
  <c r="AZ169" i="10"/>
  <c r="AY169" i="10"/>
  <c r="J169" i="10"/>
  <c r="BA168" i="10"/>
  <c r="AZ168" i="10"/>
  <c r="AY168" i="10"/>
  <c r="J168" i="10"/>
  <c r="BA167" i="10"/>
  <c r="AZ167" i="10"/>
  <c r="AY167" i="10"/>
  <c r="J167" i="10"/>
  <c r="BA166" i="10"/>
  <c r="AZ166" i="10"/>
  <c r="AY166" i="10"/>
  <c r="J166" i="10"/>
  <c r="BA165" i="10"/>
  <c r="AZ165" i="10"/>
  <c r="AY165" i="10"/>
  <c r="J165" i="10"/>
  <c r="BA164" i="10"/>
  <c r="AZ164" i="10"/>
  <c r="AY164" i="10"/>
  <c r="J164" i="10"/>
  <c r="BA163" i="10"/>
  <c r="AZ163" i="10"/>
  <c r="AY163" i="10"/>
  <c r="J163" i="10"/>
  <c r="BA162" i="10"/>
  <c r="AZ162" i="10"/>
  <c r="AY162" i="10"/>
  <c r="J162" i="10"/>
  <c r="BA161" i="10"/>
  <c r="AZ161" i="10"/>
  <c r="AY161" i="10"/>
  <c r="J161" i="10"/>
  <c r="BA160" i="10"/>
  <c r="AZ160" i="10"/>
  <c r="AY160" i="10"/>
  <c r="J160" i="10"/>
  <c r="BA159" i="10"/>
  <c r="AZ159" i="10"/>
  <c r="AY159" i="10"/>
  <c r="J159" i="10"/>
  <c r="BA158" i="10"/>
  <c r="AZ158" i="10"/>
  <c r="AY158" i="10"/>
  <c r="J158" i="10"/>
  <c r="BA157" i="10"/>
  <c r="AZ157" i="10"/>
  <c r="AY157" i="10"/>
  <c r="J157" i="10"/>
  <c r="BA156" i="10"/>
  <c r="AZ156" i="10"/>
  <c r="AY156" i="10"/>
  <c r="J156" i="10"/>
  <c r="BA155" i="10"/>
  <c r="AZ155" i="10"/>
  <c r="AY155" i="10"/>
  <c r="J155" i="10"/>
  <c r="BA154" i="10"/>
  <c r="AZ154" i="10"/>
  <c r="AY154" i="10"/>
  <c r="J154" i="10"/>
  <c r="BA153" i="10"/>
  <c r="AZ153" i="10"/>
  <c r="AY153" i="10"/>
  <c r="J153" i="10"/>
  <c r="BA152" i="10"/>
  <c r="AZ152" i="10"/>
  <c r="AY152" i="10"/>
  <c r="J152" i="10"/>
  <c r="BA151" i="10"/>
  <c r="AZ151" i="10"/>
  <c r="AY151" i="10"/>
  <c r="J151" i="10"/>
  <c r="BA150" i="10"/>
  <c r="AZ150" i="10"/>
  <c r="AY150" i="10"/>
  <c r="J150" i="10"/>
  <c r="BA149" i="10"/>
  <c r="AZ149" i="10"/>
  <c r="AY149" i="10"/>
  <c r="J149" i="10"/>
  <c r="BA148" i="10"/>
  <c r="AZ148" i="10"/>
  <c r="AY148" i="10"/>
  <c r="J148" i="10"/>
  <c r="BA147" i="10"/>
  <c r="AZ147" i="10"/>
  <c r="AY147" i="10"/>
  <c r="J147" i="10"/>
  <c r="BA146" i="10"/>
  <c r="AZ146" i="10"/>
  <c r="AY146" i="10"/>
  <c r="J146" i="10"/>
  <c r="BA145" i="10"/>
  <c r="AZ145" i="10"/>
  <c r="AY145" i="10"/>
  <c r="J145" i="10"/>
  <c r="BA144" i="10"/>
  <c r="AZ144" i="10"/>
  <c r="AY144" i="10"/>
  <c r="J144" i="10"/>
  <c r="BA143" i="10"/>
  <c r="AZ143" i="10"/>
  <c r="AY143" i="10"/>
  <c r="J143" i="10"/>
  <c r="BA142" i="10"/>
  <c r="AZ142" i="10"/>
  <c r="AY142" i="10"/>
  <c r="J142" i="10"/>
  <c r="BA141" i="10"/>
  <c r="AZ141" i="10"/>
  <c r="AY141" i="10"/>
  <c r="J141" i="10"/>
  <c r="BA140" i="10"/>
  <c r="AZ140" i="10"/>
  <c r="AY140" i="10"/>
  <c r="J140" i="10"/>
  <c r="BA139" i="10"/>
  <c r="AZ139" i="10"/>
  <c r="AY139" i="10"/>
  <c r="J139" i="10"/>
  <c r="BA138" i="10"/>
  <c r="AZ138" i="10"/>
  <c r="AY138" i="10"/>
  <c r="J138" i="10"/>
  <c r="BA137" i="10"/>
  <c r="AZ137" i="10"/>
  <c r="AY137" i="10"/>
  <c r="J137" i="10"/>
  <c r="BA136" i="10"/>
  <c r="AZ136" i="10"/>
  <c r="AY136" i="10"/>
  <c r="J136" i="10"/>
  <c r="BA135" i="10"/>
  <c r="AZ135" i="10"/>
  <c r="AY135" i="10"/>
  <c r="J135" i="10"/>
  <c r="BA134" i="10"/>
  <c r="AZ134" i="10"/>
  <c r="AY134" i="10"/>
  <c r="J134" i="10"/>
  <c r="BA133" i="10"/>
  <c r="AZ133" i="10"/>
  <c r="AY133" i="10"/>
  <c r="J133" i="10"/>
  <c r="BA132" i="10"/>
  <c r="AZ132" i="10"/>
  <c r="AY132" i="10"/>
  <c r="J132" i="10"/>
  <c r="BA131" i="10"/>
  <c r="AZ131" i="10"/>
  <c r="AY131" i="10"/>
  <c r="J131" i="10"/>
  <c r="BA130" i="10"/>
  <c r="AZ130" i="10"/>
  <c r="AY130" i="10"/>
  <c r="J130" i="10"/>
  <c r="BA129" i="10"/>
  <c r="AZ129" i="10"/>
  <c r="AY129" i="10"/>
  <c r="J129" i="10"/>
  <c r="BA128" i="10"/>
  <c r="AZ128" i="10"/>
  <c r="AY128" i="10"/>
  <c r="J128" i="10"/>
  <c r="BA127" i="10"/>
  <c r="AZ127" i="10"/>
  <c r="AY127" i="10"/>
  <c r="J127" i="10"/>
  <c r="BA126" i="10"/>
  <c r="AZ126" i="10"/>
  <c r="AY126" i="10"/>
  <c r="J126" i="10"/>
  <c r="BA125" i="10"/>
  <c r="AZ125" i="10"/>
  <c r="AY125" i="10"/>
  <c r="J125" i="10"/>
  <c r="BA124" i="10"/>
  <c r="AZ124" i="10"/>
  <c r="AY124" i="10"/>
  <c r="J124" i="10"/>
  <c r="BA123" i="10"/>
  <c r="AZ123" i="10"/>
  <c r="AY123" i="10"/>
  <c r="J123" i="10"/>
  <c r="BA122" i="10"/>
  <c r="AZ122" i="10"/>
  <c r="AY122" i="10"/>
  <c r="J122" i="10"/>
  <c r="BA121" i="10"/>
  <c r="AZ121" i="10"/>
  <c r="AY121" i="10"/>
  <c r="J121" i="10"/>
  <c r="BA120" i="10"/>
  <c r="AZ120" i="10"/>
  <c r="AY120" i="10"/>
  <c r="J120" i="10"/>
  <c r="BA119" i="10"/>
  <c r="AZ119" i="10"/>
  <c r="AY119" i="10"/>
  <c r="J119" i="10"/>
  <c r="BA118" i="10"/>
  <c r="AZ118" i="10"/>
  <c r="AY118" i="10"/>
  <c r="J118" i="10"/>
  <c r="BA117" i="10"/>
  <c r="AZ117" i="10"/>
  <c r="AY117" i="10"/>
  <c r="J117" i="10"/>
  <c r="CL116" i="10"/>
  <c r="BA116" i="10"/>
  <c r="AZ116" i="10"/>
  <c r="AY116" i="10"/>
  <c r="J116" i="10"/>
  <c r="BA115" i="10"/>
  <c r="AZ115" i="10"/>
  <c r="AY115" i="10"/>
  <c r="J115" i="10"/>
  <c r="BA114" i="10"/>
  <c r="AZ114" i="10"/>
  <c r="AY114" i="10"/>
  <c r="J114" i="10"/>
  <c r="BA113" i="10"/>
  <c r="AZ113" i="10"/>
  <c r="AY113" i="10"/>
  <c r="J113" i="10"/>
  <c r="BA112" i="10"/>
  <c r="AZ112" i="10"/>
  <c r="AY112" i="10"/>
  <c r="J112" i="10"/>
  <c r="BA111" i="10"/>
  <c r="AZ111" i="10"/>
  <c r="AY111" i="10"/>
  <c r="J111" i="10"/>
  <c r="BA110" i="10"/>
  <c r="AZ110" i="10"/>
  <c r="AY110" i="10"/>
  <c r="T110" i="10"/>
  <c r="S110" i="10"/>
  <c r="M110" i="10"/>
  <c r="J110" i="10"/>
  <c r="BA109" i="10"/>
  <c r="AZ109" i="10"/>
  <c r="AY109" i="10"/>
  <c r="J109" i="10"/>
  <c r="BA108" i="10"/>
  <c r="AZ108" i="10"/>
  <c r="AY108" i="10"/>
  <c r="J108" i="10"/>
  <c r="BA107" i="10"/>
  <c r="AZ107" i="10"/>
  <c r="AY107" i="10"/>
  <c r="J107" i="10"/>
  <c r="BA106" i="10"/>
  <c r="AZ106" i="10"/>
  <c r="AY106" i="10"/>
  <c r="J106" i="10"/>
  <c r="BA105" i="10"/>
  <c r="AZ105" i="10"/>
  <c r="AY105" i="10"/>
  <c r="J105" i="10"/>
  <c r="BA104" i="10"/>
  <c r="AZ104" i="10"/>
  <c r="AY104" i="10"/>
  <c r="J104" i="10"/>
  <c r="BA103" i="10"/>
  <c r="AZ103" i="10"/>
  <c r="AY103" i="10"/>
  <c r="J103" i="10"/>
  <c r="BA102" i="10"/>
  <c r="AZ102" i="10"/>
  <c r="AY102" i="10"/>
  <c r="J102" i="10"/>
  <c r="BA101" i="10"/>
  <c r="AZ101" i="10"/>
  <c r="AY101" i="10"/>
  <c r="J101" i="10"/>
  <c r="BA100" i="10"/>
  <c r="AZ100" i="10"/>
  <c r="AY100" i="10"/>
  <c r="J100" i="10"/>
  <c r="BA99" i="10"/>
  <c r="AZ99" i="10"/>
  <c r="AY99" i="10"/>
  <c r="J99" i="10"/>
  <c r="BA98" i="10"/>
  <c r="AZ98" i="10"/>
  <c r="AY98" i="10"/>
  <c r="J98" i="10"/>
  <c r="BA97" i="10"/>
  <c r="AZ97" i="10"/>
  <c r="AY97" i="10"/>
  <c r="J97" i="10"/>
  <c r="BA96" i="10"/>
  <c r="AZ96" i="10"/>
  <c r="AY96" i="10"/>
  <c r="J96" i="10"/>
  <c r="BA95" i="10"/>
  <c r="AZ95" i="10"/>
  <c r="AY95" i="10"/>
  <c r="BA94" i="10"/>
  <c r="AZ94" i="10"/>
  <c r="AY94" i="10"/>
  <c r="J94" i="10"/>
  <c r="BA93" i="10"/>
  <c r="AZ93" i="10"/>
  <c r="AY93" i="10"/>
  <c r="J93" i="10"/>
  <c r="BA92" i="10"/>
  <c r="AZ92" i="10"/>
  <c r="AY92" i="10"/>
  <c r="J92" i="10"/>
  <c r="CL91" i="10"/>
  <c r="BA91" i="10"/>
  <c r="AZ91" i="10"/>
  <c r="AY91" i="10"/>
  <c r="J91" i="10"/>
  <c r="BA90" i="10"/>
  <c r="AZ90" i="10"/>
  <c r="AY90" i="10"/>
  <c r="J90" i="10"/>
  <c r="BA89" i="10"/>
  <c r="AZ89" i="10"/>
  <c r="AY89" i="10"/>
  <c r="Y89" i="10"/>
  <c r="J89" i="10"/>
  <c r="CL88" i="10"/>
  <c r="BA88" i="10"/>
  <c r="AZ88" i="10"/>
  <c r="AY88" i="10"/>
  <c r="J88" i="10"/>
  <c r="BA87" i="10"/>
  <c r="AZ87" i="10"/>
  <c r="AY87" i="10"/>
  <c r="J87" i="10"/>
  <c r="BA86" i="10"/>
  <c r="AZ86" i="10"/>
  <c r="AY86" i="10"/>
  <c r="J86" i="10"/>
  <c r="BA85" i="10"/>
  <c r="AZ85" i="10"/>
  <c r="AY85" i="10"/>
  <c r="J85" i="10"/>
  <c r="BA84" i="10"/>
  <c r="AZ84" i="10"/>
  <c r="AY84" i="10"/>
  <c r="BA83" i="10"/>
  <c r="AZ83" i="10"/>
  <c r="AY83" i="10"/>
  <c r="J83" i="10"/>
  <c r="BA82" i="10"/>
  <c r="AZ82" i="10"/>
  <c r="AY82" i="10"/>
  <c r="J82" i="10"/>
  <c r="BA81" i="10"/>
  <c r="AZ81" i="10"/>
  <c r="AY81" i="10"/>
  <c r="J81" i="10"/>
  <c r="BA80" i="10"/>
  <c r="AZ80" i="10"/>
  <c r="AY80" i="10"/>
  <c r="J80" i="10"/>
  <c r="BA79" i="10"/>
  <c r="AZ79" i="10"/>
  <c r="AY79" i="10"/>
  <c r="J79" i="10"/>
  <c r="CL78" i="10"/>
  <c r="BA78" i="10"/>
  <c r="AZ78" i="10"/>
  <c r="AY78" i="10"/>
  <c r="J78" i="10"/>
  <c r="BA77" i="10"/>
  <c r="AZ77" i="10"/>
  <c r="AY77" i="10"/>
  <c r="J77" i="10"/>
  <c r="BA76" i="10"/>
  <c r="AZ76" i="10"/>
  <c r="AY76" i="10"/>
  <c r="J76" i="10"/>
  <c r="BA75" i="10"/>
  <c r="AZ75" i="10"/>
  <c r="AY75" i="10"/>
  <c r="J75" i="10"/>
  <c r="BA74" i="10"/>
  <c r="AZ74" i="10"/>
  <c r="AY74" i="10"/>
  <c r="J74" i="10"/>
  <c r="BA73" i="10"/>
  <c r="AZ73" i="10"/>
  <c r="AY73" i="10"/>
  <c r="AR73" i="10"/>
  <c r="AP73" i="10"/>
  <c r="AK73" i="10"/>
  <c r="AJ73" i="10"/>
  <c r="P73" i="10"/>
  <c r="J73" i="10"/>
  <c r="BA72" i="10"/>
  <c r="AZ72" i="10"/>
  <c r="AY72" i="10"/>
  <c r="J72" i="10"/>
  <c r="BM71" i="10"/>
  <c r="BL71" i="10"/>
  <c r="BA71" i="10"/>
  <c r="AZ71" i="10"/>
  <c r="AY71" i="10"/>
  <c r="J71" i="10"/>
  <c r="BA70" i="10"/>
  <c r="AZ70" i="10"/>
  <c r="AY70" i="10"/>
  <c r="J70" i="10"/>
  <c r="BA69" i="10"/>
  <c r="AZ69" i="10"/>
  <c r="AY69" i="10"/>
  <c r="J69" i="10"/>
  <c r="BA68" i="10"/>
  <c r="AZ68" i="10"/>
  <c r="AY68" i="10"/>
  <c r="J68" i="10"/>
  <c r="BA67" i="10"/>
  <c r="AZ67" i="10"/>
  <c r="AY67" i="10"/>
  <c r="J67" i="10"/>
  <c r="BA66" i="10"/>
  <c r="AZ66" i="10"/>
  <c r="AY66" i="10"/>
  <c r="J66" i="10"/>
  <c r="BA65" i="10"/>
  <c r="AZ65" i="10"/>
  <c r="AY65" i="10"/>
  <c r="J65" i="10"/>
  <c r="BA64" i="10"/>
  <c r="AZ64" i="10"/>
  <c r="AY64" i="10"/>
  <c r="J64" i="10"/>
  <c r="BA63" i="10"/>
  <c r="AZ63" i="10"/>
  <c r="AY63" i="10"/>
  <c r="J63" i="10"/>
  <c r="BA62" i="10"/>
  <c r="AZ62" i="10"/>
  <c r="AY62" i="10"/>
  <c r="J62" i="10"/>
  <c r="BA61" i="10"/>
  <c r="AZ61" i="10"/>
  <c r="AY61" i="10"/>
  <c r="J61" i="10"/>
  <c r="BA60" i="10"/>
  <c r="AZ60" i="10"/>
  <c r="AY60" i="10"/>
  <c r="J60" i="10"/>
  <c r="BA59" i="10"/>
  <c r="AZ59" i="10"/>
  <c r="AY59" i="10"/>
  <c r="J59" i="10"/>
  <c r="BA58" i="10"/>
  <c r="AZ58" i="10"/>
  <c r="AY58" i="10"/>
  <c r="Y58" i="10"/>
  <c r="J58" i="10"/>
  <c r="BA57" i="10"/>
  <c r="AZ57" i="10"/>
  <c r="AY57" i="10"/>
  <c r="AR57" i="10"/>
  <c r="AP57" i="10"/>
  <c r="AK57" i="10"/>
  <c r="W57" i="10"/>
  <c r="R57" i="10"/>
  <c r="P57" i="10" s="1"/>
  <c r="J57" i="10"/>
  <c r="BA56" i="10"/>
  <c r="AZ56" i="10"/>
  <c r="AY56" i="10"/>
  <c r="J56" i="10"/>
  <c r="BJ55" i="10"/>
  <c r="BA55" i="10"/>
  <c r="AZ55" i="10"/>
  <c r="AY55" i="10"/>
  <c r="Y55" i="10"/>
  <c r="J55" i="10"/>
  <c r="BA54" i="10"/>
  <c r="AZ54" i="10"/>
  <c r="AY54" i="10"/>
  <c r="J54" i="10"/>
  <c r="BA53" i="10"/>
  <c r="AZ53" i="10"/>
  <c r="AY53" i="10"/>
  <c r="J53" i="10"/>
  <c r="BA52" i="10"/>
  <c r="AZ52" i="10"/>
  <c r="AY52" i="10"/>
  <c r="J52" i="10"/>
  <c r="BA51" i="10"/>
  <c r="AZ51" i="10"/>
  <c r="AY51" i="10"/>
  <c r="J51" i="10"/>
  <c r="BA50" i="10"/>
  <c r="AZ50" i="10"/>
  <c r="AY50" i="10"/>
  <c r="J50" i="10"/>
  <c r="BA49" i="10"/>
  <c r="AZ49" i="10"/>
  <c r="AY49" i="10"/>
  <c r="J49" i="10"/>
  <c r="BA48" i="10"/>
  <c r="AZ48" i="10"/>
  <c r="AY48" i="10"/>
  <c r="J48" i="10"/>
  <c r="BA47" i="10"/>
  <c r="AZ47" i="10"/>
  <c r="AY47" i="10"/>
  <c r="J47" i="10"/>
  <c r="BA46" i="10"/>
  <c r="AZ46" i="10"/>
  <c r="AY46" i="10"/>
  <c r="J46" i="10"/>
  <c r="BA45" i="10"/>
  <c r="AZ45" i="10"/>
  <c r="AY45" i="10"/>
  <c r="J45" i="10"/>
  <c r="BA44" i="10"/>
  <c r="AZ44" i="10"/>
  <c r="AY44" i="10"/>
  <c r="J44" i="10"/>
  <c r="BA43" i="10"/>
  <c r="AZ43" i="10"/>
  <c r="AY43" i="10"/>
  <c r="J43" i="10"/>
  <c r="BA42" i="10"/>
  <c r="AZ42" i="10"/>
  <c r="AY42" i="10"/>
  <c r="J42" i="10"/>
  <c r="BA41" i="10"/>
  <c r="AZ41" i="10"/>
  <c r="AY41" i="10"/>
  <c r="J41" i="10"/>
  <c r="BA40" i="10"/>
  <c r="AZ40" i="10"/>
  <c r="AY40" i="10"/>
  <c r="J40" i="10"/>
  <c r="CL39" i="10"/>
  <c r="BA39" i="10"/>
  <c r="AZ39" i="10"/>
  <c r="AY39" i="10"/>
  <c r="J39" i="10"/>
  <c r="BA38" i="10"/>
  <c r="AZ38" i="10"/>
  <c r="AY38" i="10"/>
  <c r="J38" i="10"/>
  <c r="BA37" i="10"/>
  <c r="AZ37" i="10"/>
  <c r="AY37" i="10"/>
  <c r="AR37" i="10"/>
  <c r="AP37" i="10"/>
  <c r="AK37" i="10"/>
  <c r="AJ37" i="10"/>
  <c r="T37" i="10"/>
  <c r="S37" i="10"/>
  <c r="R37" i="10"/>
  <c r="P37" i="10" s="1"/>
  <c r="J37" i="10"/>
  <c r="BA36" i="10"/>
  <c r="AZ36" i="10"/>
  <c r="AY36" i="10"/>
  <c r="J36" i="10"/>
  <c r="BA35" i="10"/>
  <c r="AZ35" i="10"/>
  <c r="AY35" i="10"/>
  <c r="J35" i="10"/>
  <c r="BA34" i="10"/>
  <c r="AZ34" i="10"/>
  <c r="AY34" i="10"/>
  <c r="J34" i="10"/>
  <c r="BA33" i="10"/>
  <c r="AZ33" i="10"/>
  <c r="AY33" i="10"/>
  <c r="J33" i="10"/>
  <c r="CL32" i="10"/>
  <c r="BA32" i="10"/>
  <c r="AZ32" i="10"/>
  <c r="AY32" i="10"/>
  <c r="J32" i="10"/>
  <c r="BA31" i="10"/>
  <c r="AZ31" i="10"/>
  <c r="AY31" i="10"/>
  <c r="J31" i="10"/>
  <c r="BA30" i="10"/>
  <c r="AZ30" i="10"/>
  <c r="AY30" i="10"/>
  <c r="J30" i="10"/>
  <c r="BA29" i="10"/>
  <c r="AZ29" i="10"/>
  <c r="AY29" i="10"/>
  <c r="J29" i="10"/>
  <c r="BA28" i="10"/>
  <c r="AZ28" i="10"/>
  <c r="AY28" i="10"/>
  <c r="J28" i="10"/>
  <c r="BA27" i="10"/>
  <c r="AZ27" i="10"/>
  <c r="AY27" i="10"/>
  <c r="J27" i="10"/>
  <c r="BA26" i="10"/>
  <c r="AZ26" i="10"/>
  <c r="AY26" i="10"/>
  <c r="J26" i="10"/>
  <c r="BA25" i="10"/>
  <c r="AZ25" i="10"/>
  <c r="AY25" i="10"/>
  <c r="J25" i="10"/>
  <c r="BA24" i="10"/>
  <c r="AZ24" i="10"/>
  <c r="AY24" i="10"/>
  <c r="J24" i="10"/>
  <c r="BA23" i="10"/>
  <c r="AZ23" i="10"/>
  <c r="AY23" i="10"/>
  <c r="J23" i="10"/>
  <c r="BA22" i="10"/>
  <c r="AZ22" i="10"/>
  <c r="AY22" i="10"/>
  <c r="J22" i="10"/>
  <c r="BA21" i="10"/>
  <c r="AZ21" i="10"/>
  <c r="AY21" i="10"/>
  <c r="J21" i="10"/>
  <c r="BA20" i="10"/>
  <c r="AZ20" i="10"/>
  <c r="AY20" i="10"/>
  <c r="J20" i="10"/>
  <c r="BA19" i="10"/>
  <c r="AZ19" i="10"/>
  <c r="AY19" i="10"/>
  <c r="J19" i="10"/>
  <c r="BA18" i="10"/>
  <c r="AZ18" i="10"/>
  <c r="AY18" i="10"/>
  <c r="J18" i="10"/>
  <c r="BA17" i="10"/>
  <c r="AZ17" i="10"/>
  <c r="AY17" i="10"/>
  <c r="J17" i="10"/>
  <c r="BA16" i="10"/>
  <c r="AZ16" i="10"/>
  <c r="AY16" i="10"/>
  <c r="J16" i="10"/>
  <c r="BA15" i="10"/>
  <c r="AZ15" i="10"/>
  <c r="AY15" i="10"/>
  <c r="J15" i="10"/>
  <c r="BA14" i="10"/>
  <c r="AZ14" i="10"/>
  <c r="AY14" i="10"/>
  <c r="J14" i="10"/>
  <c r="BA13" i="10"/>
  <c r="AZ13" i="10"/>
  <c r="AY13" i="10"/>
  <c r="J13" i="10"/>
  <c r="BA12" i="10"/>
  <c r="AZ12" i="10"/>
  <c r="AY12" i="10"/>
  <c r="J12" i="10"/>
  <c r="BA11" i="10"/>
  <c r="AZ11" i="10"/>
  <c r="AY11" i="10"/>
  <c r="J11" i="10"/>
  <c r="BA10" i="10"/>
  <c r="AZ10" i="10"/>
  <c r="AY10" i="10"/>
  <c r="AP10" i="10"/>
  <c r="J10" i="10"/>
  <c r="BA9" i="10"/>
  <c r="AZ9" i="10"/>
  <c r="AY9" i="10"/>
  <c r="J9" i="10"/>
  <c r="BA8" i="10"/>
  <c r="AZ8" i="10"/>
  <c r="AY8" i="10"/>
  <c r="J8" i="10"/>
  <c r="BA7" i="10"/>
  <c r="AZ7" i="10"/>
  <c r="AY7" i="10"/>
  <c r="J7" i="10"/>
  <c r="BA6" i="10"/>
  <c r="AZ6" i="10"/>
  <c r="AY6" i="10"/>
  <c r="J6" i="10"/>
  <c r="BA5" i="10"/>
  <c r="AZ5" i="10"/>
  <c r="AY5" i="10"/>
  <c r="J5" i="10"/>
  <c r="BX4" i="10"/>
  <c r="BA4" i="10"/>
  <c r="AZ4" i="10"/>
  <c r="AY4" i="10"/>
  <c r="Y4" i="10"/>
  <c r="AX2" i="10"/>
  <c r="AW2" i="10"/>
  <c r="AV2" i="10"/>
  <c r="C3" i="7"/>
  <c r="O3" i="7"/>
  <c r="AA3" i="7"/>
  <c r="K4" i="7"/>
  <c r="W4" i="7"/>
  <c r="S5" i="7"/>
  <c r="C6" i="7"/>
  <c r="O6" i="7"/>
  <c r="AA6" i="7"/>
  <c r="K7" i="7"/>
  <c r="W7" i="7"/>
  <c r="S8" i="7"/>
  <c r="C9" i="7"/>
  <c r="O9" i="7"/>
  <c r="AA9" i="7"/>
  <c r="K10" i="7"/>
  <c r="W10" i="7"/>
  <c r="S11" i="7"/>
  <c r="C12" i="7"/>
  <c r="O12" i="7"/>
  <c r="AA12" i="7"/>
  <c r="K13" i="7"/>
  <c r="W13" i="7"/>
  <c r="S14" i="7"/>
  <c r="C15" i="7"/>
  <c r="O15" i="7"/>
  <c r="AA15" i="7"/>
  <c r="K16" i="7"/>
  <c r="W16" i="7"/>
  <c r="S17" i="7"/>
  <c r="C18" i="7"/>
  <c r="O18" i="7"/>
  <c r="AA18" i="7"/>
  <c r="K19" i="7"/>
  <c r="W19" i="7"/>
  <c r="S20" i="7"/>
  <c r="C21" i="7"/>
  <c r="O21" i="7"/>
  <c r="AA21" i="7"/>
  <c r="K22" i="7"/>
  <c r="W22" i="7"/>
  <c r="S23" i="7"/>
  <c r="C24" i="7"/>
  <c r="O24" i="7"/>
  <c r="AA24" i="7"/>
  <c r="K25" i="7"/>
  <c r="W25" i="7"/>
  <c r="S26" i="7"/>
  <c r="C27" i="7"/>
  <c r="O27" i="7"/>
  <c r="AA27" i="7"/>
  <c r="K28" i="7"/>
  <c r="W28" i="7"/>
  <c r="S29" i="7"/>
  <c r="C30" i="7"/>
  <c r="O30" i="7"/>
  <c r="AA30" i="7"/>
  <c r="K31" i="7"/>
  <c r="W31" i="7"/>
  <c r="S32" i="7"/>
  <c r="C33" i="7"/>
  <c r="O33" i="7"/>
  <c r="AA33" i="7"/>
  <c r="K34" i="7"/>
  <c r="W34" i="7"/>
  <c r="S35" i="7"/>
  <c r="C36" i="7"/>
  <c r="O36" i="7"/>
  <c r="AA36" i="7"/>
  <c r="K37" i="7"/>
  <c r="W37" i="7"/>
  <c r="S38" i="7"/>
  <c r="C39" i="7"/>
  <c r="O39" i="7"/>
  <c r="AA39" i="7"/>
  <c r="K40" i="7"/>
  <c r="W40" i="7"/>
  <c r="S41" i="7"/>
  <c r="C42" i="7"/>
  <c r="O42" i="7"/>
  <c r="AA42" i="7"/>
  <c r="K43" i="7"/>
  <c r="W43" i="7"/>
  <c r="S44" i="7"/>
  <c r="C45" i="7"/>
  <c r="O45" i="7"/>
  <c r="AA45" i="7"/>
  <c r="K46" i="7"/>
  <c r="W46" i="7"/>
  <c r="S47" i="7"/>
  <c r="C48" i="7"/>
  <c r="O48" i="7"/>
  <c r="AA48" i="7"/>
  <c r="K49" i="7"/>
  <c r="W49" i="7"/>
  <c r="S50" i="7"/>
  <c r="C51" i="7"/>
  <c r="O51" i="7"/>
  <c r="AA51" i="7"/>
  <c r="K52" i="7"/>
  <c r="W52" i="7"/>
  <c r="S53" i="7"/>
  <c r="D3" i="7"/>
  <c r="P3" i="7"/>
  <c r="AB3" i="7"/>
  <c r="L4" i="7"/>
  <c r="X4" i="7"/>
  <c r="H5" i="7"/>
  <c r="T5" i="7"/>
  <c r="D6" i="7"/>
  <c r="P6" i="7"/>
  <c r="AB6" i="7"/>
  <c r="L7" i="7"/>
  <c r="X7" i="7"/>
  <c r="H8" i="7"/>
  <c r="T8" i="7"/>
  <c r="D9" i="7"/>
  <c r="P9" i="7"/>
  <c r="AB9" i="7"/>
  <c r="L10" i="7"/>
  <c r="X10" i="7"/>
  <c r="H11" i="7"/>
  <c r="T11" i="7"/>
  <c r="D12" i="7"/>
  <c r="P12" i="7"/>
  <c r="AB12" i="7"/>
  <c r="L13" i="7"/>
  <c r="X13" i="7"/>
  <c r="H14" i="7"/>
  <c r="T14" i="7"/>
  <c r="D15" i="7"/>
  <c r="P15" i="7"/>
  <c r="AB15" i="7"/>
  <c r="L16" i="7"/>
  <c r="X16" i="7"/>
  <c r="H17" i="7"/>
  <c r="T17" i="7"/>
  <c r="D18" i="7"/>
  <c r="P18" i="7"/>
  <c r="AB18" i="7"/>
  <c r="L19" i="7"/>
  <c r="X19" i="7"/>
  <c r="H20" i="7"/>
  <c r="T20" i="7"/>
  <c r="D21" i="7"/>
  <c r="P21" i="7"/>
  <c r="AB21" i="7"/>
  <c r="L22" i="7"/>
  <c r="X22" i="7"/>
  <c r="H23" i="7"/>
  <c r="T23" i="7"/>
  <c r="D24" i="7"/>
  <c r="P24" i="7"/>
  <c r="AB24" i="7"/>
  <c r="L25" i="7"/>
  <c r="X25" i="7"/>
  <c r="H26" i="7"/>
  <c r="T26" i="7"/>
  <c r="D27" i="7"/>
  <c r="P27" i="7"/>
  <c r="AB27" i="7"/>
  <c r="L28" i="7"/>
  <c r="X28" i="7"/>
  <c r="H29" i="7"/>
  <c r="T29" i="7"/>
  <c r="D30" i="7"/>
  <c r="P30" i="7"/>
  <c r="AB30" i="7"/>
  <c r="L31" i="7"/>
  <c r="X31" i="7"/>
  <c r="H32" i="7"/>
  <c r="T32" i="7"/>
  <c r="D33" i="7"/>
  <c r="P33" i="7"/>
  <c r="AB33" i="7"/>
  <c r="L34" i="7"/>
  <c r="X34" i="7"/>
  <c r="H35" i="7"/>
  <c r="T35" i="7"/>
  <c r="D36" i="7"/>
  <c r="P36" i="7"/>
  <c r="AB36" i="7"/>
  <c r="L37" i="7"/>
  <c r="X37" i="7"/>
  <c r="H38" i="7"/>
  <c r="T38" i="7"/>
  <c r="E3" i="7"/>
  <c r="Q3" i="7"/>
  <c r="AC3" i="7"/>
  <c r="M4" i="7"/>
  <c r="Y4" i="7"/>
  <c r="I5" i="7"/>
  <c r="U5" i="7"/>
  <c r="E6" i="7"/>
  <c r="Q6" i="7"/>
  <c r="AC6" i="7"/>
  <c r="M7" i="7"/>
  <c r="Y7" i="7"/>
  <c r="I8" i="7"/>
  <c r="U8" i="7"/>
  <c r="E9" i="7"/>
  <c r="F3" i="7"/>
  <c r="R3" i="7"/>
  <c r="AD3" i="7"/>
  <c r="N4" i="7"/>
  <c r="Z4" i="7"/>
  <c r="J5" i="7"/>
  <c r="F6" i="7"/>
  <c r="R6" i="7"/>
  <c r="AD6" i="7"/>
  <c r="N7" i="7"/>
  <c r="Z7" i="7"/>
  <c r="J8" i="7"/>
  <c r="F9" i="7"/>
  <c r="R9" i="7"/>
  <c r="AD9" i="7"/>
  <c r="N10" i="7"/>
  <c r="Z10" i="7"/>
  <c r="J11" i="7"/>
  <c r="F12" i="7"/>
  <c r="R12" i="7"/>
  <c r="AD12" i="7"/>
  <c r="N13" i="7"/>
  <c r="Z13" i="7"/>
  <c r="J14" i="7"/>
  <c r="F15" i="7"/>
  <c r="R15" i="7"/>
  <c r="AD15" i="7"/>
  <c r="N16" i="7"/>
  <c r="Z16" i="7"/>
  <c r="J17" i="7"/>
  <c r="F18" i="7"/>
  <c r="R18" i="7"/>
  <c r="AD18" i="7"/>
  <c r="N19" i="7"/>
  <c r="Z19" i="7"/>
  <c r="J20" i="7"/>
  <c r="F21" i="7"/>
  <c r="R21" i="7"/>
  <c r="AD21" i="7"/>
  <c r="N22" i="7"/>
  <c r="Z22" i="7"/>
  <c r="J23" i="7"/>
  <c r="F24" i="7"/>
  <c r="R24" i="7"/>
  <c r="AD24" i="7"/>
  <c r="N25" i="7"/>
  <c r="Z25" i="7"/>
  <c r="J26" i="7"/>
  <c r="F27" i="7"/>
  <c r="R27" i="7"/>
  <c r="AD27" i="7"/>
  <c r="N28" i="7"/>
  <c r="Z28" i="7"/>
  <c r="J29" i="7"/>
  <c r="F30" i="7"/>
  <c r="R30" i="7"/>
  <c r="AD30" i="7"/>
  <c r="N31" i="7"/>
  <c r="S3" i="7"/>
  <c r="C4" i="7"/>
  <c r="O4" i="7"/>
  <c r="AA4" i="7"/>
  <c r="K5" i="7"/>
  <c r="W5" i="7"/>
  <c r="S6" i="7"/>
  <c r="C7" i="7"/>
  <c r="O7" i="7"/>
  <c r="AA7" i="7"/>
  <c r="K8" i="7"/>
  <c r="W8" i="7"/>
  <c r="S9" i="7"/>
  <c r="C10" i="7"/>
  <c r="O10" i="7"/>
  <c r="AA10" i="7"/>
  <c r="K11" i="7"/>
  <c r="W11" i="7"/>
  <c r="S12" i="7"/>
  <c r="C13" i="7"/>
  <c r="O13" i="7"/>
  <c r="AA13" i="7"/>
  <c r="K14" i="7"/>
  <c r="W14" i="7"/>
  <c r="S15" i="7"/>
  <c r="C16" i="7"/>
  <c r="O16" i="7"/>
  <c r="AA16" i="7"/>
  <c r="K17" i="7"/>
  <c r="W17" i="7"/>
  <c r="S18" i="7"/>
  <c r="C19" i="7"/>
  <c r="O19" i="7"/>
  <c r="AA19" i="7"/>
  <c r="K20" i="7"/>
  <c r="W20" i="7"/>
  <c r="S21" i="7"/>
  <c r="C22" i="7"/>
  <c r="O22" i="7"/>
  <c r="AA22" i="7"/>
  <c r="K23" i="7"/>
  <c r="W23" i="7"/>
  <c r="S24" i="7"/>
  <c r="C25" i="7"/>
  <c r="O25" i="7"/>
  <c r="AA25" i="7"/>
  <c r="K26" i="7"/>
  <c r="W26" i="7"/>
  <c r="S27" i="7"/>
  <c r="C28" i="7"/>
  <c r="O28" i="7"/>
  <c r="AA28" i="7"/>
  <c r="K29" i="7"/>
  <c r="W29" i="7"/>
  <c r="S30" i="7"/>
  <c r="C31" i="7"/>
  <c r="O31" i="7"/>
  <c r="AA31" i="7"/>
  <c r="K32" i="7"/>
  <c r="W32" i="7"/>
  <c r="S33" i="7"/>
  <c r="C34" i="7"/>
  <c r="O34" i="7"/>
  <c r="AA34" i="7"/>
  <c r="K35" i="7"/>
  <c r="W35" i="7"/>
  <c r="S36" i="7"/>
  <c r="C37" i="7"/>
  <c r="O37" i="7"/>
  <c r="AA37" i="7"/>
  <c r="K38" i="7"/>
  <c r="W38" i="7"/>
  <c r="S39" i="7"/>
  <c r="C40" i="7"/>
  <c r="O40" i="7"/>
  <c r="AA40" i="7"/>
  <c r="K41" i="7"/>
  <c r="W41" i="7"/>
  <c r="S42" i="7"/>
  <c r="C43" i="7"/>
  <c r="O43" i="7"/>
  <c r="AA43" i="7"/>
  <c r="K44" i="7"/>
  <c r="H3" i="7"/>
  <c r="T3" i="7"/>
  <c r="D4" i="7"/>
  <c r="P4" i="7"/>
  <c r="AB4" i="7"/>
  <c r="L5" i="7"/>
  <c r="X5" i="7"/>
  <c r="H6" i="7"/>
  <c r="T6" i="7"/>
  <c r="D7" i="7"/>
  <c r="P7" i="7"/>
  <c r="AB7" i="7"/>
  <c r="L8" i="7"/>
  <c r="X8" i="7"/>
  <c r="H9" i="7"/>
  <c r="T9" i="7"/>
  <c r="D10" i="7"/>
  <c r="P10" i="7"/>
  <c r="AB10" i="7"/>
  <c r="L11" i="7"/>
  <c r="X11" i="7"/>
  <c r="H12" i="7"/>
  <c r="T12" i="7"/>
  <c r="D13" i="7"/>
  <c r="P13" i="7"/>
  <c r="AB13" i="7"/>
  <c r="L14" i="7"/>
  <c r="X14" i="7"/>
  <c r="H15" i="7"/>
  <c r="T15" i="7"/>
  <c r="D16" i="7"/>
  <c r="P16" i="7"/>
  <c r="AB16" i="7"/>
  <c r="L17" i="7"/>
  <c r="X17" i="7"/>
  <c r="H18" i="7"/>
  <c r="T18" i="7"/>
  <c r="D19" i="7"/>
  <c r="P19" i="7"/>
  <c r="AB19" i="7"/>
  <c r="L20" i="7"/>
  <c r="X20" i="7"/>
  <c r="H21" i="7"/>
  <c r="T21" i="7"/>
  <c r="D22" i="7"/>
  <c r="P22" i="7"/>
  <c r="I3" i="7"/>
  <c r="U3" i="7"/>
  <c r="E4" i="7"/>
  <c r="Q4" i="7"/>
  <c r="AC4" i="7"/>
  <c r="M5" i="7"/>
  <c r="Y5" i="7"/>
  <c r="I6" i="7"/>
  <c r="U6" i="7"/>
  <c r="E7" i="7"/>
  <c r="Q7" i="7"/>
  <c r="AC7" i="7"/>
  <c r="M8" i="7"/>
  <c r="Y8" i="7"/>
  <c r="I9" i="7"/>
  <c r="U9" i="7"/>
  <c r="E10" i="7"/>
  <c r="Q10" i="7"/>
  <c r="AC10" i="7"/>
  <c r="M11" i="7"/>
  <c r="Y11" i="7"/>
  <c r="I12" i="7"/>
  <c r="J3" i="7"/>
  <c r="F4" i="7"/>
  <c r="R4" i="7"/>
  <c r="AD4" i="7"/>
  <c r="N5" i="7"/>
  <c r="Z5" i="7"/>
  <c r="J6" i="7"/>
  <c r="F7" i="7"/>
  <c r="R7" i="7"/>
  <c r="AD7" i="7"/>
  <c r="N8" i="7"/>
  <c r="Z8" i="7"/>
  <c r="J9" i="7"/>
  <c r="F10" i="7"/>
  <c r="R10" i="7"/>
  <c r="AD10" i="7"/>
  <c r="N11" i="7"/>
  <c r="Z11" i="7"/>
  <c r="J12" i="7"/>
  <c r="F13" i="7"/>
  <c r="R13" i="7"/>
  <c r="AD13" i="7"/>
  <c r="N14" i="7"/>
  <c r="Z14" i="7"/>
  <c r="J15" i="7"/>
  <c r="F16" i="7"/>
  <c r="R16" i="7"/>
  <c r="AD16" i="7"/>
  <c r="N17" i="7"/>
  <c r="Z17" i="7"/>
  <c r="J18" i="7"/>
  <c r="F19" i="7"/>
  <c r="R19" i="7"/>
  <c r="AD19" i="7"/>
  <c r="N20" i="7"/>
  <c r="Z20" i="7"/>
  <c r="J21" i="7"/>
  <c r="F22" i="7"/>
  <c r="K3" i="7"/>
  <c r="W3" i="7"/>
  <c r="S4" i="7"/>
  <c r="C5" i="7"/>
  <c r="O5" i="7"/>
  <c r="AA5" i="7"/>
  <c r="K6" i="7"/>
  <c r="W6" i="7"/>
  <c r="S7" i="7"/>
  <c r="C8" i="7"/>
  <c r="O8" i="7"/>
  <c r="AA8" i="7"/>
  <c r="K9" i="7"/>
  <c r="W9" i="7"/>
  <c r="S10" i="7"/>
  <c r="C11" i="7"/>
  <c r="O11" i="7"/>
  <c r="L3" i="7"/>
  <c r="X3" i="7"/>
  <c r="H4" i="7"/>
  <c r="T4" i="7"/>
  <c r="D5" i="7"/>
  <c r="P5" i="7"/>
  <c r="AB5" i="7"/>
  <c r="L6" i="7"/>
  <c r="X6" i="7"/>
  <c r="H7" i="7"/>
  <c r="T7" i="7"/>
  <c r="D8" i="7"/>
  <c r="P8" i="7"/>
  <c r="AB8" i="7"/>
  <c r="L9" i="7"/>
  <c r="X9" i="7"/>
  <c r="H10" i="7"/>
  <c r="T10" i="7"/>
  <c r="D11" i="7"/>
  <c r="P11" i="7"/>
  <c r="AB11" i="7"/>
  <c r="L12" i="7"/>
  <c r="X12" i="7"/>
  <c r="H13" i="7"/>
  <c r="T13" i="7"/>
  <c r="D14" i="7"/>
  <c r="P14" i="7"/>
  <c r="AB14" i="7"/>
  <c r="L15" i="7"/>
  <c r="X15" i="7"/>
  <c r="H16" i="7"/>
  <c r="T16" i="7"/>
  <c r="D17" i="7"/>
  <c r="P17" i="7"/>
  <c r="AB17" i="7"/>
  <c r="L18" i="7"/>
  <c r="X18" i="7"/>
  <c r="M3" i="7"/>
  <c r="Y3" i="7"/>
  <c r="I4" i="7"/>
  <c r="U4" i="7"/>
  <c r="E5" i="7"/>
  <c r="Q5" i="7"/>
  <c r="AC5" i="7"/>
  <c r="M6" i="7"/>
  <c r="Y6" i="7"/>
  <c r="I7" i="7"/>
  <c r="U7" i="7"/>
  <c r="E8" i="7"/>
  <c r="Q8" i="7"/>
  <c r="AC8" i="7"/>
  <c r="M9" i="7"/>
  <c r="Y9" i="7"/>
  <c r="I10" i="7"/>
  <c r="U10" i="7"/>
  <c r="E11" i="7"/>
  <c r="Q11" i="7"/>
  <c r="AC11" i="7"/>
  <c r="M12" i="7"/>
  <c r="Y12" i="7"/>
  <c r="I13" i="7"/>
  <c r="U13" i="7"/>
  <c r="E14" i="7"/>
  <c r="Q14" i="7"/>
  <c r="AC14" i="7"/>
  <c r="M15" i="7"/>
  <c r="Y15" i="7"/>
  <c r="I16" i="7"/>
  <c r="U16" i="7"/>
  <c r="E17" i="7"/>
  <c r="Q17" i="7"/>
  <c r="AC17" i="7"/>
  <c r="M18" i="7"/>
  <c r="Y18" i="7"/>
  <c r="I19" i="7"/>
  <c r="U19" i="7"/>
  <c r="E20" i="7"/>
  <c r="N3" i="7"/>
  <c r="R8" i="7"/>
  <c r="R11" i="7"/>
  <c r="E13" i="7"/>
  <c r="M14" i="7"/>
  <c r="U15" i="7"/>
  <c r="AC16" i="7"/>
  <c r="I18" i="7"/>
  <c r="M19" i="7"/>
  <c r="O20" i="7"/>
  <c r="K21" i="7"/>
  <c r="AB22" i="7"/>
  <c r="P23" i="7"/>
  <c r="H24" i="7"/>
  <c r="X24" i="7"/>
  <c r="P25" i="7"/>
  <c r="D26" i="7"/>
  <c r="X26" i="7"/>
  <c r="L27" i="7"/>
  <c r="D28" i="7"/>
  <c r="T28" i="7"/>
  <c r="L29" i="7"/>
  <c r="AB29" i="7"/>
  <c r="T30" i="7"/>
  <c r="H31" i="7"/>
  <c r="Z31" i="7"/>
  <c r="N32" i="7"/>
  <c r="AC32" i="7"/>
  <c r="R33" i="7"/>
  <c r="F34" i="7"/>
  <c r="U34" i="7"/>
  <c r="J35" i="7"/>
  <c r="Z35" i="7"/>
  <c r="M36" i="7"/>
  <c r="AD36" i="7"/>
  <c r="R37" i="7"/>
  <c r="E38" i="7"/>
  <c r="I39" i="7"/>
  <c r="W39" i="7"/>
  <c r="I40" i="7"/>
  <c r="X40" i="7"/>
  <c r="J41" i="7"/>
  <c r="Y41" i="7"/>
  <c r="K42" i="7"/>
  <c r="Y42" i="7"/>
  <c r="L43" i="7"/>
  <c r="Z43" i="7"/>
  <c r="M44" i="7"/>
  <c r="Z44" i="7"/>
  <c r="K45" i="7"/>
  <c r="X45" i="7"/>
  <c r="I46" i="7"/>
  <c r="H47" i="7"/>
  <c r="U47" i="7"/>
  <c r="F48" i="7"/>
  <c r="S48" i="7"/>
  <c r="D49" i="7"/>
  <c r="Q49" i="7"/>
  <c r="Z3" i="7"/>
  <c r="AD8" i="7"/>
  <c r="U11" i="7"/>
  <c r="O14" i="7"/>
  <c r="W15" i="7"/>
  <c r="C17" i="7"/>
  <c r="K18" i="7"/>
  <c r="Q19" i="7"/>
  <c r="P20" i="7"/>
  <c r="L21" i="7"/>
  <c r="H22" i="7"/>
  <c r="AC22" i="7"/>
  <c r="Q23" i="7"/>
  <c r="I24" i="7"/>
  <c r="J4" i="7"/>
  <c r="N9" i="7"/>
  <c r="AA11" i="7"/>
  <c r="J13" i="7"/>
  <c r="R14" i="7"/>
  <c r="Z15" i="7"/>
  <c r="F17" i="7"/>
  <c r="N18" i="7"/>
  <c r="S19" i="7"/>
  <c r="Q20" i="7"/>
  <c r="M21" i="7"/>
  <c r="I22" i="7"/>
  <c r="AD22" i="7"/>
  <c r="R23" i="7"/>
  <c r="J24" i="7"/>
  <c r="Z24" i="7"/>
  <c r="R25" i="7"/>
  <c r="F26" i="7"/>
  <c r="Z26" i="7"/>
  <c r="N27" i="7"/>
  <c r="F28" i="7"/>
  <c r="N29" i="7"/>
  <c r="AD29" i="7"/>
  <c r="J31" i="7"/>
  <c r="AC31" i="7"/>
  <c r="P32" i="7"/>
  <c r="E33" i="7"/>
  <c r="U33" i="7"/>
  <c r="H34" i="7"/>
  <c r="Y34" i="7"/>
  <c r="M35" i="7"/>
  <c r="AB35" i="7"/>
  <c r="Q36" i="7"/>
  <c r="E37" i="7"/>
  <c r="T37" i="7"/>
  <c r="I38" i="7"/>
  <c r="Y38" i="7"/>
  <c r="K39" i="7"/>
  <c r="Y39" i="7"/>
  <c r="L40" i="7"/>
  <c r="Z40" i="7"/>
  <c r="M41" i="7"/>
  <c r="AA41" i="7"/>
  <c r="M42" i="7"/>
  <c r="AB42" i="7"/>
  <c r="N43" i="7"/>
  <c r="AC43" i="7"/>
  <c r="O44" i="7"/>
  <c r="AB44" i="7"/>
  <c r="M45" i="7"/>
  <c r="Z45" i="7"/>
  <c r="L46" i="7"/>
  <c r="Y46" i="7"/>
  <c r="J47" i="7"/>
  <c r="W47" i="7"/>
  <c r="H48" i="7"/>
  <c r="U48" i="7"/>
  <c r="F49" i="7"/>
  <c r="S49" i="7"/>
  <c r="D50" i="7"/>
  <c r="Q50" i="7"/>
  <c r="AD50" i="7"/>
  <c r="P51" i="7"/>
  <c r="AC51" i="7"/>
  <c r="N52" i="7"/>
  <c r="AA52" i="7"/>
  <c r="Q9" i="7"/>
  <c r="AD11" i="7"/>
  <c r="M13" i="7"/>
  <c r="U14" i="7"/>
  <c r="AC15" i="7"/>
  <c r="I17" i="7"/>
  <c r="Q18" i="7"/>
  <c r="T19" i="7"/>
  <c r="R20" i="7"/>
  <c r="N21" i="7"/>
  <c r="J22" i="7"/>
  <c r="C23" i="7"/>
  <c r="U23" i="7"/>
  <c r="K24" i="7"/>
  <c r="AC24" i="7"/>
  <c r="S25" i="7"/>
  <c r="I26" i="7"/>
  <c r="AA26" i="7"/>
  <c r="Q27" i="7"/>
  <c r="Y28" i="7"/>
  <c r="O29" i="7"/>
  <c r="E30" i="7"/>
  <c r="W30" i="7"/>
  <c r="M31" i="7"/>
  <c r="AD31" i="7"/>
  <c r="Q32" i="7"/>
  <c r="F33" i="7"/>
  <c r="I34" i="7"/>
  <c r="Z34" i="7"/>
  <c r="N35" i="7"/>
  <c r="AC35" i="7"/>
  <c r="R36" i="7"/>
  <c r="F37" i="7"/>
  <c r="U37" i="7"/>
  <c r="J38" i="7"/>
  <c r="Z38" i="7"/>
  <c r="L39" i="7"/>
  <c r="Z39" i="7"/>
  <c r="M40" i="7"/>
  <c r="AB40" i="7"/>
  <c r="N41" i="7"/>
  <c r="AB41" i="7"/>
  <c r="N42" i="7"/>
  <c r="AC42" i="7"/>
  <c r="P43" i="7"/>
  <c r="AD43" i="7"/>
  <c r="P44" i="7"/>
  <c r="AC44" i="7"/>
  <c r="N45" i="7"/>
  <c r="AB45" i="7"/>
  <c r="M46" i="7"/>
  <c r="Z46" i="7"/>
  <c r="K47" i="7"/>
  <c r="X47" i="7"/>
  <c r="I48" i="7"/>
  <c r="T49" i="7"/>
  <c r="E50" i="7"/>
  <c r="R50" i="7"/>
  <c r="D51" i="7"/>
  <c r="Q51" i="7"/>
  <c r="AD51" i="7"/>
  <c r="O52" i="7"/>
  <c r="AB52" i="7"/>
  <c r="M53" i="7"/>
  <c r="Z53" i="7"/>
  <c r="J54" i="7"/>
  <c r="F55" i="7"/>
  <c r="R55" i="7"/>
  <c r="AD55" i="7"/>
  <c r="N56" i="7"/>
  <c r="Z56" i="7"/>
  <c r="J57" i="7"/>
  <c r="F58" i="7"/>
  <c r="R58" i="7"/>
  <c r="AD58" i="7"/>
  <c r="N59" i="7"/>
  <c r="Z59" i="7"/>
  <c r="J60" i="7"/>
  <c r="F61" i="7"/>
  <c r="R61" i="7"/>
  <c r="AD61" i="7"/>
  <c r="N62" i="7"/>
  <c r="Z62" i="7"/>
  <c r="J63" i="7"/>
  <c r="F64" i="7"/>
  <c r="R64" i="7"/>
  <c r="AD64" i="7"/>
  <c r="N65" i="7"/>
  <c r="Z65" i="7"/>
  <c r="J66" i="7"/>
  <c r="F67" i="7"/>
  <c r="R67" i="7"/>
  <c r="AD67" i="7"/>
  <c r="N68" i="7"/>
  <c r="Z68" i="7"/>
  <c r="J69" i="7"/>
  <c r="F70" i="7"/>
  <c r="R70" i="7"/>
  <c r="AD70" i="7"/>
  <c r="N71" i="7"/>
  <c r="Z71" i="7"/>
  <c r="J72" i="7"/>
  <c r="F73" i="7"/>
  <c r="R73" i="7"/>
  <c r="AD73" i="7"/>
  <c r="N74" i="7"/>
  <c r="Z74" i="7"/>
  <c r="J75" i="7"/>
  <c r="F5" i="7"/>
  <c r="Z9" i="7"/>
  <c r="R5" i="7"/>
  <c r="AC9" i="7"/>
  <c r="K12" i="7"/>
  <c r="S13" i="7"/>
  <c r="AA14" i="7"/>
  <c r="O17" i="7"/>
  <c r="W18" i="7"/>
  <c r="Y19" i="7"/>
  <c r="Y20" i="7"/>
  <c r="U21" i="7"/>
  <c r="Q22" i="7"/>
  <c r="E23" i="7"/>
  <c r="Y23" i="7"/>
  <c r="M24" i="7"/>
  <c r="E25" i="7"/>
  <c r="U25" i="7"/>
  <c r="M26" i="7"/>
  <c r="AC26" i="7"/>
  <c r="U27" i="7"/>
  <c r="AD5" i="7"/>
  <c r="J10" i="7"/>
  <c r="N12" i="7"/>
  <c r="AD14" i="7"/>
  <c r="J16" i="7"/>
  <c r="R17" i="7"/>
  <c r="Z18" i="7"/>
  <c r="AC19" i="7"/>
  <c r="AA20" i="7"/>
  <c r="W21" i="7"/>
  <c r="R22" i="7"/>
  <c r="F23" i="7"/>
  <c r="Z23" i="7"/>
  <c r="N24" i="7"/>
  <c r="F25" i="7"/>
  <c r="N26" i="7"/>
  <c r="AD26" i="7"/>
  <c r="J28" i="7"/>
  <c r="AD28" i="7"/>
  <c r="R29" i="7"/>
  <c r="J30" i="7"/>
  <c r="Z30" i="7"/>
  <c r="R31" i="7"/>
  <c r="E32" i="7"/>
  <c r="J33" i="7"/>
  <c r="Y33" i="7"/>
  <c r="N34" i="7"/>
  <c r="AD34" i="7"/>
  <c r="Q35" i="7"/>
  <c r="F36" i="7"/>
  <c r="I37" i="7"/>
  <c r="Z37" i="7"/>
  <c r="N38" i="7"/>
  <c r="AC38" i="7"/>
  <c r="P39" i="7"/>
  <c r="AD39" i="7"/>
  <c r="Q40" i="7"/>
  <c r="C41" i="7"/>
  <c r="Q41" i="7"/>
  <c r="D42" i="7"/>
  <c r="R42" i="7"/>
  <c r="E43" i="7"/>
  <c r="S43" i="7"/>
  <c r="E44" i="7"/>
  <c r="T44" i="7"/>
  <c r="E45" i="7"/>
  <c r="R45" i="7"/>
  <c r="C46" i="7"/>
  <c r="P46" i="7"/>
  <c r="AC46" i="7"/>
  <c r="N47" i="7"/>
  <c r="AA47" i="7"/>
  <c r="L48" i="7"/>
  <c r="Y48" i="7"/>
  <c r="J49" i="7"/>
  <c r="X49" i="7"/>
  <c r="I50" i="7"/>
  <c r="T51" i="7"/>
  <c r="E52" i="7"/>
  <c r="R52" i="7"/>
  <c r="C53" i="7"/>
  <c r="P53" i="7"/>
  <c r="AC53" i="7"/>
  <c r="M54" i="7"/>
  <c r="Y54" i="7"/>
  <c r="I55" i="7"/>
  <c r="U55" i="7"/>
  <c r="E56" i="7"/>
  <c r="Q56" i="7"/>
  <c r="AC56" i="7"/>
  <c r="M57" i="7"/>
  <c r="Y57" i="7"/>
  <c r="I58" i="7"/>
  <c r="U58" i="7"/>
  <c r="E59" i="7"/>
  <c r="Q59" i="7"/>
  <c r="AC59" i="7"/>
  <c r="M60" i="7"/>
  <c r="Y60" i="7"/>
  <c r="I61" i="7"/>
  <c r="U61" i="7"/>
  <c r="E62" i="7"/>
  <c r="Q62" i="7"/>
  <c r="AC62" i="7"/>
  <c r="M63" i="7"/>
  <c r="Y63" i="7"/>
  <c r="I64" i="7"/>
  <c r="U64" i="7"/>
  <c r="E65" i="7"/>
  <c r="Q65" i="7"/>
  <c r="AC65" i="7"/>
  <c r="N6" i="7"/>
  <c r="M10" i="7"/>
  <c r="Q12" i="7"/>
  <c r="Y13" i="7"/>
  <c r="E15" i="7"/>
  <c r="M16" i="7"/>
  <c r="U17" i="7"/>
  <c r="AC18" i="7"/>
  <c r="C20" i="7"/>
  <c r="AB20" i="7"/>
  <c r="X21" i="7"/>
  <c r="S22" i="7"/>
  <c r="I23" i="7"/>
  <c r="AA23" i="7"/>
  <c r="Q24" i="7"/>
  <c r="Y25" i="7"/>
  <c r="O26" i="7"/>
  <c r="E27" i="7"/>
  <c r="W27" i="7"/>
  <c r="Z6" i="7"/>
  <c r="U12" i="7"/>
  <c r="AC13" i="7"/>
  <c r="I15" i="7"/>
  <c r="Q16" i="7"/>
  <c r="Y17" i="7"/>
  <c r="E19" i="7"/>
  <c r="D20" i="7"/>
  <c r="AC20" i="7"/>
  <c r="Y21" i="7"/>
  <c r="T22" i="7"/>
  <c r="L23" i="7"/>
  <c r="AB23" i="7"/>
  <c r="T24" i="7"/>
  <c r="H25" i="7"/>
  <c r="AB25" i="7"/>
  <c r="P26" i="7"/>
  <c r="H27" i="7"/>
  <c r="X27" i="7"/>
  <c r="P28" i="7"/>
  <c r="D29" i="7"/>
  <c r="X29" i="7"/>
  <c r="L30" i="7"/>
  <c r="D31" i="7"/>
  <c r="T31" i="7"/>
  <c r="I32" i="7"/>
  <c r="Y32" i="7"/>
  <c r="L33" i="7"/>
  <c r="AC33" i="7"/>
  <c r="Q34" i="7"/>
  <c r="D35" i="7"/>
  <c r="U35" i="7"/>
  <c r="I36" i="7"/>
  <c r="X36" i="7"/>
  <c r="M37" i="7"/>
  <c r="AC37" i="7"/>
  <c r="P38" i="7"/>
  <c r="D39" i="7"/>
  <c r="R39" i="7"/>
  <c r="E40" i="7"/>
  <c r="S40" i="7"/>
  <c r="E41" i="7"/>
  <c r="T41" i="7"/>
  <c r="F42" i="7"/>
  <c r="U42" i="7"/>
  <c r="U43" i="7"/>
  <c r="H44" i="7"/>
  <c r="T45" i="7"/>
  <c r="E46" i="7"/>
  <c r="R46" i="7"/>
  <c r="C47" i="7"/>
  <c r="P47" i="7"/>
  <c r="AC47" i="7"/>
  <c r="N48" i="7"/>
  <c r="AB48" i="7"/>
  <c r="M49" i="7"/>
  <c r="Z49" i="7"/>
  <c r="K50" i="7"/>
  <c r="X50" i="7"/>
  <c r="I51" i="7"/>
  <c r="T52" i="7"/>
  <c r="E53" i="7"/>
  <c r="R53" i="7"/>
  <c r="C54" i="7"/>
  <c r="O54" i="7"/>
  <c r="AA54" i="7"/>
  <c r="K55" i="7"/>
  <c r="W55" i="7"/>
  <c r="S56" i="7"/>
  <c r="C57" i="7"/>
  <c r="O57" i="7"/>
  <c r="AA57" i="7"/>
  <c r="K58" i="7"/>
  <c r="W58" i="7"/>
  <c r="S59" i="7"/>
  <c r="C60" i="7"/>
  <c r="O60" i="7"/>
  <c r="AA60" i="7"/>
  <c r="J7" i="7"/>
  <c r="Y10" i="7"/>
  <c r="W12" i="7"/>
  <c r="C14" i="7"/>
  <c r="K15" i="7"/>
  <c r="S16" i="7"/>
  <c r="AA17" i="7"/>
  <c r="F20" i="7"/>
  <c r="AD20" i="7"/>
  <c r="Z21" i="7"/>
  <c r="U22" i="7"/>
  <c r="M23" i="7"/>
  <c r="AC23" i="7"/>
  <c r="U24" i="7"/>
  <c r="I25" i="7"/>
  <c r="AC25" i="7"/>
  <c r="Q26" i="7"/>
  <c r="I27" i="7"/>
  <c r="Y27" i="7"/>
  <c r="Q28" i="7"/>
  <c r="E29" i="7"/>
  <c r="Y29" i="7"/>
  <c r="M30" i="7"/>
  <c r="E31" i="7"/>
  <c r="U31" i="7"/>
  <c r="J32" i="7"/>
  <c r="Z32" i="7"/>
  <c r="M33" i="7"/>
  <c r="AD33" i="7"/>
  <c r="R34" i="7"/>
  <c r="E35" i="7"/>
  <c r="J36" i="7"/>
  <c r="Y36" i="7"/>
  <c r="N37" i="7"/>
  <c r="AD37" i="7"/>
  <c r="Q38" i="7"/>
  <c r="F11" i="7"/>
  <c r="Z12" i="7"/>
  <c r="F14" i="7"/>
  <c r="N15" i="7"/>
  <c r="AD17" i="7"/>
  <c r="H19" i="7"/>
  <c r="I20" i="7"/>
  <c r="E21" i="7"/>
  <c r="AC21" i="7"/>
  <c r="N23" i="7"/>
  <c r="AD23" i="7"/>
  <c r="J25" i="7"/>
  <c r="AD25" i="7"/>
  <c r="R26" i="7"/>
  <c r="J27" i="7"/>
  <c r="Z27" i="7"/>
  <c r="R28" i="7"/>
  <c r="F29" i="7"/>
  <c r="Z29" i="7"/>
  <c r="N30" i="7"/>
  <c r="F31" i="7"/>
  <c r="L32" i="7"/>
  <c r="AA32" i="7"/>
  <c r="N33" i="7"/>
  <c r="D34" i="7"/>
  <c r="S34" i="7"/>
  <c r="F35" i="7"/>
  <c r="X35" i="7"/>
  <c r="K36" i="7"/>
  <c r="F8" i="7"/>
  <c r="I11" i="7"/>
  <c r="AC12" i="7"/>
  <c r="I14" i="7"/>
  <c r="Q15" i="7"/>
  <c r="Y16" i="7"/>
  <c r="E18" i="7"/>
  <c r="J19" i="7"/>
  <c r="M20" i="7"/>
  <c r="I21" i="7"/>
  <c r="E22" i="7"/>
  <c r="Y22" i="7"/>
  <c r="O23" i="7"/>
  <c r="E24" i="7"/>
  <c r="W24" i="7"/>
  <c r="M25" i="7"/>
  <c r="C26" i="7"/>
  <c r="U26" i="7"/>
  <c r="K27" i="7"/>
  <c r="AC27" i="7"/>
  <c r="S28" i="7"/>
  <c r="I29" i="7"/>
  <c r="AA29" i="7"/>
  <c r="Q30" i="7"/>
  <c r="Y31" i="7"/>
  <c r="M32" i="7"/>
  <c r="AB32" i="7"/>
  <c r="Q33" i="7"/>
  <c r="E34" i="7"/>
  <c r="T34" i="7"/>
  <c r="I35" i="7"/>
  <c r="Y35" i="7"/>
  <c r="L36" i="7"/>
  <c r="AC36" i="7"/>
  <c r="Q37" i="7"/>
  <c r="D38" i="7"/>
  <c r="U38" i="7"/>
  <c r="H39" i="7"/>
  <c r="H40" i="7"/>
  <c r="I41" i="7"/>
  <c r="E12" i="7"/>
  <c r="L24" i="7"/>
  <c r="H28" i="7"/>
  <c r="H30" i="7"/>
  <c r="C32" i="7"/>
  <c r="W33" i="7"/>
  <c r="O35" i="7"/>
  <c r="D37" i="7"/>
  <c r="M38" i="7"/>
  <c r="Q39" i="7"/>
  <c r="R40" i="7"/>
  <c r="R41" i="7"/>
  <c r="P42" i="7"/>
  <c r="J43" i="7"/>
  <c r="I44" i="7"/>
  <c r="D45" i="7"/>
  <c r="Y45" i="7"/>
  <c r="T46" i="7"/>
  <c r="O47" i="7"/>
  <c r="J48" i="7"/>
  <c r="C49" i="7"/>
  <c r="AA49" i="7"/>
  <c r="P50" i="7"/>
  <c r="J51" i="7"/>
  <c r="AB51" i="7"/>
  <c r="U52" i="7"/>
  <c r="K53" i="7"/>
  <c r="AB53" i="7"/>
  <c r="Q54" i="7"/>
  <c r="D55" i="7"/>
  <c r="T55" i="7"/>
  <c r="I56" i="7"/>
  <c r="X56" i="7"/>
  <c r="L57" i="7"/>
  <c r="AC57" i="7"/>
  <c r="P58" i="7"/>
  <c r="D59" i="7"/>
  <c r="U59" i="7"/>
  <c r="H60" i="7"/>
  <c r="X60" i="7"/>
  <c r="L61" i="7"/>
  <c r="Z61" i="7"/>
  <c r="L62" i="7"/>
  <c r="AA62" i="7"/>
  <c r="N63" i="7"/>
  <c r="AB63" i="7"/>
  <c r="N64" i="7"/>
  <c r="AB64" i="7"/>
  <c r="O65" i="7"/>
  <c r="AD65" i="7"/>
  <c r="O66" i="7"/>
  <c r="AB66" i="7"/>
  <c r="M67" i="7"/>
  <c r="Z67" i="7"/>
  <c r="K68" i="7"/>
  <c r="X68" i="7"/>
  <c r="I69" i="7"/>
  <c r="W69" i="7"/>
  <c r="H70" i="7"/>
  <c r="U70" i="7"/>
  <c r="F71" i="7"/>
  <c r="S71" i="7"/>
  <c r="D72" i="7"/>
  <c r="Q72" i="7"/>
  <c r="AD72" i="7"/>
  <c r="O73" i="7"/>
  <c r="AB73" i="7"/>
  <c r="M74" i="7"/>
  <c r="AA74" i="7"/>
  <c r="L75" i="7"/>
  <c r="Y75" i="7"/>
  <c r="I76" i="7"/>
  <c r="U76" i="7"/>
  <c r="E77" i="7"/>
  <c r="Q77" i="7"/>
  <c r="AC77" i="7"/>
  <c r="M78" i="7"/>
  <c r="Y78" i="7"/>
  <c r="I79" i="7"/>
  <c r="U79" i="7"/>
  <c r="E80" i="7"/>
  <c r="Q80" i="7"/>
  <c r="AC80" i="7"/>
  <c r="M81" i="7"/>
  <c r="Y81" i="7"/>
  <c r="I82" i="7"/>
  <c r="U82" i="7"/>
  <c r="E83" i="7"/>
  <c r="Q83" i="7"/>
  <c r="AC83" i="7"/>
  <c r="M84" i="7"/>
  <c r="Y84" i="7"/>
  <c r="I85" i="7"/>
  <c r="U85" i="7"/>
  <c r="E86" i="7"/>
  <c r="Q13" i="7"/>
  <c r="Y24" i="7"/>
  <c r="I28" i="7"/>
  <c r="I30" i="7"/>
  <c r="D32" i="7"/>
  <c r="X33" i="7"/>
  <c r="P35" i="7"/>
  <c r="O38" i="7"/>
  <c r="T39" i="7"/>
  <c r="T40" i="7"/>
  <c r="U41" i="7"/>
  <c r="Q42" i="7"/>
  <c r="M43" i="7"/>
  <c r="J44" i="7"/>
  <c r="F45" i="7"/>
  <c r="AC45" i="7"/>
  <c r="U46" i="7"/>
  <c r="Q47" i="7"/>
  <c r="K48" i="7"/>
  <c r="E49" i="7"/>
  <c r="AB49" i="7"/>
  <c r="T50" i="7"/>
  <c r="K51" i="7"/>
  <c r="C52" i="7"/>
  <c r="L53" i="7"/>
  <c r="AD53" i="7"/>
  <c r="R54" i="7"/>
  <c r="E55" i="7"/>
  <c r="J56" i="7"/>
  <c r="Y56" i="7"/>
  <c r="N57" i="7"/>
  <c r="AD57" i="7"/>
  <c r="Q58" i="7"/>
  <c r="F59" i="7"/>
  <c r="I60" i="7"/>
  <c r="Z60" i="7"/>
  <c r="M61" i="7"/>
  <c r="AA61" i="7"/>
  <c r="M62" i="7"/>
  <c r="AB62" i="7"/>
  <c r="O63" i="7"/>
  <c r="AC63" i="7"/>
  <c r="O64" i="7"/>
  <c r="AC64" i="7"/>
  <c r="P65" i="7"/>
  <c r="C66" i="7"/>
  <c r="P66" i="7"/>
  <c r="AC66" i="7"/>
  <c r="N67" i="7"/>
  <c r="AA67" i="7"/>
  <c r="L68" i="7"/>
  <c r="Y68" i="7"/>
  <c r="K69" i="7"/>
  <c r="X69" i="7"/>
  <c r="I70" i="7"/>
  <c r="T71" i="7"/>
  <c r="E72" i="7"/>
  <c r="R72" i="7"/>
  <c r="C73" i="7"/>
  <c r="Y14" i="7"/>
  <c r="D25" i="7"/>
  <c r="M28" i="7"/>
  <c r="K30" i="7"/>
  <c r="F32" i="7"/>
  <c r="Z33" i="7"/>
  <c r="R35" i="7"/>
  <c r="H37" i="7"/>
  <c r="R38" i="7"/>
  <c r="U39" i="7"/>
  <c r="U40" i="7"/>
  <c r="T42" i="7"/>
  <c r="Q43" i="7"/>
  <c r="L44" i="7"/>
  <c r="H45" i="7"/>
  <c r="AD45" i="7"/>
  <c r="X46" i="7"/>
  <c r="R47" i="7"/>
  <c r="M48" i="7"/>
  <c r="H49" i="7"/>
  <c r="AC49" i="7"/>
  <c r="U50" i="7"/>
  <c r="L51" i="7"/>
  <c r="D52" i="7"/>
  <c r="X52" i="7"/>
  <c r="N53" i="7"/>
  <c r="D54" i="7"/>
  <c r="S54" i="7"/>
  <c r="X55" i="7"/>
  <c r="K56" i="7"/>
  <c r="AA56" i="7"/>
  <c r="P57" i="7"/>
  <c r="C58" i="7"/>
  <c r="S58" i="7"/>
  <c r="H59" i="7"/>
  <c r="W59" i="7"/>
  <c r="K60" i="7"/>
  <c r="AB60" i="7"/>
  <c r="N61" i="7"/>
  <c r="AB61" i="7"/>
  <c r="O62" i="7"/>
  <c r="AD62" i="7"/>
  <c r="P63" i="7"/>
  <c r="AD63" i="7"/>
  <c r="P64" i="7"/>
  <c r="C65" i="7"/>
  <c r="R65" i="7"/>
  <c r="D66" i="7"/>
  <c r="Q66" i="7"/>
  <c r="AD66" i="7"/>
  <c r="O67" i="7"/>
  <c r="AB67" i="7"/>
  <c r="M68" i="7"/>
  <c r="AA68" i="7"/>
  <c r="L69" i="7"/>
  <c r="Y69" i="7"/>
  <c r="J70" i="7"/>
  <c r="W70" i="7"/>
  <c r="H71" i="7"/>
  <c r="U71" i="7"/>
  <c r="F72" i="7"/>
  <c r="S72" i="7"/>
  <c r="D73" i="7"/>
  <c r="Q73" i="7"/>
  <c r="C74" i="7"/>
  <c r="P74" i="7"/>
  <c r="AC74" i="7"/>
  <c r="N75" i="7"/>
  <c r="AA75" i="7"/>
  <c r="K76" i="7"/>
  <c r="W76" i="7"/>
  <c r="S77" i="7"/>
  <c r="C78" i="7"/>
  <c r="O78" i="7"/>
  <c r="AA78" i="7"/>
  <c r="K79" i="7"/>
  <c r="W79" i="7"/>
  <c r="S80" i="7"/>
  <c r="C81" i="7"/>
  <c r="O81" i="7"/>
  <c r="AA81" i="7"/>
  <c r="K82" i="7"/>
  <c r="W82" i="7"/>
  <c r="S83" i="7"/>
  <c r="C84" i="7"/>
  <c r="O84" i="7"/>
  <c r="AA84" i="7"/>
  <c r="K85" i="7"/>
  <c r="W85" i="7"/>
  <c r="S86" i="7"/>
  <c r="C87" i="7"/>
  <c r="O87" i="7"/>
  <c r="AA87" i="7"/>
  <c r="K88" i="7"/>
  <c r="W88" i="7"/>
  <c r="S89" i="7"/>
  <c r="C90" i="7"/>
  <c r="O90" i="7"/>
  <c r="AA90" i="7"/>
  <c r="K91" i="7"/>
  <c r="W91" i="7"/>
  <c r="S92" i="7"/>
  <c r="C93" i="7"/>
  <c r="O93" i="7"/>
  <c r="AA93" i="7"/>
  <c r="K94" i="7"/>
  <c r="W94" i="7"/>
  <c r="S95" i="7"/>
  <c r="C96" i="7"/>
  <c r="O96" i="7"/>
  <c r="AA96" i="7"/>
  <c r="K97" i="7"/>
  <c r="W97" i="7"/>
  <c r="E16" i="7"/>
  <c r="Q25" i="7"/>
  <c r="U28" i="7"/>
  <c r="U30" i="7"/>
  <c r="O32" i="7"/>
  <c r="AA35" i="7"/>
  <c r="J37" i="7"/>
  <c r="X38" i="7"/>
  <c r="X39" i="7"/>
  <c r="Y40" i="7"/>
  <c r="X41" i="7"/>
  <c r="R43" i="7"/>
  <c r="N44" i="7"/>
  <c r="I45" i="7"/>
  <c r="D46" i="7"/>
  <c r="AA46" i="7"/>
  <c r="T47" i="7"/>
  <c r="P48" i="7"/>
  <c r="I49" i="7"/>
  <c r="AD49" i="7"/>
  <c r="W50" i="7"/>
  <c r="M51" i="7"/>
  <c r="F52" i="7"/>
  <c r="Y52" i="7"/>
  <c r="O53" i="7"/>
  <c r="E54" i="7"/>
  <c r="T54" i="7"/>
  <c r="H55" i="7"/>
  <c r="Y55" i="7"/>
  <c r="L56" i="7"/>
  <c r="AB56" i="7"/>
  <c r="Q57" i="7"/>
  <c r="D58" i="7"/>
  <c r="T58" i="7"/>
  <c r="I59" i="7"/>
  <c r="X59" i="7"/>
  <c r="L60" i="7"/>
  <c r="AC60" i="7"/>
  <c r="O61" i="7"/>
  <c r="AC61" i="7"/>
  <c r="P62" i="7"/>
  <c r="C63" i="7"/>
  <c r="Q63" i="7"/>
  <c r="C64" i="7"/>
  <c r="Q64" i="7"/>
  <c r="D65" i="7"/>
  <c r="S65" i="7"/>
  <c r="E66" i="7"/>
  <c r="R66" i="7"/>
  <c r="C67" i="7"/>
  <c r="P67" i="7"/>
  <c r="M17" i="7"/>
  <c r="T25" i="7"/>
  <c r="AB28" i="7"/>
  <c r="X30" i="7"/>
  <c r="R32" i="7"/>
  <c r="J34" i="7"/>
  <c r="AD35" i="7"/>
  <c r="P37" i="7"/>
  <c r="AA38" i="7"/>
  <c r="AB39" i="7"/>
  <c r="AC40" i="7"/>
  <c r="Z41" i="7"/>
  <c r="W42" i="7"/>
  <c r="T43" i="7"/>
  <c r="Q44" i="7"/>
  <c r="J45" i="7"/>
  <c r="F46" i="7"/>
  <c r="AB46" i="7"/>
  <c r="Q48" i="7"/>
  <c r="L49" i="7"/>
  <c r="C50" i="7"/>
  <c r="Y50" i="7"/>
  <c r="N51" i="7"/>
  <c r="H52" i="7"/>
  <c r="Z52" i="7"/>
  <c r="Q53" i="7"/>
  <c r="F54" i="7"/>
  <c r="U54" i="7"/>
  <c r="J55" i="7"/>
  <c r="Z55" i="7"/>
  <c r="M56" i="7"/>
  <c r="AD56" i="7"/>
  <c r="R57" i="7"/>
  <c r="E58" i="7"/>
  <c r="J59" i="7"/>
  <c r="Y59" i="7"/>
  <c r="N60" i="7"/>
  <c r="AD60" i="7"/>
  <c r="P61" i="7"/>
  <c r="C62" i="7"/>
  <c r="R62" i="7"/>
  <c r="D63" i="7"/>
  <c r="R63" i="7"/>
  <c r="D64" i="7"/>
  <c r="S64" i="7"/>
  <c r="F65" i="7"/>
  <c r="T65" i="7"/>
  <c r="F66" i="7"/>
  <c r="S66" i="7"/>
  <c r="D67" i="7"/>
  <c r="Q67" i="7"/>
  <c r="C68" i="7"/>
  <c r="P68" i="7"/>
  <c r="AC68" i="7"/>
  <c r="N69" i="7"/>
  <c r="AA69" i="7"/>
  <c r="L70" i="7"/>
  <c r="Y70" i="7"/>
  <c r="J71" i="7"/>
  <c r="W71" i="7"/>
  <c r="H72" i="7"/>
  <c r="U72" i="7"/>
  <c r="T73" i="7"/>
  <c r="E74" i="7"/>
  <c r="R74" i="7"/>
  <c r="C75" i="7"/>
  <c r="P75" i="7"/>
  <c r="AC75" i="7"/>
  <c r="M76" i="7"/>
  <c r="Y76" i="7"/>
  <c r="I77" i="7"/>
  <c r="U77" i="7"/>
  <c r="E78" i="7"/>
  <c r="Q78" i="7"/>
  <c r="AC78" i="7"/>
  <c r="M79" i="7"/>
  <c r="Y79" i="7"/>
  <c r="I80" i="7"/>
  <c r="U80" i="7"/>
  <c r="E81" i="7"/>
  <c r="Q81" i="7"/>
  <c r="AC81" i="7"/>
  <c r="M82" i="7"/>
  <c r="Y82" i="7"/>
  <c r="I83" i="7"/>
  <c r="U83" i="7"/>
  <c r="E84" i="7"/>
  <c r="Q84" i="7"/>
  <c r="AC84" i="7"/>
  <c r="M85" i="7"/>
  <c r="Y85" i="7"/>
  <c r="I86" i="7"/>
  <c r="U86" i="7"/>
  <c r="E87" i="7"/>
  <c r="Q87" i="7"/>
  <c r="AC87" i="7"/>
  <c r="M88" i="7"/>
  <c r="Y88" i="7"/>
  <c r="I89" i="7"/>
  <c r="U89" i="7"/>
  <c r="E90" i="7"/>
  <c r="Q90" i="7"/>
  <c r="AC90" i="7"/>
  <c r="M91" i="7"/>
  <c r="Y91" i="7"/>
  <c r="I92" i="7"/>
  <c r="U92" i="7"/>
  <c r="E93" i="7"/>
  <c r="Q93" i="7"/>
  <c r="AC93" i="7"/>
  <c r="M94" i="7"/>
  <c r="Y94" i="7"/>
  <c r="I95" i="7"/>
  <c r="U18" i="7"/>
  <c r="E26" i="7"/>
  <c r="AC28" i="7"/>
  <c r="Y30" i="7"/>
  <c r="U32" i="7"/>
  <c r="M34" i="7"/>
  <c r="E36" i="7"/>
  <c r="S37" i="7"/>
  <c r="AB38" i="7"/>
  <c r="AC39" i="7"/>
  <c r="AD40" i="7"/>
  <c r="AC41" i="7"/>
  <c r="X42" i="7"/>
  <c r="R44" i="7"/>
  <c r="L45" i="7"/>
  <c r="AD46" i="7"/>
  <c r="Y47" i="7"/>
  <c r="R48" i="7"/>
  <c r="N49" i="7"/>
  <c r="F50" i="7"/>
  <c r="Z50" i="7"/>
  <c r="R51" i="7"/>
  <c r="I52" i="7"/>
  <c r="AC52" i="7"/>
  <c r="T53" i="7"/>
  <c r="W54" i="7"/>
  <c r="L55" i="7"/>
  <c r="AA55" i="7"/>
  <c r="O56" i="7"/>
  <c r="L26" i="7"/>
  <c r="C29" i="7"/>
  <c r="AC30" i="7"/>
  <c r="X32" i="7"/>
  <c r="P34" i="7"/>
  <c r="H36" i="7"/>
  <c r="AD38" i="7"/>
  <c r="D40" i="7"/>
  <c r="D41" i="7"/>
  <c r="AD41" i="7"/>
  <c r="Z42" i="7"/>
  <c r="X43" i="7"/>
  <c r="U44" i="7"/>
  <c r="P45" i="7"/>
  <c r="H46" i="7"/>
  <c r="D47" i="7"/>
  <c r="Z47" i="7"/>
  <c r="T48" i="7"/>
  <c r="O49" i="7"/>
  <c r="H50" i="7"/>
  <c r="AA50" i="7"/>
  <c r="S51" i="7"/>
  <c r="J52" i="7"/>
  <c r="AD52" i="7"/>
  <c r="U53" i="7"/>
  <c r="H54" i="7"/>
  <c r="X54" i="7"/>
  <c r="M55" i="7"/>
  <c r="AB55" i="7"/>
  <c r="P56" i="7"/>
  <c r="E57" i="7"/>
  <c r="T57" i="7"/>
  <c r="H58" i="7"/>
  <c r="Y58" i="7"/>
  <c r="L59" i="7"/>
  <c r="AB59" i="7"/>
  <c r="Q60" i="7"/>
  <c r="D61" i="7"/>
  <c r="S61" i="7"/>
  <c r="F62" i="7"/>
  <c r="T62" i="7"/>
  <c r="F63" i="7"/>
  <c r="T63" i="7"/>
  <c r="H65" i="7"/>
  <c r="H66" i="7"/>
  <c r="U66" i="7"/>
  <c r="T67" i="7"/>
  <c r="E68" i="7"/>
  <c r="R68" i="7"/>
  <c r="U20" i="7"/>
  <c r="Y26" i="7"/>
  <c r="M29" i="7"/>
  <c r="I31" i="7"/>
  <c r="AD32" i="7"/>
  <c r="N36" i="7"/>
  <c r="Y37" i="7"/>
  <c r="E39" i="7"/>
  <c r="F40" i="7"/>
  <c r="Q21" i="7"/>
  <c r="AB26" i="7"/>
  <c r="P29" i="7"/>
  <c r="P31" i="7"/>
  <c r="H33" i="7"/>
  <c r="AB34" i="7"/>
  <c r="T36" i="7"/>
  <c r="AB37" i="7"/>
  <c r="F39" i="7"/>
  <c r="H41" i="7"/>
  <c r="H42" i="7"/>
  <c r="D43" i="7"/>
  <c r="AB43" i="7"/>
  <c r="X44" i="7"/>
  <c r="S45" i="7"/>
  <c r="N46" i="7"/>
  <c r="F47" i="7"/>
  <c r="AD47" i="7"/>
  <c r="X48" i="7"/>
  <c r="R49" i="7"/>
  <c r="L50" i="7"/>
  <c r="AC50" i="7"/>
  <c r="W51" i="7"/>
  <c r="M52" i="7"/>
  <c r="F53" i="7"/>
  <c r="W53" i="7"/>
  <c r="K54" i="7"/>
  <c r="AB54" i="7"/>
  <c r="O55" i="7"/>
  <c r="C56" i="7"/>
  <c r="T56" i="7"/>
  <c r="W57" i="7"/>
  <c r="L58" i="7"/>
  <c r="AA58" i="7"/>
  <c r="O59" i="7"/>
  <c r="D60" i="7"/>
  <c r="S60" i="7"/>
  <c r="H62" i="7"/>
  <c r="H63" i="7"/>
  <c r="W63" i="7"/>
  <c r="J64" i="7"/>
  <c r="X64" i="7"/>
  <c r="J65" i="7"/>
  <c r="X65" i="7"/>
  <c r="K66" i="7"/>
  <c r="X66" i="7"/>
  <c r="I67" i="7"/>
  <c r="T68" i="7"/>
  <c r="E69" i="7"/>
  <c r="R69" i="7"/>
  <c r="C70" i="7"/>
  <c r="P70" i="7"/>
  <c r="AC70" i="7"/>
  <c r="M22" i="7"/>
  <c r="M27" i="7"/>
  <c r="Q29" i="7"/>
  <c r="Q31" i="7"/>
  <c r="I33" i="7"/>
  <c r="AC34" i="7"/>
  <c r="D23" i="7"/>
  <c r="T27" i="7"/>
  <c r="U29" i="7"/>
  <c r="S31" i="7"/>
  <c r="K33" i="7"/>
  <c r="C35" i="7"/>
  <c r="W36" i="7"/>
  <c r="F38" i="7"/>
  <c r="M39" i="7"/>
  <c r="N40" i="7"/>
  <c r="X23" i="7"/>
  <c r="E28" i="7"/>
  <c r="AC29" i="7"/>
  <c r="AB31" i="7"/>
  <c r="T33" i="7"/>
  <c r="L35" i="7"/>
  <c r="Z36" i="7"/>
  <c r="L38" i="7"/>
  <c r="N39" i="7"/>
  <c r="P40" i="7"/>
  <c r="P41" i="7"/>
  <c r="L42" i="7"/>
  <c r="I43" i="7"/>
  <c r="F44" i="7"/>
  <c r="AD44" i="7"/>
  <c r="W45" i="7"/>
  <c r="S46" i="7"/>
  <c r="M47" i="7"/>
  <c r="AD48" i="7"/>
  <c r="Y49" i="7"/>
  <c r="O50" i="7"/>
  <c r="H51" i="7"/>
  <c r="Z51" i="7"/>
  <c r="S52" i="7"/>
  <c r="J53" i="7"/>
  <c r="AA53" i="7"/>
  <c r="P54" i="7"/>
  <c r="C55" i="7"/>
  <c r="S55" i="7"/>
  <c r="H56" i="7"/>
  <c r="W56" i="7"/>
  <c r="U36" i="7"/>
  <c r="H43" i="7"/>
  <c r="Q46" i="7"/>
  <c r="Q52" i="7"/>
  <c r="AD54" i="7"/>
  <c r="H57" i="7"/>
  <c r="O58" i="7"/>
  <c r="AD59" i="7"/>
  <c r="J61" i="7"/>
  <c r="S62" i="7"/>
  <c r="X63" i="7"/>
  <c r="AA64" i="7"/>
  <c r="I66" i="7"/>
  <c r="K67" i="7"/>
  <c r="J68" i="7"/>
  <c r="AD69" i="7"/>
  <c r="Z70" i="7"/>
  <c r="Q71" i="7"/>
  <c r="K72" i="7"/>
  <c r="AB72" i="7"/>
  <c r="U73" i="7"/>
  <c r="I74" i="7"/>
  <c r="Y74" i="7"/>
  <c r="Q75" i="7"/>
  <c r="E76" i="7"/>
  <c r="T76" i="7"/>
  <c r="J77" i="7"/>
  <c r="Y77" i="7"/>
  <c r="L78" i="7"/>
  <c r="AD78" i="7"/>
  <c r="Q79" i="7"/>
  <c r="D80" i="7"/>
  <c r="I81" i="7"/>
  <c r="X81" i="7"/>
  <c r="N82" i="7"/>
  <c r="AC82" i="7"/>
  <c r="P83" i="7"/>
  <c r="F84" i="7"/>
  <c r="U84" i="7"/>
  <c r="H85" i="7"/>
  <c r="Z85" i="7"/>
  <c r="M86" i="7"/>
  <c r="AA86" i="7"/>
  <c r="M87" i="7"/>
  <c r="AB87" i="7"/>
  <c r="O88" i="7"/>
  <c r="AC88" i="7"/>
  <c r="O89" i="7"/>
  <c r="AC89" i="7"/>
  <c r="P90" i="7"/>
  <c r="C91" i="7"/>
  <c r="Q91" i="7"/>
  <c r="C92" i="7"/>
  <c r="Q92" i="7"/>
  <c r="D93" i="7"/>
  <c r="S93" i="7"/>
  <c r="E94" i="7"/>
  <c r="S94" i="7"/>
  <c r="E95" i="7"/>
  <c r="T95" i="7"/>
  <c r="E96" i="7"/>
  <c r="R96" i="7"/>
  <c r="C97" i="7"/>
  <c r="P97" i="7"/>
  <c r="AC97" i="7"/>
  <c r="N98" i="7"/>
  <c r="Z98" i="7"/>
  <c r="J99" i="7"/>
  <c r="F100" i="7"/>
  <c r="R100" i="7"/>
  <c r="AD100" i="7"/>
  <c r="N101" i="7"/>
  <c r="Z101" i="7"/>
  <c r="J102" i="7"/>
  <c r="F103" i="7"/>
  <c r="R103" i="7"/>
  <c r="AD103" i="7"/>
  <c r="N104" i="7"/>
  <c r="Z104" i="7"/>
  <c r="J105" i="7"/>
  <c r="F106" i="7"/>
  <c r="C38" i="7"/>
  <c r="Y43" i="7"/>
  <c r="E47" i="7"/>
  <c r="J50" i="7"/>
  <c r="D53" i="7"/>
  <c r="N55" i="7"/>
  <c r="I57" i="7"/>
  <c r="X58" i="7"/>
  <c r="E60" i="7"/>
  <c r="K61" i="7"/>
  <c r="U62" i="7"/>
  <c r="Z63" i="7"/>
  <c r="L66" i="7"/>
  <c r="L67" i="7"/>
  <c r="O68" i="7"/>
  <c r="H69" i="7"/>
  <c r="D70" i="7"/>
  <c r="AA70" i="7"/>
  <c r="R71" i="7"/>
  <c r="L72" i="7"/>
  <c r="AC72" i="7"/>
  <c r="J74" i="7"/>
  <c r="AB74" i="7"/>
  <c r="R75" i="7"/>
  <c r="F76" i="7"/>
  <c r="K77" i="7"/>
  <c r="Z77" i="7"/>
  <c r="N78" i="7"/>
  <c r="C79" i="7"/>
  <c r="R79" i="7"/>
  <c r="F80" i="7"/>
  <c r="W80" i="7"/>
  <c r="J81" i="7"/>
  <c r="Z81" i="7"/>
  <c r="O82" i="7"/>
  <c r="AD82" i="7"/>
  <c r="R83" i="7"/>
  <c r="J85" i="7"/>
  <c r="AA85" i="7"/>
  <c r="N86" i="7"/>
  <c r="AB86" i="7"/>
  <c r="N87" i="7"/>
  <c r="AD87" i="7"/>
  <c r="P88" i="7"/>
  <c r="AD88" i="7"/>
  <c r="P89" i="7"/>
  <c r="AD89" i="7"/>
  <c r="R90" i="7"/>
  <c r="D91" i="7"/>
  <c r="R91" i="7"/>
  <c r="D92" i="7"/>
  <c r="R92" i="7"/>
  <c r="F93" i="7"/>
  <c r="T93" i="7"/>
  <c r="F94" i="7"/>
  <c r="T94" i="7"/>
  <c r="F95" i="7"/>
  <c r="U95" i="7"/>
  <c r="F96" i="7"/>
  <c r="S96" i="7"/>
  <c r="D97" i="7"/>
  <c r="Q97" i="7"/>
  <c r="AD97" i="7"/>
  <c r="O98" i="7"/>
  <c r="AA98" i="7"/>
  <c r="K99" i="7"/>
  <c r="W99" i="7"/>
  <c r="S100" i="7"/>
  <c r="C101" i="7"/>
  <c r="O101" i="7"/>
  <c r="AA101" i="7"/>
  <c r="K102" i="7"/>
  <c r="W102" i="7"/>
  <c r="S103" i="7"/>
  <c r="C104" i="7"/>
  <c r="O104" i="7"/>
  <c r="AA104" i="7"/>
  <c r="K105" i="7"/>
  <c r="W105" i="7"/>
  <c r="S106" i="7"/>
  <c r="C107" i="7"/>
  <c r="O107" i="7"/>
  <c r="AA107" i="7"/>
  <c r="K108" i="7"/>
  <c r="W108" i="7"/>
  <c r="S109" i="7"/>
  <c r="C110" i="7"/>
  <c r="O110" i="7"/>
  <c r="AA110" i="7"/>
  <c r="K111" i="7"/>
  <c r="W111" i="7"/>
  <c r="S112" i="7"/>
  <c r="C113" i="7"/>
  <c r="O113" i="7"/>
  <c r="AA113" i="7"/>
  <c r="K114" i="7"/>
  <c r="W114" i="7"/>
  <c r="S115" i="7"/>
  <c r="C116" i="7"/>
  <c r="O116" i="7"/>
  <c r="AA116" i="7"/>
  <c r="K117" i="7"/>
  <c r="W117" i="7"/>
  <c r="S118" i="7"/>
  <c r="C119" i="7"/>
  <c r="O119" i="7"/>
  <c r="AA119" i="7"/>
  <c r="K120" i="7"/>
  <c r="W120" i="7"/>
  <c r="J39" i="7"/>
  <c r="C44" i="7"/>
  <c r="I47" i="7"/>
  <c r="M50" i="7"/>
  <c r="H53" i="7"/>
  <c r="P55" i="7"/>
  <c r="K57" i="7"/>
  <c r="Z58" i="7"/>
  <c r="F60" i="7"/>
  <c r="Q61" i="7"/>
  <c r="W62" i="7"/>
  <c r="AA63" i="7"/>
  <c r="I65" i="7"/>
  <c r="M66" i="7"/>
  <c r="S67" i="7"/>
  <c r="Q68" i="7"/>
  <c r="M69" i="7"/>
  <c r="E70" i="7"/>
  <c r="AB70" i="7"/>
  <c r="M72" i="7"/>
  <c r="E73" i="7"/>
  <c r="W73" i="7"/>
  <c r="K74" i="7"/>
  <c r="AD74" i="7"/>
  <c r="S75" i="7"/>
  <c r="X76" i="7"/>
  <c r="L77" i="7"/>
  <c r="AA77" i="7"/>
  <c r="P78" i="7"/>
  <c r="D79" i="7"/>
  <c r="S79" i="7"/>
  <c r="H80" i="7"/>
  <c r="X80" i="7"/>
  <c r="K81" i="7"/>
  <c r="AB81" i="7"/>
  <c r="P82" i="7"/>
  <c r="C83" i="7"/>
  <c r="T83" i="7"/>
  <c r="H84" i="7"/>
  <c r="W84" i="7"/>
  <c r="L85" i="7"/>
  <c r="AB85" i="7"/>
  <c r="O86" i="7"/>
  <c r="AC86" i="7"/>
  <c r="P87" i="7"/>
  <c r="C88" i="7"/>
  <c r="Q88" i="7"/>
  <c r="C89" i="7"/>
  <c r="Q89" i="7"/>
  <c r="D90" i="7"/>
  <c r="S90" i="7"/>
  <c r="E91" i="7"/>
  <c r="S91" i="7"/>
  <c r="E92" i="7"/>
  <c r="T92" i="7"/>
  <c r="U93" i="7"/>
  <c r="U94" i="7"/>
  <c r="H95" i="7"/>
  <c r="T96" i="7"/>
  <c r="E97" i="7"/>
  <c r="R97" i="7"/>
  <c r="C98" i="7"/>
  <c r="P98" i="7"/>
  <c r="AB98" i="7"/>
  <c r="L99" i="7"/>
  <c r="X99" i="7"/>
  <c r="H100" i="7"/>
  <c r="T100" i="7"/>
  <c r="D101" i="7"/>
  <c r="P101" i="7"/>
  <c r="AB101" i="7"/>
  <c r="L102" i="7"/>
  <c r="X102" i="7"/>
  <c r="H103" i="7"/>
  <c r="T103" i="7"/>
  <c r="D104" i="7"/>
  <c r="P104" i="7"/>
  <c r="AB104" i="7"/>
  <c r="L105" i="7"/>
  <c r="X105" i="7"/>
  <c r="H106" i="7"/>
  <c r="T106" i="7"/>
  <c r="D107" i="7"/>
  <c r="P107" i="7"/>
  <c r="AB107" i="7"/>
  <c r="L108" i="7"/>
  <c r="X108" i="7"/>
  <c r="H109" i="7"/>
  <c r="T109" i="7"/>
  <c r="D110" i="7"/>
  <c r="P110" i="7"/>
  <c r="AB110" i="7"/>
  <c r="L111" i="7"/>
  <c r="X111" i="7"/>
  <c r="H112" i="7"/>
  <c r="T112" i="7"/>
  <c r="D113" i="7"/>
  <c r="P113" i="7"/>
  <c r="AB113" i="7"/>
  <c r="L114" i="7"/>
  <c r="X114" i="7"/>
  <c r="H115" i="7"/>
  <c r="T115" i="7"/>
  <c r="D116" i="7"/>
  <c r="P116" i="7"/>
  <c r="AB116" i="7"/>
  <c r="L117" i="7"/>
  <c r="X117" i="7"/>
  <c r="H118" i="7"/>
  <c r="T118" i="7"/>
  <c r="D119" i="7"/>
  <c r="P119" i="7"/>
  <c r="AB119" i="7"/>
  <c r="L120" i="7"/>
  <c r="X120" i="7"/>
  <c r="H121" i="7"/>
  <c r="T121" i="7"/>
  <c r="D122" i="7"/>
  <c r="P122" i="7"/>
  <c r="AB122" i="7"/>
  <c r="J40" i="7"/>
  <c r="D44" i="7"/>
  <c r="L47" i="7"/>
  <c r="N50" i="7"/>
  <c r="I53" i="7"/>
  <c r="Q55" i="7"/>
  <c r="S57" i="7"/>
  <c r="AB58" i="7"/>
  <c r="T61" i="7"/>
  <c r="X62" i="7"/>
  <c r="E64" i="7"/>
  <c r="K65" i="7"/>
  <c r="N66" i="7"/>
  <c r="U67" i="7"/>
  <c r="S68" i="7"/>
  <c r="O69" i="7"/>
  <c r="C71" i="7"/>
  <c r="X71" i="7"/>
  <c r="N72" i="7"/>
  <c r="H73" i="7"/>
  <c r="X73" i="7"/>
  <c r="L74" i="7"/>
  <c r="D75" i="7"/>
  <c r="T75" i="7"/>
  <c r="H76" i="7"/>
  <c r="Z76" i="7"/>
  <c r="M77" i="7"/>
  <c r="AB77" i="7"/>
  <c r="R78" i="7"/>
  <c r="E79" i="7"/>
  <c r="T79" i="7"/>
  <c r="J80" i="7"/>
  <c r="Y80" i="7"/>
  <c r="L81" i="7"/>
  <c r="AD81" i="7"/>
  <c r="Q82" i="7"/>
  <c r="D83" i="7"/>
  <c r="I84" i="7"/>
  <c r="X84" i="7"/>
  <c r="N85" i="7"/>
  <c r="AC85" i="7"/>
  <c r="P86" i="7"/>
  <c r="AD86" i="7"/>
  <c r="R87" i="7"/>
  <c r="D88" i="7"/>
  <c r="R88" i="7"/>
  <c r="D89" i="7"/>
  <c r="R89" i="7"/>
  <c r="F90" i="7"/>
  <c r="T90" i="7"/>
  <c r="F91" i="7"/>
  <c r="T91" i="7"/>
  <c r="F92" i="7"/>
  <c r="H93" i="7"/>
  <c r="H94" i="7"/>
  <c r="J95" i="7"/>
  <c r="W95" i="7"/>
  <c r="H96" i="7"/>
  <c r="U96" i="7"/>
  <c r="F97" i="7"/>
  <c r="S97" i="7"/>
  <c r="D98" i="7"/>
  <c r="Q98" i="7"/>
  <c r="AC98" i="7"/>
  <c r="M99" i="7"/>
  <c r="Y99" i="7"/>
  <c r="I100" i="7"/>
  <c r="U100" i="7"/>
  <c r="E101" i="7"/>
  <c r="Q101" i="7"/>
  <c r="AC101" i="7"/>
  <c r="M102" i="7"/>
  <c r="Y102" i="7"/>
  <c r="I103" i="7"/>
  <c r="U103" i="7"/>
  <c r="E104" i="7"/>
  <c r="Q104" i="7"/>
  <c r="AC104" i="7"/>
  <c r="M105" i="7"/>
  <c r="Y105" i="7"/>
  <c r="I106" i="7"/>
  <c r="U106" i="7"/>
  <c r="E107" i="7"/>
  <c r="Q107" i="7"/>
  <c r="AC107" i="7"/>
  <c r="M108" i="7"/>
  <c r="Y108" i="7"/>
  <c r="I109" i="7"/>
  <c r="U109" i="7"/>
  <c r="E110" i="7"/>
  <c r="Q110" i="7"/>
  <c r="AC110" i="7"/>
  <c r="M111" i="7"/>
  <c r="Y111" i="7"/>
  <c r="I112" i="7"/>
  <c r="U112" i="7"/>
  <c r="E113" i="7"/>
  <c r="Q113" i="7"/>
  <c r="AC113" i="7"/>
  <c r="M114" i="7"/>
  <c r="Y114" i="7"/>
  <c r="I115" i="7"/>
  <c r="U115" i="7"/>
  <c r="E116" i="7"/>
  <c r="Q116" i="7"/>
  <c r="AC116" i="7"/>
  <c r="M117" i="7"/>
  <c r="Y117" i="7"/>
  <c r="I118" i="7"/>
  <c r="U118" i="7"/>
  <c r="E119" i="7"/>
  <c r="Q119" i="7"/>
  <c r="AC119" i="7"/>
  <c r="M120" i="7"/>
  <c r="Y120" i="7"/>
  <c r="I121" i="7"/>
  <c r="U121" i="7"/>
  <c r="E122" i="7"/>
  <c r="Q122" i="7"/>
  <c r="AC122" i="7"/>
  <c r="M123" i="7"/>
  <c r="Y123" i="7"/>
  <c r="I124" i="7"/>
  <c r="U124" i="7"/>
  <c r="E125" i="7"/>
  <c r="Q125" i="7"/>
  <c r="AC125" i="7"/>
  <c r="M126" i="7"/>
  <c r="Y126" i="7"/>
  <c r="I127" i="7"/>
  <c r="U127" i="7"/>
  <c r="F41" i="7"/>
  <c r="W44" i="7"/>
  <c r="AB47" i="7"/>
  <c r="AB50" i="7"/>
  <c r="AC55" i="7"/>
  <c r="U57" i="7"/>
  <c r="AC58" i="7"/>
  <c r="P60" i="7"/>
  <c r="W61" i="7"/>
  <c r="Y62" i="7"/>
  <c r="H64" i="7"/>
  <c r="L65" i="7"/>
  <c r="T66" i="7"/>
  <c r="W67" i="7"/>
  <c r="U68" i="7"/>
  <c r="P69" i="7"/>
  <c r="K70" i="7"/>
  <c r="D71" i="7"/>
  <c r="Y71" i="7"/>
  <c r="O72" i="7"/>
  <c r="I73" i="7"/>
  <c r="Y73" i="7"/>
  <c r="O74" i="7"/>
  <c r="E75" i="7"/>
  <c r="U75" i="7"/>
  <c r="J76" i="7"/>
  <c r="AA76" i="7"/>
  <c r="N77" i="7"/>
  <c r="AD77" i="7"/>
  <c r="S78" i="7"/>
  <c r="F79" i="7"/>
  <c r="K80" i="7"/>
  <c r="Z80" i="7"/>
  <c r="N81" i="7"/>
  <c r="C82" i="7"/>
  <c r="R82" i="7"/>
  <c r="F83" i="7"/>
  <c r="W83" i="7"/>
  <c r="J84" i="7"/>
  <c r="Z84" i="7"/>
  <c r="O85" i="7"/>
  <c r="AD85" i="7"/>
  <c r="Q86" i="7"/>
  <c r="D87" i="7"/>
  <c r="L41" i="7"/>
  <c r="Y44" i="7"/>
  <c r="D48" i="7"/>
  <c r="E51" i="7"/>
  <c r="X53" i="7"/>
  <c r="D56" i="7"/>
  <c r="X57" i="7"/>
  <c r="C59" i="7"/>
  <c r="R60" i="7"/>
  <c r="X61" i="7"/>
  <c r="E63" i="7"/>
  <c r="K64" i="7"/>
  <c r="M65" i="7"/>
  <c r="W66" i="7"/>
  <c r="X67" i="7"/>
  <c r="Q69" i="7"/>
  <c r="M70" i="7"/>
  <c r="E71" i="7"/>
  <c r="AA71" i="7"/>
  <c r="P72" i="7"/>
  <c r="J73" i="7"/>
  <c r="Z73" i="7"/>
  <c r="Q74" i="7"/>
  <c r="F75" i="7"/>
  <c r="W75" i="7"/>
  <c r="L76" i="7"/>
  <c r="AB76" i="7"/>
  <c r="O77" i="7"/>
  <c r="D78" i="7"/>
  <c r="T78" i="7"/>
  <c r="X79" i="7"/>
  <c r="L80" i="7"/>
  <c r="AA80" i="7"/>
  <c r="P81" i="7"/>
  <c r="D82" i="7"/>
  <c r="S82" i="7"/>
  <c r="H83" i="7"/>
  <c r="X83" i="7"/>
  <c r="K84" i="7"/>
  <c r="AB84" i="7"/>
  <c r="P85" i="7"/>
  <c r="C86" i="7"/>
  <c r="R86" i="7"/>
  <c r="F87" i="7"/>
  <c r="T87" i="7"/>
  <c r="F88" i="7"/>
  <c r="T88" i="7"/>
  <c r="F89" i="7"/>
  <c r="H90" i="7"/>
  <c r="H91" i="7"/>
  <c r="J92" i="7"/>
  <c r="X92" i="7"/>
  <c r="J93" i="7"/>
  <c r="X93" i="7"/>
  <c r="J94" i="7"/>
  <c r="Z94" i="7"/>
  <c r="L95" i="7"/>
  <c r="Y95" i="7"/>
  <c r="J96" i="7"/>
  <c r="W96" i="7"/>
  <c r="H97" i="7"/>
  <c r="U97" i="7"/>
  <c r="F98" i="7"/>
  <c r="S98" i="7"/>
  <c r="C99" i="7"/>
  <c r="O99" i="7"/>
  <c r="AA99" i="7"/>
  <c r="K100" i="7"/>
  <c r="W100" i="7"/>
  <c r="S101" i="7"/>
  <c r="C102" i="7"/>
  <c r="O102" i="7"/>
  <c r="AA102" i="7"/>
  <c r="K103" i="7"/>
  <c r="W103" i="7"/>
  <c r="S104" i="7"/>
  <c r="C105" i="7"/>
  <c r="O105" i="7"/>
  <c r="AA105" i="7"/>
  <c r="K106" i="7"/>
  <c r="W106" i="7"/>
  <c r="S107" i="7"/>
  <c r="C108" i="7"/>
  <c r="O108" i="7"/>
  <c r="AA108" i="7"/>
  <c r="K109" i="7"/>
  <c r="W109" i="7"/>
  <c r="S110" i="7"/>
  <c r="C111" i="7"/>
  <c r="O111" i="7"/>
  <c r="AA111" i="7"/>
  <c r="K112" i="7"/>
  <c r="W112" i="7"/>
  <c r="O41" i="7"/>
  <c r="AA44" i="7"/>
  <c r="E48" i="7"/>
  <c r="F51" i="7"/>
  <c r="Y53" i="7"/>
  <c r="F56" i="7"/>
  <c r="Z57" i="7"/>
  <c r="K59" i="7"/>
  <c r="T60" i="7"/>
  <c r="Y61" i="7"/>
  <c r="L64" i="7"/>
  <c r="U65" i="7"/>
  <c r="Y66" i="7"/>
  <c r="Y67" i="7"/>
  <c r="W68" i="7"/>
  <c r="S69" i="7"/>
  <c r="N70" i="7"/>
  <c r="I71" i="7"/>
  <c r="AB71" i="7"/>
  <c r="T72" i="7"/>
  <c r="K73" i="7"/>
  <c r="AA73" i="7"/>
  <c r="S74" i="7"/>
  <c r="X75" i="7"/>
  <c r="N76" i="7"/>
  <c r="AC76" i="7"/>
  <c r="P77" i="7"/>
  <c r="F78" i="7"/>
  <c r="U78" i="7"/>
  <c r="H79" i="7"/>
  <c r="Z79" i="7"/>
  <c r="M80" i="7"/>
  <c r="AB80" i="7"/>
  <c r="R81" i="7"/>
  <c r="E82" i="7"/>
  <c r="T82" i="7"/>
  <c r="J83" i="7"/>
  <c r="Y83" i="7"/>
  <c r="L84" i="7"/>
  <c r="AD84" i="7"/>
  <c r="Q85" i="7"/>
  <c r="D86" i="7"/>
  <c r="T86" i="7"/>
  <c r="U87" i="7"/>
  <c r="U88" i="7"/>
  <c r="H89" i="7"/>
  <c r="W89" i="7"/>
  <c r="I90" i="7"/>
  <c r="W90" i="7"/>
  <c r="I91" i="7"/>
  <c r="X91" i="7"/>
  <c r="K92" i="7"/>
  <c r="Y92" i="7"/>
  <c r="K93" i="7"/>
  <c r="Y93" i="7"/>
  <c r="L94" i="7"/>
  <c r="AA94" i="7"/>
  <c r="M95" i="7"/>
  <c r="Z95" i="7"/>
  <c r="K96" i="7"/>
  <c r="X96" i="7"/>
  <c r="I97" i="7"/>
  <c r="H98" i="7"/>
  <c r="T98" i="7"/>
  <c r="D99" i="7"/>
  <c r="P99" i="7"/>
  <c r="AB99" i="7"/>
  <c r="L100" i="7"/>
  <c r="X100" i="7"/>
  <c r="H101" i="7"/>
  <c r="T101" i="7"/>
  <c r="D102" i="7"/>
  <c r="P102" i="7"/>
  <c r="AB102" i="7"/>
  <c r="L103" i="7"/>
  <c r="X103" i="7"/>
  <c r="E42" i="7"/>
  <c r="Q45" i="7"/>
  <c r="W48" i="7"/>
  <c r="U51" i="7"/>
  <c r="I54" i="7"/>
  <c r="R56" i="7"/>
  <c r="AB57" i="7"/>
  <c r="M59" i="7"/>
  <c r="U60" i="7"/>
  <c r="D62" i="7"/>
  <c r="I63" i="7"/>
  <c r="M64" i="7"/>
  <c r="W65" i="7"/>
  <c r="Z66" i="7"/>
  <c r="AC67" i="7"/>
  <c r="AB68" i="7"/>
  <c r="T69" i="7"/>
  <c r="O70" i="7"/>
  <c r="K71" i="7"/>
  <c r="AC71" i="7"/>
  <c r="W72" i="7"/>
  <c r="L73" i="7"/>
  <c r="AC73" i="7"/>
  <c r="T74" i="7"/>
  <c r="H75" i="7"/>
  <c r="Z75" i="7"/>
  <c r="O76" i="7"/>
  <c r="AD76" i="7"/>
  <c r="R77" i="7"/>
  <c r="J79" i="7"/>
  <c r="AA79" i="7"/>
  <c r="N80" i="7"/>
  <c r="AD80" i="7"/>
  <c r="S81" i="7"/>
  <c r="F82" i="7"/>
  <c r="K83" i="7"/>
  <c r="Z83" i="7"/>
  <c r="N84" i="7"/>
  <c r="C85" i="7"/>
  <c r="R85" i="7"/>
  <c r="F86" i="7"/>
  <c r="H87" i="7"/>
  <c r="H88" i="7"/>
  <c r="J89" i="7"/>
  <c r="X89" i="7"/>
  <c r="J90" i="7"/>
  <c r="X90" i="7"/>
  <c r="J91" i="7"/>
  <c r="Z91" i="7"/>
  <c r="L92" i="7"/>
  <c r="Z92" i="7"/>
  <c r="L93" i="7"/>
  <c r="Z93" i="7"/>
  <c r="N94" i="7"/>
  <c r="AB94" i="7"/>
  <c r="N95" i="7"/>
  <c r="AA95" i="7"/>
  <c r="L96" i="7"/>
  <c r="Y96" i="7"/>
  <c r="J97" i="7"/>
  <c r="X97" i="7"/>
  <c r="I98" i="7"/>
  <c r="U98" i="7"/>
  <c r="E99" i="7"/>
  <c r="Q99" i="7"/>
  <c r="AC99" i="7"/>
  <c r="M100" i="7"/>
  <c r="Y100" i="7"/>
  <c r="I101" i="7"/>
  <c r="U101" i="7"/>
  <c r="E102" i="7"/>
  <c r="Q102" i="7"/>
  <c r="AC102" i="7"/>
  <c r="M103" i="7"/>
  <c r="Y103" i="7"/>
  <c r="I104" i="7"/>
  <c r="U104" i="7"/>
  <c r="E105" i="7"/>
  <c r="Q105" i="7"/>
  <c r="I42" i="7"/>
  <c r="U45" i="7"/>
  <c r="Z48" i="7"/>
  <c r="X51" i="7"/>
  <c r="L54" i="7"/>
  <c r="U56" i="7"/>
  <c r="P59" i="7"/>
  <c r="W60" i="7"/>
  <c r="K63" i="7"/>
  <c r="T64" i="7"/>
  <c r="Y65" i="7"/>
  <c r="AA66" i="7"/>
  <c r="D68" i="7"/>
  <c r="AD68" i="7"/>
  <c r="U69" i="7"/>
  <c r="Q70" i="7"/>
  <c r="L71" i="7"/>
  <c r="AD71" i="7"/>
  <c r="X72" i="7"/>
  <c r="M73" i="7"/>
  <c r="D74" i="7"/>
  <c r="U74" i="7"/>
  <c r="I75" i="7"/>
  <c r="AB75" i="7"/>
  <c r="P76" i="7"/>
  <c r="C77" i="7"/>
  <c r="T77" i="7"/>
  <c r="H78" i="7"/>
  <c r="W78" i="7"/>
  <c r="L79" i="7"/>
  <c r="AB79" i="7"/>
  <c r="O80" i="7"/>
  <c r="D81" i="7"/>
  <c r="T81" i="7"/>
  <c r="X82" i="7"/>
  <c r="L83" i="7"/>
  <c r="AA83" i="7"/>
  <c r="P84" i="7"/>
  <c r="D85" i="7"/>
  <c r="S85" i="7"/>
  <c r="H86" i="7"/>
  <c r="W86" i="7"/>
  <c r="I87" i="7"/>
  <c r="W87" i="7"/>
  <c r="I88" i="7"/>
  <c r="X88" i="7"/>
  <c r="K89" i="7"/>
  <c r="Y89" i="7"/>
  <c r="K90" i="7"/>
  <c r="Y90" i="7"/>
  <c r="L91" i="7"/>
  <c r="AA91" i="7"/>
  <c r="M92" i="7"/>
  <c r="AA92" i="7"/>
  <c r="M93" i="7"/>
  <c r="AB93" i="7"/>
  <c r="O94" i="7"/>
  <c r="AC94" i="7"/>
  <c r="O95" i="7"/>
  <c r="AB95" i="7"/>
  <c r="M96" i="7"/>
  <c r="Z96" i="7"/>
  <c r="L97" i="7"/>
  <c r="Y97" i="7"/>
  <c r="J98" i="7"/>
  <c r="F99" i="7"/>
  <c r="R99" i="7"/>
  <c r="AD99" i="7"/>
  <c r="N100" i="7"/>
  <c r="Z100" i="7"/>
  <c r="J101" i="7"/>
  <c r="F102" i="7"/>
  <c r="R102" i="7"/>
  <c r="AD102" i="7"/>
  <c r="N103" i="7"/>
  <c r="Z103" i="7"/>
  <c r="J104" i="7"/>
  <c r="F105" i="7"/>
  <c r="R105" i="7"/>
  <c r="AD105" i="7"/>
  <c r="N106" i="7"/>
  <c r="Z106" i="7"/>
  <c r="J107" i="7"/>
  <c r="F108" i="7"/>
  <c r="R108" i="7"/>
  <c r="AD108" i="7"/>
  <c r="N109" i="7"/>
  <c r="Z109" i="7"/>
  <c r="J110" i="7"/>
  <c r="F111" i="7"/>
  <c r="R111" i="7"/>
  <c r="AD111" i="7"/>
  <c r="N112" i="7"/>
  <c r="Z112" i="7"/>
  <c r="J113" i="7"/>
  <c r="F114" i="7"/>
  <c r="R114" i="7"/>
  <c r="AD114" i="7"/>
  <c r="N115" i="7"/>
  <c r="Z115" i="7"/>
  <c r="J116" i="7"/>
  <c r="F117" i="7"/>
  <c r="R117" i="7"/>
  <c r="AD117" i="7"/>
  <c r="N118" i="7"/>
  <c r="Z118" i="7"/>
  <c r="J119" i="7"/>
  <c r="F120" i="7"/>
  <c r="R120" i="7"/>
  <c r="AD120" i="7"/>
  <c r="N121" i="7"/>
  <c r="AD42" i="7"/>
  <c r="J46" i="7"/>
  <c r="P49" i="7"/>
  <c r="L52" i="7"/>
  <c r="Z54" i="7"/>
  <c r="D57" i="7"/>
  <c r="M58" i="7"/>
  <c r="T59" i="7"/>
  <c r="E61" i="7"/>
  <c r="J62" i="7"/>
  <c r="S63" i="7"/>
  <c r="Y64" i="7"/>
  <c r="AB65" i="7"/>
  <c r="H67" i="7"/>
  <c r="H68" i="7"/>
  <c r="D69" i="7"/>
  <c r="AB69" i="7"/>
  <c r="T70" i="7"/>
  <c r="O71" i="7"/>
  <c r="Z72" i="7"/>
  <c r="P73" i="7"/>
  <c r="W74" i="7"/>
  <c r="M75" i="7"/>
  <c r="C76" i="7"/>
  <c r="R76" i="7"/>
  <c r="F77" i="7"/>
  <c r="W77" i="7"/>
  <c r="J78" i="7"/>
  <c r="Z78" i="7"/>
  <c r="O79" i="7"/>
  <c r="AD79" i="7"/>
  <c r="R80" i="7"/>
  <c r="J82" i="7"/>
  <c r="AA82" i="7"/>
  <c r="N83" i="7"/>
  <c r="AD83" i="7"/>
  <c r="S84" i="7"/>
  <c r="F85" i="7"/>
  <c r="K86" i="7"/>
  <c r="Y86" i="7"/>
  <c r="K87" i="7"/>
  <c r="Y87" i="7"/>
  <c r="L88" i="7"/>
  <c r="AA88" i="7"/>
  <c r="M89" i="7"/>
  <c r="AA89" i="7"/>
  <c r="M90" i="7"/>
  <c r="AB90" i="7"/>
  <c r="O91" i="7"/>
  <c r="AC91" i="7"/>
  <c r="O92" i="7"/>
  <c r="AC92" i="7"/>
  <c r="P93" i="7"/>
  <c r="C94" i="7"/>
  <c r="Q94" i="7"/>
  <c r="C95" i="7"/>
  <c r="Q95" i="7"/>
  <c r="AD95" i="7"/>
  <c r="P96" i="7"/>
  <c r="AC96" i="7"/>
  <c r="N97" i="7"/>
  <c r="AA97" i="7"/>
  <c r="L98" i="7"/>
  <c r="X98" i="7"/>
  <c r="H99" i="7"/>
  <c r="T99" i="7"/>
  <c r="F43" i="7"/>
  <c r="O46" i="7"/>
  <c r="U49" i="7"/>
  <c r="P52" i="7"/>
  <c r="AC54" i="7"/>
  <c r="F57" i="7"/>
  <c r="N58" i="7"/>
  <c r="AA59" i="7"/>
  <c r="H61" i="7"/>
  <c r="K62" i="7"/>
  <c r="U63" i="7"/>
  <c r="Z64" i="7"/>
  <c r="J67" i="7"/>
  <c r="I68" i="7"/>
  <c r="F69" i="7"/>
  <c r="AC69" i="7"/>
  <c r="X70" i="7"/>
  <c r="P71" i="7"/>
  <c r="I72" i="7"/>
  <c r="AA72" i="7"/>
  <c r="S73" i="7"/>
  <c r="H74" i="7"/>
  <c r="X74" i="7"/>
  <c r="O75" i="7"/>
  <c r="D76" i="7"/>
  <c r="S76" i="7"/>
  <c r="H77" i="7"/>
  <c r="X77" i="7"/>
  <c r="K78" i="7"/>
  <c r="AB78" i="7"/>
  <c r="P79" i="7"/>
  <c r="C80" i="7"/>
  <c r="T80" i="7"/>
  <c r="H81" i="7"/>
  <c r="W81" i="7"/>
  <c r="L82" i="7"/>
  <c r="AB82" i="7"/>
  <c r="O83" i="7"/>
  <c r="D84" i="7"/>
  <c r="T84" i="7"/>
  <c r="X85" i="7"/>
  <c r="L86" i="7"/>
  <c r="Z86" i="7"/>
  <c r="L87" i="7"/>
  <c r="Z87" i="7"/>
  <c r="N88" i="7"/>
  <c r="AB88" i="7"/>
  <c r="N89" i="7"/>
  <c r="AB89" i="7"/>
  <c r="N90" i="7"/>
  <c r="AD90" i="7"/>
  <c r="P91" i="7"/>
  <c r="AD91" i="7"/>
  <c r="P92" i="7"/>
  <c r="AD92" i="7"/>
  <c r="R93" i="7"/>
  <c r="D94" i="7"/>
  <c r="R94" i="7"/>
  <c r="D95" i="7"/>
  <c r="R95" i="7"/>
  <c r="D96" i="7"/>
  <c r="Q96" i="7"/>
  <c r="AD96" i="7"/>
  <c r="O97" i="7"/>
  <c r="AB97" i="7"/>
  <c r="M98" i="7"/>
  <c r="Y98" i="7"/>
  <c r="I99" i="7"/>
  <c r="U99" i="7"/>
  <c r="E100" i="7"/>
  <c r="Q100" i="7"/>
  <c r="AC100" i="7"/>
  <c r="M101" i="7"/>
  <c r="Y101" i="7"/>
  <c r="I102" i="7"/>
  <c r="U102" i="7"/>
  <c r="E103" i="7"/>
  <c r="Q103" i="7"/>
  <c r="AC103" i="7"/>
  <c r="M104" i="7"/>
  <c r="Y104" i="7"/>
  <c r="I105" i="7"/>
  <c r="U105" i="7"/>
  <c r="E106" i="7"/>
  <c r="Q106" i="7"/>
  <c r="AC106" i="7"/>
  <c r="M107" i="7"/>
  <c r="Y107" i="7"/>
  <c r="I108" i="7"/>
  <c r="U108" i="7"/>
  <c r="E109" i="7"/>
  <c r="Q109" i="7"/>
  <c r="AC109" i="7"/>
  <c r="M110" i="7"/>
  <c r="Y110" i="7"/>
  <c r="I111" i="7"/>
  <c r="U111" i="7"/>
  <c r="E112" i="7"/>
  <c r="Q112" i="7"/>
  <c r="AC112" i="7"/>
  <c r="J42" i="7"/>
  <c r="AA65" i="7"/>
  <c r="K75" i="7"/>
  <c r="H82" i="7"/>
  <c r="E88" i="7"/>
  <c r="I94" i="7"/>
  <c r="Z99" i="7"/>
  <c r="R101" i="7"/>
  <c r="J103" i="7"/>
  <c r="W104" i="7"/>
  <c r="AC105" i="7"/>
  <c r="AA106" i="7"/>
  <c r="W107" i="7"/>
  <c r="S108" i="7"/>
  <c r="O109" i="7"/>
  <c r="K110" i="7"/>
  <c r="C112" i="7"/>
  <c r="AA112" i="7"/>
  <c r="S113" i="7"/>
  <c r="H114" i="7"/>
  <c r="AA114" i="7"/>
  <c r="P115" i="7"/>
  <c r="X116" i="7"/>
  <c r="O117" i="7"/>
  <c r="D118" i="7"/>
  <c r="W118" i="7"/>
  <c r="L119" i="7"/>
  <c r="C120" i="7"/>
  <c r="T120" i="7"/>
  <c r="J121" i="7"/>
  <c r="Y121" i="7"/>
  <c r="K122" i="7"/>
  <c r="Y122" i="7"/>
  <c r="K123" i="7"/>
  <c r="X123" i="7"/>
  <c r="J124" i="7"/>
  <c r="W124" i="7"/>
  <c r="H125" i="7"/>
  <c r="U125" i="7"/>
  <c r="F126" i="7"/>
  <c r="S126" i="7"/>
  <c r="D127" i="7"/>
  <c r="Q127" i="7"/>
  <c r="AD127" i="7"/>
  <c r="N128" i="7"/>
  <c r="Z128" i="7"/>
  <c r="J129" i="7"/>
  <c r="F130" i="7"/>
  <c r="R130" i="7"/>
  <c r="AD130" i="7"/>
  <c r="N131" i="7"/>
  <c r="Z131" i="7"/>
  <c r="J132" i="7"/>
  <c r="F133" i="7"/>
  <c r="R133" i="7"/>
  <c r="AD133" i="7"/>
  <c r="N134" i="7"/>
  <c r="Z134" i="7"/>
  <c r="J135" i="7"/>
  <c r="F136" i="7"/>
  <c r="R136" i="7"/>
  <c r="AD136" i="7"/>
  <c r="N137" i="7"/>
  <c r="Z137" i="7"/>
  <c r="J138" i="7"/>
  <c r="F139" i="7"/>
  <c r="R139" i="7"/>
  <c r="AD139" i="7"/>
  <c r="N140" i="7"/>
  <c r="Z140" i="7"/>
  <c r="J141" i="7"/>
  <c r="F142" i="7"/>
  <c r="R142" i="7"/>
  <c r="AD142" i="7"/>
  <c r="N143" i="7"/>
  <c r="Z143" i="7"/>
  <c r="J144" i="7"/>
  <c r="F145" i="7"/>
  <c r="R145" i="7"/>
  <c r="AD145" i="7"/>
  <c r="N146" i="7"/>
  <c r="Z146" i="7"/>
  <c r="J147" i="7"/>
  <c r="F148" i="7"/>
  <c r="R148" i="7"/>
  <c r="AD148" i="7"/>
  <c r="N149" i="7"/>
  <c r="Z149" i="7"/>
  <c r="J150" i="7"/>
  <c r="F151" i="7"/>
  <c r="R151" i="7"/>
  <c r="AD151" i="7"/>
  <c r="N152" i="7"/>
  <c r="Z152" i="7"/>
  <c r="J153" i="7"/>
  <c r="F154" i="7"/>
  <c r="R154" i="7"/>
  <c r="AD154" i="7"/>
  <c r="N155" i="7"/>
  <c r="Z155" i="7"/>
  <c r="J156" i="7"/>
  <c r="F157" i="7"/>
  <c r="R157" i="7"/>
  <c r="AD157" i="7"/>
  <c r="N158" i="7"/>
  <c r="Z158" i="7"/>
  <c r="J159" i="7"/>
  <c r="F160" i="7"/>
  <c r="R160" i="7"/>
  <c r="AD160" i="7"/>
  <c r="N161" i="7"/>
  <c r="Z161" i="7"/>
  <c r="J162" i="7"/>
  <c r="F163" i="7"/>
  <c r="R163" i="7"/>
  <c r="AD163" i="7"/>
  <c r="N164" i="7"/>
  <c r="Z164" i="7"/>
  <c r="J165" i="7"/>
  <c r="F166" i="7"/>
  <c r="R166" i="7"/>
  <c r="AD166" i="7"/>
  <c r="N167" i="7"/>
  <c r="Z167" i="7"/>
  <c r="J168" i="7"/>
  <c r="F169" i="7"/>
  <c r="R169" i="7"/>
  <c r="AD169" i="7"/>
  <c r="N170" i="7"/>
  <c r="Z170" i="7"/>
  <c r="J171" i="7"/>
  <c r="F172" i="7"/>
  <c r="R172" i="7"/>
  <c r="AD172" i="7"/>
  <c r="E67" i="7"/>
  <c r="AD75" i="7"/>
  <c r="Z82" i="7"/>
  <c r="J88" i="7"/>
  <c r="N91" i="7"/>
  <c r="P94" i="7"/>
  <c r="M97" i="7"/>
  <c r="C100" i="7"/>
  <c r="W101" i="7"/>
  <c r="O103" i="7"/>
  <c r="X104" i="7"/>
  <c r="C106" i="7"/>
  <c r="AB106" i="7"/>
  <c r="X107" i="7"/>
  <c r="T108" i="7"/>
  <c r="P109" i="7"/>
  <c r="L110" i="7"/>
  <c r="H111" i="7"/>
  <c r="D112" i="7"/>
  <c r="AB112" i="7"/>
  <c r="T113" i="7"/>
  <c r="I114" i="7"/>
  <c r="AB114" i="7"/>
  <c r="Q115" i="7"/>
  <c r="H116" i="7"/>
  <c r="Y116" i="7"/>
  <c r="P117" i="7"/>
  <c r="E118" i="7"/>
  <c r="X118" i="7"/>
  <c r="M119" i="7"/>
  <c r="D120" i="7"/>
  <c r="U120" i="7"/>
  <c r="K121" i="7"/>
  <c r="Z121" i="7"/>
  <c r="L122" i="7"/>
  <c r="Z122" i="7"/>
  <c r="L123" i="7"/>
  <c r="Z123" i="7"/>
  <c r="K124" i="7"/>
  <c r="X124" i="7"/>
  <c r="I125" i="7"/>
  <c r="T126" i="7"/>
  <c r="E127" i="7"/>
  <c r="R127" i="7"/>
  <c r="C128" i="7"/>
  <c r="O128" i="7"/>
  <c r="AA128" i="7"/>
  <c r="K129" i="7"/>
  <c r="W129" i="7"/>
  <c r="S130" i="7"/>
  <c r="C131" i="7"/>
  <c r="O131" i="7"/>
  <c r="AA131" i="7"/>
  <c r="K132" i="7"/>
  <c r="W132" i="7"/>
  <c r="S133" i="7"/>
  <c r="C134" i="7"/>
  <c r="O134" i="7"/>
  <c r="AA134" i="7"/>
  <c r="K135" i="7"/>
  <c r="W135" i="7"/>
  <c r="S136" i="7"/>
  <c r="C137" i="7"/>
  <c r="O137" i="7"/>
  <c r="AA137" i="7"/>
  <c r="K138" i="7"/>
  <c r="W138" i="7"/>
  <c r="S139" i="7"/>
  <c r="C140" i="7"/>
  <c r="O140" i="7"/>
  <c r="AA140" i="7"/>
  <c r="K141" i="7"/>
  <c r="W141" i="7"/>
  <c r="S142" i="7"/>
  <c r="C143" i="7"/>
  <c r="O143" i="7"/>
  <c r="AA143" i="7"/>
  <c r="K144" i="7"/>
  <c r="W144" i="7"/>
  <c r="S145" i="7"/>
  <c r="C146" i="7"/>
  <c r="O146" i="7"/>
  <c r="AA146" i="7"/>
  <c r="K147" i="7"/>
  <c r="AC48" i="7"/>
  <c r="F68" i="7"/>
  <c r="Q76" i="7"/>
  <c r="M83" i="7"/>
  <c r="S88" i="7"/>
  <c r="U91" i="7"/>
  <c r="X94" i="7"/>
  <c r="T97" i="7"/>
  <c r="D100" i="7"/>
  <c r="X101" i="7"/>
  <c r="P103" i="7"/>
  <c r="AD104" i="7"/>
  <c r="D106" i="7"/>
  <c r="AD106" i="7"/>
  <c r="Z107" i="7"/>
  <c r="R109" i="7"/>
  <c r="N110" i="7"/>
  <c r="J111" i="7"/>
  <c r="F112" i="7"/>
  <c r="AD112" i="7"/>
  <c r="U113" i="7"/>
  <c r="J114" i="7"/>
  <c r="AC114" i="7"/>
  <c r="R115" i="7"/>
  <c r="I116" i="7"/>
  <c r="Z116" i="7"/>
  <c r="Q117" i="7"/>
  <c r="F118" i="7"/>
  <c r="Y118" i="7"/>
  <c r="N119" i="7"/>
  <c r="E120" i="7"/>
  <c r="L121" i="7"/>
  <c r="AA121" i="7"/>
  <c r="M122" i="7"/>
  <c r="AA122" i="7"/>
  <c r="N123" i="7"/>
  <c r="AA123" i="7"/>
  <c r="L124" i="7"/>
  <c r="Y124" i="7"/>
  <c r="J125" i="7"/>
  <c r="W125" i="7"/>
  <c r="H126" i="7"/>
  <c r="U126" i="7"/>
  <c r="F127" i="7"/>
  <c r="S127" i="7"/>
  <c r="D128" i="7"/>
  <c r="P128" i="7"/>
  <c r="AB128" i="7"/>
  <c r="L129" i="7"/>
  <c r="X129" i="7"/>
  <c r="H130" i="7"/>
  <c r="T130" i="7"/>
  <c r="D131" i="7"/>
  <c r="P131" i="7"/>
  <c r="AB131" i="7"/>
  <c r="L132" i="7"/>
  <c r="X132" i="7"/>
  <c r="H133" i="7"/>
  <c r="T133" i="7"/>
  <c r="D134" i="7"/>
  <c r="P134" i="7"/>
  <c r="AB134" i="7"/>
  <c r="L135" i="7"/>
  <c r="X135" i="7"/>
  <c r="H136" i="7"/>
  <c r="T136" i="7"/>
  <c r="D137" i="7"/>
  <c r="P137" i="7"/>
  <c r="AB137" i="7"/>
  <c r="L138" i="7"/>
  <c r="X138" i="7"/>
  <c r="H139" i="7"/>
  <c r="T139" i="7"/>
  <c r="D140" i="7"/>
  <c r="P140" i="7"/>
  <c r="AB140" i="7"/>
  <c r="L141" i="7"/>
  <c r="X141" i="7"/>
  <c r="H142" i="7"/>
  <c r="T142" i="7"/>
  <c r="D143" i="7"/>
  <c r="P143" i="7"/>
  <c r="AB143" i="7"/>
  <c r="L144" i="7"/>
  <c r="X144" i="7"/>
  <c r="H145" i="7"/>
  <c r="T145" i="7"/>
  <c r="D146" i="7"/>
  <c r="P146" i="7"/>
  <c r="AB146" i="7"/>
  <c r="L147" i="7"/>
  <c r="X147" i="7"/>
  <c r="H148" i="7"/>
  <c r="T148" i="7"/>
  <c r="D149" i="7"/>
  <c r="P149" i="7"/>
  <c r="AB149" i="7"/>
  <c r="L150" i="7"/>
  <c r="X150" i="7"/>
  <c r="H151" i="7"/>
  <c r="T151" i="7"/>
  <c r="D152" i="7"/>
  <c r="P152" i="7"/>
  <c r="AB152" i="7"/>
  <c r="L153" i="7"/>
  <c r="X153" i="7"/>
  <c r="Y51" i="7"/>
  <c r="C69" i="7"/>
  <c r="D77" i="7"/>
  <c r="AB83" i="7"/>
  <c r="Z88" i="7"/>
  <c r="AB91" i="7"/>
  <c r="AD94" i="7"/>
  <c r="Z97" i="7"/>
  <c r="J100" i="7"/>
  <c r="AD101" i="7"/>
  <c r="D105" i="7"/>
  <c r="J106" i="7"/>
  <c r="F107" i="7"/>
  <c r="AD107" i="7"/>
  <c r="Z108" i="7"/>
  <c r="R110" i="7"/>
  <c r="N111" i="7"/>
  <c r="J112" i="7"/>
  <c r="F113" i="7"/>
  <c r="W113" i="7"/>
  <c r="N114" i="7"/>
  <c r="C115" i="7"/>
  <c r="K116" i="7"/>
  <c r="AD116" i="7"/>
  <c r="S117" i="7"/>
  <c r="J118" i="7"/>
  <c r="AA118" i="7"/>
  <c r="R119" i="7"/>
  <c r="Z120" i="7"/>
  <c r="M121" i="7"/>
  <c r="AB121" i="7"/>
  <c r="N122" i="7"/>
  <c r="AD122" i="7"/>
  <c r="O123" i="7"/>
  <c r="AB123" i="7"/>
  <c r="M124" i="7"/>
  <c r="Z124" i="7"/>
  <c r="K125" i="7"/>
  <c r="X125" i="7"/>
  <c r="I126" i="7"/>
  <c r="T127" i="7"/>
  <c r="E128" i="7"/>
  <c r="Q128" i="7"/>
  <c r="AC128" i="7"/>
  <c r="M129" i="7"/>
  <c r="Y129" i="7"/>
  <c r="I130" i="7"/>
  <c r="U130" i="7"/>
  <c r="E131" i="7"/>
  <c r="Q131" i="7"/>
  <c r="AC131" i="7"/>
  <c r="M132" i="7"/>
  <c r="Y132" i="7"/>
  <c r="I133" i="7"/>
  <c r="U133" i="7"/>
  <c r="E134" i="7"/>
  <c r="Q134" i="7"/>
  <c r="AC134" i="7"/>
  <c r="M135" i="7"/>
  <c r="Y135" i="7"/>
  <c r="I136" i="7"/>
  <c r="U136" i="7"/>
  <c r="E137" i="7"/>
  <c r="Q137" i="7"/>
  <c r="AC137" i="7"/>
  <c r="M138" i="7"/>
  <c r="Y138" i="7"/>
  <c r="I139" i="7"/>
  <c r="U139" i="7"/>
  <c r="E140" i="7"/>
  <c r="Q140" i="7"/>
  <c r="AC140" i="7"/>
  <c r="M141" i="7"/>
  <c r="Y141" i="7"/>
  <c r="I142" i="7"/>
  <c r="U142" i="7"/>
  <c r="E143" i="7"/>
  <c r="Q143" i="7"/>
  <c r="AC143" i="7"/>
  <c r="M144" i="7"/>
  <c r="Y144" i="7"/>
  <c r="I145" i="7"/>
  <c r="U145" i="7"/>
  <c r="E146" i="7"/>
  <c r="Q146" i="7"/>
  <c r="N54" i="7"/>
  <c r="Z69" i="7"/>
  <c r="R84" i="7"/>
  <c r="E89" i="7"/>
  <c r="H92" i="7"/>
  <c r="K95" i="7"/>
  <c r="E98" i="7"/>
  <c r="O100" i="7"/>
  <c r="AA103" i="7"/>
  <c r="L106" i="7"/>
  <c r="H107" i="7"/>
  <c r="D108" i="7"/>
  <c r="AB108" i="7"/>
  <c r="X109" i="7"/>
  <c r="T110" i="7"/>
  <c r="P111" i="7"/>
  <c r="L112" i="7"/>
  <c r="X113" i="7"/>
  <c r="O114" i="7"/>
  <c r="D115" i="7"/>
  <c r="W115" i="7"/>
  <c r="L116" i="7"/>
  <c r="C117" i="7"/>
  <c r="T117" i="7"/>
  <c r="K118" i="7"/>
  <c r="AB118" i="7"/>
  <c r="S119" i="7"/>
  <c r="H120" i="7"/>
  <c r="AA120" i="7"/>
  <c r="O121" i="7"/>
  <c r="AC121" i="7"/>
  <c r="O122" i="7"/>
  <c r="C123" i="7"/>
  <c r="P123" i="7"/>
  <c r="AC123" i="7"/>
  <c r="N124" i="7"/>
  <c r="AA124" i="7"/>
  <c r="L125" i="7"/>
  <c r="Y125" i="7"/>
  <c r="J126" i="7"/>
  <c r="W126" i="7"/>
  <c r="H127" i="7"/>
  <c r="F128" i="7"/>
  <c r="R128" i="7"/>
  <c r="AD128" i="7"/>
  <c r="N129" i="7"/>
  <c r="Z129" i="7"/>
  <c r="J130" i="7"/>
  <c r="F131" i="7"/>
  <c r="R131" i="7"/>
  <c r="AD131" i="7"/>
  <c r="N132" i="7"/>
  <c r="Z132" i="7"/>
  <c r="J133" i="7"/>
  <c r="F134" i="7"/>
  <c r="R134" i="7"/>
  <c r="AD134" i="7"/>
  <c r="N135" i="7"/>
  <c r="Z135" i="7"/>
  <c r="J136" i="7"/>
  <c r="F137" i="7"/>
  <c r="R137" i="7"/>
  <c r="AD137" i="7"/>
  <c r="N138" i="7"/>
  <c r="Z138" i="7"/>
  <c r="J139" i="7"/>
  <c r="F140" i="7"/>
  <c r="R140" i="7"/>
  <c r="AD140" i="7"/>
  <c r="N141" i="7"/>
  <c r="Z141" i="7"/>
  <c r="J142" i="7"/>
  <c r="F143" i="7"/>
  <c r="R143" i="7"/>
  <c r="AD143" i="7"/>
  <c r="N144" i="7"/>
  <c r="Z144" i="7"/>
  <c r="J145" i="7"/>
  <c r="F146" i="7"/>
  <c r="R146" i="7"/>
  <c r="AD146" i="7"/>
  <c r="N147" i="7"/>
  <c r="Z147" i="7"/>
  <c r="J148" i="7"/>
  <c r="F149" i="7"/>
  <c r="R149" i="7"/>
  <c r="AD149" i="7"/>
  <c r="N150" i="7"/>
  <c r="Z150" i="7"/>
  <c r="J151" i="7"/>
  <c r="F152" i="7"/>
  <c r="R152" i="7"/>
  <c r="AD152" i="7"/>
  <c r="N153" i="7"/>
  <c r="Z153" i="7"/>
  <c r="J154" i="7"/>
  <c r="F155" i="7"/>
  <c r="R155" i="7"/>
  <c r="AD155" i="7"/>
  <c r="N156" i="7"/>
  <c r="Z156" i="7"/>
  <c r="J157" i="7"/>
  <c r="F158" i="7"/>
  <c r="R158" i="7"/>
  <c r="AD158" i="7"/>
  <c r="S70" i="7"/>
  <c r="I78" i="7"/>
  <c r="E85" i="7"/>
  <c r="L89" i="7"/>
  <c r="N92" i="7"/>
  <c r="P95" i="7"/>
  <c r="K98" i="7"/>
  <c r="P100" i="7"/>
  <c r="H102" i="7"/>
  <c r="AB103" i="7"/>
  <c r="H105" i="7"/>
  <c r="M106" i="7"/>
  <c r="I107" i="7"/>
  <c r="E108" i="7"/>
  <c r="AC108" i="7"/>
  <c r="Y109" i="7"/>
  <c r="U110" i="7"/>
  <c r="Q111" i="7"/>
  <c r="M112" i="7"/>
  <c r="H113" i="7"/>
  <c r="Y113" i="7"/>
  <c r="P114" i="7"/>
  <c r="E115" i="7"/>
  <c r="X115" i="7"/>
  <c r="M116" i="7"/>
  <c r="D117" i="7"/>
  <c r="U117" i="7"/>
  <c r="L118" i="7"/>
  <c r="AC118" i="7"/>
  <c r="T119" i="7"/>
  <c r="I120" i="7"/>
  <c r="AB120" i="7"/>
  <c r="P121" i="7"/>
  <c r="AD121" i="7"/>
  <c r="R122" i="7"/>
  <c r="D123" i="7"/>
  <c r="Q123" i="7"/>
  <c r="AD123" i="7"/>
  <c r="O124" i="7"/>
  <c r="AB124" i="7"/>
  <c r="M125" i="7"/>
  <c r="Z125" i="7"/>
  <c r="K126" i="7"/>
  <c r="X126" i="7"/>
  <c r="J127" i="7"/>
  <c r="W127" i="7"/>
  <c r="S128" i="7"/>
  <c r="C129" i="7"/>
  <c r="O129" i="7"/>
  <c r="AA129" i="7"/>
  <c r="K130" i="7"/>
  <c r="W130" i="7"/>
  <c r="S131" i="7"/>
  <c r="C132" i="7"/>
  <c r="O132" i="7"/>
  <c r="AA132" i="7"/>
  <c r="K133" i="7"/>
  <c r="W133" i="7"/>
  <c r="S134" i="7"/>
  <c r="C135" i="7"/>
  <c r="O135" i="7"/>
  <c r="AA135" i="7"/>
  <c r="K136" i="7"/>
  <c r="W136" i="7"/>
  <c r="S137" i="7"/>
  <c r="C138" i="7"/>
  <c r="O138" i="7"/>
  <c r="AA138" i="7"/>
  <c r="K139" i="7"/>
  <c r="W139" i="7"/>
  <c r="S140" i="7"/>
  <c r="C141" i="7"/>
  <c r="O141" i="7"/>
  <c r="AA141" i="7"/>
  <c r="K142" i="7"/>
  <c r="W142" i="7"/>
  <c r="S143" i="7"/>
  <c r="C144" i="7"/>
  <c r="O144" i="7"/>
  <c r="AA144" i="7"/>
  <c r="K145" i="7"/>
  <c r="W145" i="7"/>
  <c r="S146" i="7"/>
  <c r="C147" i="7"/>
  <c r="O147" i="7"/>
  <c r="AA147" i="7"/>
  <c r="K148" i="7"/>
  <c r="W148" i="7"/>
  <c r="S149" i="7"/>
  <c r="C150" i="7"/>
  <c r="O150" i="7"/>
  <c r="AA150" i="7"/>
  <c r="K151" i="7"/>
  <c r="W151" i="7"/>
  <c r="S152" i="7"/>
  <c r="C153" i="7"/>
  <c r="O153" i="7"/>
  <c r="AA153" i="7"/>
  <c r="K154" i="7"/>
  <c r="W154" i="7"/>
  <c r="S155" i="7"/>
  <c r="C156" i="7"/>
  <c r="O156" i="7"/>
  <c r="AA156" i="7"/>
  <c r="K157" i="7"/>
  <c r="W157" i="7"/>
  <c r="S158" i="7"/>
  <c r="C159" i="7"/>
  <c r="O159" i="7"/>
  <c r="J58" i="7"/>
  <c r="M71" i="7"/>
  <c r="X78" i="7"/>
  <c r="T85" i="7"/>
  <c r="T89" i="7"/>
  <c r="W92" i="7"/>
  <c r="X95" i="7"/>
  <c r="R98" i="7"/>
  <c r="N102" i="7"/>
  <c r="F104" i="7"/>
  <c r="N105" i="7"/>
  <c r="O106" i="7"/>
  <c r="K107" i="7"/>
  <c r="C109" i="7"/>
  <c r="AA109" i="7"/>
  <c r="W110" i="7"/>
  <c r="S111" i="7"/>
  <c r="O112" i="7"/>
  <c r="I113" i="7"/>
  <c r="Z113" i="7"/>
  <c r="Q114" i="7"/>
  <c r="F115" i="7"/>
  <c r="Y115" i="7"/>
  <c r="N116" i="7"/>
  <c r="E117" i="7"/>
  <c r="M118" i="7"/>
  <c r="AD118" i="7"/>
  <c r="U119" i="7"/>
  <c r="J120" i="7"/>
  <c r="AC120" i="7"/>
  <c r="Q121" i="7"/>
  <c r="C122" i="7"/>
  <c r="S122" i="7"/>
  <c r="E123" i="7"/>
  <c r="R123" i="7"/>
  <c r="C124" i="7"/>
  <c r="P124" i="7"/>
  <c r="AC124" i="7"/>
  <c r="N125" i="7"/>
  <c r="AA125" i="7"/>
  <c r="L126" i="7"/>
  <c r="Z126" i="7"/>
  <c r="K127" i="7"/>
  <c r="X127" i="7"/>
  <c r="H128" i="7"/>
  <c r="T128" i="7"/>
  <c r="D129" i="7"/>
  <c r="P129" i="7"/>
  <c r="AB129" i="7"/>
  <c r="L130" i="7"/>
  <c r="X130" i="7"/>
  <c r="H131" i="7"/>
  <c r="R59" i="7"/>
  <c r="C72" i="7"/>
  <c r="N79" i="7"/>
  <c r="J86" i="7"/>
  <c r="Z89" i="7"/>
  <c r="AB92" i="7"/>
  <c r="AC95" i="7"/>
  <c r="W98" i="7"/>
  <c r="AA100" i="7"/>
  <c r="S102" i="7"/>
  <c r="H104" i="7"/>
  <c r="P105" i="7"/>
  <c r="P106" i="7"/>
  <c r="L107" i="7"/>
  <c r="H108" i="7"/>
  <c r="D109" i="7"/>
  <c r="AB109" i="7"/>
  <c r="X110" i="7"/>
  <c r="T111" i="7"/>
  <c r="P112" i="7"/>
  <c r="K113" i="7"/>
  <c r="AD113" i="7"/>
  <c r="S114" i="7"/>
  <c r="J115" i="7"/>
  <c r="AA115" i="7"/>
  <c r="R116" i="7"/>
  <c r="Z117" i="7"/>
  <c r="O118" i="7"/>
  <c r="F119" i="7"/>
  <c r="W119" i="7"/>
  <c r="N120" i="7"/>
  <c r="C121" i="7"/>
  <c r="R121" i="7"/>
  <c r="F122" i="7"/>
  <c r="T122" i="7"/>
  <c r="F123" i="7"/>
  <c r="S123" i="7"/>
  <c r="D124" i="7"/>
  <c r="Q124" i="7"/>
  <c r="AD124" i="7"/>
  <c r="O125" i="7"/>
  <c r="AB125" i="7"/>
  <c r="N126" i="7"/>
  <c r="AA126" i="7"/>
  <c r="L127" i="7"/>
  <c r="Y127" i="7"/>
  <c r="I128" i="7"/>
  <c r="U128" i="7"/>
  <c r="E129" i="7"/>
  <c r="Q129" i="7"/>
  <c r="AC129" i="7"/>
  <c r="M130" i="7"/>
  <c r="Y130" i="7"/>
  <c r="I131" i="7"/>
  <c r="U131" i="7"/>
  <c r="E132" i="7"/>
  <c r="Q132" i="7"/>
  <c r="AC132" i="7"/>
  <c r="M133" i="7"/>
  <c r="Y133" i="7"/>
  <c r="I134" i="7"/>
  <c r="U134" i="7"/>
  <c r="E135" i="7"/>
  <c r="Q135" i="7"/>
  <c r="AC135" i="7"/>
  <c r="M136" i="7"/>
  <c r="Y136" i="7"/>
  <c r="I137" i="7"/>
  <c r="U137" i="7"/>
  <c r="E138" i="7"/>
  <c r="Q138" i="7"/>
  <c r="AC138" i="7"/>
  <c r="C61" i="7"/>
  <c r="Y72" i="7"/>
  <c r="AC79" i="7"/>
  <c r="X86" i="7"/>
  <c r="I93" i="7"/>
  <c r="I96" i="7"/>
  <c r="AD98" i="7"/>
  <c r="AB100" i="7"/>
  <c r="T102" i="7"/>
  <c r="K104" i="7"/>
  <c r="S105" i="7"/>
  <c r="R106" i="7"/>
  <c r="N107" i="7"/>
  <c r="J108" i="7"/>
  <c r="F109" i="7"/>
  <c r="AD109" i="7"/>
  <c r="Z110" i="7"/>
  <c r="R112" i="7"/>
  <c r="L113" i="7"/>
  <c r="C114" i="7"/>
  <c r="T114" i="7"/>
  <c r="K115" i="7"/>
  <c r="AB115" i="7"/>
  <c r="S116" i="7"/>
  <c r="H117" i="7"/>
  <c r="AA117" i="7"/>
  <c r="P118" i="7"/>
  <c r="X119" i="7"/>
  <c r="O120" i="7"/>
  <c r="D121" i="7"/>
  <c r="S121" i="7"/>
  <c r="U122" i="7"/>
  <c r="T123" i="7"/>
  <c r="E124" i="7"/>
  <c r="R124" i="7"/>
  <c r="C125" i="7"/>
  <c r="P125" i="7"/>
  <c r="AD125" i="7"/>
  <c r="O126" i="7"/>
  <c r="AB126" i="7"/>
  <c r="M127" i="7"/>
  <c r="Z127" i="7"/>
  <c r="J128" i="7"/>
  <c r="F129" i="7"/>
  <c r="R129" i="7"/>
  <c r="AD129" i="7"/>
  <c r="N130" i="7"/>
  <c r="Z130" i="7"/>
  <c r="J131" i="7"/>
  <c r="F132" i="7"/>
  <c r="R132" i="7"/>
  <c r="AD132" i="7"/>
  <c r="N133" i="7"/>
  <c r="Z133" i="7"/>
  <c r="J134" i="7"/>
  <c r="F135" i="7"/>
  <c r="R135" i="7"/>
  <c r="AD135" i="7"/>
  <c r="N136" i="7"/>
  <c r="Z136" i="7"/>
  <c r="J137" i="7"/>
  <c r="F138" i="7"/>
  <c r="R138" i="7"/>
  <c r="AD138" i="7"/>
  <c r="N139" i="7"/>
  <c r="Z139" i="7"/>
  <c r="J140" i="7"/>
  <c r="F141" i="7"/>
  <c r="R141" i="7"/>
  <c r="AD141" i="7"/>
  <c r="N142" i="7"/>
  <c r="Z142" i="7"/>
  <c r="J143" i="7"/>
  <c r="F144" i="7"/>
  <c r="R144" i="7"/>
  <c r="AD144" i="7"/>
  <c r="N145" i="7"/>
  <c r="Z145" i="7"/>
  <c r="J146" i="7"/>
  <c r="F147" i="7"/>
  <c r="R147" i="7"/>
  <c r="AD147" i="7"/>
  <c r="N148" i="7"/>
  <c r="Z148" i="7"/>
  <c r="J149" i="7"/>
  <c r="I62" i="7"/>
  <c r="N73" i="7"/>
  <c r="P80" i="7"/>
  <c r="J87" i="7"/>
  <c r="L90" i="7"/>
  <c r="N93" i="7"/>
  <c r="N96" i="7"/>
  <c r="F101" i="7"/>
  <c r="Z102" i="7"/>
  <c r="L104" i="7"/>
  <c r="T105" i="7"/>
  <c r="R107" i="7"/>
  <c r="N108" i="7"/>
  <c r="J109" i="7"/>
  <c r="F110" i="7"/>
  <c r="AD110" i="7"/>
  <c r="Z111" i="7"/>
  <c r="M113" i="7"/>
  <c r="D114" i="7"/>
  <c r="U114" i="7"/>
  <c r="L115" i="7"/>
  <c r="AC115" i="7"/>
  <c r="T116" i="7"/>
  <c r="I117" i="7"/>
  <c r="AB117" i="7"/>
  <c r="Q118" i="7"/>
  <c r="H119" i="7"/>
  <c r="Y119" i="7"/>
  <c r="P120" i="7"/>
  <c r="E121" i="7"/>
  <c r="H122" i="7"/>
  <c r="H123" i="7"/>
  <c r="U123" i="7"/>
  <c r="F124" i="7"/>
  <c r="S124" i="7"/>
  <c r="D125" i="7"/>
  <c r="R125" i="7"/>
  <c r="C126" i="7"/>
  <c r="P126" i="7"/>
  <c r="AC126" i="7"/>
  <c r="N127" i="7"/>
  <c r="AA127" i="7"/>
  <c r="K128" i="7"/>
  <c r="W128" i="7"/>
  <c r="S129" i="7"/>
  <c r="C130" i="7"/>
  <c r="O130" i="7"/>
  <c r="AA130" i="7"/>
  <c r="K131" i="7"/>
  <c r="W131" i="7"/>
  <c r="S132" i="7"/>
  <c r="C133" i="7"/>
  <c r="O133" i="7"/>
  <c r="AA133" i="7"/>
  <c r="K134" i="7"/>
  <c r="W134" i="7"/>
  <c r="S135" i="7"/>
  <c r="C136" i="7"/>
  <c r="O136" i="7"/>
  <c r="AA136" i="7"/>
  <c r="K137" i="7"/>
  <c r="W137" i="7"/>
  <c r="S138" i="7"/>
  <c r="C139" i="7"/>
  <c r="O139" i="7"/>
  <c r="AA139" i="7"/>
  <c r="K140" i="7"/>
  <c r="W140" i="7"/>
  <c r="S141" i="7"/>
  <c r="C142" i="7"/>
  <c r="O142" i="7"/>
  <c r="AA142" i="7"/>
  <c r="K143" i="7"/>
  <c r="W143" i="7"/>
  <c r="S144" i="7"/>
  <c r="C145" i="7"/>
  <c r="O145" i="7"/>
  <c r="AA145" i="7"/>
  <c r="K146" i="7"/>
  <c r="W146" i="7"/>
  <c r="S147" i="7"/>
  <c r="C148" i="7"/>
  <c r="O148" i="7"/>
  <c r="AA148" i="7"/>
  <c r="K149" i="7"/>
  <c r="W149" i="7"/>
  <c r="S150" i="7"/>
  <c r="C151" i="7"/>
  <c r="O151" i="7"/>
  <c r="AA151" i="7"/>
  <c r="K152" i="7"/>
  <c r="W152" i="7"/>
  <c r="S153" i="7"/>
  <c r="C154" i="7"/>
  <c r="O154" i="7"/>
  <c r="AA154" i="7"/>
  <c r="L63" i="7"/>
  <c r="F74" i="7"/>
  <c r="F81" i="7"/>
  <c r="S87" i="7"/>
  <c r="U90" i="7"/>
  <c r="W93" i="7"/>
  <c r="N99" i="7"/>
  <c r="K101" i="7"/>
  <c r="C103" i="7"/>
  <c r="R104" i="7"/>
  <c r="Z105" i="7"/>
  <c r="X106" i="7"/>
  <c r="T107" i="7"/>
  <c r="P108" i="7"/>
  <c r="L109" i="7"/>
  <c r="H110" i="7"/>
  <c r="D111" i="7"/>
  <c r="AB111" i="7"/>
  <c r="X112" i="7"/>
  <c r="N113" i="7"/>
  <c r="E114" i="7"/>
  <c r="M115" i="7"/>
  <c r="AD115" i="7"/>
  <c r="U116" i="7"/>
  <c r="J117" i="7"/>
  <c r="AC117" i="7"/>
  <c r="R118" i="7"/>
  <c r="I119" i="7"/>
  <c r="Z119" i="7"/>
  <c r="Q120" i="7"/>
  <c r="F121" i="7"/>
  <c r="W121" i="7"/>
  <c r="I122" i="7"/>
  <c r="W122" i="7"/>
  <c r="I123" i="7"/>
  <c r="T124" i="7"/>
  <c r="F125" i="7"/>
  <c r="S125" i="7"/>
  <c r="D126" i="7"/>
  <c r="Q126" i="7"/>
  <c r="AD126" i="7"/>
  <c r="O127" i="7"/>
  <c r="AB127" i="7"/>
  <c r="L128" i="7"/>
  <c r="X128" i="7"/>
  <c r="H129" i="7"/>
  <c r="T129" i="7"/>
  <c r="D130" i="7"/>
  <c r="P130" i="7"/>
  <c r="AB130" i="7"/>
  <c r="L131" i="7"/>
  <c r="X131" i="7"/>
  <c r="H132" i="7"/>
  <c r="T132" i="7"/>
  <c r="D133" i="7"/>
  <c r="P133" i="7"/>
  <c r="AB133" i="7"/>
  <c r="L134" i="7"/>
  <c r="X134" i="7"/>
  <c r="H135" i="7"/>
  <c r="T135" i="7"/>
  <c r="D136" i="7"/>
  <c r="P136" i="7"/>
  <c r="AB136" i="7"/>
  <c r="L137" i="7"/>
  <c r="X137" i="7"/>
  <c r="H138" i="7"/>
  <c r="T138" i="7"/>
  <c r="D139" i="7"/>
  <c r="P139" i="7"/>
  <c r="AB139" i="7"/>
  <c r="L140" i="7"/>
  <c r="X140" i="7"/>
  <c r="H141" i="7"/>
  <c r="T141" i="7"/>
  <c r="D142" i="7"/>
  <c r="P142" i="7"/>
  <c r="AB142" i="7"/>
  <c r="L143" i="7"/>
  <c r="X143" i="7"/>
  <c r="H144" i="7"/>
  <c r="T144" i="7"/>
  <c r="D145" i="7"/>
  <c r="P145" i="7"/>
  <c r="AB145" i="7"/>
  <c r="L146" i="7"/>
  <c r="X146" i="7"/>
  <c r="H147" i="7"/>
  <c r="T147" i="7"/>
  <c r="D148" i="7"/>
  <c r="P148" i="7"/>
  <c r="AB148" i="7"/>
  <c r="L149" i="7"/>
  <c r="X149" i="7"/>
  <c r="H150" i="7"/>
  <c r="T150" i="7"/>
  <c r="D151" i="7"/>
  <c r="P151" i="7"/>
  <c r="AB151" i="7"/>
  <c r="L152" i="7"/>
  <c r="X152" i="7"/>
  <c r="H153" i="7"/>
  <c r="T153" i="7"/>
  <c r="D154" i="7"/>
  <c r="P154" i="7"/>
  <c r="AB154" i="7"/>
  <c r="L155" i="7"/>
  <c r="X155" i="7"/>
  <c r="H156" i="7"/>
  <c r="T156" i="7"/>
  <c r="D157" i="7"/>
  <c r="P157" i="7"/>
  <c r="W64" i="7"/>
  <c r="U81" i="7"/>
  <c r="X87" i="7"/>
  <c r="Z90" i="7"/>
  <c r="AD93" i="7"/>
  <c r="AB96" i="7"/>
  <c r="S99" i="7"/>
  <c r="L101" i="7"/>
  <c r="D103" i="7"/>
  <c r="T104" i="7"/>
  <c r="AB105" i="7"/>
  <c r="Y106" i="7"/>
  <c r="U107" i="7"/>
  <c r="Q108" i="7"/>
  <c r="M109" i="7"/>
  <c r="I110" i="7"/>
  <c r="E111" i="7"/>
  <c r="AC111" i="7"/>
  <c r="Y112" i="7"/>
  <c r="R113" i="7"/>
  <c r="Z114" i="7"/>
  <c r="O115" i="7"/>
  <c r="F116" i="7"/>
  <c r="W116" i="7"/>
  <c r="N117" i="7"/>
  <c r="C118" i="7"/>
  <c r="K119" i="7"/>
  <c r="AD119" i="7"/>
  <c r="S120" i="7"/>
  <c r="X121" i="7"/>
  <c r="J122" i="7"/>
  <c r="X122" i="7"/>
  <c r="J123" i="7"/>
  <c r="W123" i="7"/>
  <c r="H124" i="7"/>
  <c r="T125" i="7"/>
  <c r="E126" i="7"/>
  <c r="R126" i="7"/>
  <c r="C127" i="7"/>
  <c r="P127" i="7"/>
  <c r="AC127" i="7"/>
  <c r="M128" i="7"/>
  <c r="Y128" i="7"/>
  <c r="I129" i="7"/>
  <c r="U129" i="7"/>
  <c r="E130" i="7"/>
  <c r="Q130" i="7"/>
  <c r="AC130" i="7"/>
  <c r="X133" i="7"/>
  <c r="L136" i="7"/>
  <c r="AB138" i="7"/>
  <c r="U140" i="7"/>
  <c r="M142" i="7"/>
  <c r="E144" i="7"/>
  <c r="Y145" i="7"/>
  <c r="M147" i="7"/>
  <c r="M148" i="7"/>
  <c r="O149" i="7"/>
  <c r="K150" i="7"/>
  <c r="C152" i="7"/>
  <c r="AA152" i="7"/>
  <c r="W153" i="7"/>
  <c r="Q154" i="7"/>
  <c r="I155" i="7"/>
  <c r="AA155" i="7"/>
  <c r="Q156" i="7"/>
  <c r="Y157" i="7"/>
  <c r="L158" i="7"/>
  <c r="AB158" i="7"/>
  <c r="P159" i="7"/>
  <c r="AC159" i="7"/>
  <c r="N160" i="7"/>
  <c r="AA160" i="7"/>
  <c r="L161" i="7"/>
  <c r="Y161" i="7"/>
  <c r="K162" i="7"/>
  <c r="X162" i="7"/>
  <c r="I163" i="7"/>
  <c r="T164" i="7"/>
  <c r="E165" i="7"/>
  <c r="R165" i="7"/>
  <c r="C166" i="7"/>
  <c r="P166" i="7"/>
  <c r="AC166" i="7"/>
  <c r="O167" i="7"/>
  <c r="AB167" i="7"/>
  <c r="M168" i="7"/>
  <c r="Z168" i="7"/>
  <c r="K169" i="7"/>
  <c r="X169" i="7"/>
  <c r="I170" i="7"/>
  <c r="T171" i="7"/>
  <c r="E172" i="7"/>
  <c r="S172" i="7"/>
  <c r="D173" i="7"/>
  <c r="P173" i="7"/>
  <c r="AB173" i="7"/>
  <c r="L174" i="7"/>
  <c r="X174" i="7"/>
  <c r="H175" i="7"/>
  <c r="T175" i="7"/>
  <c r="D176" i="7"/>
  <c r="P176" i="7"/>
  <c r="AB176" i="7"/>
  <c r="M131" i="7"/>
  <c r="AC133" i="7"/>
  <c r="Q136" i="7"/>
  <c r="E139" i="7"/>
  <c r="Y140" i="7"/>
  <c r="Q142" i="7"/>
  <c r="I144" i="7"/>
  <c r="AC145" i="7"/>
  <c r="P147" i="7"/>
  <c r="Q148" i="7"/>
  <c r="Q149" i="7"/>
  <c r="M150" i="7"/>
  <c r="I151" i="7"/>
  <c r="E152" i="7"/>
  <c r="AC152" i="7"/>
  <c r="Y153" i="7"/>
  <c r="S154" i="7"/>
  <c r="J155" i="7"/>
  <c r="AB155" i="7"/>
  <c r="R156" i="7"/>
  <c r="H157" i="7"/>
  <c r="Z157" i="7"/>
  <c r="M158" i="7"/>
  <c r="AC158" i="7"/>
  <c r="Q159" i="7"/>
  <c r="AD159" i="7"/>
  <c r="O160" i="7"/>
  <c r="AB160" i="7"/>
  <c r="M161" i="7"/>
  <c r="AA161" i="7"/>
  <c r="L162" i="7"/>
  <c r="Y162" i="7"/>
  <c r="J163" i="7"/>
  <c r="W163" i="7"/>
  <c r="H164" i="7"/>
  <c r="U164" i="7"/>
  <c r="F165" i="7"/>
  <c r="S165" i="7"/>
  <c r="D166" i="7"/>
  <c r="Q166" i="7"/>
  <c r="C167" i="7"/>
  <c r="T131" i="7"/>
  <c r="H134" i="7"/>
  <c r="X136" i="7"/>
  <c r="L139" i="7"/>
  <c r="D141" i="7"/>
  <c r="X142" i="7"/>
  <c r="P144" i="7"/>
  <c r="H146" i="7"/>
  <c r="Q147" i="7"/>
  <c r="S148" i="7"/>
  <c r="T149" i="7"/>
  <c r="P150" i="7"/>
  <c r="L151" i="7"/>
  <c r="H152" i="7"/>
  <c r="D153" i="7"/>
  <c r="AB153" i="7"/>
  <c r="T154" i="7"/>
  <c r="K155" i="7"/>
  <c r="AC155" i="7"/>
  <c r="S156" i="7"/>
  <c r="I157" i="7"/>
  <c r="AA157" i="7"/>
  <c r="O158" i="7"/>
  <c r="D159" i="7"/>
  <c r="R159" i="7"/>
  <c r="C160" i="7"/>
  <c r="P160" i="7"/>
  <c r="AC160" i="7"/>
  <c r="O161" i="7"/>
  <c r="AB161" i="7"/>
  <c r="M162" i="7"/>
  <c r="Z162" i="7"/>
  <c r="K163" i="7"/>
  <c r="X163" i="7"/>
  <c r="I164" i="7"/>
  <c r="T165" i="7"/>
  <c r="E166" i="7"/>
  <c r="S166" i="7"/>
  <c r="D167" i="7"/>
  <c r="Q167" i="7"/>
  <c r="AD167" i="7"/>
  <c r="O168" i="7"/>
  <c r="AB168" i="7"/>
  <c r="M169" i="7"/>
  <c r="Z169" i="7"/>
  <c r="K170" i="7"/>
  <c r="X170" i="7"/>
  <c r="I171" i="7"/>
  <c r="W171" i="7"/>
  <c r="H172" i="7"/>
  <c r="U172" i="7"/>
  <c r="F173" i="7"/>
  <c r="R173" i="7"/>
  <c r="AD173" i="7"/>
  <c r="N174" i="7"/>
  <c r="Z174" i="7"/>
  <c r="J175" i="7"/>
  <c r="F176" i="7"/>
  <c r="R176" i="7"/>
  <c r="AD176" i="7"/>
  <c r="N177" i="7"/>
  <c r="Z177" i="7"/>
  <c r="J178" i="7"/>
  <c r="F179" i="7"/>
  <c r="R179" i="7"/>
  <c r="AD179" i="7"/>
  <c r="N180" i="7"/>
  <c r="Z180" i="7"/>
  <c r="J181" i="7"/>
  <c r="F182" i="7"/>
  <c r="R182" i="7"/>
  <c r="AD182" i="7"/>
  <c r="N183" i="7"/>
  <c r="Z183" i="7"/>
  <c r="J184" i="7"/>
  <c r="F185" i="7"/>
  <c r="R185" i="7"/>
  <c r="AD185" i="7"/>
  <c r="N186" i="7"/>
  <c r="Z186" i="7"/>
  <c r="J187" i="7"/>
  <c r="F188" i="7"/>
  <c r="R188" i="7"/>
  <c r="AD188" i="7"/>
  <c r="N189" i="7"/>
  <c r="Z189" i="7"/>
  <c r="J190" i="7"/>
  <c r="F191" i="7"/>
  <c r="R191" i="7"/>
  <c r="AD191" i="7"/>
  <c r="N192" i="7"/>
  <c r="Z192" i="7"/>
  <c r="J193" i="7"/>
  <c r="F194" i="7"/>
  <c r="Y131" i="7"/>
  <c r="M134" i="7"/>
  <c r="AC136" i="7"/>
  <c r="M139" i="7"/>
  <c r="E141" i="7"/>
  <c r="Y142" i="7"/>
  <c r="Q144" i="7"/>
  <c r="I146" i="7"/>
  <c r="U147" i="7"/>
  <c r="U148" i="7"/>
  <c r="U149" i="7"/>
  <c r="Q150" i="7"/>
  <c r="M151" i="7"/>
  <c r="I152" i="7"/>
  <c r="E153" i="7"/>
  <c r="AC153" i="7"/>
  <c r="U154" i="7"/>
  <c r="M155" i="7"/>
  <c r="D156" i="7"/>
  <c r="U156" i="7"/>
  <c r="L157" i="7"/>
  <c r="AB157" i="7"/>
  <c r="P158" i="7"/>
  <c r="E159" i="7"/>
  <c r="S159" i="7"/>
  <c r="D160" i="7"/>
  <c r="Q160" i="7"/>
  <c r="C161" i="7"/>
  <c r="P161" i="7"/>
  <c r="AC161" i="7"/>
  <c r="N162" i="7"/>
  <c r="AA162" i="7"/>
  <c r="L163" i="7"/>
  <c r="Y163" i="7"/>
  <c r="J164" i="7"/>
  <c r="W164" i="7"/>
  <c r="H165" i="7"/>
  <c r="U165" i="7"/>
  <c r="T166" i="7"/>
  <c r="E167" i="7"/>
  <c r="R167" i="7"/>
  <c r="C168" i="7"/>
  <c r="P168" i="7"/>
  <c r="AC168" i="7"/>
  <c r="N169" i="7"/>
  <c r="AA169" i="7"/>
  <c r="D132" i="7"/>
  <c r="T134" i="7"/>
  <c r="I132" i="7"/>
  <c r="Y134" i="7"/>
  <c r="M137" i="7"/>
  <c r="X139" i="7"/>
  <c r="P141" i="7"/>
  <c r="H143" i="7"/>
  <c r="AB144" i="7"/>
  <c r="T146" i="7"/>
  <c r="Y147" i="7"/>
  <c r="Y148" i="7"/>
  <c r="Y149" i="7"/>
  <c r="U150" i="7"/>
  <c r="Q151" i="7"/>
  <c r="M152" i="7"/>
  <c r="I153" i="7"/>
  <c r="E154" i="7"/>
  <c r="Y154" i="7"/>
  <c r="P155" i="7"/>
  <c r="F156" i="7"/>
  <c r="X156" i="7"/>
  <c r="N157" i="7"/>
  <c r="C158" i="7"/>
  <c r="T158" i="7"/>
  <c r="U159" i="7"/>
  <c r="T160" i="7"/>
  <c r="E161" i="7"/>
  <c r="R161" i="7"/>
  <c r="C162" i="7"/>
  <c r="P162" i="7"/>
  <c r="AC162" i="7"/>
  <c r="N163" i="7"/>
  <c r="AA163" i="7"/>
  <c r="L164" i="7"/>
  <c r="Y164" i="7"/>
  <c r="K165" i="7"/>
  <c r="X165" i="7"/>
  <c r="I166" i="7"/>
  <c r="T167" i="7"/>
  <c r="E168" i="7"/>
  <c r="R168" i="7"/>
  <c r="C169" i="7"/>
  <c r="P169" i="7"/>
  <c r="AC169" i="7"/>
  <c r="O170" i="7"/>
  <c r="AB170" i="7"/>
  <c r="M171" i="7"/>
  <c r="Z171" i="7"/>
  <c r="K172" i="7"/>
  <c r="X172" i="7"/>
  <c r="I173" i="7"/>
  <c r="U173" i="7"/>
  <c r="E174" i="7"/>
  <c r="Q174" i="7"/>
  <c r="AC174" i="7"/>
  <c r="M175" i="7"/>
  <c r="Y175" i="7"/>
  <c r="I176" i="7"/>
  <c r="U176" i="7"/>
  <c r="E177" i="7"/>
  <c r="Q177" i="7"/>
  <c r="AC177" i="7"/>
  <c r="M178" i="7"/>
  <c r="Y178" i="7"/>
  <c r="I179" i="7"/>
  <c r="U179" i="7"/>
  <c r="E180" i="7"/>
  <c r="Q180" i="7"/>
  <c r="AC180" i="7"/>
  <c r="M181" i="7"/>
  <c r="Y181" i="7"/>
  <c r="I182" i="7"/>
  <c r="U182" i="7"/>
  <c r="E183" i="7"/>
  <c r="Q183" i="7"/>
  <c r="AC183" i="7"/>
  <c r="M184" i="7"/>
  <c r="Y184" i="7"/>
  <c r="P132" i="7"/>
  <c r="D135" i="7"/>
  <c r="T137" i="7"/>
  <c r="Y139" i="7"/>
  <c r="Q141" i="7"/>
  <c r="I143" i="7"/>
  <c r="AC144" i="7"/>
  <c r="U146" i="7"/>
  <c r="AB147" i="7"/>
  <c r="AC148" i="7"/>
  <c r="AA149" i="7"/>
  <c r="W150" i="7"/>
  <c r="S151" i="7"/>
  <c r="O152" i="7"/>
  <c r="K153" i="7"/>
  <c r="Z154" i="7"/>
  <c r="Q155" i="7"/>
  <c r="Y156" i="7"/>
  <c r="O157" i="7"/>
  <c r="D158" i="7"/>
  <c r="U158" i="7"/>
  <c r="H159" i="7"/>
  <c r="W159" i="7"/>
  <c r="H160" i="7"/>
  <c r="U160" i="7"/>
  <c r="F161" i="7"/>
  <c r="S161" i="7"/>
  <c r="D162" i="7"/>
  <c r="Q162" i="7"/>
  <c r="AD162" i="7"/>
  <c r="O163" i="7"/>
  <c r="AB163" i="7"/>
  <c r="M164" i="7"/>
  <c r="AA164" i="7"/>
  <c r="L165" i="7"/>
  <c r="Y165" i="7"/>
  <c r="J166" i="7"/>
  <c r="W166" i="7"/>
  <c r="H167" i="7"/>
  <c r="U167" i="7"/>
  <c r="F168" i="7"/>
  <c r="S168" i="7"/>
  <c r="D169" i="7"/>
  <c r="Q169" i="7"/>
  <c r="C170" i="7"/>
  <c r="P170" i="7"/>
  <c r="AC170" i="7"/>
  <c r="N171" i="7"/>
  <c r="AA171" i="7"/>
  <c r="L172" i="7"/>
  <c r="Y172" i="7"/>
  <c r="J173" i="7"/>
  <c r="F174" i="7"/>
  <c r="R174" i="7"/>
  <c r="AD174" i="7"/>
  <c r="N175" i="7"/>
  <c r="Z175" i="7"/>
  <c r="J176" i="7"/>
  <c r="U132" i="7"/>
  <c r="I135" i="7"/>
  <c r="Y137" i="7"/>
  <c r="AC139" i="7"/>
  <c r="U141" i="7"/>
  <c r="M143" i="7"/>
  <c r="E145" i="7"/>
  <c r="Y146" i="7"/>
  <c r="AC147" i="7"/>
  <c r="C149" i="7"/>
  <c r="AC149" i="7"/>
  <c r="Y150" i="7"/>
  <c r="U151" i="7"/>
  <c r="Q152" i="7"/>
  <c r="M153" i="7"/>
  <c r="H154" i="7"/>
  <c r="AC154" i="7"/>
  <c r="T155" i="7"/>
  <c r="I156" i="7"/>
  <c r="AB156" i="7"/>
  <c r="Q157" i="7"/>
  <c r="E158" i="7"/>
  <c r="I159" i="7"/>
  <c r="X159" i="7"/>
  <c r="I160" i="7"/>
  <c r="T161" i="7"/>
  <c r="E162" i="7"/>
  <c r="R162" i="7"/>
  <c r="C163" i="7"/>
  <c r="P163" i="7"/>
  <c r="AC163" i="7"/>
  <c r="O164" i="7"/>
  <c r="AB164" i="7"/>
  <c r="M165" i="7"/>
  <c r="Z165" i="7"/>
  <c r="K166" i="7"/>
  <c r="X166" i="7"/>
  <c r="I167" i="7"/>
  <c r="T168" i="7"/>
  <c r="E169" i="7"/>
  <c r="S169" i="7"/>
  <c r="D170" i="7"/>
  <c r="Q170" i="7"/>
  <c r="AD170" i="7"/>
  <c r="O171" i="7"/>
  <c r="AB171" i="7"/>
  <c r="M172" i="7"/>
  <c r="Z172" i="7"/>
  <c r="K173" i="7"/>
  <c r="W173" i="7"/>
  <c r="S174" i="7"/>
  <c r="C175" i="7"/>
  <c r="O175" i="7"/>
  <c r="AA175" i="7"/>
  <c r="K176" i="7"/>
  <c r="W176" i="7"/>
  <c r="S177" i="7"/>
  <c r="C178" i="7"/>
  <c r="O178" i="7"/>
  <c r="AA178" i="7"/>
  <c r="K179" i="7"/>
  <c r="W179" i="7"/>
  <c r="S180" i="7"/>
  <c r="C181" i="7"/>
  <c r="O181" i="7"/>
  <c r="AA181" i="7"/>
  <c r="K182" i="7"/>
  <c r="W182" i="7"/>
  <c r="S183" i="7"/>
  <c r="C184" i="7"/>
  <c r="O184" i="7"/>
  <c r="AA184" i="7"/>
  <c r="K185" i="7"/>
  <c r="W185" i="7"/>
  <c r="S186" i="7"/>
  <c r="C187" i="7"/>
  <c r="O187" i="7"/>
  <c r="AA187" i="7"/>
  <c r="K188" i="7"/>
  <c r="W188" i="7"/>
  <c r="S189" i="7"/>
  <c r="C190" i="7"/>
  <c r="O190" i="7"/>
  <c r="AA190" i="7"/>
  <c r="K191" i="7"/>
  <c r="W191" i="7"/>
  <c r="S192" i="7"/>
  <c r="C193" i="7"/>
  <c r="O193" i="7"/>
  <c r="AA193" i="7"/>
  <c r="K194" i="7"/>
  <c r="W194" i="7"/>
  <c r="S195" i="7"/>
  <c r="C196" i="7"/>
  <c r="O196" i="7"/>
  <c r="AA196" i="7"/>
  <c r="K197" i="7"/>
  <c r="W197" i="7"/>
  <c r="S198" i="7"/>
  <c r="C199" i="7"/>
  <c r="O199" i="7"/>
  <c r="AA199" i="7"/>
  <c r="K200" i="7"/>
  <c r="W200" i="7"/>
  <c r="S201" i="7"/>
  <c r="AB132" i="7"/>
  <c r="P135" i="7"/>
  <c r="D138" i="7"/>
  <c r="H140" i="7"/>
  <c r="AB141" i="7"/>
  <c r="T143" i="7"/>
  <c r="L145" i="7"/>
  <c r="AC146" i="7"/>
  <c r="E148" i="7"/>
  <c r="E149" i="7"/>
  <c r="D150" i="7"/>
  <c r="AB150" i="7"/>
  <c r="X151" i="7"/>
  <c r="T152" i="7"/>
  <c r="P153" i="7"/>
  <c r="I154" i="7"/>
  <c r="C155" i="7"/>
  <c r="U155" i="7"/>
  <c r="K156" i="7"/>
  <c r="AC156" i="7"/>
  <c r="S157" i="7"/>
  <c r="H158" i="7"/>
  <c r="W158" i="7"/>
  <c r="K159" i="7"/>
  <c r="Y159" i="7"/>
  <c r="J160" i="7"/>
  <c r="W160" i="7"/>
  <c r="H161" i="7"/>
  <c r="U161" i="7"/>
  <c r="F162" i="7"/>
  <c r="S162" i="7"/>
  <c r="D163" i="7"/>
  <c r="Q163" i="7"/>
  <c r="C164" i="7"/>
  <c r="P164" i="7"/>
  <c r="AC164" i="7"/>
  <c r="N165" i="7"/>
  <c r="AA165" i="7"/>
  <c r="L166" i="7"/>
  <c r="Y166" i="7"/>
  <c r="J167" i="7"/>
  <c r="W167" i="7"/>
  <c r="H168" i="7"/>
  <c r="U168" i="7"/>
  <c r="T169" i="7"/>
  <c r="E170" i="7"/>
  <c r="R170" i="7"/>
  <c r="C171" i="7"/>
  <c r="P171" i="7"/>
  <c r="AC171" i="7"/>
  <c r="N172" i="7"/>
  <c r="AA172" i="7"/>
  <c r="L173" i="7"/>
  <c r="X173" i="7"/>
  <c r="E133" i="7"/>
  <c r="U135" i="7"/>
  <c r="I138" i="7"/>
  <c r="I140" i="7"/>
  <c r="AC141" i="7"/>
  <c r="U143" i="7"/>
  <c r="M145" i="7"/>
  <c r="D147" i="7"/>
  <c r="H149" i="7"/>
  <c r="E150" i="7"/>
  <c r="AC150" i="7"/>
  <c r="Y151" i="7"/>
  <c r="U152" i="7"/>
  <c r="Q153" i="7"/>
  <c r="L154" i="7"/>
  <c r="D155" i="7"/>
  <c r="L156" i="7"/>
  <c r="AD156" i="7"/>
  <c r="T157" i="7"/>
  <c r="I158" i="7"/>
  <c r="X158" i="7"/>
  <c r="L159" i="7"/>
  <c r="Z159" i="7"/>
  <c r="K160" i="7"/>
  <c r="X160" i="7"/>
  <c r="I161" i="7"/>
  <c r="T162" i="7"/>
  <c r="E163" i="7"/>
  <c r="L133" i="7"/>
  <c r="AB135" i="7"/>
  <c r="P138" i="7"/>
  <c r="M140" i="7"/>
  <c r="E142" i="7"/>
  <c r="Y143" i="7"/>
  <c r="Q145" i="7"/>
  <c r="E147" i="7"/>
  <c r="I148" i="7"/>
  <c r="I149" i="7"/>
  <c r="F150" i="7"/>
  <c r="AD150" i="7"/>
  <c r="Z151" i="7"/>
  <c r="R153" i="7"/>
  <c r="M154" i="7"/>
  <c r="E155" i="7"/>
  <c r="W155" i="7"/>
  <c r="M156" i="7"/>
  <c r="C157" i="7"/>
  <c r="U157" i="7"/>
  <c r="J158" i="7"/>
  <c r="Q133" i="7"/>
  <c r="E136" i="7"/>
  <c r="U138" i="7"/>
  <c r="T140" i="7"/>
  <c r="L142" i="7"/>
  <c r="D144" i="7"/>
  <c r="X145" i="7"/>
  <c r="I147" i="7"/>
  <c r="L148" i="7"/>
  <c r="M149" i="7"/>
  <c r="I150" i="7"/>
  <c r="E151" i="7"/>
  <c r="AC151" i="7"/>
  <c r="Y152" i="7"/>
  <c r="U153" i="7"/>
  <c r="N154" i="7"/>
  <c r="H155" i="7"/>
  <c r="Y155" i="7"/>
  <c r="P156" i="7"/>
  <c r="E157" i="7"/>
  <c r="X157" i="7"/>
  <c r="K158" i="7"/>
  <c r="AA158" i="7"/>
  <c r="N159" i="7"/>
  <c r="AB159" i="7"/>
  <c r="M160" i="7"/>
  <c r="Z160" i="7"/>
  <c r="K161" i="7"/>
  <c r="X161" i="7"/>
  <c r="I162" i="7"/>
  <c r="W162" i="7"/>
  <c r="H163" i="7"/>
  <c r="U163" i="7"/>
  <c r="F164" i="7"/>
  <c r="S164" i="7"/>
  <c r="D165" i="7"/>
  <c r="Q165" i="7"/>
  <c r="AD165" i="7"/>
  <c r="O166" i="7"/>
  <c r="AB166" i="7"/>
  <c r="M167" i="7"/>
  <c r="AA167" i="7"/>
  <c r="L168" i="7"/>
  <c r="Y168" i="7"/>
  <c r="J169" i="7"/>
  <c r="W169" i="7"/>
  <c r="H170" i="7"/>
  <c r="U170" i="7"/>
  <c r="F171" i="7"/>
  <c r="S171" i="7"/>
  <c r="D172" i="7"/>
  <c r="Q172" i="7"/>
  <c r="C173" i="7"/>
  <c r="O173" i="7"/>
  <c r="AA173" i="7"/>
  <c r="K174" i="7"/>
  <c r="W174" i="7"/>
  <c r="S175" i="7"/>
  <c r="C176" i="7"/>
  <c r="O176" i="7"/>
  <c r="AA176" i="7"/>
  <c r="K177" i="7"/>
  <c r="W177" i="7"/>
  <c r="S178" i="7"/>
  <c r="C179" i="7"/>
  <c r="O179" i="7"/>
  <c r="AA179" i="7"/>
  <c r="K180" i="7"/>
  <c r="W180" i="7"/>
  <c r="S181" i="7"/>
  <c r="C182" i="7"/>
  <c r="O182" i="7"/>
  <c r="AA182" i="7"/>
  <c r="K183" i="7"/>
  <c r="W183" i="7"/>
  <c r="S184" i="7"/>
  <c r="C185" i="7"/>
  <c r="O185" i="7"/>
  <c r="AA185" i="7"/>
  <c r="K186" i="7"/>
  <c r="W186" i="7"/>
  <c r="S187" i="7"/>
  <c r="C188" i="7"/>
  <c r="O188" i="7"/>
  <c r="AA188" i="7"/>
  <c r="K189" i="7"/>
  <c r="W189" i="7"/>
  <c r="S190" i="7"/>
  <c r="H137" i="7"/>
  <c r="F153" i="7"/>
  <c r="T159" i="7"/>
  <c r="O162" i="7"/>
  <c r="R164" i="7"/>
  <c r="N166" i="7"/>
  <c r="D168" i="7"/>
  <c r="O169" i="7"/>
  <c r="W170" i="7"/>
  <c r="Y171" i="7"/>
  <c r="AC172" i="7"/>
  <c r="C174" i="7"/>
  <c r="AA174" i="7"/>
  <c r="W175" i="7"/>
  <c r="S176" i="7"/>
  <c r="J177" i="7"/>
  <c r="AB177" i="7"/>
  <c r="R178" i="7"/>
  <c r="H179" i="7"/>
  <c r="Z179" i="7"/>
  <c r="P180" i="7"/>
  <c r="F181" i="7"/>
  <c r="X181" i="7"/>
  <c r="N182" i="7"/>
  <c r="D183" i="7"/>
  <c r="L184" i="7"/>
  <c r="AD184" i="7"/>
  <c r="S185" i="7"/>
  <c r="F186" i="7"/>
  <c r="K187" i="7"/>
  <c r="Z187" i="7"/>
  <c r="N188" i="7"/>
  <c r="C189" i="7"/>
  <c r="R189" i="7"/>
  <c r="F190" i="7"/>
  <c r="W190" i="7"/>
  <c r="I191" i="7"/>
  <c r="X191" i="7"/>
  <c r="J192" i="7"/>
  <c r="X192" i="7"/>
  <c r="K193" i="7"/>
  <c r="Y193" i="7"/>
  <c r="L194" i="7"/>
  <c r="Y194" i="7"/>
  <c r="J195" i="7"/>
  <c r="W195" i="7"/>
  <c r="H196" i="7"/>
  <c r="U196" i="7"/>
  <c r="F197" i="7"/>
  <c r="S197" i="7"/>
  <c r="D198" i="7"/>
  <c r="Q198" i="7"/>
  <c r="AD198" i="7"/>
  <c r="P199" i="7"/>
  <c r="AC199" i="7"/>
  <c r="N200" i="7"/>
  <c r="AA200" i="7"/>
  <c r="L201" i="7"/>
  <c r="Y201" i="7"/>
  <c r="I202" i="7"/>
  <c r="U202" i="7"/>
  <c r="E203" i="7"/>
  <c r="Q203" i="7"/>
  <c r="AC203" i="7"/>
  <c r="M204" i="7"/>
  <c r="Y204" i="7"/>
  <c r="I205" i="7"/>
  <c r="U205" i="7"/>
  <c r="E206" i="7"/>
  <c r="Q206" i="7"/>
  <c r="AC206" i="7"/>
  <c r="M207" i="7"/>
  <c r="Y207" i="7"/>
  <c r="Q139" i="7"/>
  <c r="AD153" i="7"/>
  <c r="AA159" i="7"/>
  <c r="U162" i="7"/>
  <c r="X164" i="7"/>
  <c r="U166" i="7"/>
  <c r="I168" i="7"/>
  <c r="U169" i="7"/>
  <c r="Y170" i="7"/>
  <c r="AD171" i="7"/>
  <c r="E173" i="7"/>
  <c r="D174" i="7"/>
  <c r="AB174" i="7"/>
  <c r="X175" i="7"/>
  <c r="T176" i="7"/>
  <c r="L177" i="7"/>
  <c r="AD177" i="7"/>
  <c r="T178" i="7"/>
  <c r="J179" i="7"/>
  <c r="AB179" i="7"/>
  <c r="R180" i="7"/>
  <c r="H181" i="7"/>
  <c r="Z181" i="7"/>
  <c r="P182" i="7"/>
  <c r="F183" i="7"/>
  <c r="X183" i="7"/>
  <c r="N184" i="7"/>
  <c r="D185" i="7"/>
  <c r="T185" i="7"/>
  <c r="H186" i="7"/>
  <c r="X186" i="7"/>
  <c r="L187" i="7"/>
  <c r="AB187" i="7"/>
  <c r="P188" i="7"/>
  <c r="D189" i="7"/>
  <c r="T189" i="7"/>
  <c r="H190" i="7"/>
  <c r="X190" i="7"/>
  <c r="J191" i="7"/>
  <c r="Y191" i="7"/>
  <c r="K192" i="7"/>
  <c r="Y192" i="7"/>
  <c r="L193" i="7"/>
  <c r="Z193" i="7"/>
  <c r="M194" i="7"/>
  <c r="Z194" i="7"/>
  <c r="K195" i="7"/>
  <c r="X195" i="7"/>
  <c r="I196" i="7"/>
  <c r="T197" i="7"/>
  <c r="E198" i="7"/>
  <c r="R198" i="7"/>
  <c r="D199" i="7"/>
  <c r="Q199" i="7"/>
  <c r="AD199" i="7"/>
  <c r="O200" i="7"/>
  <c r="AB200" i="7"/>
  <c r="M201" i="7"/>
  <c r="Z201" i="7"/>
  <c r="J202" i="7"/>
  <c r="F203" i="7"/>
  <c r="R203" i="7"/>
  <c r="AD203" i="7"/>
  <c r="N204" i="7"/>
  <c r="Z204" i="7"/>
  <c r="J205" i="7"/>
  <c r="F206" i="7"/>
  <c r="I141" i="7"/>
  <c r="X154" i="7"/>
  <c r="E160" i="7"/>
  <c r="AB162" i="7"/>
  <c r="AD164" i="7"/>
  <c r="Z166" i="7"/>
  <c r="K168" i="7"/>
  <c r="AA170" i="7"/>
  <c r="C172" i="7"/>
  <c r="H174" i="7"/>
  <c r="D175" i="7"/>
  <c r="AB175" i="7"/>
  <c r="M177" i="7"/>
  <c r="D178" i="7"/>
  <c r="U178" i="7"/>
  <c r="L179" i="7"/>
  <c r="AC179" i="7"/>
  <c r="T180" i="7"/>
  <c r="I181" i="7"/>
  <c r="AB181" i="7"/>
  <c r="Q182" i="7"/>
  <c r="H183" i="7"/>
  <c r="AC142" i="7"/>
  <c r="O155" i="7"/>
  <c r="L160" i="7"/>
  <c r="C165" i="7"/>
  <c r="AA166" i="7"/>
  <c r="N168" i="7"/>
  <c r="Y169" i="7"/>
  <c r="D171" i="7"/>
  <c r="H173" i="7"/>
  <c r="I174" i="7"/>
  <c r="E175" i="7"/>
  <c r="AC175" i="7"/>
  <c r="X176" i="7"/>
  <c r="O177" i="7"/>
  <c r="E178" i="7"/>
  <c r="W178" i="7"/>
  <c r="M179" i="7"/>
  <c r="C180" i="7"/>
  <c r="U180" i="7"/>
  <c r="K181" i="7"/>
  <c r="AC181" i="7"/>
  <c r="S182" i="7"/>
  <c r="I183" i="7"/>
  <c r="AA183" i="7"/>
  <c r="Q184" i="7"/>
  <c r="J186" i="7"/>
  <c r="AA186" i="7"/>
  <c r="N187" i="7"/>
  <c r="AD187" i="7"/>
  <c r="U144" i="7"/>
  <c r="E156" i="7"/>
  <c r="S160" i="7"/>
  <c r="M163" i="7"/>
  <c r="I165" i="7"/>
  <c r="F167" i="7"/>
  <c r="Q168" i="7"/>
  <c r="AB169" i="7"/>
  <c r="E171" i="7"/>
  <c r="I172" i="7"/>
  <c r="M173" i="7"/>
  <c r="J174" i="7"/>
  <c r="F175" i="7"/>
  <c r="AD175" i="7"/>
  <c r="Y176" i="7"/>
  <c r="P177" i="7"/>
  <c r="F178" i="7"/>
  <c r="X178" i="7"/>
  <c r="N179" i="7"/>
  <c r="D180" i="7"/>
  <c r="L181" i="7"/>
  <c r="AD181" i="7"/>
  <c r="T182" i="7"/>
  <c r="J183" i="7"/>
  <c r="AB183" i="7"/>
  <c r="R184" i="7"/>
  <c r="H185" i="7"/>
  <c r="X185" i="7"/>
  <c r="L186" i="7"/>
  <c r="AB186" i="7"/>
  <c r="P187" i="7"/>
  <c r="D188" i="7"/>
  <c r="T188" i="7"/>
  <c r="H189" i="7"/>
  <c r="X189" i="7"/>
  <c r="L190" i="7"/>
  <c r="AB190" i="7"/>
  <c r="N191" i="7"/>
  <c r="AB191" i="7"/>
  <c r="O192" i="7"/>
  <c r="AC192" i="7"/>
  <c r="P193" i="7"/>
  <c r="AD193" i="7"/>
  <c r="P194" i="7"/>
  <c r="AC194" i="7"/>
  <c r="N195" i="7"/>
  <c r="AA195" i="7"/>
  <c r="L196" i="7"/>
  <c r="Y196" i="7"/>
  <c r="M146" i="7"/>
  <c r="W156" i="7"/>
  <c r="Y160" i="7"/>
  <c r="S163" i="7"/>
  <c r="O165" i="7"/>
  <c r="K167" i="7"/>
  <c r="W168" i="7"/>
  <c r="F170" i="7"/>
  <c r="H171" i="7"/>
  <c r="J172" i="7"/>
  <c r="N173" i="7"/>
  <c r="M174" i="7"/>
  <c r="I175" i="7"/>
  <c r="E176" i="7"/>
  <c r="Z176" i="7"/>
  <c r="R177" i="7"/>
  <c r="H178" i="7"/>
  <c r="Z178" i="7"/>
  <c r="P179" i="7"/>
  <c r="F180" i="7"/>
  <c r="X180" i="7"/>
  <c r="N181" i="7"/>
  <c r="D182" i="7"/>
  <c r="L183" i="7"/>
  <c r="AD183" i="7"/>
  <c r="T184" i="7"/>
  <c r="I185" i="7"/>
  <c r="Y185" i="7"/>
  <c r="M186" i="7"/>
  <c r="AC186" i="7"/>
  <c r="Q187" i="7"/>
  <c r="E188" i="7"/>
  <c r="U188" i="7"/>
  <c r="I189" i="7"/>
  <c r="Y189" i="7"/>
  <c r="M190" i="7"/>
  <c r="AC190" i="7"/>
  <c r="O191" i="7"/>
  <c r="AC191" i="7"/>
  <c r="P192" i="7"/>
  <c r="AD192" i="7"/>
  <c r="Q193" i="7"/>
  <c r="C194" i="7"/>
  <c r="Q194" i="7"/>
  <c r="AD194" i="7"/>
  <c r="O195" i="7"/>
  <c r="AB195" i="7"/>
  <c r="M196" i="7"/>
  <c r="Z196" i="7"/>
  <c r="L197" i="7"/>
  <c r="Y197" i="7"/>
  <c r="J198" i="7"/>
  <c r="W198" i="7"/>
  <c r="H199" i="7"/>
  <c r="U199" i="7"/>
  <c r="F200" i="7"/>
  <c r="S200" i="7"/>
  <c r="D201" i="7"/>
  <c r="Q201" i="7"/>
  <c r="AD201" i="7"/>
  <c r="N202" i="7"/>
  <c r="Z202" i="7"/>
  <c r="J203" i="7"/>
  <c r="F204" i="7"/>
  <c r="R204" i="7"/>
  <c r="AD204" i="7"/>
  <c r="N205" i="7"/>
  <c r="Z205" i="7"/>
  <c r="J206" i="7"/>
  <c r="F207" i="7"/>
  <c r="R207" i="7"/>
  <c r="AD207" i="7"/>
  <c r="N208" i="7"/>
  <c r="Z208" i="7"/>
  <c r="J209" i="7"/>
  <c r="F210" i="7"/>
  <c r="R210" i="7"/>
  <c r="AD210" i="7"/>
  <c r="N211" i="7"/>
  <c r="Z211" i="7"/>
  <c r="J212" i="7"/>
  <c r="F213" i="7"/>
  <c r="R213" i="7"/>
  <c r="AD213" i="7"/>
  <c r="N214" i="7"/>
  <c r="Z214" i="7"/>
  <c r="J215" i="7"/>
  <c r="F216" i="7"/>
  <c r="R216" i="7"/>
  <c r="AD216" i="7"/>
  <c r="N217" i="7"/>
  <c r="Z217" i="7"/>
  <c r="J218" i="7"/>
  <c r="F219" i="7"/>
  <c r="R219" i="7"/>
  <c r="AD219" i="7"/>
  <c r="N220" i="7"/>
  <c r="Z220" i="7"/>
  <c r="J221" i="7"/>
  <c r="F222" i="7"/>
  <c r="R222" i="7"/>
  <c r="AD222" i="7"/>
  <c r="N223" i="7"/>
  <c r="Z223" i="7"/>
  <c r="J224" i="7"/>
  <c r="F225" i="7"/>
  <c r="W147" i="7"/>
  <c r="M157" i="7"/>
  <c r="D161" i="7"/>
  <c r="T163" i="7"/>
  <c r="P165" i="7"/>
  <c r="L167" i="7"/>
  <c r="X168" i="7"/>
  <c r="K171" i="7"/>
  <c r="O172" i="7"/>
  <c r="Q173" i="7"/>
  <c r="O174" i="7"/>
  <c r="K175" i="7"/>
  <c r="AC176" i="7"/>
  <c r="T177" i="7"/>
  <c r="I178" i="7"/>
  <c r="AB178" i="7"/>
  <c r="Q179" i="7"/>
  <c r="H180" i="7"/>
  <c r="Y180" i="7"/>
  <c r="P181" i="7"/>
  <c r="E182" i="7"/>
  <c r="X182" i="7"/>
  <c r="M183" i="7"/>
  <c r="D184" i="7"/>
  <c r="U184" i="7"/>
  <c r="J185" i="7"/>
  <c r="Z185" i="7"/>
  <c r="O186" i="7"/>
  <c r="AD186" i="7"/>
  <c r="R187" i="7"/>
  <c r="J189" i="7"/>
  <c r="AA189" i="7"/>
  <c r="N190" i="7"/>
  <c r="AD190" i="7"/>
  <c r="P191" i="7"/>
  <c r="C192" i="7"/>
  <c r="Q192" i="7"/>
  <c r="D193" i="7"/>
  <c r="R193" i="7"/>
  <c r="D194" i="7"/>
  <c r="R194" i="7"/>
  <c r="C195" i="7"/>
  <c r="P195" i="7"/>
  <c r="AC195" i="7"/>
  <c r="N196" i="7"/>
  <c r="AB196" i="7"/>
  <c r="M197" i="7"/>
  <c r="Z197" i="7"/>
  <c r="K198" i="7"/>
  <c r="X198" i="7"/>
  <c r="I199" i="7"/>
  <c r="T200" i="7"/>
  <c r="E201" i="7"/>
  <c r="R201" i="7"/>
  <c r="C202" i="7"/>
  <c r="O202" i="7"/>
  <c r="AA202" i="7"/>
  <c r="K203" i="7"/>
  <c r="W203" i="7"/>
  <c r="S204" i="7"/>
  <c r="C205" i="7"/>
  <c r="O205" i="7"/>
  <c r="AA205" i="7"/>
  <c r="K206" i="7"/>
  <c r="W206" i="7"/>
  <c r="S207" i="7"/>
  <c r="C208" i="7"/>
  <c r="O208" i="7"/>
  <c r="AA208" i="7"/>
  <c r="K209" i="7"/>
  <c r="W209" i="7"/>
  <c r="S210" i="7"/>
  <c r="C211" i="7"/>
  <c r="O211" i="7"/>
  <c r="AA211" i="7"/>
  <c r="K212" i="7"/>
  <c r="W212" i="7"/>
  <c r="S213" i="7"/>
  <c r="C214" i="7"/>
  <c r="O214" i="7"/>
  <c r="AA214" i="7"/>
  <c r="K215" i="7"/>
  <c r="W215" i="7"/>
  <c r="S216" i="7"/>
  <c r="C217" i="7"/>
  <c r="O217" i="7"/>
  <c r="AA217" i="7"/>
  <c r="K218" i="7"/>
  <c r="W218" i="7"/>
  <c r="S219" i="7"/>
  <c r="C220" i="7"/>
  <c r="O220" i="7"/>
  <c r="AA220" i="7"/>
  <c r="K221" i="7"/>
  <c r="W221" i="7"/>
  <c r="S222" i="7"/>
  <c r="C223" i="7"/>
  <c r="O223" i="7"/>
  <c r="AA223" i="7"/>
  <c r="K224" i="7"/>
  <c r="W224" i="7"/>
  <c r="S225" i="7"/>
  <c r="C226" i="7"/>
  <c r="O226" i="7"/>
  <c r="AA226" i="7"/>
  <c r="K227" i="7"/>
  <c r="X148" i="7"/>
  <c r="AC157" i="7"/>
  <c r="J161" i="7"/>
  <c r="Z163" i="7"/>
  <c r="W165" i="7"/>
  <c r="P167" i="7"/>
  <c r="AA168" i="7"/>
  <c r="J170" i="7"/>
  <c r="L171" i="7"/>
  <c r="P172" i="7"/>
  <c r="S173" i="7"/>
  <c r="P174" i="7"/>
  <c r="L175" i="7"/>
  <c r="H176" i="7"/>
  <c r="C177" i="7"/>
  <c r="U177" i="7"/>
  <c r="K178" i="7"/>
  <c r="AC178" i="7"/>
  <c r="S179" i="7"/>
  <c r="I180" i="7"/>
  <c r="AA180" i="7"/>
  <c r="Q181" i="7"/>
  <c r="Y182" i="7"/>
  <c r="O183" i="7"/>
  <c r="Q158" i="7"/>
  <c r="Q161" i="7"/>
  <c r="D164" i="7"/>
  <c r="AB165" i="7"/>
  <c r="S167" i="7"/>
  <c r="AD168" i="7"/>
  <c r="L170" i="7"/>
  <c r="Q171" i="7"/>
  <c r="T172" i="7"/>
  <c r="T173" i="7"/>
  <c r="T174" i="7"/>
  <c r="P175" i="7"/>
  <c r="L176" i="7"/>
  <c r="D177" i="7"/>
  <c r="L178" i="7"/>
  <c r="AD178" i="7"/>
  <c r="T179" i="7"/>
  <c r="J180" i="7"/>
  <c r="AB180" i="7"/>
  <c r="R181" i="7"/>
  <c r="H182" i="7"/>
  <c r="Z182" i="7"/>
  <c r="P183" i="7"/>
  <c r="F184" i="7"/>
  <c r="X184" i="7"/>
  <c r="M185" i="7"/>
  <c r="AC185" i="7"/>
  <c r="Q186" i="7"/>
  <c r="E187" i="7"/>
  <c r="U187" i="7"/>
  <c r="I188" i="7"/>
  <c r="Y188" i="7"/>
  <c r="M189" i="7"/>
  <c r="AC189" i="7"/>
  <c r="Q190" i="7"/>
  <c r="D191" i="7"/>
  <c r="S191" i="7"/>
  <c r="E192" i="7"/>
  <c r="T192" i="7"/>
  <c r="F193" i="7"/>
  <c r="T193" i="7"/>
  <c r="T194" i="7"/>
  <c r="E195" i="7"/>
  <c r="R195" i="7"/>
  <c r="D196" i="7"/>
  <c r="Q196" i="7"/>
  <c r="AD196" i="7"/>
  <c r="O197" i="7"/>
  <c r="AB197" i="7"/>
  <c r="M198" i="7"/>
  <c r="Z198" i="7"/>
  <c r="K199" i="7"/>
  <c r="X199" i="7"/>
  <c r="I200" i="7"/>
  <c r="H201" i="7"/>
  <c r="U201" i="7"/>
  <c r="E202" i="7"/>
  <c r="Q202" i="7"/>
  <c r="AC202" i="7"/>
  <c r="M203" i="7"/>
  <c r="Y203" i="7"/>
  <c r="I204" i="7"/>
  <c r="U204" i="7"/>
  <c r="R150" i="7"/>
  <c r="Y158" i="7"/>
  <c r="W161" i="7"/>
  <c r="E164" i="7"/>
  <c r="AC165" i="7"/>
  <c r="X167" i="7"/>
  <c r="H169" i="7"/>
  <c r="M170" i="7"/>
  <c r="R171" i="7"/>
  <c r="Y173" i="7"/>
  <c r="U174" i="7"/>
  <c r="Q175" i="7"/>
  <c r="M176" i="7"/>
  <c r="F177" i="7"/>
  <c r="X177" i="7"/>
  <c r="N178" i="7"/>
  <c r="D179" i="7"/>
  <c r="L180" i="7"/>
  <c r="AD180" i="7"/>
  <c r="T181" i="7"/>
  <c r="J182" i="7"/>
  <c r="AB182" i="7"/>
  <c r="R183" i="7"/>
  <c r="H184" i="7"/>
  <c r="Z184" i="7"/>
  <c r="N185" i="7"/>
  <c r="C186" i="7"/>
  <c r="R186" i="7"/>
  <c r="F187" i="7"/>
  <c r="W187" i="7"/>
  <c r="J188" i="7"/>
  <c r="Z188" i="7"/>
  <c r="O189" i="7"/>
  <c r="AD189" i="7"/>
  <c r="R190" i="7"/>
  <c r="E191" i="7"/>
  <c r="T191" i="7"/>
  <c r="F192" i="7"/>
  <c r="U192" i="7"/>
  <c r="U193" i="7"/>
  <c r="H194" i="7"/>
  <c r="U194" i="7"/>
  <c r="F195" i="7"/>
  <c r="T195" i="7"/>
  <c r="E196" i="7"/>
  <c r="R196" i="7"/>
  <c r="C197" i="7"/>
  <c r="P197" i="7"/>
  <c r="AC197" i="7"/>
  <c r="N198" i="7"/>
  <c r="AA198" i="7"/>
  <c r="L199" i="7"/>
  <c r="Y199" i="7"/>
  <c r="J200" i="7"/>
  <c r="X200" i="7"/>
  <c r="I201" i="7"/>
  <c r="F202" i="7"/>
  <c r="R202" i="7"/>
  <c r="AD202" i="7"/>
  <c r="N203" i="7"/>
  <c r="Z203" i="7"/>
  <c r="J204" i="7"/>
  <c r="F205" i="7"/>
  <c r="R205" i="7"/>
  <c r="AD205" i="7"/>
  <c r="N206" i="7"/>
  <c r="Z206" i="7"/>
  <c r="J207" i="7"/>
  <c r="F208" i="7"/>
  <c r="R208" i="7"/>
  <c r="AD208" i="7"/>
  <c r="N209" i="7"/>
  <c r="Z209" i="7"/>
  <c r="J210" i="7"/>
  <c r="F211" i="7"/>
  <c r="R211" i="7"/>
  <c r="N151" i="7"/>
  <c r="F159" i="7"/>
  <c r="AD161" i="7"/>
  <c r="K164" i="7"/>
  <c r="H166" i="7"/>
  <c r="Y167" i="7"/>
  <c r="I169" i="7"/>
  <c r="S170" i="7"/>
  <c r="U171" i="7"/>
  <c r="W172" i="7"/>
  <c r="Z173" i="7"/>
  <c r="R175" i="7"/>
  <c r="N176" i="7"/>
  <c r="H177" i="7"/>
  <c r="Y177" i="7"/>
  <c r="P178" i="7"/>
  <c r="E179" i="7"/>
  <c r="X179" i="7"/>
  <c r="M180" i="7"/>
  <c r="D181" i="7"/>
  <c r="U181" i="7"/>
  <c r="L182" i="7"/>
  <c r="AC182" i="7"/>
  <c r="T183" i="7"/>
  <c r="I184" i="7"/>
  <c r="AB184" i="7"/>
  <c r="P185" i="7"/>
  <c r="D186" i="7"/>
  <c r="T186" i="7"/>
  <c r="H187" i="7"/>
  <c r="X187" i="7"/>
  <c r="L188" i="7"/>
  <c r="AB188" i="7"/>
  <c r="P189" i="7"/>
  <c r="D190" i="7"/>
  <c r="T190" i="7"/>
  <c r="U191" i="7"/>
  <c r="H192" i="7"/>
  <c r="H193" i="7"/>
  <c r="W193" i="7"/>
  <c r="I194" i="7"/>
  <c r="H195" i="7"/>
  <c r="U195" i="7"/>
  <c r="F196" i="7"/>
  <c r="S196" i="7"/>
  <c r="D197" i="7"/>
  <c r="Q197" i="7"/>
  <c r="AD197" i="7"/>
  <c r="O198" i="7"/>
  <c r="AB198" i="7"/>
  <c r="M199" i="7"/>
  <c r="Z199" i="7"/>
  <c r="L200" i="7"/>
  <c r="Y200" i="7"/>
  <c r="J201" i="7"/>
  <c r="W201" i="7"/>
  <c r="S202" i="7"/>
  <c r="C203" i="7"/>
  <c r="O203" i="7"/>
  <c r="J152" i="7"/>
  <c r="M159" i="7"/>
  <c r="H162" i="7"/>
  <c r="Q164" i="7"/>
  <c r="M166" i="7"/>
  <c r="AC167" i="7"/>
  <c r="L169" i="7"/>
  <c r="T170" i="7"/>
  <c r="X171" i="7"/>
  <c r="AB172" i="7"/>
  <c r="AC173" i="7"/>
  <c r="Y174" i="7"/>
  <c r="U175" i="7"/>
  <c r="Q176" i="7"/>
  <c r="I177" i="7"/>
  <c r="AA177" i="7"/>
  <c r="Q178" i="7"/>
  <c r="Y179" i="7"/>
  <c r="O180" i="7"/>
  <c r="E181" i="7"/>
  <c r="W181" i="7"/>
  <c r="M182" i="7"/>
  <c r="C183" i="7"/>
  <c r="U183" i="7"/>
  <c r="K184" i="7"/>
  <c r="AC184" i="7"/>
  <c r="Q185" i="7"/>
  <c r="E186" i="7"/>
  <c r="U186" i="7"/>
  <c r="I187" i="7"/>
  <c r="Y187" i="7"/>
  <c r="M188" i="7"/>
  <c r="AC188" i="7"/>
  <c r="Q189" i="7"/>
  <c r="E190" i="7"/>
  <c r="U190" i="7"/>
  <c r="H191" i="7"/>
  <c r="I192" i="7"/>
  <c r="W192" i="7"/>
  <c r="I193" i="7"/>
  <c r="X193" i="7"/>
  <c r="J194" i="7"/>
  <c r="X194" i="7"/>
  <c r="I195" i="7"/>
  <c r="T196" i="7"/>
  <c r="E197" i="7"/>
  <c r="R197" i="7"/>
  <c r="C198" i="7"/>
  <c r="P198" i="7"/>
  <c r="AC198" i="7"/>
  <c r="N199" i="7"/>
  <c r="AB199" i="7"/>
  <c r="M200" i="7"/>
  <c r="Z200" i="7"/>
  <c r="K201" i="7"/>
  <c r="X201" i="7"/>
  <c r="H202" i="7"/>
  <c r="T202" i="7"/>
  <c r="D203" i="7"/>
  <c r="P203" i="7"/>
  <c r="AB203" i="7"/>
  <c r="L204" i="7"/>
  <c r="X204" i="7"/>
  <c r="H205" i="7"/>
  <c r="T205" i="7"/>
  <c r="D206" i="7"/>
  <c r="P206" i="7"/>
  <c r="AB206" i="7"/>
  <c r="L207" i="7"/>
  <c r="X207" i="7"/>
  <c r="H208" i="7"/>
  <c r="T208" i="7"/>
  <c r="D209" i="7"/>
  <c r="P209" i="7"/>
  <c r="AB209" i="7"/>
  <c r="L210" i="7"/>
  <c r="Y183" i="7"/>
  <c r="M187" i="7"/>
  <c r="AB189" i="7"/>
  <c r="D192" i="7"/>
  <c r="E194" i="7"/>
  <c r="AD195" i="7"/>
  <c r="F199" i="7"/>
  <c r="Q200" i="7"/>
  <c r="AB201" i="7"/>
  <c r="H203" i="7"/>
  <c r="K204" i="7"/>
  <c r="K205" i="7"/>
  <c r="AA206" i="7"/>
  <c r="T207" i="7"/>
  <c r="K208" i="7"/>
  <c r="AC208" i="7"/>
  <c r="S209" i="7"/>
  <c r="I210" i="7"/>
  <c r="Z210" i="7"/>
  <c r="M211" i="7"/>
  <c r="AD211" i="7"/>
  <c r="P212" i="7"/>
  <c r="AD212" i="7"/>
  <c r="P213" i="7"/>
  <c r="D214" i="7"/>
  <c r="R214" i="7"/>
  <c r="D215" i="7"/>
  <c r="R215" i="7"/>
  <c r="D216" i="7"/>
  <c r="T216" i="7"/>
  <c r="F217" i="7"/>
  <c r="T217" i="7"/>
  <c r="F218" i="7"/>
  <c r="T218" i="7"/>
  <c r="H219" i="7"/>
  <c r="H220" i="7"/>
  <c r="H221" i="7"/>
  <c r="X221" i="7"/>
  <c r="J222" i="7"/>
  <c r="X222" i="7"/>
  <c r="J223" i="7"/>
  <c r="X223" i="7"/>
  <c r="L224" i="7"/>
  <c r="Z224" i="7"/>
  <c r="L225" i="7"/>
  <c r="Y225" i="7"/>
  <c r="J226" i="7"/>
  <c r="W226" i="7"/>
  <c r="H227" i="7"/>
  <c r="U227" i="7"/>
  <c r="E228" i="7"/>
  <c r="Q228" i="7"/>
  <c r="AC228" i="7"/>
  <c r="M229" i="7"/>
  <c r="Y229" i="7"/>
  <c r="I230" i="7"/>
  <c r="U230" i="7"/>
  <c r="E231" i="7"/>
  <c r="Q231" i="7"/>
  <c r="AC231" i="7"/>
  <c r="M232" i="7"/>
  <c r="Y232" i="7"/>
  <c r="I233" i="7"/>
  <c r="U233" i="7"/>
  <c r="E234" i="7"/>
  <c r="Q234" i="7"/>
  <c r="AC234" i="7"/>
  <c r="M235" i="7"/>
  <c r="Y235" i="7"/>
  <c r="I236" i="7"/>
  <c r="U236" i="7"/>
  <c r="E237" i="7"/>
  <c r="Q237" i="7"/>
  <c r="AC237" i="7"/>
  <c r="M238" i="7"/>
  <c r="Y238" i="7"/>
  <c r="I239" i="7"/>
  <c r="U239" i="7"/>
  <c r="E240" i="7"/>
  <c r="Q240" i="7"/>
  <c r="AC240" i="7"/>
  <c r="M241" i="7"/>
  <c r="Y241" i="7"/>
  <c r="I242" i="7"/>
  <c r="U242" i="7"/>
  <c r="E243" i="7"/>
  <c r="Q243" i="7"/>
  <c r="AC243" i="7"/>
  <c r="M244" i="7"/>
  <c r="Y244" i="7"/>
  <c r="E184" i="7"/>
  <c r="T187" i="7"/>
  <c r="I190" i="7"/>
  <c r="L192" i="7"/>
  <c r="N194" i="7"/>
  <c r="J196" i="7"/>
  <c r="X197" i="7"/>
  <c r="R200" i="7"/>
  <c r="AC201" i="7"/>
  <c r="I203" i="7"/>
  <c r="O204" i="7"/>
  <c r="L205" i="7"/>
  <c r="H206" i="7"/>
  <c r="AD206" i="7"/>
  <c r="U207" i="7"/>
  <c r="L208" i="7"/>
  <c r="C209" i="7"/>
  <c r="T209" i="7"/>
  <c r="K210" i="7"/>
  <c r="AA210" i="7"/>
  <c r="P211" i="7"/>
  <c r="C212" i="7"/>
  <c r="Q212" i="7"/>
  <c r="C213" i="7"/>
  <c r="Q213" i="7"/>
  <c r="E214" i="7"/>
  <c r="S214" i="7"/>
  <c r="E215" i="7"/>
  <c r="S215" i="7"/>
  <c r="E216" i="7"/>
  <c r="U216" i="7"/>
  <c r="U217" i="7"/>
  <c r="U218" i="7"/>
  <c r="I219" i="7"/>
  <c r="W219" i="7"/>
  <c r="I220" i="7"/>
  <c r="W220" i="7"/>
  <c r="I221" i="7"/>
  <c r="Y221" i="7"/>
  <c r="K222" i="7"/>
  <c r="Y222" i="7"/>
  <c r="K223" i="7"/>
  <c r="Y223" i="7"/>
  <c r="M224" i="7"/>
  <c r="AA224" i="7"/>
  <c r="M225" i="7"/>
  <c r="Z225" i="7"/>
  <c r="K226" i="7"/>
  <c r="X226" i="7"/>
  <c r="I227" i="7"/>
  <c r="F228" i="7"/>
  <c r="R228" i="7"/>
  <c r="AD228" i="7"/>
  <c r="N229" i="7"/>
  <c r="Z229" i="7"/>
  <c r="J230" i="7"/>
  <c r="F231" i="7"/>
  <c r="R231" i="7"/>
  <c r="AD231" i="7"/>
  <c r="N232" i="7"/>
  <c r="Z232" i="7"/>
  <c r="J233" i="7"/>
  <c r="F234" i="7"/>
  <c r="R234" i="7"/>
  <c r="AD234" i="7"/>
  <c r="N235" i="7"/>
  <c r="Z235" i="7"/>
  <c r="J236" i="7"/>
  <c r="F237" i="7"/>
  <c r="R237" i="7"/>
  <c r="AD237" i="7"/>
  <c r="N238" i="7"/>
  <c r="Z238" i="7"/>
  <c r="J239" i="7"/>
  <c r="F240" i="7"/>
  <c r="R240" i="7"/>
  <c r="AD240" i="7"/>
  <c r="N241" i="7"/>
  <c r="Z241" i="7"/>
  <c r="J242" i="7"/>
  <c r="F243" i="7"/>
  <c r="R243" i="7"/>
  <c r="AD243" i="7"/>
  <c r="N244" i="7"/>
  <c r="Z244" i="7"/>
  <c r="J245" i="7"/>
  <c r="F246" i="7"/>
  <c r="R246" i="7"/>
  <c r="AD246" i="7"/>
  <c r="N247" i="7"/>
  <c r="Z247" i="7"/>
  <c r="J248" i="7"/>
  <c r="F249" i="7"/>
  <c r="R249" i="7"/>
  <c r="AD249" i="7"/>
  <c r="N250" i="7"/>
  <c r="Z250" i="7"/>
  <c r="J251" i="7"/>
  <c r="F252" i="7"/>
  <c r="R252" i="7"/>
  <c r="AD252" i="7"/>
  <c r="N253" i="7"/>
  <c r="P184" i="7"/>
  <c r="AC187" i="7"/>
  <c r="K190" i="7"/>
  <c r="M192" i="7"/>
  <c r="O194" i="7"/>
  <c r="K196" i="7"/>
  <c r="AA197" i="7"/>
  <c r="J199" i="7"/>
  <c r="U200" i="7"/>
  <c r="D202" i="7"/>
  <c r="L203" i="7"/>
  <c r="P204" i="7"/>
  <c r="M205" i="7"/>
  <c r="I206" i="7"/>
  <c r="C207" i="7"/>
  <c r="W207" i="7"/>
  <c r="M208" i="7"/>
  <c r="E209" i="7"/>
  <c r="U209" i="7"/>
  <c r="M210" i="7"/>
  <c r="AB210" i="7"/>
  <c r="Q211" i="7"/>
  <c r="D212" i="7"/>
  <c r="R212" i="7"/>
  <c r="D213" i="7"/>
  <c r="T213" i="7"/>
  <c r="F214" i="7"/>
  <c r="T214" i="7"/>
  <c r="F215" i="7"/>
  <c r="T215" i="7"/>
  <c r="H216" i="7"/>
  <c r="H217" i="7"/>
  <c r="H218" i="7"/>
  <c r="X218" i="7"/>
  <c r="J219" i="7"/>
  <c r="X219" i="7"/>
  <c r="J220" i="7"/>
  <c r="X220" i="7"/>
  <c r="L221" i="7"/>
  <c r="Z221" i="7"/>
  <c r="L222" i="7"/>
  <c r="Z222" i="7"/>
  <c r="L223" i="7"/>
  <c r="AB223" i="7"/>
  <c r="N224" i="7"/>
  <c r="AB224" i="7"/>
  <c r="N225" i="7"/>
  <c r="AA225" i="7"/>
  <c r="L226" i="7"/>
  <c r="Y226" i="7"/>
  <c r="J227" i="7"/>
  <c r="W227" i="7"/>
  <c r="S228" i="7"/>
  <c r="C229" i="7"/>
  <c r="O229" i="7"/>
  <c r="AA229" i="7"/>
  <c r="K230" i="7"/>
  <c r="W230" i="7"/>
  <c r="S231" i="7"/>
  <c r="C232" i="7"/>
  <c r="O232" i="7"/>
  <c r="AA232" i="7"/>
  <c r="K233" i="7"/>
  <c r="W233" i="7"/>
  <c r="S234" i="7"/>
  <c r="C235" i="7"/>
  <c r="O235" i="7"/>
  <c r="AA235" i="7"/>
  <c r="K236" i="7"/>
  <c r="W236" i="7"/>
  <c r="S237" i="7"/>
  <c r="C238" i="7"/>
  <c r="O238" i="7"/>
  <c r="AA238" i="7"/>
  <c r="K239" i="7"/>
  <c r="W239" i="7"/>
  <c r="S240" i="7"/>
  <c r="C241" i="7"/>
  <c r="O241" i="7"/>
  <c r="AA241" i="7"/>
  <c r="K242" i="7"/>
  <c r="W242" i="7"/>
  <c r="S243" i="7"/>
  <c r="C244" i="7"/>
  <c r="O244" i="7"/>
  <c r="AA244" i="7"/>
  <c r="K245" i="7"/>
  <c r="W245" i="7"/>
  <c r="S246" i="7"/>
  <c r="C247" i="7"/>
  <c r="O247" i="7"/>
  <c r="AA247" i="7"/>
  <c r="K248" i="7"/>
  <c r="W248" i="7"/>
  <c r="S249" i="7"/>
  <c r="C250" i="7"/>
  <c r="O250" i="7"/>
  <c r="AA250" i="7"/>
  <c r="K251" i="7"/>
  <c r="W251" i="7"/>
  <c r="S252" i="7"/>
  <c r="C253" i="7"/>
  <c r="O253" i="7"/>
  <c r="AA253" i="7"/>
  <c r="K254" i="7"/>
  <c r="W254" i="7"/>
  <c r="S255" i="7"/>
  <c r="C256" i="7"/>
  <c r="O256" i="7"/>
  <c r="AA256" i="7"/>
  <c r="K257" i="7"/>
  <c r="W257" i="7"/>
  <c r="S258" i="7"/>
  <c r="C259" i="7"/>
  <c r="O259" i="7"/>
  <c r="AA259" i="7"/>
  <c r="K260" i="7"/>
  <c r="W260" i="7"/>
  <c r="S261" i="7"/>
  <c r="C262" i="7"/>
  <c r="O262" i="7"/>
  <c r="AA262" i="7"/>
  <c r="K263" i="7"/>
  <c r="W263" i="7"/>
  <c r="S264" i="7"/>
  <c r="C265" i="7"/>
  <c r="O265" i="7"/>
  <c r="AA265" i="7"/>
  <c r="K266" i="7"/>
  <c r="W266" i="7"/>
  <c r="S267" i="7"/>
  <c r="C268" i="7"/>
  <c r="O268" i="7"/>
  <c r="AA268" i="7"/>
  <c r="K269" i="7"/>
  <c r="W269" i="7"/>
  <c r="S270" i="7"/>
  <c r="C271" i="7"/>
  <c r="O271" i="7"/>
  <c r="AA271" i="7"/>
  <c r="K272" i="7"/>
  <c r="W272" i="7"/>
  <c r="S273" i="7"/>
  <c r="C274" i="7"/>
  <c r="O274" i="7"/>
  <c r="W184" i="7"/>
  <c r="H188" i="7"/>
  <c r="P190" i="7"/>
  <c r="R192" i="7"/>
  <c r="S194" i="7"/>
  <c r="P196" i="7"/>
  <c r="F198" i="7"/>
  <c r="R199" i="7"/>
  <c r="AC200" i="7"/>
  <c r="K202" i="7"/>
  <c r="S203" i="7"/>
  <c r="Q204" i="7"/>
  <c r="P205" i="7"/>
  <c r="L206" i="7"/>
  <c r="D207" i="7"/>
  <c r="Z207" i="7"/>
  <c r="P208" i="7"/>
  <c r="F209" i="7"/>
  <c r="X209" i="7"/>
  <c r="N210" i="7"/>
  <c r="AC210" i="7"/>
  <c r="S211" i="7"/>
  <c r="E212" i="7"/>
  <c r="S212" i="7"/>
  <c r="E213" i="7"/>
  <c r="U213" i="7"/>
  <c r="U214" i="7"/>
  <c r="U215" i="7"/>
  <c r="I216" i="7"/>
  <c r="W216" i="7"/>
  <c r="I217" i="7"/>
  <c r="W217" i="7"/>
  <c r="I218" i="7"/>
  <c r="Y218" i="7"/>
  <c r="K219" i="7"/>
  <c r="Y219" i="7"/>
  <c r="K220" i="7"/>
  <c r="Y220" i="7"/>
  <c r="M221" i="7"/>
  <c r="AA221" i="7"/>
  <c r="M222" i="7"/>
  <c r="AA222" i="7"/>
  <c r="M223" i="7"/>
  <c r="AC223" i="7"/>
  <c r="O224" i="7"/>
  <c r="AC224" i="7"/>
  <c r="O225" i="7"/>
  <c r="AB225" i="7"/>
  <c r="M226" i="7"/>
  <c r="Z226" i="7"/>
  <c r="L227" i="7"/>
  <c r="X227" i="7"/>
  <c r="H228" i="7"/>
  <c r="T228" i="7"/>
  <c r="D229" i="7"/>
  <c r="P229" i="7"/>
  <c r="AB229" i="7"/>
  <c r="L230" i="7"/>
  <c r="X230" i="7"/>
  <c r="H231" i="7"/>
  <c r="T231" i="7"/>
  <c r="D232" i="7"/>
  <c r="P232" i="7"/>
  <c r="AB232" i="7"/>
  <c r="L233" i="7"/>
  <c r="X233" i="7"/>
  <c r="H234" i="7"/>
  <c r="T234" i="7"/>
  <c r="D235" i="7"/>
  <c r="P235" i="7"/>
  <c r="AB235" i="7"/>
  <c r="L236" i="7"/>
  <c r="X236" i="7"/>
  <c r="H237" i="7"/>
  <c r="T237" i="7"/>
  <c r="D238" i="7"/>
  <c r="P238" i="7"/>
  <c r="AB238" i="7"/>
  <c r="L239" i="7"/>
  <c r="X239" i="7"/>
  <c r="H240" i="7"/>
  <c r="T240" i="7"/>
  <c r="D241" i="7"/>
  <c r="P241" i="7"/>
  <c r="AB241" i="7"/>
  <c r="L242" i="7"/>
  <c r="X242" i="7"/>
  <c r="H243" i="7"/>
  <c r="T243" i="7"/>
  <c r="D244" i="7"/>
  <c r="P244" i="7"/>
  <c r="AB244" i="7"/>
  <c r="L245" i="7"/>
  <c r="X245" i="7"/>
  <c r="H246" i="7"/>
  <c r="T246" i="7"/>
  <c r="D247" i="7"/>
  <c r="P247" i="7"/>
  <c r="AB247" i="7"/>
  <c r="L248" i="7"/>
  <c r="X248" i="7"/>
  <c r="H249" i="7"/>
  <c r="T249" i="7"/>
  <c r="D250" i="7"/>
  <c r="P250" i="7"/>
  <c r="AB250" i="7"/>
  <c r="L251" i="7"/>
  <c r="X251" i="7"/>
  <c r="H252" i="7"/>
  <c r="T252" i="7"/>
  <c r="D253" i="7"/>
  <c r="P253" i="7"/>
  <c r="AB253" i="7"/>
  <c r="L254" i="7"/>
  <c r="X254" i="7"/>
  <c r="H255" i="7"/>
  <c r="T255" i="7"/>
  <c r="D256" i="7"/>
  <c r="P256" i="7"/>
  <c r="AB256" i="7"/>
  <c r="L257" i="7"/>
  <c r="X257" i="7"/>
  <c r="H258" i="7"/>
  <c r="T258" i="7"/>
  <c r="D259" i="7"/>
  <c r="P259" i="7"/>
  <c r="AB259" i="7"/>
  <c r="L260" i="7"/>
  <c r="X260" i="7"/>
  <c r="H261" i="7"/>
  <c r="T261" i="7"/>
  <c r="D262" i="7"/>
  <c r="P262" i="7"/>
  <c r="AB262" i="7"/>
  <c r="L263" i="7"/>
  <c r="X263" i="7"/>
  <c r="H264" i="7"/>
  <c r="T264" i="7"/>
  <c r="D265" i="7"/>
  <c r="P265" i="7"/>
  <c r="AB265" i="7"/>
  <c r="L266" i="7"/>
  <c r="X266" i="7"/>
  <c r="H267" i="7"/>
  <c r="T267" i="7"/>
  <c r="D268" i="7"/>
  <c r="P268" i="7"/>
  <c r="AB268" i="7"/>
  <c r="L269" i="7"/>
  <c r="X269" i="7"/>
  <c r="H270" i="7"/>
  <c r="T270" i="7"/>
  <c r="D271" i="7"/>
  <c r="P271" i="7"/>
  <c r="AB271" i="7"/>
  <c r="L272" i="7"/>
  <c r="E185" i="7"/>
  <c r="Q188" i="7"/>
  <c r="Y190" i="7"/>
  <c r="AA192" i="7"/>
  <c r="AA194" i="7"/>
  <c r="W196" i="7"/>
  <c r="H198" i="7"/>
  <c r="S199" i="7"/>
  <c r="AD200" i="7"/>
  <c r="L202" i="7"/>
  <c r="T203" i="7"/>
  <c r="T204" i="7"/>
  <c r="Q205" i="7"/>
  <c r="M206" i="7"/>
  <c r="E207" i="7"/>
  <c r="AA207" i="7"/>
  <c r="Q208" i="7"/>
  <c r="Y209" i="7"/>
  <c r="O210" i="7"/>
  <c r="D211" i="7"/>
  <c r="T211" i="7"/>
  <c r="F212" i="7"/>
  <c r="T212" i="7"/>
  <c r="H213" i="7"/>
  <c r="H214" i="7"/>
  <c r="H215" i="7"/>
  <c r="X215" i="7"/>
  <c r="J216" i="7"/>
  <c r="X216" i="7"/>
  <c r="J217" i="7"/>
  <c r="X217" i="7"/>
  <c r="L218" i="7"/>
  <c r="Z218" i="7"/>
  <c r="L219" i="7"/>
  <c r="Z219" i="7"/>
  <c r="L220" i="7"/>
  <c r="AB220" i="7"/>
  <c r="N221" i="7"/>
  <c r="AB221" i="7"/>
  <c r="N222" i="7"/>
  <c r="AB222" i="7"/>
  <c r="P223" i="7"/>
  <c r="AD223" i="7"/>
  <c r="P224" i="7"/>
  <c r="AD224" i="7"/>
  <c r="P225" i="7"/>
  <c r="AC225" i="7"/>
  <c r="N226" i="7"/>
  <c r="AB226" i="7"/>
  <c r="M227" i="7"/>
  <c r="Y227" i="7"/>
  <c r="I228" i="7"/>
  <c r="U228" i="7"/>
  <c r="E229" i="7"/>
  <c r="Q229" i="7"/>
  <c r="AC229" i="7"/>
  <c r="M230" i="7"/>
  <c r="Y230" i="7"/>
  <c r="I231" i="7"/>
  <c r="U231" i="7"/>
  <c r="E232" i="7"/>
  <c r="Q232" i="7"/>
  <c r="AC232" i="7"/>
  <c r="M233" i="7"/>
  <c r="Y233" i="7"/>
  <c r="I234" i="7"/>
  <c r="U234" i="7"/>
  <c r="E235" i="7"/>
  <c r="Q235" i="7"/>
  <c r="AC235" i="7"/>
  <c r="M236" i="7"/>
  <c r="Y236" i="7"/>
  <c r="I237" i="7"/>
  <c r="U237" i="7"/>
  <c r="E238" i="7"/>
  <c r="Q238" i="7"/>
  <c r="AC238" i="7"/>
  <c r="M239" i="7"/>
  <c r="Y239" i="7"/>
  <c r="I240" i="7"/>
  <c r="U240" i="7"/>
  <c r="E241" i="7"/>
  <c r="Q241" i="7"/>
  <c r="AC241" i="7"/>
  <c r="M242" i="7"/>
  <c r="Y242" i="7"/>
  <c r="I243" i="7"/>
  <c r="U243" i="7"/>
  <c r="E244" i="7"/>
  <c r="Q244" i="7"/>
  <c r="AC244" i="7"/>
  <c r="M245" i="7"/>
  <c r="Y245" i="7"/>
  <c r="I246" i="7"/>
  <c r="U246" i="7"/>
  <c r="E247" i="7"/>
  <c r="Q247" i="7"/>
  <c r="AC247" i="7"/>
  <c r="M248" i="7"/>
  <c r="Y248" i="7"/>
  <c r="I249" i="7"/>
  <c r="U249" i="7"/>
  <c r="E250" i="7"/>
  <c r="Q250" i="7"/>
  <c r="AC250" i="7"/>
  <c r="M251" i="7"/>
  <c r="Y251" i="7"/>
  <c r="I252" i="7"/>
  <c r="U252" i="7"/>
  <c r="E253" i="7"/>
  <c r="Q253" i="7"/>
  <c r="AC253" i="7"/>
  <c r="M254" i="7"/>
  <c r="Y254" i="7"/>
  <c r="I255" i="7"/>
  <c r="U255" i="7"/>
  <c r="E256" i="7"/>
  <c r="Q256" i="7"/>
  <c r="AC256" i="7"/>
  <c r="M257" i="7"/>
  <c r="Y257" i="7"/>
  <c r="I258" i="7"/>
  <c r="U258" i="7"/>
  <c r="E259" i="7"/>
  <c r="Q259" i="7"/>
  <c r="AC259" i="7"/>
  <c r="M260" i="7"/>
  <c r="L185" i="7"/>
  <c r="S188" i="7"/>
  <c r="Z190" i="7"/>
  <c r="AB192" i="7"/>
  <c r="AB194" i="7"/>
  <c r="X196" i="7"/>
  <c r="I198" i="7"/>
  <c r="T199" i="7"/>
  <c r="C201" i="7"/>
  <c r="M202" i="7"/>
  <c r="U203" i="7"/>
  <c r="W204" i="7"/>
  <c r="S205" i="7"/>
  <c r="O206" i="7"/>
  <c r="H207" i="7"/>
  <c r="AB207" i="7"/>
  <c r="S208" i="7"/>
  <c r="H209" i="7"/>
  <c r="AA209" i="7"/>
  <c r="P210" i="7"/>
  <c r="E211" i="7"/>
  <c r="U211" i="7"/>
  <c r="U212" i="7"/>
  <c r="I213" i="7"/>
  <c r="W213" i="7"/>
  <c r="I214" i="7"/>
  <c r="W214" i="7"/>
  <c r="I215" i="7"/>
  <c r="Y215" i="7"/>
  <c r="K216" i="7"/>
  <c r="Y216" i="7"/>
  <c r="K217" i="7"/>
  <c r="Y217" i="7"/>
  <c r="M218" i="7"/>
  <c r="AA218" i="7"/>
  <c r="M219" i="7"/>
  <c r="AA219" i="7"/>
  <c r="M220" i="7"/>
  <c r="AC220" i="7"/>
  <c r="O221" i="7"/>
  <c r="AC221" i="7"/>
  <c r="O222" i="7"/>
  <c r="AC222" i="7"/>
  <c r="Q223" i="7"/>
  <c r="C224" i="7"/>
  <c r="Q224" i="7"/>
  <c r="C225" i="7"/>
  <c r="Q225" i="7"/>
  <c r="AD225" i="7"/>
  <c r="P226" i="7"/>
  <c r="AC226" i="7"/>
  <c r="N227" i="7"/>
  <c r="Z227" i="7"/>
  <c r="J228" i="7"/>
  <c r="F229" i="7"/>
  <c r="R229" i="7"/>
  <c r="AD229" i="7"/>
  <c r="N230" i="7"/>
  <c r="Z230" i="7"/>
  <c r="J231" i="7"/>
  <c r="F232" i="7"/>
  <c r="R232" i="7"/>
  <c r="AD232" i="7"/>
  <c r="N233" i="7"/>
  <c r="Z233" i="7"/>
  <c r="J234" i="7"/>
  <c r="F235" i="7"/>
  <c r="R235" i="7"/>
  <c r="AD235" i="7"/>
  <c r="N236" i="7"/>
  <c r="Z236" i="7"/>
  <c r="J237" i="7"/>
  <c r="F238" i="7"/>
  <c r="R238" i="7"/>
  <c r="AD238" i="7"/>
  <c r="N239" i="7"/>
  <c r="Z239" i="7"/>
  <c r="J240" i="7"/>
  <c r="F241" i="7"/>
  <c r="R241" i="7"/>
  <c r="AD241" i="7"/>
  <c r="N242" i="7"/>
  <c r="Z242" i="7"/>
  <c r="J243" i="7"/>
  <c r="F244" i="7"/>
  <c r="R244" i="7"/>
  <c r="AD244" i="7"/>
  <c r="N245" i="7"/>
  <c r="Z245" i="7"/>
  <c r="J246" i="7"/>
  <c r="F247" i="7"/>
  <c r="R247" i="7"/>
  <c r="AD247" i="7"/>
  <c r="N248" i="7"/>
  <c r="Z248" i="7"/>
  <c r="J249" i="7"/>
  <c r="F250" i="7"/>
  <c r="R250" i="7"/>
  <c r="AD250" i="7"/>
  <c r="N251" i="7"/>
  <c r="Z251" i="7"/>
  <c r="J252" i="7"/>
  <c r="F253" i="7"/>
  <c r="R253" i="7"/>
  <c r="AD253" i="7"/>
  <c r="N254" i="7"/>
  <c r="Z254" i="7"/>
  <c r="J255" i="7"/>
  <c r="F256" i="7"/>
  <c r="R256" i="7"/>
  <c r="AD256" i="7"/>
  <c r="N257" i="7"/>
  <c r="Z257" i="7"/>
  <c r="J258" i="7"/>
  <c r="F259" i="7"/>
  <c r="R259" i="7"/>
  <c r="AD259" i="7"/>
  <c r="N260" i="7"/>
  <c r="Z260" i="7"/>
  <c r="J261" i="7"/>
  <c r="F262" i="7"/>
  <c r="R262" i="7"/>
  <c r="AD262" i="7"/>
  <c r="N263" i="7"/>
  <c r="Z263" i="7"/>
  <c r="J264" i="7"/>
  <c r="F265" i="7"/>
  <c r="R265" i="7"/>
  <c r="AD265" i="7"/>
  <c r="N266" i="7"/>
  <c r="Z266" i="7"/>
  <c r="J267" i="7"/>
  <c r="F268" i="7"/>
  <c r="R268" i="7"/>
  <c r="AD268" i="7"/>
  <c r="N269" i="7"/>
  <c r="Z269" i="7"/>
  <c r="J270" i="7"/>
  <c r="F271" i="7"/>
  <c r="R271" i="7"/>
  <c r="AD271" i="7"/>
  <c r="N272" i="7"/>
  <c r="Z272" i="7"/>
  <c r="J273" i="7"/>
  <c r="F274" i="7"/>
  <c r="R274" i="7"/>
  <c r="AD274" i="7"/>
  <c r="N275" i="7"/>
  <c r="Z275" i="7"/>
  <c r="J276" i="7"/>
  <c r="F277" i="7"/>
  <c r="R277" i="7"/>
  <c r="AD277" i="7"/>
  <c r="N278" i="7"/>
  <c r="U185" i="7"/>
  <c r="X188" i="7"/>
  <c r="C191" i="7"/>
  <c r="E193" i="7"/>
  <c r="D195" i="7"/>
  <c r="AC196" i="7"/>
  <c r="L198" i="7"/>
  <c r="W199" i="7"/>
  <c r="F201" i="7"/>
  <c r="P202" i="7"/>
  <c r="X203" i="7"/>
  <c r="AA204" i="7"/>
  <c r="W205" i="7"/>
  <c r="R206" i="7"/>
  <c r="I207" i="7"/>
  <c r="AC207" i="7"/>
  <c r="U208" i="7"/>
  <c r="I209" i="7"/>
  <c r="AC209" i="7"/>
  <c r="Q210" i="7"/>
  <c r="H212" i="7"/>
  <c r="X212" i="7"/>
  <c r="J213" i="7"/>
  <c r="X213" i="7"/>
  <c r="J214" i="7"/>
  <c r="X214" i="7"/>
  <c r="L215" i="7"/>
  <c r="Z215" i="7"/>
  <c r="L216" i="7"/>
  <c r="Z216" i="7"/>
  <c r="L217" i="7"/>
  <c r="AB217" i="7"/>
  <c r="N218" i="7"/>
  <c r="AB218" i="7"/>
  <c r="N219" i="7"/>
  <c r="AB219" i="7"/>
  <c r="P220" i="7"/>
  <c r="AD220" i="7"/>
  <c r="P221" i="7"/>
  <c r="AD221" i="7"/>
  <c r="P222" i="7"/>
  <c r="D223" i="7"/>
  <c r="R223" i="7"/>
  <c r="D224" i="7"/>
  <c r="R224" i="7"/>
  <c r="D225" i="7"/>
  <c r="R225" i="7"/>
  <c r="D226" i="7"/>
  <c r="Q226" i="7"/>
  <c r="AD226" i="7"/>
  <c r="O227" i="7"/>
  <c r="AA227" i="7"/>
  <c r="K228" i="7"/>
  <c r="W228" i="7"/>
  <c r="S229" i="7"/>
  <c r="C230" i="7"/>
  <c r="O230" i="7"/>
  <c r="AA230" i="7"/>
  <c r="K231" i="7"/>
  <c r="W231" i="7"/>
  <c r="S232" i="7"/>
  <c r="C233" i="7"/>
  <c r="O233" i="7"/>
  <c r="AA233" i="7"/>
  <c r="K234" i="7"/>
  <c r="W234" i="7"/>
  <c r="S235" i="7"/>
  <c r="C236" i="7"/>
  <c r="O236" i="7"/>
  <c r="AA236" i="7"/>
  <c r="K237" i="7"/>
  <c r="W237" i="7"/>
  <c r="S238" i="7"/>
  <c r="C239" i="7"/>
  <c r="O239" i="7"/>
  <c r="AA239" i="7"/>
  <c r="K240" i="7"/>
  <c r="W240" i="7"/>
  <c r="S241" i="7"/>
  <c r="C242" i="7"/>
  <c r="O242" i="7"/>
  <c r="AA242" i="7"/>
  <c r="K243" i="7"/>
  <c r="W243" i="7"/>
  <c r="S244" i="7"/>
  <c r="C245" i="7"/>
  <c r="O245" i="7"/>
  <c r="AA245" i="7"/>
  <c r="K246" i="7"/>
  <c r="W246" i="7"/>
  <c r="S247" i="7"/>
  <c r="C248" i="7"/>
  <c r="O248" i="7"/>
  <c r="AA248" i="7"/>
  <c r="K249" i="7"/>
  <c r="W249" i="7"/>
  <c r="S250" i="7"/>
  <c r="C251" i="7"/>
  <c r="O251" i="7"/>
  <c r="AA251" i="7"/>
  <c r="K252" i="7"/>
  <c r="W252" i="7"/>
  <c r="S253" i="7"/>
  <c r="C254" i="7"/>
  <c r="O254" i="7"/>
  <c r="AA254" i="7"/>
  <c r="K255" i="7"/>
  <c r="W255" i="7"/>
  <c r="S256" i="7"/>
  <c r="C257" i="7"/>
  <c r="O257" i="7"/>
  <c r="AA257" i="7"/>
  <c r="K258" i="7"/>
  <c r="W258" i="7"/>
  <c r="S259" i="7"/>
  <c r="C260" i="7"/>
  <c r="O260" i="7"/>
  <c r="AA260" i="7"/>
  <c r="K261" i="7"/>
  <c r="W261" i="7"/>
  <c r="S262" i="7"/>
  <c r="AB185" i="7"/>
  <c r="E189" i="7"/>
  <c r="L191" i="7"/>
  <c r="M193" i="7"/>
  <c r="L195" i="7"/>
  <c r="H197" i="7"/>
  <c r="T198" i="7"/>
  <c r="C200" i="7"/>
  <c r="N201" i="7"/>
  <c r="W202" i="7"/>
  <c r="AA203" i="7"/>
  <c r="AB204" i="7"/>
  <c r="X205" i="7"/>
  <c r="S206" i="7"/>
  <c r="K207" i="7"/>
  <c r="D208" i="7"/>
  <c r="L209" i="7"/>
  <c r="AD209" i="7"/>
  <c r="T210" i="7"/>
  <c r="H211" i="7"/>
  <c r="W211" i="7"/>
  <c r="I212" i="7"/>
  <c r="Y212" i="7"/>
  <c r="K213" i="7"/>
  <c r="Y213" i="7"/>
  <c r="K214" i="7"/>
  <c r="Y214" i="7"/>
  <c r="M215" i="7"/>
  <c r="AA215" i="7"/>
  <c r="M216" i="7"/>
  <c r="AA216" i="7"/>
  <c r="M217" i="7"/>
  <c r="AC217" i="7"/>
  <c r="O218" i="7"/>
  <c r="AC218" i="7"/>
  <c r="O219" i="7"/>
  <c r="AC219" i="7"/>
  <c r="Q220" i="7"/>
  <c r="C221" i="7"/>
  <c r="Q221" i="7"/>
  <c r="C222" i="7"/>
  <c r="Q222" i="7"/>
  <c r="E223" i="7"/>
  <c r="S223" i="7"/>
  <c r="E224" i="7"/>
  <c r="S224" i="7"/>
  <c r="E225" i="7"/>
  <c r="T225" i="7"/>
  <c r="E226" i="7"/>
  <c r="R226" i="7"/>
  <c r="C227" i="7"/>
  <c r="P227" i="7"/>
  <c r="AB227" i="7"/>
  <c r="L228" i="7"/>
  <c r="X228" i="7"/>
  <c r="H229" i="7"/>
  <c r="T229" i="7"/>
  <c r="D230" i="7"/>
  <c r="P230" i="7"/>
  <c r="AB230" i="7"/>
  <c r="L231" i="7"/>
  <c r="X231" i="7"/>
  <c r="H232" i="7"/>
  <c r="T232" i="7"/>
  <c r="D233" i="7"/>
  <c r="P233" i="7"/>
  <c r="AB233" i="7"/>
  <c r="L234" i="7"/>
  <c r="X234" i="7"/>
  <c r="H235" i="7"/>
  <c r="T235" i="7"/>
  <c r="D236" i="7"/>
  <c r="P236" i="7"/>
  <c r="AB236" i="7"/>
  <c r="L237" i="7"/>
  <c r="X237" i="7"/>
  <c r="H238" i="7"/>
  <c r="T238" i="7"/>
  <c r="D239" i="7"/>
  <c r="P239" i="7"/>
  <c r="AB239" i="7"/>
  <c r="L240" i="7"/>
  <c r="X240" i="7"/>
  <c r="H241" i="7"/>
  <c r="T241" i="7"/>
  <c r="D242" i="7"/>
  <c r="P242" i="7"/>
  <c r="AB242" i="7"/>
  <c r="L243" i="7"/>
  <c r="X243" i="7"/>
  <c r="H244" i="7"/>
  <c r="T244" i="7"/>
  <c r="D245" i="7"/>
  <c r="P245" i="7"/>
  <c r="AB245" i="7"/>
  <c r="L246" i="7"/>
  <c r="X246" i="7"/>
  <c r="H247" i="7"/>
  <c r="T247" i="7"/>
  <c r="D248" i="7"/>
  <c r="P248" i="7"/>
  <c r="AB248" i="7"/>
  <c r="L249" i="7"/>
  <c r="X249" i="7"/>
  <c r="H250" i="7"/>
  <c r="T250" i="7"/>
  <c r="D251" i="7"/>
  <c r="P251" i="7"/>
  <c r="AB251" i="7"/>
  <c r="L252" i="7"/>
  <c r="X252" i="7"/>
  <c r="H253" i="7"/>
  <c r="T253" i="7"/>
  <c r="D254" i="7"/>
  <c r="P254" i="7"/>
  <c r="AB254" i="7"/>
  <c r="L255" i="7"/>
  <c r="I186" i="7"/>
  <c r="F189" i="7"/>
  <c r="M191" i="7"/>
  <c r="N193" i="7"/>
  <c r="M195" i="7"/>
  <c r="I197" i="7"/>
  <c r="U198" i="7"/>
  <c r="D200" i="7"/>
  <c r="O201" i="7"/>
  <c r="X202" i="7"/>
  <c r="C204" i="7"/>
  <c r="AC204" i="7"/>
  <c r="Y205" i="7"/>
  <c r="T206" i="7"/>
  <c r="N207" i="7"/>
  <c r="E208" i="7"/>
  <c r="W208" i="7"/>
  <c r="M209" i="7"/>
  <c r="C210" i="7"/>
  <c r="U210" i="7"/>
  <c r="I211" i="7"/>
  <c r="X211" i="7"/>
  <c r="L212" i="7"/>
  <c r="Z212" i="7"/>
  <c r="L213" i="7"/>
  <c r="Z213" i="7"/>
  <c r="L214" i="7"/>
  <c r="AB214" i="7"/>
  <c r="N215" i="7"/>
  <c r="AB215" i="7"/>
  <c r="N216" i="7"/>
  <c r="AB216" i="7"/>
  <c r="P217" i="7"/>
  <c r="AD217" i="7"/>
  <c r="P218" i="7"/>
  <c r="AD218" i="7"/>
  <c r="P219" i="7"/>
  <c r="D220" i="7"/>
  <c r="R220" i="7"/>
  <c r="D221" i="7"/>
  <c r="R221" i="7"/>
  <c r="D222" i="7"/>
  <c r="T222" i="7"/>
  <c r="F223" i="7"/>
  <c r="T223" i="7"/>
  <c r="F224" i="7"/>
  <c r="T224" i="7"/>
  <c r="H225" i="7"/>
  <c r="U225" i="7"/>
  <c r="F226" i="7"/>
  <c r="S226" i="7"/>
  <c r="D227" i="7"/>
  <c r="Q227" i="7"/>
  <c r="AC227" i="7"/>
  <c r="M228" i="7"/>
  <c r="Y228" i="7"/>
  <c r="I229" i="7"/>
  <c r="U229" i="7"/>
  <c r="E230" i="7"/>
  <c r="Q230" i="7"/>
  <c r="AC230" i="7"/>
  <c r="M231" i="7"/>
  <c r="Y231" i="7"/>
  <c r="I232" i="7"/>
  <c r="U232" i="7"/>
  <c r="E233" i="7"/>
  <c r="Q233" i="7"/>
  <c r="AC233" i="7"/>
  <c r="M234" i="7"/>
  <c r="Y234" i="7"/>
  <c r="I235" i="7"/>
  <c r="U235" i="7"/>
  <c r="E236" i="7"/>
  <c r="Q236" i="7"/>
  <c r="AC236" i="7"/>
  <c r="M237" i="7"/>
  <c r="P186" i="7"/>
  <c r="L189" i="7"/>
  <c r="Q191" i="7"/>
  <c r="S193" i="7"/>
  <c r="Q195" i="7"/>
  <c r="J197" i="7"/>
  <c r="E200" i="7"/>
  <c r="P201" i="7"/>
  <c r="Y202" i="7"/>
  <c r="D204" i="7"/>
  <c r="D205" i="7"/>
  <c r="AB205" i="7"/>
  <c r="U206" i="7"/>
  <c r="O207" i="7"/>
  <c r="X208" i="7"/>
  <c r="O209" i="7"/>
  <c r="D210" i="7"/>
  <c r="W210" i="7"/>
  <c r="J211" i="7"/>
  <c r="Y211" i="7"/>
  <c r="M212" i="7"/>
  <c r="AA212" i="7"/>
  <c r="M213" i="7"/>
  <c r="AA213" i="7"/>
  <c r="M214" i="7"/>
  <c r="AC214" i="7"/>
  <c r="O215" i="7"/>
  <c r="AC215" i="7"/>
  <c r="O216" i="7"/>
  <c r="Y186" i="7"/>
  <c r="U189" i="7"/>
  <c r="Z191" i="7"/>
  <c r="AB193" i="7"/>
  <c r="Y195" i="7"/>
  <c r="N197" i="7"/>
  <c r="Y198" i="7"/>
  <c r="H200" i="7"/>
  <c r="T201" i="7"/>
  <c r="AB202" i="7"/>
  <c r="E204" i="7"/>
  <c r="E205" i="7"/>
  <c r="AC205" i="7"/>
  <c r="X206" i="7"/>
  <c r="P207" i="7"/>
  <c r="I208" i="7"/>
  <c r="Y208" i="7"/>
  <c r="Q209" i="7"/>
  <c r="E210" i="7"/>
  <c r="X210" i="7"/>
  <c r="K211" i="7"/>
  <c r="AB211" i="7"/>
  <c r="N212" i="7"/>
  <c r="AB212" i="7"/>
  <c r="N213" i="7"/>
  <c r="AB213" i="7"/>
  <c r="P214" i="7"/>
  <c r="AD214" i="7"/>
  <c r="P215" i="7"/>
  <c r="AD215" i="7"/>
  <c r="P216" i="7"/>
  <c r="D217" i="7"/>
  <c r="R217" i="7"/>
  <c r="D218" i="7"/>
  <c r="R218" i="7"/>
  <c r="D219" i="7"/>
  <c r="T219" i="7"/>
  <c r="F220" i="7"/>
  <c r="T220" i="7"/>
  <c r="F221" i="7"/>
  <c r="T221" i="7"/>
  <c r="H222" i="7"/>
  <c r="H223" i="7"/>
  <c r="H224" i="7"/>
  <c r="X224" i="7"/>
  <c r="J225" i="7"/>
  <c r="W225" i="7"/>
  <c r="H226" i="7"/>
  <c r="U226" i="7"/>
  <c r="F227" i="7"/>
  <c r="S227" i="7"/>
  <c r="C228" i="7"/>
  <c r="O228" i="7"/>
  <c r="AA228" i="7"/>
  <c r="K229" i="7"/>
  <c r="W229" i="7"/>
  <c r="S230" i="7"/>
  <c r="C231" i="7"/>
  <c r="O231" i="7"/>
  <c r="AA231" i="7"/>
  <c r="K232" i="7"/>
  <c r="W232" i="7"/>
  <c r="S233" i="7"/>
  <c r="C234" i="7"/>
  <c r="O234" i="7"/>
  <c r="AA234" i="7"/>
  <c r="K235" i="7"/>
  <c r="W235" i="7"/>
  <c r="S236" i="7"/>
  <c r="C237" i="7"/>
  <c r="O237" i="7"/>
  <c r="AA237" i="7"/>
  <c r="D187" i="7"/>
  <c r="AA191" i="7"/>
  <c r="AC193" i="7"/>
  <c r="Z195" i="7"/>
  <c r="U197" i="7"/>
  <c r="E199" i="7"/>
  <c r="P200" i="7"/>
  <c r="AA201" i="7"/>
  <c r="H204" i="7"/>
  <c r="C206" i="7"/>
  <c r="Y206" i="7"/>
  <c r="Q207" i="7"/>
  <c r="J208" i="7"/>
  <c r="AB208" i="7"/>
  <c r="R209" i="7"/>
  <c r="H210" i="7"/>
  <c r="Y210" i="7"/>
  <c r="L211" i="7"/>
  <c r="AC211" i="7"/>
  <c r="O212" i="7"/>
  <c r="AC212" i="7"/>
  <c r="O213" i="7"/>
  <c r="AC213" i="7"/>
  <c r="Q214" i="7"/>
  <c r="C215" i="7"/>
  <c r="Q215" i="7"/>
  <c r="C216" i="7"/>
  <c r="Q216" i="7"/>
  <c r="E217" i="7"/>
  <c r="S217" i="7"/>
  <c r="E218" i="7"/>
  <c r="S218" i="7"/>
  <c r="E219" i="7"/>
  <c r="U219" i="7"/>
  <c r="U220" i="7"/>
  <c r="U221" i="7"/>
  <c r="I222" i="7"/>
  <c r="W222" i="7"/>
  <c r="I223" i="7"/>
  <c r="W223" i="7"/>
  <c r="I224" i="7"/>
  <c r="Y224" i="7"/>
  <c r="K225" i="7"/>
  <c r="X225" i="7"/>
  <c r="I226" i="7"/>
  <c r="T227" i="7"/>
  <c r="D228" i="7"/>
  <c r="P228" i="7"/>
  <c r="AB228" i="7"/>
  <c r="L229" i="7"/>
  <c r="X229" i="7"/>
  <c r="H230" i="7"/>
  <c r="T230" i="7"/>
  <c r="D231" i="7"/>
  <c r="P231" i="7"/>
  <c r="AB231" i="7"/>
  <c r="L232" i="7"/>
  <c r="X232" i="7"/>
  <c r="H233" i="7"/>
  <c r="T233" i="7"/>
  <c r="D234" i="7"/>
  <c r="P234" i="7"/>
  <c r="AB234" i="7"/>
  <c r="L235" i="7"/>
  <c r="X235" i="7"/>
  <c r="H236" i="7"/>
  <c r="T236" i="7"/>
  <c r="D237" i="7"/>
  <c r="P237" i="7"/>
  <c r="AB237" i="7"/>
  <c r="L238" i="7"/>
  <c r="X238" i="7"/>
  <c r="H239" i="7"/>
  <c r="T239" i="7"/>
  <c r="D240" i="7"/>
  <c r="P240" i="7"/>
  <c r="AB240" i="7"/>
  <c r="L241" i="7"/>
  <c r="X241" i="7"/>
  <c r="H242" i="7"/>
  <c r="T242" i="7"/>
  <c r="D243" i="7"/>
  <c r="P243" i="7"/>
  <c r="AB243" i="7"/>
  <c r="L244" i="7"/>
  <c r="X244" i="7"/>
  <c r="H245" i="7"/>
  <c r="T245" i="7"/>
  <c r="D246" i="7"/>
  <c r="P246" i="7"/>
  <c r="AB246" i="7"/>
  <c r="L247" i="7"/>
  <c r="X247" i="7"/>
  <c r="H248" i="7"/>
  <c r="T248" i="7"/>
  <c r="D249" i="7"/>
  <c r="P249" i="7"/>
  <c r="AB249" i="7"/>
  <c r="L250" i="7"/>
  <c r="X250" i="7"/>
  <c r="H251" i="7"/>
  <c r="T251" i="7"/>
  <c r="D252" i="7"/>
  <c r="P252" i="7"/>
  <c r="AB252" i="7"/>
  <c r="L253" i="7"/>
  <c r="X253" i="7"/>
  <c r="H254" i="7"/>
  <c r="T254" i="7"/>
  <c r="D255" i="7"/>
  <c r="P255" i="7"/>
  <c r="AB255" i="7"/>
  <c r="L256" i="7"/>
  <c r="X256" i="7"/>
  <c r="H257" i="7"/>
  <c r="T257" i="7"/>
  <c r="D258" i="7"/>
  <c r="AC216" i="7"/>
  <c r="Z228" i="7"/>
  <c r="AD233" i="7"/>
  <c r="J238" i="7"/>
  <c r="AD239" i="7"/>
  <c r="N243" i="7"/>
  <c r="F245" i="7"/>
  <c r="N246" i="7"/>
  <c r="AD248" i="7"/>
  <c r="J250" i="7"/>
  <c r="R251" i="7"/>
  <c r="Z252" i="7"/>
  <c r="E254" i="7"/>
  <c r="C255" i="7"/>
  <c r="AC255" i="7"/>
  <c r="Y256" i="7"/>
  <c r="U257" i="7"/>
  <c r="P258" i="7"/>
  <c r="J259" i="7"/>
  <c r="D260" i="7"/>
  <c r="U260" i="7"/>
  <c r="M261" i="7"/>
  <c r="AC261" i="7"/>
  <c r="U262" i="7"/>
  <c r="H263" i="7"/>
  <c r="Y263" i="7"/>
  <c r="M264" i="7"/>
  <c r="AB264" i="7"/>
  <c r="Q217" i="7"/>
  <c r="U223" i="7"/>
  <c r="J229" i="7"/>
  <c r="N234" i="7"/>
  <c r="K238" i="7"/>
  <c r="C240" i="7"/>
  <c r="W241" i="7"/>
  <c r="O243" i="7"/>
  <c r="O246" i="7"/>
  <c r="W247" i="7"/>
  <c r="C249" i="7"/>
  <c r="K250" i="7"/>
  <c r="S251" i="7"/>
  <c r="AA252" i="7"/>
  <c r="F254" i="7"/>
  <c r="E255" i="7"/>
  <c r="AD255" i="7"/>
  <c r="Z256" i="7"/>
  <c r="Q258" i="7"/>
  <c r="K259" i="7"/>
  <c r="E260" i="7"/>
  <c r="N261" i="7"/>
  <c r="AD261" i="7"/>
  <c r="I263" i="7"/>
  <c r="AA263" i="7"/>
  <c r="N264" i="7"/>
  <c r="AC264" i="7"/>
  <c r="S265" i="7"/>
  <c r="F266" i="7"/>
  <c r="U266" i="7"/>
  <c r="K267" i="7"/>
  <c r="Z267" i="7"/>
  <c r="M268" i="7"/>
  <c r="C269" i="7"/>
  <c r="R269" i="7"/>
  <c r="E270" i="7"/>
  <c r="W270" i="7"/>
  <c r="J271" i="7"/>
  <c r="Y271" i="7"/>
  <c r="O272" i="7"/>
  <c r="AC272" i="7"/>
  <c r="O273" i="7"/>
  <c r="AC273" i="7"/>
  <c r="P274" i="7"/>
  <c r="AC274" i="7"/>
  <c r="O275" i="7"/>
  <c r="AB275" i="7"/>
  <c r="M276" i="7"/>
  <c r="Z276" i="7"/>
  <c r="K277" i="7"/>
  <c r="X277" i="7"/>
  <c r="I278" i="7"/>
  <c r="F279" i="7"/>
  <c r="R279" i="7"/>
  <c r="AD279" i="7"/>
  <c r="N280" i="7"/>
  <c r="Z280" i="7"/>
  <c r="J281" i="7"/>
  <c r="F282" i="7"/>
  <c r="R282" i="7"/>
  <c r="AD282" i="7"/>
  <c r="N283" i="7"/>
  <c r="Z283" i="7"/>
  <c r="J284" i="7"/>
  <c r="F285" i="7"/>
  <c r="R285" i="7"/>
  <c r="AD285" i="7"/>
  <c r="N286" i="7"/>
  <c r="Z286" i="7"/>
  <c r="J287" i="7"/>
  <c r="F288" i="7"/>
  <c r="R288" i="7"/>
  <c r="AD288" i="7"/>
  <c r="N289" i="7"/>
  <c r="Z289" i="7"/>
  <c r="J290" i="7"/>
  <c r="F291" i="7"/>
  <c r="R291" i="7"/>
  <c r="C218" i="7"/>
  <c r="Z234" i="7"/>
  <c r="U238" i="7"/>
  <c r="M240" i="7"/>
  <c r="E242" i="7"/>
  <c r="Y243" i="7"/>
  <c r="I245" i="7"/>
  <c r="Q246" i="7"/>
  <c r="Y247" i="7"/>
  <c r="E249" i="7"/>
  <c r="M250" i="7"/>
  <c r="U251" i="7"/>
  <c r="AC252" i="7"/>
  <c r="F255" i="7"/>
  <c r="H256" i="7"/>
  <c r="D257" i="7"/>
  <c r="AB257" i="7"/>
  <c r="R258" i="7"/>
  <c r="L259" i="7"/>
  <c r="F260" i="7"/>
  <c r="Y260" i="7"/>
  <c r="O261" i="7"/>
  <c r="E262" i="7"/>
  <c r="W262" i="7"/>
  <c r="J263" i="7"/>
  <c r="AB263" i="7"/>
  <c r="O264" i="7"/>
  <c r="AD264" i="7"/>
  <c r="T265" i="7"/>
  <c r="L267" i="7"/>
  <c r="AA267" i="7"/>
  <c r="N268" i="7"/>
  <c r="D269" i="7"/>
  <c r="S269" i="7"/>
  <c r="F270" i="7"/>
  <c r="X270" i="7"/>
  <c r="K271" i="7"/>
  <c r="Z271" i="7"/>
  <c r="P272" i="7"/>
  <c r="AD272" i="7"/>
  <c r="Q218" i="7"/>
  <c r="U224" i="7"/>
  <c r="F230" i="7"/>
  <c r="J235" i="7"/>
  <c r="N240" i="7"/>
  <c r="F242" i="7"/>
  <c r="Z243" i="7"/>
  <c r="Q245" i="7"/>
  <c r="Y246" i="7"/>
  <c r="E248" i="7"/>
  <c r="M249" i="7"/>
  <c r="U250" i="7"/>
  <c r="AC251" i="7"/>
  <c r="I253" i="7"/>
  <c r="I254" i="7"/>
  <c r="M255" i="7"/>
  <c r="I256" i="7"/>
  <c r="E257" i="7"/>
  <c r="AC257" i="7"/>
  <c r="X258" i="7"/>
  <c r="M259" i="7"/>
  <c r="AB260" i="7"/>
  <c r="P261" i="7"/>
  <c r="H262" i="7"/>
  <c r="X262" i="7"/>
  <c r="M263" i="7"/>
  <c r="AC263" i="7"/>
  <c r="P264" i="7"/>
  <c r="E265" i="7"/>
  <c r="U265" i="7"/>
  <c r="H266" i="7"/>
  <c r="Y266" i="7"/>
  <c r="M267" i="7"/>
  <c r="AB267" i="7"/>
  <c r="Q268" i="7"/>
  <c r="E269" i="7"/>
  <c r="T269" i="7"/>
  <c r="I270" i="7"/>
  <c r="Y270" i="7"/>
  <c r="L271" i="7"/>
  <c r="AC271" i="7"/>
  <c r="Q272" i="7"/>
  <c r="C273" i="7"/>
  <c r="Q273" i="7"/>
  <c r="D274" i="7"/>
  <c r="S274" i="7"/>
  <c r="D275" i="7"/>
  <c r="Q275" i="7"/>
  <c r="AD275" i="7"/>
  <c r="O276" i="7"/>
  <c r="AB276" i="7"/>
  <c r="M277" i="7"/>
  <c r="Z277" i="7"/>
  <c r="K278" i="7"/>
  <c r="X278" i="7"/>
  <c r="H279" i="7"/>
  <c r="T279" i="7"/>
  <c r="D280" i="7"/>
  <c r="P280" i="7"/>
  <c r="AB280" i="7"/>
  <c r="L281" i="7"/>
  <c r="X281" i="7"/>
  <c r="H282" i="7"/>
  <c r="T282" i="7"/>
  <c r="D283" i="7"/>
  <c r="P283" i="7"/>
  <c r="AB283" i="7"/>
  <c r="L284" i="7"/>
  <c r="X284" i="7"/>
  <c r="H285" i="7"/>
  <c r="T285" i="7"/>
  <c r="D286" i="7"/>
  <c r="P286" i="7"/>
  <c r="AB286" i="7"/>
  <c r="L287" i="7"/>
  <c r="X287" i="7"/>
  <c r="H288" i="7"/>
  <c r="T288" i="7"/>
  <c r="D289" i="7"/>
  <c r="P289" i="7"/>
  <c r="AB289" i="7"/>
  <c r="L290" i="7"/>
  <c r="X290" i="7"/>
  <c r="H291" i="7"/>
  <c r="T291" i="7"/>
  <c r="D292" i="7"/>
  <c r="P292" i="7"/>
  <c r="AB292" i="7"/>
  <c r="L293" i="7"/>
  <c r="X293" i="7"/>
  <c r="H294" i="7"/>
  <c r="T294" i="7"/>
  <c r="C219" i="7"/>
  <c r="I225" i="7"/>
  <c r="R230" i="7"/>
  <c r="W238" i="7"/>
  <c r="O240" i="7"/>
  <c r="AA243" i="7"/>
  <c r="R245" i="7"/>
  <c r="Z246" i="7"/>
  <c r="F248" i="7"/>
  <c r="N249" i="7"/>
  <c r="AD251" i="7"/>
  <c r="J253" i="7"/>
  <c r="J254" i="7"/>
  <c r="N255" i="7"/>
  <c r="J256" i="7"/>
  <c r="F257" i="7"/>
  <c r="AD257" i="7"/>
  <c r="Y258" i="7"/>
  <c r="N259" i="7"/>
  <c r="H260" i="7"/>
  <c r="AC260" i="7"/>
  <c r="Q261" i="7"/>
  <c r="I262" i="7"/>
  <c r="Y262" i="7"/>
  <c r="O263" i="7"/>
  <c r="AD263" i="7"/>
  <c r="Q264" i="7"/>
  <c r="I266" i="7"/>
  <c r="AA266" i="7"/>
  <c r="N267" i="7"/>
  <c r="AC267" i="7"/>
  <c r="S268" i="7"/>
  <c r="F269" i="7"/>
  <c r="U269" i="7"/>
  <c r="K270" i="7"/>
  <c r="Z270" i="7"/>
  <c r="M271" i="7"/>
  <c r="C272" i="7"/>
  <c r="R272" i="7"/>
  <c r="D273" i="7"/>
  <c r="R273" i="7"/>
  <c r="E274" i="7"/>
  <c r="T274" i="7"/>
  <c r="E275" i="7"/>
  <c r="R275" i="7"/>
  <c r="C276" i="7"/>
  <c r="P276" i="7"/>
  <c r="AC276" i="7"/>
  <c r="N277" i="7"/>
  <c r="AA277" i="7"/>
  <c r="L278" i="7"/>
  <c r="Y278" i="7"/>
  <c r="I279" i="7"/>
  <c r="U279" i="7"/>
  <c r="E280" i="7"/>
  <c r="Q280" i="7"/>
  <c r="AC280" i="7"/>
  <c r="M281" i="7"/>
  <c r="Y281" i="7"/>
  <c r="I282" i="7"/>
  <c r="U282" i="7"/>
  <c r="E283" i="7"/>
  <c r="Q283" i="7"/>
  <c r="AC283" i="7"/>
  <c r="M284" i="7"/>
  <c r="Y284" i="7"/>
  <c r="I285" i="7"/>
  <c r="U285" i="7"/>
  <c r="E286" i="7"/>
  <c r="Q286" i="7"/>
  <c r="AC286" i="7"/>
  <c r="M287" i="7"/>
  <c r="Y287" i="7"/>
  <c r="I288" i="7"/>
  <c r="U288" i="7"/>
  <c r="E289" i="7"/>
  <c r="Q289" i="7"/>
  <c r="AC289" i="7"/>
  <c r="M290" i="7"/>
  <c r="Y290" i="7"/>
  <c r="I291" i="7"/>
  <c r="U291" i="7"/>
  <c r="E292" i="7"/>
  <c r="Q292" i="7"/>
  <c r="AC292" i="7"/>
  <c r="M293" i="7"/>
  <c r="Y293" i="7"/>
  <c r="I294" i="7"/>
  <c r="U294" i="7"/>
  <c r="E295" i="7"/>
  <c r="Q295" i="7"/>
  <c r="AC295" i="7"/>
  <c r="M296" i="7"/>
  <c r="Y296" i="7"/>
  <c r="I297" i="7"/>
  <c r="U297" i="7"/>
  <c r="E298" i="7"/>
  <c r="Q298" i="7"/>
  <c r="AC298" i="7"/>
  <c r="M299" i="7"/>
  <c r="Y299" i="7"/>
  <c r="Q219" i="7"/>
  <c r="AD230" i="7"/>
  <c r="F236" i="7"/>
  <c r="E239" i="7"/>
  <c r="Y240" i="7"/>
  <c r="Q242" i="7"/>
  <c r="I244" i="7"/>
  <c r="S245" i="7"/>
  <c r="AA246" i="7"/>
  <c r="O249" i="7"/>
  <c r="W250" i="7"/>
  <c r="C252" i="7"/>
  <c r="K253" i="7"/>
  <c r="Q254" i="7"/>
  <c r="O255" i="7"/>
  <c r="K256" i="7"/>
  <c r="C258" i="7"/>
  <c r="Z258" i="7"/>
  <c r="T259" i="7"/>
  <c r="I260" i="7"/>
  <c r="AD260" i="7"/>
  <c r="R261" i="7"/>
  <c r="J262" i="7"/>
  <c r="Z262" i="7"/>
  <c r="P263" i="7"/>
  <c r="C264" i="7"/>
  <c r="R264" i="7"/>
  <c r="H265" i="7"/>
  <c r="W265" i="7"/>
  <c r="J266" i="7"/>
  <c r="AB266" i="7"/>
  <c r="O267" i="7"/>
  <c r="AD267" i="7"/>
  <c r="T268" i="7"/>
  <c r="L270" i="7"/>
  <c r="AA270" i="7"/>
  <c r="N271" i="7"/>
  <c r="D272" i="7"/>
  <c r="S272" i="7"/>
  <c r="E273" i="7"/>
  <c r="T273" i="7"/>
  <c r="U274" i="7"/>
  <c r="F275" i="7"/>
  <c r="S275" i="7"/>
  <c r="D276" i="7"/>
  <c r="Q276" i="7"/>
  <c r="AD276" i="7"/>
  <c r="O277" i="7"/>
  <c r="AB277" i="7"/>
  <c r="M278" i="7"/>
  <c r="E220" i="7"/>
  <c r="N231" i="7"/>
  <c r="R236" i="7"/>
  <c r="F239" i="7"/>
  <c r="Z240" i="7"/>
  <c r="R242" i="7"/>
  <c r="J244" i="7"/>
  <c r="U245" i="7"/>
  <c r="AC246" i="7"/>
  <c r="I248" i="7"/>
  <c r="Q249" i="7"/>
  <c r="Y250" i="7"/>
  <c r="E252" i="7"/>
  <c r="M253" i="7"/>
  <c r="R254" i="7"/>
  <c r="Q255" i="7"/>
  <c r="M256" i="7"/>
  <c r="I257" i="7"/>
  <c r="E258" i="7"/>
  <c r="AA258" i="7"/>
  <c r="U259" i="7"/>
  <c r="J260" i="7"/>
  <c r="C261" i="7"/>
  <c r="U261" i="7"/>
  <c r="K262" i="7"/>
  <c r="AC262" i="7"/>
  <c r="Q263" i="7"/>
  <c r="D264" i="7"/>
  <c r="U264" i="7"/>
  <c r="I265" i="7"/>
  <c r="X265" i="7"/>
  <c r="M266" i="7"/>
  <c r="AC266" i="7"/>
  <c r="P267" i="7"/>
  <c r="E268" i="7"/>
  <c r="U268" i="7"/>
  <c r="H269" i="7"/>
  <c r="Y269" i="7"/>
  <c r="M270" i="7"/>
  <c r="AB270" i="7"/>
  <c r="Q271" i="7"/>
  <c r="E272" i="7"/>
  <c r="T272" i="7"/>
  <c r="F273" i="7"/>
  <c r="U273" i="7"/>
  <c r="H274" i="7"/>
  <c r="T275" i="7"/>
  <c r="E276" i="7"/>
  <c r="R276" i="7"/>
  <c r="C277" i="7"/>
  <c r="P277" i="7"/>
  <c r="AC277" i="7"/>
  <c r="O278" i="7"/>
  <c r="AA278" i="7"/>
  <c r="K279" i="7"/>
  <c r="W279" i="7"/>
  <c r="S280" i="7"/>
  <c r="C281" i="7"/>
  <c r="O281" i="7"/>
  <c r="AA281" i="7"/>
  <c r="K282" i="7"/>
  <c r="S220" i="7"/>
  <c r="T226" i="7"/>
  <c r="Z231" i="7"/>
  <c r="AD236" i="7"/>
  <c r="AA240" i="7"/>
  <c r="S242" i="7"/>
  <c r="K244" i="7"/>
  <c r="AC245" i="7"/>
  <c r="I247" i="7"/>
  <c r="Q248" i="7"/>
  <c r="Y249" i="7"/>
  <c r="E251" i="7"/>
  <c r="M252" i="7"/>
  <c r="U253" i="7"/>
  <c r="S254" i="7"/>
  <c r="R255" i="7"/>
  <c r="N256" i="7"/>
  <c r="J257" i="7"/>
  <c r="F258" i="7"/>
  <c r="AB258" i="7"/>
  <c r="P260" i="7"/>
  <c r="D261" i="7"/>
  <c r="X261" i="7"/>
  <c r="L262" i="7"/>
  <c r="C263" i="7"/>
  <c r="R263" i="7"/>
  <c r="E264" i="7"/>
  <c r="W264" i="7"/>
  <c r="J265" i="7"/>
  <c r="Y265" i="7"/>
  <c r="O266" i="7"/>
  <c r="AD266" i="7"/>
  <c r="Q267" i="7"/>
  <c r="I269" i="7"/>
  <c r="AA269" i="7"/>
  <c r="N270" i="7"/>
  <c r="AC270" i="7"/>
  <c r="S271" i="7"/>
  <c r="F272" i="7"/>
  <c r="U272" i="7"/>
  <c r="H273" i="7"/>
  <c r="W273" i="7"/>
  <c r="I274" i="7"/>
  <c r="W274" i="7"/>
  <c r="H275" i="7"/>
  <c r="U275" i="7"/>
  <c r="F276" i="7"/>
  <c r="S276" i="7"/>
  <c r="D277" i="7"/>
  <c r="Q277" i="7"/>
  <c r="C278" i="7"/>
  <c r="E221" i="7"/>
  <c r="E227" i="7"/>
  <c r="J232" i="7"/>
  <c r="N237" i="7"/>
  <c r="Q239" i="7"/>
  <c r="I241" i="7"/>
  <c r="AC242" i="7"/>
  <c r="U244" i="7"/>
  <c r="AD245" i="7"/>
  <c r="J247" i="7"/>
  <c r="R248" i="7"/>
  <c r="Z249" i="7"/>
  <c r="F251" i="7"/>
  <c r="N252" i="7"/>
  <c r="U254" i="7"/>
  <c r="X255" i="7"/>
  <c r="T256" i="7"/>
  <c r="P257" i="7"/>
  <c r="L258" i="7"/>
  <c r="AC258" i="7"/>
  <c r="W259" i="7"/>
  <c r="Q260" i="7"/>
  <c r="E261" i="7"/>
  <c r="Y261" i="7"/>
  <c r="M262" i="7"/>
  <c r="D263" i="7"/>
  <c r="S263" i="7"/>
  <c r="F264" i="7"/>
  <c r="X264" i="7"/>
  <c r="K265" i="7"/>
  <c r="Z265" i="7"/>
  <c r="P266" i="7"/>
  <c r="C267" i="7"/>
  <c r="R267" i="7"/>
  <c r="H268" i="7"/>
  <c r="W268" i="7"/>
  <c r="J269" i="7"/>
  <c r="AB269" i="7"/>
  <c r="O270" i="7"/>
  <c r="AD270" i="7"/>
  <c r="T271" i="7"/>
  <c r="I273" i="7"/>
  <c r="X273" i="7"/>
  <c r="J274" i="7"/>
  <c r="X274" i="7"/>
  <c r="I275" i="7"/>
  <c r="T276" i="7"/>
  <c r="E277" i="7"/>
  <c r="S277" i="7"/>
  <c r="D278" i="7"/>
  <c r="Q278" i="7"/>
  <c r="AC278" i="7"/>
  <c r="M279" i="7"/>
  <c r="Y279" i="7"/>
  <c r="I280" i="7"/>
  <c r="U280" i="7"/>
  <c r="E281" i="7"/>
  <c r="Q281" i="7"/>
  <c r="AC281" i="7"/>
  <c r="M282" i="7"/>
  <c r="Y282" i="7"/>
  <c r="I283" i="7"/>
  <c r="U283" i="7"/>
  <c r="E284" i="7"/>
  <c r="Q284" i="7"/>
  <c r="AC284" i="7"/>
  <c r="M285" i="7"/>
  <c r="Y285" i="7"/>
  <c r="I286" i="7"/>
  <c r="U286" i="7"/>
  <c r="E287" i="7"/>
  <c r="Q287" i="7"/>
  <c r="AC287" i="7"/>
  <c r="M288" i="7"/>
  <c r="Y288" i="7"/>
  <c r="I289" i="7"/>
  <c r="U289" i="7"/>
  <c r="E290" i="7"/>
  <c r="Q290" i="7"/>
  <c r="AC290" i="7"/>
  <c r="M291" i="7"/>
  <c r="Y291" i="7"/>
  <c r="I292" i="7"/>
  <c r="U292" i="7"/>
  <c r="E293" i="7"/>
  <c r="Q293" i="7"/>
  <c r="AC293" i="7"/>
  <c r="M294" i="7"/>
  <c r="Y294" i="7"/>
  <c r="I295" i="7"/>
  <c r="U295" i="7"/>
  <c r="E296" i="7"/>
  <c r="Q296" i="7"/>
  <c r="AC296" i="7"/>
  <c r="M297" i="7"/>
  <c r="Y297" i="7"/>
  <c r="I298" i="7"/>
  <c r="U298" i="7"/>
  <c r="E299" i="7"/>
  <c r="Q299" i="7"/>
  <c r="AC299" i="7"/>
  <c r="M300" i="7"/>
  <c r="Y300" i="7"/>
  <c r="I301" i="7"/>
  <c r="U301" i="7"/>
  <c r="E302" i="7"/>
  <c r="Q302" i="7"/>
  <c r="AC302" i="7"/>
  <c r="M303" i="7"/>
  <c r="Y303" i="7"/>
  <c r="S221" i="7"/>
  <c r="R227" i="7"/>
  <c r="Y237" i="7"/>
  <c r="R239" i="7"/>
  <c r="J241" i="7"/>
  <c r="AD242" i="7"/>
  <c r="C246" i="7"/>
  <c r="K247" i="7"/>
  <c r="S248" i="7"/>
  <c r="AA249" i="7"/>
  <c r="O252" i="7"/>
  <c r="W253" i="7"/>
  <c r="Y255" i="7"/>
  <c r="U256" i="7"/>
  <c r="Q257" i="7"/>
  <c r="M258" i="7"/>
  <c r="AD258" i="7"/>
  <c r="X259" i="7"/>
  <c r="R260" i="7"/>
  <c r="F261" i="7"/>
  <c r="Z261" i="7"/>
  <c r="N262" i="7"/>
  <c r="E263" i="7"/>
  <c r="T263" i="7"/>
  <c r="I264" i="7"/>
  <c r="Y264" i="7"/>
  <c r="L265" i="7"/>
  <c r="AC265" i="7"/>
  <c r="Q266" i="7"/>
  <c r="D267" i="7"/>
  <c r="U267" i="7"/>
  <c r="I268" i="7"/>
  <c r="X268" i="7"/>
  <c r="M269" i="7"/>
  <c r="AC269" i="7"/>
  <c r="P270" i="7"/>
  <c r="E271" i="7"/>
  <c r="U271" i="7"/>
  <c r="H272" i="7"/>
  <c r="X272" i="7"/>
  <c r="K273" i="7"/>
  <c r="Y273" i="7"/>
  <c r="K274" i="7"/>
  <c r="Y274" i="7"/>
  <c r="J275" i="7"/>
  <c r="W275" i="7"/>
  <c r="H276" i="7"/>
  <c r="U276" i="7"/>
  <c r="T277" i="7"/>
  <c r="E278" i="7"/>
  <c r="R278" i="7"/>
  <c r="AD278" i="7"/>
  <c r="N279" i="7"/>
  <c r="Z279" i="7"/>
  <c r="J280" i="7"/>
  <c r="F281" i="7"/>
  <c r="R281" i="7"/>
  <c r="AD281" i="7"/>
  <c r="N282" i="7"/>
  <c r="Z282" i="7"/>
  <c r="J283" i="7"/>
  <c r="F284" i="7"/>
  <c r="R284" i="7"/>
  <c r="AD284" i="7"/>
  <c r="N285" i="7"/>
  <c r="Z285" i="7"/>
  <c r="J286" i="7"/>
  <c r="F287" i="7"/>
  <c r="R287" i="7"/>
  <c r="AD287" i="7"/>
  <c r="N288" i="7"/>
  <c r="Z288" i="7"/>
  <c r="J289" i="7"/>
  <c r="F290" i="7"/>
  <c r="R290" i="7"/>
  <c r="AD290" i="7"/>
  <c r="N291" i="7"/>
  <c r="Z291" i="7"/>
  <c r="J292" i="7"/>
  <c r="F293" i="7"/>
  <c r="R293" i="7"/>
  <c r="AD293" i="7"/>
  <c r="N294" i="7"/>
  <c r="Z294" i="7"/>
  <c r="J295" i="7"/>
  <c r="F296" i="7"/>
  <c r="R296" i="7"/>
  <c r="AD296" i="7"/>
  <c r="N297" i="7"/>
  <c r="Z297" i="7"/>
  <c r="J298" i="7"/>
  <c r="F299" i="7"/>
  <c r="R299" i="7"/>
  <c r="AD299" i="7"/>
  <c r="N300" i="7"/>
  <c r="Z300" i="7"/>
  <c r="J301" i="7"/>
  <c r="F302" i="7"/>
  <c r="R302" i="7"/>
  <c r="AD302" i="7"/>
  <c r="N303" i="7"/>
  <c r="Z303" i="7"/>
  <c r="J304" i="7"/>
  <c r="F305" i="7"/>
  <c r="R305" i="7"/>
  <c r="AD305" i="7"/>
  <c r="E222" i="7"/>
  <c r="AD227" i="7"/>
  <c r="F233" i="7"/>
  <c r="Z237" i="7"/>
  <c r="S239" i="7"/>
  <c r="K241" i="7"/>
  <c r="C243" i="7"/>
  <c r="W244" i="7"/>
  <c r="E246" i="7"/>
  <c r="M247" i="7"/>
  <c r="U248" i="7"/>
  <c r="AC249" i="7"/>
  <c r="I251" i="7"/>
  <c r="Q252" i="7"/>
  <c r="Y253" i="7"/>
  <c r="AC254" i="7"/>
  <c r="Z255" i="7"/>
  <c r="R257" i="7"/>
  <c r="N258" i="7"/>
  <c r="H259" i="7"/>
  <c r="Y259" i="7"/>
  <c r="S260" i="7"/>
  <c r="I261" i="7"/>
  <c r="AA261" i="7"/>
  <c r="Q262" i="7"/>
  <c r="F263" i="7"/>
  <c r="U263" i="7"/>
  <c r="K264" i="7"/>
  <c r="Z264" i="7"/>
  <c r="M265" i="7"/>
  <c r="C266" i="7"/>
  <c r="R266" i="7"/>
  <c r="E267" i="7"/>
  <c r="U222" i="7"/>
  <c r="N228" i="7"/>
  <c r="R233" i="7"/>
  <c r="I238" i="7"/>
  <c r="AC239" i="7"/>
  <c r="U241" i="7"/>
  <c r="M243" i="7"/>
  <c r="E245" i="7"/>
  <c r="M246" i="7"/>
  <c r="U247" i="7"/>
  <c r="AC248" i="7"/>
  <c r="I250" i="7"/>
  <c r="Q251" i="7"/>
  <c r="Y252" i="7"/>
  <c r="Z253" i="7"/>
  <c r="AD254" i="7"/>
  <c r="AA255" i="7"/>
  <c r="W256" i="7"/>
  <c r="S257" i="7"/>
  <c r="O258" i="7"/>
  <c r="I259" i="7"/>
  <c r="Z259" i="7"/>
  <c r="T260" i="7"/>
  <c r="L261" i="7"/>
  <c r="AB261" i="7"/>
  <c r="T262" i="7"/>
  <c r="L264" i="7"/>
  <c r="AA264" i="7"/>
  <c r="N265" i="7"/>
  <c r="D266" i="7"/>
  <c r="S266" i="7"/>
  <c r="F267" i="7"/>
  <c r="X267" i="7"/>
  <c r="K268" i="7"/>
  <c r="Z268" i="7"/>
  <c r="P269" i="7"/>
  <c r="C270" i="7"/>
  <c r="R270" i="7"/>
  <c r="H271" i="7"/>
  <c r="W271" i="7"/>
  <c r="J272" i="7"/>
  <c r="AA272" i="7"/>
  <c r="M273" i="7"/>
  <c r="AA273" i="7"/>
  <c r="M274" i="7"/>
  <c r="AA274" i="7"/>
  <c r="L275" i="7"/>
  <c r="Y275" i="7"/>
  <c r="K276" i="7"/>
  <c r="X276" i="7"/>
  <c r="I277" i="7"/>
  <c r="T278" i="7"/>
  <c r="D279" i="7"/>
  <c r="P279" i="7"/>
  <c r="AB279" i="7"/>
  <c r="L280" i="7"/>
  <c r="X280" i="7"/>
  <c r="H281" i="7"/>
  <c r="T281" i="7"/>
  <c r="D282" i="7"/>
  <c r="P282" i="7"/>
  <c r="AB282" i="7"/>
  <c r="L283" i="7"/>
  <c r="X283" i="7"/>
  <c r="H284" i="7"/>
  <c r="T284" i="7"/>
  <c r="D285" i="7"/>
  <c r="P285" i="7"/>
  <c r="AB285" i="7"/>
  <c r="L286" i="7"/>
  <c r="X286" i="7"/>
  <c r="H287" i="7"/>
  <c r="T287" i="7"/>
  <c r="D288" i="7"/>
  <c r="P288" i="7"/>
  <c r="AB288" i="7"/>
  <c r="L289" i="7"/>
  <c r="X289" i="7"/>
  <c r="H290" i="7"/>
  <c r="T290" i="7"/>
  <c r="D291" i="7"/>
  <c r="P291" i="7"/>
  <c r="AB291" i="7"/>
  <c r="L292" i="7"/>
  <c r="X292" i="7"/>
  <c r="H293" i="7"/>
  <c r="T293" i="7"/>
  <c r="D294" i="7"/>
  <c r="P294" i="7"/>
  <c r="AB294" i="7"/>
  <c r="L295" i="7"/>
  <c r="X295" i="7"/>
  <c r="H296" i="7"/>
  <c r="T296" i="7"/>
  <c r="D297" i="7"/>
  <c r="P297" i="7"/>
  <c r="AB297" i="7"/>
  <c r="L298" i="7"/>
  <c r="X298" i="7"/>
  <c r="H299" i="7"/>
  <c r="T299" i="7"/>
  <c r="D300" i="7"/>
  <c r="P300" i="7"/>
  <c r="AB300" i="7"/>
  <c r="L301" i="7"/>
  <c r="X301" i="7"/>
  <c r="H302" i="7"/>
  <c r="Q265" i="7"/>
  <c r="AD269" i="7"/>
  <c r="L273" i="7"/>
  <c r="K275" i="7"/>
  <c r="H277" i="7"/>
  <c r="W278" i="7"/>
  <c r="X279" i="7"/>
  <c r="Y280" i="7"/>
  <c r="Z281" i="7"/>
  <c r="X282" i="7"/>
  <c r="T283" i="7"/>
  <c r="P284" i="7"/>
  <c r="L285" i="7"/>
  <c r="H286" i="7"/>
  <c r="D287" i="7"/>
  <c r="AB287" i="7"/>
  <c r="X288" i="7"/>
  <c r="T289" i="7"/>
  <c r="P290" i="7"/>
  <c r="L291" i="7"/>
  <c r="AA292" i="7"/>
  <c r="U293" i="7"/>
  <c r="L294" i="7"/>
  <c r="D295" i="7"/>
  <c r="W295" i="7"/>
  <c r="L296" i="7"/>
  <c r="C297" i="7"/>
  <c r="T297" i="7"/>
  <c r="K298" i="7"/>
  <c r="AB298" i="7"/>
  <c r="S299" i="7"/>
  <c r="H300" i="7"/>
  <c r="W300" i="7"/>
  <c r="M301" i="7"/>
  <c r="AB301" i="7"/>
  <c r="O302" i="7"/>
  <c r="C303" i="7"/>
  <c r="Q303" i="7"/>
  <c r="C304" i="7"/>
  <c r="P304" i="7"/>
  <c r="AC304" i="7"/>
  <c r="N305" i="7"/>
  <c r="AA305" i="7"/>
  <c r="L306" i="7"/>
  <c r="X306" i="7"/>
  <c r="H307" i="7"/>
  <c r="T307" i="7"/>
  <c r="D308" i="7"/>
  <c r="P308" i="7"/>
  <c r="AB308" i="7"/>
  <c r="L309" i="7"/>
  <c r="X309" i="7"/>
  <c r="H310" i="7"/>
  <c r="T310" i="7"/>
  <c r="D311" i="7"/>
  <c r="P311" i="7"/>
  <c r="AB311" i="7"/>
  <c r="L312" i="7"/>
  <c r="X312" i="7"/>
  <c r="H313" i="7"/>
  <c r="T313" i="7"/>
  <c r="D314" i="7"/>
  <c r="P314" i="7"/>
  <c r="AB314" i="7"/>
  <c r="L315" i="7"/>
  <c r="X315" i="7"/>
  <c r="H316" i="7"/>
  <c r="T316" i="7"/>
  <c r="D317" i="7"/>
  <c r="P317" i="7"/>
  <c r="AB317" i="7"/>
  <c r="L318" i="7"/>
  <c r="X318" i="7"/>
  <c r="H319" i="7"/>
  <c r="T319" i="7"/>
  <c r="D320" i="7"/>
  <c r="P320" i="7"/>
  <c r="AB320" i="7"/>
  <c r="L321" i="7"/>
  <c r="X321" i="7"/>
  <c r="H322" i="7"/>
  <c r="T322" i="7"/>
  <c r="D323" i="7"/>
  <c r="P323" i="7"/>
  <c r="AB323" i="7"/>
  <c r="L324" i="7"/>
  <c r="X324" i="7"/>
  <c r="H325" i="7"/>
  <c r="T325" i="7"/>
  <c r="D326" i="7"/>
  <c r="P326" i="7"/>
  <c r="AB326" i="7"/>
  <c r="L327" i="7"/>
  <c r="X327" i="7"/>
  <c r="H328" i="7"/>
  <c r="T328" i="7"/>
  <c r="D329" i="7"/>
  <c r="P329" i="7"/>
  <c r="AB329" i="7"/>
  <c r="L330" i="7"/>
  <c r="X330" i="7"/>
  <c r="H331" i="7"/>
  <c r="T331" i="7"/>
  <c r="D332" i="7"/>
  <c r="P332" i="7"/>
  <c r="AB332" i="7"/>
  <c r="L333" i="7"/>
  <c r="X333" i="7"/>
  <c r="H334" i="7"/>
  <c r="T334" i="7"/>
  <c r="D335" i="7"/>
  <c r="P335" i="7"/>
  <c r="AB335" i="7"/>
  <c r="L336" i="7"/>
  <c r="X336" i="7"/>
  <c r="H337" i="7"/>
  <c r="T337" i="7"/>
  <c r="D338" i="7"/>
  <c r="P338" i="7"/>
  <c r="AB338" i="7"/>
  <c r="L339" i="7"/>
  <c r="X339" i="7"/>
  <c r="H340" i="7"/>
  <c r="T340" i="7"/>
  <c r="D341" i="7"/>
  <c r="P341" i="7"/>
  <c r="AB341" i="7"/>
  <c r="L342" i="7"/>
  <c r="X342" i="7"/>
  <c r="H343" i="7"/>
  <c r="T343" i="7"/>
  <c r="D344" i="7"/>
  <c r="P344" i="7"/>
  <c r="AB344" i="7"/>
  <c r="L345" i="7"/>
  <c r="X345" i="7"/>
  <c r="H346" i="7"/>
  <c r="T346" i="7"/>
  <c r="D347" i="7"/>
  <c r="P347" i="7"/>
  <c r="AB347" i="7"/>
  <c r="L348" i="7"/>
  <c r="X348" i="7"/>
  <c r="H349" i="7"/>
  <c r="T349" i="7"/>
  <c r="D350" i="7"/>
  <c r="P350" i="7"/>
  <c r="E266" i="7"/>
  <c r="D270" i="7"/>
  <c r="N273" i="7"/>
  <c r="M275" i="7"/>
  <c r="J277" i="7"/>
  <c r="Z278" i="7"/>
  <c r="AA279" i="7"/>
  <c r="AA280" i="7"/>
  <c r="AB281" i="7"/>
  <c r="AA282" i="7"/>
  <c r="W283" i="7"/>
  <c r="S284" i="7"/>
  <c r="O285" i="7"/>
  <c r="K286" i="7"/>
  <c r="C288" i="7"/>
  <c r="AA288" i="7"/>
  <c r="W289" i="7"/>
  <c r="S290" i="7"/>
  <c r="O291" i="7"/>
  <c r="H292" i="7"/>
  <c r="AD292" i="7"/>
  <c r="O294" i="7"/>
  <c r="F295" i="7"/>
  <c r="Y295" i="7"/>
  <c r="N296" i="7"/>
  <c r="E297" i="7"/>
  <c r="M298" i="7"/>
  <c r="AD298" i="7"/>
  <c r="U299" i="7"/>
  <c r="I300" i="7"/>
  <c r="X300" i="7"/>
  <c r="N301" i="7"/>
  <c r="AC301" i="7"/>
  <c r="P302" i="7"/>
  <c r="D303" i="7"/>
  <c r="R303" i="7"/>
  <c r="D304" i="7"/>
  <c r="Q304" i="7"/>
  <c r="AD304" i="7"/>
  <c r="O305" i="7"/>
  <c r="AB305" i="7"/>
  <c r="M306" i="7"/>
  <c r="Y306" i="7"/>
  <c r="I307" i="7"/>
  <c r="U307" i="7"/>
  <c r="E308" i="7"/>
  <c r="Q308" i="7"/>
  <c r="AC308" i="7"/>
  <c r="M309" i="7"/>
  <c r="Y309" i="7"/>
  <c r="I310" i="7"/>
  <c r="U310" i="7"/>
  <c r="E311" i="7"/>
  <c r="Q311" i="7"/>
  <c r="AC311" i="7"/>
  <c r="M312" i="7"/>
  <c r="Y312" i="7"/>
  <c r="I313" i="7"/>
  <c r="U313" i="7"/>
  <c r="E314" i="7"/>
  <c r="Q314" i="7"/>
  <c r="AC314" i="7"/>
  <c r="M315" i="7"/>
  <c r="Y315" i="7"/>
  <c r="I316" i="7"/>
  <c r="U316" i="7"/>
  <c r="E317" i="7"/>
  <c r="Q317" i="7"/>
  <c r="AC317" i="7"/>
  <c r="M318" i="7"/>
  <c r="Y318" i="7"/>
  <c r="I319" i="7"/>
  <c r="U319" i="7"/>
  <c r="E320" i="7"/>
  <c r="Q320" i="7"/>
  <c r="AC320" i="7"/>
  <c r="M321" i="7"/>
  <c r="Y321" i="7"/>
  <c r="I322" i="7"/>
  <c r="U322" i="7"/>
  <c r="E323" i="7"/>
  <c r="Q323" i="7"/>
  <c r="AC323" i="7"/>
  <c r="M324" i="7"/>
  <c r="Y324" i="7"/>
  <c r="I325" i="7"/>
  <c r="U325" i="7"/>
  <c r="E326" i="7"/>
  <c r="Q326" i="7"/>
  <c r="AC326" i="7"/>
  <c r="M327" i="7"/>
  <c r="Y327" i="7"/>
  <c r="I328" i="7"/>
  <c r="U328" i="7"/>
  <c r="E329" i="7"/>
  <c r="Q329" i="7"/>
  <c r="AC329" i="7"/>
  <c r="M330" i="7"/>
  <c r="Y330" i="7"/>
  <c r="I331" i="7"/>
  <c r="U331" i="7"/>
  <c r="E332" i="7"/>
  <c r="Q332" i="7"/>
  <c r="AC332" i="7"/>
  <c r="M333" i="7"/>
  <c r="Y333" i="7"/>
  <c r="I334" i="7"/>
  <c r="U334" i="7"/>
  <c r="E335" i="7"/>
  <c r="Q335" i="7"/>
  <c r="AC335" i="7"/>
  <c r="M336" i="7"/>
  <c r="Y336" i="7"/>
  <c r="I337" i="7"/>
  <c r="U337" i="7"/>
  <c r="E338" i="7"/>
  <c r="Q338" i="7"/>
  <c r="AC338" i="7"/>
  <c r="M339" i="7"/>
  <c r="Y339" i="7"/>
  <c r="I340" i="7"/>
  <c r="U340" i="7"/>
  <c r="E341" i="7"/>
  <c r="Q341" i="7"/>
  <c r="AC341" i="7"/>
  <c r="M342" i="7"/>
  <c r="Y342" i="7"/>
  <c r="I343" i="7"/>
  <c r="U343" i="7"/>
  <c r="E344" i="7"/>
  <c r="Q344" i="7"/>
  <c r="AC344" i="7"/>
  <c r="M345" i="7"/>
  <c r="Y345" i="7"/>
  <c r="I346" i="7"/>
  <c r="U346" i="7"/>
  <c r="E347" i="7"/>
  <c r="Q347" i="7"/>
  <c r="AC347" i="7"/>
  <c r="M348" i="7"/>
  <c r="Y348" i="7"/>
  <c r="I349" i="7"/>
  <c r="U349" i="7"/>
  <c r="E350" i="7"/>
  <c r="Q350" i="7"/>
  <c r="AC350" i="7"/>
  <c r="M351" i="7"/>
  <c r="Y351" i="7"/>
  <c r="I352" i="7"/>
  <c r="U352" i="7"/>
  <c r="E353" i="7"/>
  <c r="Q353" i="7"/>
  <c r="AC353" i="7"/>
  <c r="M354" i="7"/>
  <c r="Y354" i="7"/>
  <c r="I355" i="7"/>
  <c r="U355" i="7"/>
  <c r="E356" i="7"/>
  <c r="Q356" i="7"/>
  <c r="AC356" i="7"/>
  <c r="M357" i="7"/>
  <c r="Y357" i="7"/>
  <c r="I358" i="7"/>
  <c r="U358" i="7"/>
  <c r="E359" i="7"/>
  <c r="Q359" i="7"/>
  <c r="AC359" i="7"/>
  <c r="T266" i="7"/>
  <c r="Q270" i="7"/>
  <c r="P273" i="7"/>
  <c r="P275" i="7"/>
  <c r="L277" i="7"/>
  <c r="AB278" i="7"/>
  <c r="AC279" i="7"/>
  <c r="AD280" i="7"/>
  <c r="C282" i="7"/>
  <c r="AC282" i="7"/>
  <c r="Y283" i="7"/>
  <c r="U284" i="7"/>
  <c r="Q285" i="7"/>
  <c r="M286" i="7"/>
  <c r="I287" i="7"/>
  <c r="E288" i="7"/>
  <c r="AC288" i="7"/>
  <c r="Y289" i="7"/>
  <c r="U290" i="7"/>
  <c r="Q291" i="7"/>
  <c r="K292" i="7"/>
  <c r="C293" i="7"/>
  <c r="W293" i="7"/>
  <c r="Q294" i="7"/>
  <c r="Z295" i="7"/>
  <c r="O296" i="7"/>
  <c r="F297" i="7"/>
  <c r="W297" i="7"/>
  <c r="N298" i="7"/>
  <c r="C299" i="7"/>
  <c r="J300" i="7"/>
  <c r="AA300" i="7"/>
  <c r="O301" i="7"/>
  <c r="AD301" i="7"/>
  <c r="S302" i="7"/>
  <c r="E303" i="7"/>
  <c r="S303" i="7"/>
  <c r="E304" i="7"/>
  <c r="I267" i="7"/>
  <c r="U270" i="7"/>
  <c r="Z273" i="7"/>
  <c r="X275" i="7"/>
  <c r="U277" i="7"/>
  <c r="C279" i="7"/>
  <c r="C280" i="7"/>
  <c r="D281" i="7"/>
  <c r="E282" i="7"/>
  <c r="C283" i="7"/>
  <c r="AA283" i="7"/>
  <c r="W284" i="7"/>
  <c r="S285" i="7"/>
  <c r="O286" i="7"/>
  <c r="K287" i="7"/>
  <c r="C289" i="7"/>
  <c r="AA289" i="7"/>
  <c r="W290" i="7"/>
  <c r="S291" i="7"/>
  <c r="M292" i="7"/>
  <c r="D293" i="7"/>
  <c r="Z293" i="7"/>
  <c r="R294" i="7"/>
  <c r="H295" i="7"/>
  <c r="AA295" i="7"/>
  <c r="P296" i="7"/>
  <c r="X297" i="7"/>
  <c r="O298" i="7"/>
  <c r="D299" i="7"/>
  <c r="W299" i="7"/>
  <c r="K300" i="7"/>
  <c r="AC300" i="7"/>
  <c r="P301" i="7"/>
  <c r="C302" i="7"/>
  <c r="T302" i="7"/>
  <c r="F303" i="7"/>
  <c r="T303" i="7"/>
  <c r="F304" i="7"/>
  <c r="S304" i="7"/>
  <c r="D305" i="7"/>
  <c r="Q305" i="7"/>
  <c r="C306" i="7"/>
  <c r="O306" i="7"/>
  <c r="AA306" i="7"/>
  <c r="K307" i="7"/>
  <c r="W307" i="7"/>
  <c r="S308" i="7"/>
  <c r="C309" i="7"/>
  <c r="O309" i="7"/>
  <c r="AA309" i="7"/>
  <c r="K310" i="7"/>
  <c r="W310" i="7"/>
  <c r="S311" i="7"/>
  <c r="C312" i="7"/>
  <c r="O312" i="7"/>
  <c r="AA312" i="7"/>
  <c r="K313" i="7"/>
  <c r="W313" i="7"/>
  <c r="S314" i="7"/>
  <c r="C315" i="7"/>
  <c r="O315" i="7"/>
  <c r="AA315" i="7"/>
  <c r="K316" i="7"/>
  <c r="W316" i="7"/>
  <c r="S317" i="7"/>
  <c r="C318" i="7"/>
  <c r="O318" i="7"/>
  <c r="AA318" i="7"/>
  <c r="K319" i="7"/>
  <c r="W319" i="7"/>
  <c r="S320" i="7"/>
  <c r="C321" i="7"/>
  <c r="O321" i="7"/>
  <c r="AA321" i="7"/>
  <c r="K322" i="7"/>
  <c r="W322" i="7"/>
  <c r="S323" i="7"/>
  <c r="C324" i="7"/>
  <c r="O324" i="7"/>
  <c r="AA324" i="7"/>
  <c r="K325" i="7"/>
  <c r="W325" i="7"/>
  <c r="S326" i="7"/>
  <c r="C327" i="7"/>
  <c r="O327" i="7"/>
  <c r="AA327" i="7"/>
  <c r="K328" i="7"/>
  <c r="W328" i="7"/>
  <c r="S329" i="7"/>
  <c r="C330" i="7"/>
  <c r="O330" i="7"/>
  <c r="AA330" i="7"/>
  <c r="K331" i="7"/>
  <c r="W331" i="7"/>
  <c r="S332" i="7"/>
  <c r="W267" i="7"/>
  <c r="AB273" i="7"/>
  <c r="AA275" i="7"/>
  <c r="W277" i="7"/>
  <c r="E279" i="7"/>
  <c r="F280" i="7"/>
  <c r="F283" i="7"/>
  <c r="AD283" i="7"/>
  <c r="Z284" i="7"/>
  <c r="R286" i="7"/>
  <c r="N287" i="7"/>
  <c r="J288" i="7"/>
  <c r="F289" i="7"/>
  <c r="AD289" i="7"/>
  <c r="Z290" i="7"/>
  <c r="N292" i="7"/>
  <c r="AA293" i="7"/>
  <c r="S294" i="7"/>
  <c r="K295" i="7"/>
  <c r="AB295" i="7"/>
  <c r="S296" i="7"/>
  <c r="H297" i="7"/>
  <c r="AA297" i="7"/>
  <c r="P298" i="7"/>
  <c r="X299" i="7"/>
  <c r="L300" i="7"/>
  <c r="AD300" i="7"/>
  <c r="Q301" i="7"/>
  <c r="D302" i="7"/>
  <c r="U302" i="7"/>
  <c r="U303" i="7"/>
  <c r="T304" i="7"/>
  <c r="E305" i="7"/>
  <c r="S305" i="7"/>
  <c r="D306" i="7"/>
  <c r="P306" i="7"/>
  <c r="AB306" i="7"/>
  <c r="L307" i="7"/>
  <c r="X307" i="7"/>
  <c r="H308" i="7"/>
  <c r="T308" i="7"/>
  <c r="D309" i="7"/>
  <c r="P309" i="7"/>
  <c r="AB309" i="7"/>
  <c r="L310" i="7"/>
  <c r="X310" i="7"/>
  <c r="H311" i="7"/>
  <c r="T311" i="7"/>
  <c r="D312" i="7"/>
  <c r="P312" i="7"/>
  <c r="AB312" i="7"/>
  <c r="L313" i="7"/>
  <c r="X313" i="7"/>
  <c r="H314" i="7"/>
  <c r="T314" i="7"/>
  <c r="D315" i="7"/>
  <c r="P315" i="7"/>
  <c r="AB315" i="7"/>
  <c r="L316" i="7"/>
  <c r="X316" i="7"/>
  <c r="H317" i="7"/>
  <c r="T317" i="7"/>
  <c r="D318" i="7"/>
  <c r="P318" i="7"/>
  <c r="AB318" i="7"/>
  <c r="L319" i="7"/>
  <c r="X319" i="7"/>
  <c r="H320" i="7"/>
  <c r="T320" i="7"/>
  <c r="D321" i="7"/>
  <c r="P321" i="7"/>
  <c r="AB321" i="7"/>
  <c r="L322" i="7"/>
  <c r="X322" i="7"/>
  <c r="H323" i="7"/>
  <c r="T323" i="7"/>
  <c r="D324" i="7"/>
  <c r="P324" i="7"/>
  <c r="AB324" i="7"/>
  <c r="L325" i="7"/>
  <c r="X325" i="7"/>
  <c r="H326" i="7"/>
  <c r="T326" i="7"/>
  <c r="D327" i="7"/>
  <c r="P327" i="7"/>
  <c r="AB327" i="7"/>
  <c r="L328" i="7"/>
  <c r="X328" i="7"/>
  <c r="H329" i="7"/>
  <c r="T329" i="7"/>
  <c r="D330" i="7"/>
  <c r="P330" i="7"/>
  <c r="AB330" i="7"/>
  <c r="L331" i="7"/>
  <c r="X331" i="7"/>
  <c r="H332" i="7"/>
  <c r="T332" i="7"/>
  <c r="D333" i="7"/>
  <c r="P333" i="7"/>
  <c r="AB333" i="7"/>
  <c r="Y267" i="7"/>
  <c r="I271" i="7"/>
  <c r="AD273" i="7"/>
  <c r="AC275" i="7"/>
  <c r="Y277" i="7"/>
  <c r="H280" i="7"/>
  <c r="I281" i="7"/>
  <c r="J282" i="7"/>
  <c r="C284" i="7"/>
  <c r="AA284" i="7"/>
  <c r="W285" i="7"/>
  <c r="S286" i="7"/>
  <c r="O287" i="7"/>
  <c r="K288" i="7"/>
  <c r="C290" i="7"/>
  <c r="AA290" i="7"/>
  <c r="W291" i="7"/>
  <c r="O292" i="7"/>
  <c r="I293" i="7"/>
  <c r="AB293" i="7"/>
  <c r="M295" i="7"/>
  <c r="AD295" i="7"/>
  <c r="U296" i="7"/>
  <c r="J297" i="7"/>
  <c r="AC297" i="7"/>
  <c r="R298" i="7"/>
  <c r="I299" i="7"/>
  <c r="Z299" i="7"/>
  <c r="O300" i="7"/>
  <c r="C301" i="7"/>
  <c r="R301" i="7"/>
  <c r="H303" i="7"/>
  <c r="H304" i="7"/>
  <c r="U304" i="7"/>
  <c r="T305" i="7"/>
  <c r="E306" i="7"/>
  <c r="Q306" i="7"/>
  <c r="AC306" i="7"/>
  <c r="M307" i="7"/>
  <c r="Y307" i="7"/>
  <c r="I308" i="7"/>
  <c r="U308" i="7"/>
  <c r="E309" i="7"/>
  <c r="Q309" i="7"/>
  <c r="AC309" i="7"/>
  <c r="M310" i="7"/>
  <c r="Y310" i="7"/>
  <c r="I311" i="7"/>
  <c r="U311" i="7"/>
  <c r="E312" i="7"/>
  <c r="Q312" i="7"/>
  <c r="AC312" i="7"/>
  <c r="M313" i="7"/>
  <c r="Y313" i="7"/>
  <c r="I314" i="7"/>
  <c r="U314" i="7"/>
  <c r="E315" i="7"/>
  <c r="Q315" i="7"/>
  <c r="AC315" i="7"/>
  <c r="M316" i="7"/>
  <c r="Y316" i="7"/>
  <c r="I317" i="7"/>
  <c r="U317" i="7"/>
  <c r="E318" i="7"/>
  <c r="Q318" i="7"/>
  <c r="AC318" i="7"/>
  <c r="M319" i="7"/>
  <c r="Y319" i="7"/>
  <c r="I320" i="7"/>
  <c r="U320" i="7"/>
  <c r="E321" i="7"/>
  <c r="Q321" i="7"/>
  <c r="AC321" i="7"/>
  <c r="M322" i="7"/>
  <c r="Y322" i="7"/>
  <c r="I323" i="7"/>
  <c r="U323" i="7"/>
  <c r="E324" i="7"/>
  <c r="Q324" i="7"/>
  <c r="AC324" i="7"/>
  <c r="M325" i="7"/>
  <c r="Y325" i="7"/>
  <c r="I326" i="7"/>
  <c r="U326" i="7"/>
  <c r="E327" i="7"/>
  <c r="Q327" i="7"/>
  <c r="AC327" i="7"/>
  <c r="M328" i="7"/>
  <c r="Y328" i="7"/>
  <c r="I329" i="7"/>
  <c r="U329" i="7"/>
  <c r="E330" i="7"/>
  <c r="Q330" i="7"/>
  <c r="AC330" i="7"/>
  <c r="M331" i="7"/>
  <c r="Y331" i="7"/>
  <c r="I332" i="7"/>
  <c r="U332" i="7"/>
  <c r="E333" i="7"/>
  <c r="Q333" i="7"/>
  <c r="AC333" i="7"/>
  <c r="M334" i="7"/>
  <c r="Y334" i="7"/>
  <c r="J268" i="7"/>
  <c r="L274" i="7"/>
  <c r="I276" i="7"/>
  <c r="F278" i="7"/>
  <c r="J279" i="7"/>
  <c r="K280" i="7"/>
  <c r="K281" i="7"/>
  <c r="L282" i="7"/>
  <c r="H283" i="7"/>
  <c r="D284" i="7"/>
  <c r="AB284" i="7"/>
  <c r="X285" i="7"/>
  <c r="T286" i="7"/>
  <c r="P287" i="7"/>
  <c r="L288" i="7"/>
  <c r="H289" i="7"/>
  <c r="D290" i="7"/>
  <c r="AB290" i="7"/>
  <c r="X291" i="7"/>
  <c r="R292" i="7"/>
  <c r="J293" i="7"/>
  <c r="C294" i="7"/>
  <c r="W294" i="7"/>
  <c r="N295" i="7"/>
  <c r="C296" i="7"/>
  <c r="K297" i="7"/>
  <c r="AD297" i="7"/>
  <c r="S298" i="7"/>
  <c r="J299" i="7"/>
  <c r="AA299" i="7"/>
  <c r="Q300" i="7"/>
  <c r="D301" i="7"/>
  <c r="S301" i="7"/>
  <c r="I302" i="7"/>
  <c r="W302" i="7"/>
  <c r="I303" i="7"/>
  <c r="W303" i="7"/>
  <c r="I304" i="7"/>
  <c r="W304" i="7"/>
  <c r="H305" i="7"/>
  <c r="U305" i="7"/>
  <c r="F306" i="7"/>
  <c r="R306" i="7"/>
  <c r="AD306" i="7"/>
  <c r="N307" i="7"/>
  <c r="Z307" i="7"/>
  <c r="J308" i="7"/>
  <c r="F309" i="7"/>
  <c r="R309" i="7"/>
  <c r="AD309" i="7"/>
  <c r="N310" i="7"/>
  <c r="Z310" i="7"/>
  <c r="J311" i="7"/>
  <c r="F312" i="7"/>
  <c r="R312" i="7"/>
  <c r="AD312" i="7"/>
  <c r="N313" i="7"/>
  <c r="Z313" i="7"/>
  <c r="J314" i="7"/>
  <c r="F315" i="7"/>
  <c r="R315" i="7"/>
  <c r="AD315" i="7"/>
  <c r="N316" i="7"/>
  <c r="Z316" i="7"/>
  <c r="J317" i="7"/>
  <c r="F318" i="7"/>
  <c r="R318" i="7"/>
  <c r="AD318" i="7"/>
  <c r="N319" i="7"/>
  <c r="Z319" i="7"/>
  <c r="J320" i="7"/>
  <c r="F321" i="7"/>
  <c r="R321" i="7"/>
  <c r="AD321" i="7"/>
  <c r="N322" i="7"/>
  <c r="Z322" i="7"/>
  <c r="J323" i="7"/>
  <c r="F324" i="7"/>
  <c r="R324" i="7"/>
  <c r="AD324" i="7"/>
  <c r="N325" i="7"/>
  <c r="Z325" i="7"/>
  <c r="J326" i="7"/>
  <c r="F327" i="7"/>
  <c r="R327" i="7"/>
  <c r="AD327" i="7"/>
  <c r="N328" i="7"/>
  <c r="Z328" i="7"/>
  <c r="J329" i="7"/>
  <c r="F330" i="7"/>
  <c r="R330" i="7"/>
  <c r="AD330" i="7"/>
  <c r="N331" i="7"/>
  <c r="Z331" i="7"/>
  <c r="J332" i="7"/>
  <c r="F333" i="7"/>
  <c r="R333" i="7"/>
  <c r="AD333" i="7"/>
  <c r="N334" i="7"/>
  <c r="Z334" i="7"/>
  <c r="J335" i="7"/>
  <c r="F336" i="7"/>
  <c r="R336" i="7"/>
  <c r="AD336" i="7"/>
  <c r="N337" i="7"/>
  <c r="Z337" i="7"/>
  <c r="J338" i="7"/>
  <c r="F339" i="7"/>
  <c r="R339" i="7"/>
  <c r="AD339" i="7"/>
  <c r="N340" i="7"/>
  <c r="Z340" i="7"/>
  <c r="J341" i="7"/>
  <c r="F342" i="7"/>
  <c r="R342" i="7"/>
  <c r="AD342" i="7"/>
  <c r="N343" i="7"/>
  <c r="Z343" i="7"/>
  <c r="J344" i="7"/>
  <c r="F345" i="7"/>
  <c r="R345" i="7"/>
  <c r="AD345" i="7"/>
  <c r="N346" i="7"/>
  <c r="Z346" i="7"/>
  <c r="J347" i="7"/>
  <c r="F348" i="7"/>
  <c r="R348" i="7"/>
  <c r="AD348" i="7"/>
  <c r="N349" i="7"/>
  <c r="Z349" i="7"/>
  <c r="J350" i="7"/>
  <c r="F351" i="7"/>
  <c r="R351" i="7"/>
  <c r="AD351" i="7"/>
  <c r="N352" i="7"/>
  <c r="Z352" i="7"/>
  <c r="J353" i="7"/>
  <c r="F354" i="7"/>
  <c r="R354" i="7"/>
  <c r="AD354" i="7"/>
  <c r="N355" i="7"/>
  <c r="Z355" i="7"/>
  <c r="J356" i="7"/>
  <c r="F357" i="7"/>
  <c r="R357" i="7"/>
  <c r="AD357" i="7"/>
  <c r="N358" i="7"/>
  <c r="Z358" i="7"/>
  <c r="J359" i="7"/>
  <c r="F360" i="7"/>
  <c r="R360" i="7"/>
  <c r="AD360" i="7"/>
  <c r="N361" i="7"/>
  <c r="L268" i="7"/>
  <c r="X271" i="7"/>
  <c r="N274" i="7"/>
  <c r="L276" i="7"/>
  <c r="H278" i="7"/>
  <c r="L279" i="7"/>
  <c r="M280" i="7"/>
  <c r="N281" i="7"/>
  <c r="O282" i="7"/>
  <c r="K283" i="7"/>
  <c r="C285" i="7"/>
  <c r="AA285" i="7"/>
  <c r="W286" i="7"/>
  <c r="S287" i="7"/>
  <c r="O288" i="7"/>
  <c r="K289" i="7"/>
  <c r="C291" i="7"/>
  <c r="AA291" i="7"/>
  <c r="S292" i="7"/>
  <c r="K293" i="7"/>
  <c r="E294" i="7"/>
  <c r="X294" i="7"/>
  <c r="O295" i="7"/>
  <c r="D296" i="7"/>
  <c r="W296" i="7"/>
  <c r="L297" i="7"/>
  <c r="C298" i="7"/>
  <c r="T298" i="7"/>
  <c r="K299" i="7"/>
  <c r="AB299" i="7"/>
  <c r="R300" i="7"/>
  <c r="E301" i="7"/>
  <c r="T301" i="7"/>
  <c r="J302" i="7"/>
  <c r="X302" i="7"/>
  <c r="J303" i="7"/>
  <c r="X303" i="7"/>
  <c r="K304" i="7"/>
  <c r="X304" i="7"/>
  <c r="I305" i="7"/>
  <c r="S306" i="7"/>
  <c r="C307" i="7"/>
  <c r="O307" i="7"/>
  <c r="AA307" i="7"/>
  <c r="K308" i="7"/>
  <c r="W308" i="7"/>
  <c r="S309" i="7"/>
  <c r="C310" i="7"/>
  <c r="O310" i="7"/>
  <c r="AA310" i="7"/>
  <c r="K311" i="7"/>
  <c r="W311" i="7"/>
  <c r="S312" i="7"/>
  <c r="C313" i="7"/>
  <c r="O313" i="7"/>
  <c r="AA313" i="7"/>
  <c r="K314" i="7"/>
  <c r="W314" i="7"/>
  <c r="S315" i="7"/>
  <c r="C316" i="7"/>
  <c r="O316" i="7"/>
  <c r="AA316" i="7"/>
  <c r="K317" i="7"/>
  <c r="W317" i="7"/>
  <c r="S318" i="7"/>
  <c r="C319" i="7"/>
  <c r="O319" i="7"/>
  <c r="AA319" i="7"/>
  <c r="K320" i="7"/>
  <c r="W320" i="7"/>
  <c r="S321" i="7"/>
  <c r="C322" i="7"/>
  <c r="O322" i="7"/>
  <c r="AA322" i="7"/>
  <c r="K323" i="7"/>
  <c r="W323" i="7"/>
  <c r="S324" i="7"/>
  <c r="C325" i="7"/>
  <c r="O325" i="7"/>
  <c r="AA325" i="7"/>
  <c r="K326" i="7"/>
  <c r="W326" i="7"/>
  <c r="S327" i="7"/>
  <c r="C328" i="7"/>
  <c r="O328" i="7"/>
  <c r="AA328" i="7"/>
  <c r="K329" i="7"/>
  <c r="W329" i="7"/>
  <c r="S330" i="7"/>
  <c r="C331" i="7"/>
  <c r="O331" i="7"/>
  <c r="AA331" i="7"/>
  <c r="K332" i="7"/>
  <c r="W332" i="7"/>
  <c r="S333" i="7"/>
  <c r="C334" i="7"/>
  <c r="O334" i="7"/>
  <c r="AA334" i="7"/>
  <c r="K335" i="7"/>
  <c r="W335" i="7"/>
  <c r="S336" i="7"/>
  <c r="C337" i="7"/>
  <c r="O337" i="7"/>
  <c r="AA337" i="7"/>
  <c r="K338" i="7"/>
  <c r="W338" i="7"/>
  <c r="S339" i="7"/>
  <c r="C340" i="7"/>
  <c r="O340" i="7"/>
  <c r="AA340" i="7"/>
  <c r="K341" i="7"/>
  <c r="W341" i="7"/>
  <c r="S342" i="7"/>
  <c r="C343" i="7"/>
  <c r="O343" i="7"/>
  <c r="AA343" i="7"/>
  <c r="K344" i="7"/>
  <c r="W344" i="7"/>
  <c r="S345" i="7"/>
  <c r="C346" i="7"/>
  <c r="O346" i="7"/>
  <c r="AA346" i="7"/>
  <c r="K347" i="7"/>
  <c r="W347" i="7"/>
  <c r="S348" i="7"/>
  <c r="C349" i="7"/>
  <c r="O349" i="7"/>
  <c r="AA349" i="7"/>
  <c r="K350" i="7"/>
  <c r="W350" i="7"/>
  <c r="S351" i="7"/>
  <c r="C352" i="7"/>
  <c r="O352" i="7"/>
  <c r="AA352" i="7"/>
  <c r="K353" i="7"/>
  <c r="W353" i="7"/>
  <c r="S354" i="7"/>
  <c r="C355" i="7"/>
  <c r="O355" i="7"/>
  <c r="AA355" i="7"/>
  <c r="K356" i="7"/>
  <c r="W356" i="7"/>
  <c r="S357" i="7"/>
  <c r="C358" i="7"/>
  <c r="O358" i="7"/>
  <c r="AA358" i="7"/>
  <c r="K359" i="7"/>
  <c r="W359" i="7"/>
  <c r="S360" i="7"/>
  <c r="C361" i="7"/>
  <c r="O361" i="7"/>
  <c r="AA361" i="7"/>
  <c r="K362" i="7"/>
  <c r="W362" i="7"/>
  <c r="S363" i="7"/>
  <c r="C364" i="7"/>
  <c r="O364" i="7"/>
  <c r="AA364" i="7"/>
  <c r="K365" i="7"/>
  <c r="W365" i="7"/>
  <c r="S366" i="7"/>
  <c r="C367" i="7"/>
  <c r="O367" i="7"/>
  <c r="AA367" i="7"/>
  <c r="K368" i="7"/>
  <c r="W368" i="7"/>
  <c r="S369" i="7"/>
  <c r="C370" i="7"/>
  <c r="O370" i="7"/>
  <c r="AA370" i="7"/>
  <c r="K371" i="7"/>
  <c r="W371" i="7"/>
  <c r="S372" i="7"/>
  <c r="C373" i="7"/>
  <c r="O373" i="7"/>
  <c r="AA373" i="7"/>
  <c r="K374" i="7"/>
  <c r="W374" i="7"/>
  <c r="S375" i="7"/>
  <c r="C376" i="7"/>
  <c r="O376" i="7"/>
  <c r="AA376" i="7"/>
  <c r="K377" i="7"/>
  <c r="W377" i="7"/>
  <c r="S378" i="7"/>
  <c r="C379" i="7"/>
  <c r="O379" i="7"/>
  <c r="AA379" i="7"/>
  <c r="K380" i="7"/>
  <c r="W380" i="7"/>
  <c r="S381" i="7"/>
  <c r="Y268" i="7"/>
  <c r="I272" i="7"/>
  <c r="Q274" i="7"/>
  <c r="N276" i="7"/>
  <c r="J278" i="7"/>
  <c r="O279" i="7"/>
  <c r="O280" i="7"/>
  <c r="P281" i="7"/>
  <c r="Q282" i="7"/>
  <c r="M283" i="7"/>
  <c r="I284" i="7"/>
  <c r="E285" i="7"/>
  <c r="AC285" i="7"/>
  <c r="Y286" i="7"/>
  <c r="U287" i="7"/>
  <c r="Q288" i="7"/>
  <c r="M289" i="7"/>
  <c r="I290" i="7"/>
  <c r="E291" i="7"/>
  <c r="AC291" i="7"/>
  <c r="T292" i="7"/>
  <c r="N293" i="7"/>
  <c r="F294" i="7"/>
  <c r="AA294" i="7"/>
  <c r="P295" i="7"/>
  <c r="X296" i="7"/>
  <c r="O297" i="7"/>
  <c r="D298" i="7"/>
  <c r="W298" i="7"/>
  <c r="L299" i="7"/>
  <c r="C300" i="7"/>
  <c r="S300" i="7"/>
  <c r="F301" i="7"/>
  <c r="W301" i="7"/>
  <c r="K302" i="7"/>
  <c r="Y302" i="7"/>
  <c r="K303" i="7"/>
  <c r="AA303" i="7"/>
  <c r="L304" i="7"/>
  <c r="Y304" i="7"/>
  <c r="J305" i="7"/>
  <c r="W305" i="7"/>
  <c r="H306" i="7"/>
  <c r="T306" i="7"/>
  <c r="D307" i="7"/>
  <c r="P307" i="7"/>
  <c r="AB307" i="7"/>
  <c r="L308" i="7"/>
  <c r="X308" i="7"/>
  <c r="H309" i="7"/>
  <c r="T309" i="7"/>
  <c r="D310" i="7"/>
  <c r="P310" i="7"/>
  <c r="AB310" i="7"/>
  <c r="L311" i="7"/>
  <c r="X311" i="7"/>
  <c r="H312" i="7"/>
  <c r="T312" i="7"/>
  <c r="D313" i="7"/>
  <c r="P313" i="7"/>
  <c r="AB313" i="7"/>
  <c r="L314" i="7"/>
  <c r="X314" i="7"/>
  <c r="H315" i="7"/>
  <c r="T315" i="7"/>
  <c r="D316" i="7"/>
  <c r="P316" i="7"/>
  <c r="AB316" i="7"/>
  <c r="L317" i="7"/>
  <c r="X317" i="7"/>
  <c r="H318" i="7"/>
  <c r="T318" i="7"/>
  <c r="D319" i="7"/>
  <c r="P319" i="7"/>
  <c r="AB319" i="7"/>
  <c r="L320" i="7"/>
  <c r="X320" i="7"/>
  <c r="H321" i="7"/>
  <c r="T321" i="7"/>
  <c r="D322" i="7"/>
  <c r="P322" i="7"/>
  <c r="AB322" i="7"/>
  <c r="L323" i="7"/>
  <c r="X323" i="7"/>
  <c r="H324" i="7"/>
  <c r="T324" i="7"/>
  <c r="D325" i="7"/>
  <c r="P325" i="7"/>
  <c r="AB325" i="7"/>
  <c r="L326" i="7"/>
  <c r="X326" i="7"/>
  <c r="H327" i="7"/>
  <c r="T327" i="7"/>
  <c r="D328" i="7"/>
  <c r="P328" i="7"/>
  <c r="AB328" i="7"/>
  <c r="AC268" i="7"/>
  <c r="M272" i="7"/>
  <c r="Z274" i="7"/>
  <c r="W276" i="7"/>
  <c r="P278" i="7"/>
  <c r="Q279" i="7"/>
  <c r="R280" i="7"/>
  <c r="S281" i="7"/>
  <c r="S282" i="7"/>
  <c r="O283" i="7"/>
  <c r="K284" i="7"/>
  <c r="C286" i="7"/>
  <c r="AA286" i="7"/>
  <c r="W287" i="7"/>
  <c r="S288" i="7"/>
  <c r="O289" i="7"/>
  <c r="K290" i="7"/>
  <c r="AD291" i="7"/>
  <c r="W292" i="7"/>
  <c r="O293" i="7"/>
  <c r="AC294" i="7"/>
  <c r="R295" i="7"/>
  <c r="I296" i="7"/>
  <c r="Z296" i="7"/>
  <c r="Q297" i="7"/>
  <c r="F298" i="7"/>
  <c r="Y298" i="7"/>
  <c r="N299" i="7"/>
  <c r="E300" i="7"/>
  <c r="T300" i="7"/>
  <c r="Y301" i="7"/>
  <c r="L302" i="7"/>
  <c r="Z302" i="7"/>
  <c r="L303" i="7"/>
  <c r="AB303" i="7"/>
  <c r="M304" i="7"/>
  <c r="Z304" i="7"/>
  <c r="K305" i="7"/>
  <c r="X305" i="7"/>
  <c r="I306" i="7"/>
  <c r="U306" i="7"/>
  <c r="E307" i="7"/>
  <c r="Q307" i="7"/>
  <c r="AC307" i="7"/>
  <c r="M308" i="7"/>
  <c r="Y308" i="7"/>
  <c r="I309" i="7"/>
  <c r="U309" i="7"/>
  <c r="E310" i="7"/>
  <c r="Q310" i="7"/>
  <c r="AC310" i="7"/>
  <c r="M311" i="7"/>
  <c r="Y311" i="7"/>
  <c r="I312" i="7"/>
  <c r="U312" i="7"/>
  <c r="E313" i="7"/>
  <c r="Q313" i="7"/>
  <c r="AC313" i="7"/>
  <c r="M314" i="7"/>
  <c r="Y314" i="7"/>
  <c r="I315" i="7"/>
  <c r="U315" i="7"/>
  <c r="E316" i="7"/>
  <c r="Q316" i="7"/>
  <c r="AC316" i="7"/>
  <c r="M317" i="7"/>
  <c r="Y317" i="7"/>
  <c r="I318" i="7"/>
  <c r="U318" i="7"/>
  <c r="E319" i="7"/>
  <c r="Q319" i="7"/>
  <c r="AC319" i="7"/>
  <c r="M320" i="7"/>
  <c r="Y320" i="7"/>
  <c r="I321" i="7"/>
  <c r="U321" i="7"/>
  <c r="E322" i="7"/>
  <c r="Q322" i="7"/>
  <c r="AC322" i="7"/>
  <c r="M323" i="7"/>
  <c r="Y323" i="7"/>
  <c r="I324" i="7"/>
  <c r="U324" i="7"/>
  <c r="E325" i="7"/>
  <c r="Q325" i="7"/>
  <c r="AC325" i="7"/>
  <c r="M326" i="7"/>
  <c r="Y326" i="7"/>
  <c r="I327" i="7"/>
  <c r="U327" i="7"/>
  <c r="E328" i="7"/>
  <c r="Q328" i="7"/>
  <c r="AC328" i="7"/>
  <c r="M329" i="7"/>
  <c r="Y329" i="7"/>
  <c r="I330" i="7"/>
  <c r="U330" i="7"/>
  <c r="E331" i="7"/>
  <c r="Q331" i="7"/>
  <c r="AC331" i="7"/>
  <c r="M332" i="7"/>
  <c r="Y332" i="7"/>
  <c r="I333" i="7"/>
  <c r="U333" i="7"/>
  <c r="E334" i="7"/>
  <c r="Q334" i="7"/>
  <c r="AC334" i="7"/>
  <c r="M335" i="7"/>
  <c r="Y335" i="7"/>
  <c r="I336" i="7"/>
  <c r="U336" i="7"/>
  <c r="E337" i="7"/>
  <c r="Q337" i="7"/>
  <c r="AC337" i="7"/>
  <c r="M338" i="7"/>
  <c r="Y338" i="7"/>
  <c r="I339" i="7"/>
  <c r="U339" i="7"/>
  <c r="E340" i="7"/>
  <c r="Q340" i="7"/>
  <c r="AC340" i="7"/>
  <c r="M341" i="7"/>
  <c r="Y341" i="7"/>
  <c r="I342" i="7"/>
  <c r="U342" i="7"/>
  <c r="E343" i="7"/>
  <c r="Q343" i="7"/>
  <c r="AC343" i="7"/>
  <c r="M344" i="7"/>
  <c r="Y344" i="7"/>
  <c r="I345" i="7"/>
  <c r="U345" i="7"/>
  <c r="E346" i="7"/>
  <c r="Q346" i="7"/>
  <c r="AC346" i="7"/>
  <c r="M347" i="7"/>
  <c r="Y347" i="7"/>
  <c r="I348" i="7"/>
  <c r="U348" i="7"/>
  <c r="E349" i="7"/>
  <c r="Q349" i="7"/>
  <c r="AC349" i="7"/>
  <c r="M350" i="7"/>
  <c r="Y350" i="7"/>
  <c r="I351" i="7"/>
  <c r="U351" i="7"/>
  <c r="E352" i="7"/>
  <c r="Q352" i="7"/>
  <c r="AC352" i="7"/>
  <c r="M353" i="7"/>
  <c r="Y353" i="7"/>
  <c r="I354" i="7"/>
  <c r="U354" i="7"/>
  <c r="E355" i="7"/>
  <c r="Q355" i="7"/>
  <c r="AC355" i="7"/>
  <c r="M356" i="7"/>
  <c r="Y356" i="7"/>
  <c r="I357" i="7"/>
  <c r="U357" i="7"/>
  <c r="E358" i="7"/>
  <c r="Q358" i="7"/>
  <c r="AC358" i="7"/>
  <c r="M359" i="7"/>
  <c r="Y359" i="7"/>
  <c r="I360" i="7"/>
  <c r="U360" i="7"/>
  <c r="E361" i="7"/>
  <c r="Q361" i="7"/>
  <c r="AC361" i="7"/>
  <c r="M362" i="7"/>
  <c r="Y362" i="7"/>
  <c r="I363" i="7"/>
  <c r="U363" i="7"/>
  <c r="E364" i="7"/>
  <c r="Q364" i="7"/>
  <c r="AC364" i="7"/>
  <c r="M365" i="7"/>
  <c r="Y365" i="7"/>
  <c r="O269" i="7"/>
  <c r="Y272" i="7"/>
  <c r="AB274" i="7"/>
  <c r="Y276" i="7"/>
  <c r="S278" i="7"/>
  <c r="S279" i="7"/>
  <c r="T280" i="7"/>
  <c r="U281" i="7"/>
  <c r="R283" i="7"/>
  <c r="N284" i="7"/>
  <c r="J285" i="7"/>
  <c r="F286" i="7"/>
  <c r="AD286" i="7"/>
  <c r="Z287" i="7"/>
  <c r="R289" i="7"/>
  <c r="N290" i="7"/>
  <c r="J291" i="7"/>
  <c r="C292" i="7"/>
  <c r="Y292" i="7"/>
  <c r="P293" i="7"/>
  <c r="J294" i="7"/>
  <c r="AD294" i="7"/>
  <c r="S295" i="7"/>
  <c r="J296" i="7"/>
  <c r="AA296" i="7"/>
  <c r="R297" i="7"/>
  <c r="Z298" i="7"/>
  <c r="O299" i="7"/>
  <c r="F300" i="7"/>
  <c r="U300" i="7"/>
  <c r="H301" i="7"/>
  <c r="Z301" i="7"/>
  <c r="M302" i="7"/>
  <c r="AA302" i="7"/>
  <c r="O303" i="7"/>
  <c r="AC303" i="7"/>
  <c r="N304" i="7"/>
  <c r="AA304" i="7"/>
  <c r="L305" i="7"/>
  <c r="Y305" i="7"/>
  <c r="J306" i="7"/>
  <c r="F307" i="7"/>
  <c r="R307" i="7"/>
  <c r="AD307" i="7"/>
  <c r="N308" i="7"/>
  <c r="Z308" i="7"/>
  <c r="J309" i="7"/>
  <c r="F310" i="7"/>
  <c r="R310" i="7"/>
  <c r="AD310" i="7"/>
  <c r="N311" i="7"/>
  <c r="Z311" i="7"/>
  <c r="J312" i="7"/>
  <c r="F313" i="7"/>
  <c r="R313" i="7"/>
  <c r="AD313" i="7"/>
  <c r="N314" i="7"/>
  <c r="Z314" i="7"/>
  <c r="J315" i="7"/>
  <c r="F316" i="7"/>
  <c r="R316" i="7"/>
  <c r="AD316" i="7"/>
  <c r="N317" i="7"/>
  <c r="Z317" i="7"/>
  <c r="J318" i="7"/>
  <c r="F319" i="7"/>
  <c r="R319" i="7"/>
  <c r="AD319" i="7"/>
  <c r="N320" i="7"/>
  <c r="Z320" i="7"/>
  <c r="J321" i="7"/>
  <c r="F322" i="7"/>
  <c r="R322" i="7"/>
  <c r="AD322" i="7"/>
  <c r="N323" i="7"/>
  <c r="Z323" i="7"/>
  <c r="J324" i="7"/>
  <c r="F325" i="7"/>
  <c r="R325" i="7"/>
  <c r="AD325" i="7"/>
  <c r="N326" i="7"/>
  <c r="Z326" i="7"/>
  <c r="J327" i="7"/>
  <c r="F328" i="7"/>
  <c r="R328" i="7"/>
  <c r="AD328" i="7"/>
  <c r="N329" i="7"/>
  <c r="Z329" i="7"/>
  <c r="J330" i="7"/>
  <c r="F331" i="7"/>
  <c r="R331" i="7"/>
  <c r="AD331" i="7"/>
  <c r="N332" i="7"/>
  <c r="Z332" i="7"/>
  <c r="J333" i="7"/>
  <c r="F334" i="7"/>
  <c r="R334" i="7"/>
  <c r="AD334" i="7"/>
  <c r="N335" i="7"/>
  <c r="Z335" i="7"/>
  <c r="J336" i="7"/>
  <c r="F337" i="7"/>
  <c r="R337" i="7"/>
  <c r="AD337" i="7"/>
  <c r="N338" i="7"/>
  <c r="Z338" i="7"/>
  <c r="Q269" i="7"/>
  <c r="AB272" i="7"/>
  <c r="C275" i="7"/>
  <c r="AA276" i="7"/>
  <c r="U278" i="7"/>
  <c r="W280" i="7"/>
  <c r="W281" i="7"/>
  <c r="W282" i="7"/>
  <c r="S283" i="7"/>
  <c r="O284" i="7"/>
  <c r="K285" i="7"/>
  <c r="C287" i="7"/>
  <c r="AA287" i="7"/>
  <c r="W288" i="7"/>
  <c r="S289" i="7"/>
  <c r="O290" i="7"/>
  <c r="K291" i="7"/>
  <c r="F292" i="7"/>
  <c r="Z292" i="7"/>
  <c r="S293" i="7"/>
  <c r="K294" i="7"/>
  <c r="C295" i="7"/>
  <c r="T295" i="7"/>
  <c r="K296" i="7"/>
  <c r="AB296" i="7"/>
  <c r="S297" i="7"/>
  <c r="H298" i="7"/>
  <c r="AA298" i="7"/>
  <c r="P299" i="7"/>
  <c r="K301" i="7"/>
  <c r="AA301" i="7"/>
  <c r="N302" i="7"/>
  <c r="AB302" i="7"/>
  <c r="P303" i="7"/>
  <c r="AD303" i="7"/>
  <c r="O304" i="7"/>
  <c r="AB304" i="7"/>
  <c r="M305" i="7"/>
  <c r="Z305" i="7"/>
  <c r="K306" i="7"/>
  <c r="W306" i="7"/>
  <c r="S307" i="7"/>
  <c r="C308" i="7"/>
  <c r="O308" i="7"/>
  <c r="AA308" i="7"/>
  <c r="K309" i="7"/>
  <c r="W309" i="7"/>
  <c r="S310" i="7"/>
  <c r="C311" i="7"/>
  <c r="O311" i="7"/>
  <c r="AA311" i="7"/>
  <c r="K312" i="7"/>
  <c r="W312" i="7"/>
  <c r="S313" i="7"/>
  <c r="C314" i="7"/>
  <c r="O314" i="7"/>
  <c r="AA314" i="7"/>
  <c r="K315" i="7"/>
  <c r="W315" i="7"/>
  <c r="S316" i="7"/>
  <c r="C317" i="7"/>
  <c r="O317" i="7"/>
  <c r="AA317" i="7"/>
  <c r="K318" i="7"/>
  <c r="W318" i="7"/>
  <c r="S319" i="7"/>
  <c r="C320" i="7"/>
  <c r="O320" i="7"/>
  <c r="AA320" i="7"/>
  <c r="K321" i="7"/>
  <c r="W321" i="7"/>
  <c r="S322" i="7"/>
  <c r="C323" i="7"/>
  <c r="O323" i="7"/>
  <c r="AA323" i="7"/>
  <c r="K324" i="7"/>
  <c r="W324" i="7"/>
  <c r="S325" i="7"/>
  <c r="C326" i="7"/>
  <c r="O326" i="7"/>
  <c r="AA326" i="7"/>
  <c r="K327" i="7"/>
  <c r="W327" i="7"/>
  <c r="S328" i="7"/>
  <c r="C329" i="7"/>
  <c r="O329" i="7"/>
  <c r="AA329" i="7"/>
  <c r="K330" i="7"/>
  <c r="W330" i="7"/>
  <c r="S331" i="7"/>
  <c r="C332" i="7"/>
  <c r="O332" i="7"/>
  <c r="AA332" i="7"/>
  <c r="K333" i="7"/>
  <c r="W333" i="7"/>
  <c r="S334" i="7"/>
  <c r="C335" i="7"/>
  <c r="O335" i="7"/>
  <c r="AA335" i="7"/>
  <c r="K336" i="7"/>
  <c r="W336" i="7"/>
  <c r="S337" i="7"/>
  <c r="C338" i="7"/>
  <c r="O338" i="7"/>
  <c r="AA338" i="7"/>
  <c r="K339" i="7"/>
  <c r="W339" i="7"/>
  <c r="S340" i="7"/>
  <c r="C341" i="7"/>
  <c r="O341" i="7"/>
  <c r="AA341" i="7"/>
  <c r="K342" i="7"/>
  <c r="W342" i="7"/>
  <c r="S343" i="7"/>
  <c r="C344" i="7"/>
  <c r="R304" i="7"/>
  <c r="Z309" i="7"/>
  <c r="AD314" i="7"/>
  <c r="F320" i="7"/>
  <c r="J325" i="7"/>
  <c r="X329" i="7"/>
  <c r="L332" i="7"/>
  <c r="J334" i="7"/>
  <c r="L335" i="7"/>
  <c r="O336" i="7"/>
  <c r="M337" i="7"/>
  <c r="R338" i="7"/>
  <c r="O339" i="7"/>
  <c r="K340" i="7"/>
  <c r="C342" i="7"/>
  <c r="AA342" i="7"/>
  <c r="W343" i="7"/>
  <c r="R344" i="7"/>
  <c r="J345" i="7"/>
  <c r="AC345" i="7"/>
  <c r="W346" i="7"/>
  <c r="O347" i="7"/>
  <c r="H348" i="7"/>
  <c r="AB348" i="7"/>
  <c r="N350" i="7"/>
  <c r="D351" i="7"/>
  <c r="W351" i="7"/>
  <c r="L352" i="7"/>
  <c r="C353" i="7"/>
  <c r="T353" i="7"/>
  <c r="K354" i="7"/>
  <c r="AB354" i="7"/>
  <c r="S355" i="7"/>
  <c r="H356" i="7"/>
  <c r="AA356" i="7"/>
  <c r="P357" i="7"/>
  <c r="X358" i="7"/>
  <c r="O359" i="7"/>
  <c r="D360" i="7"/>
  <c r="I361" i="7"/>
  <c r="X361" i="7"/>
  <c r="J362" i="7"/>
  <c r="Z362" i="7"/>
  <c r="L363" i="7"/>
  <c r="Z363" i="7"/>
  <c r="L364" i="7"/>
  <c r="Z364" i="7"/>
  <c r="N365" i="7"/>
  <c r="AB365" i="7"/>
  <c r="M366" i="7"/>
  <c r="Z366" i="7"/>
  <c r="K367" i="7"/>
  <c r="X367" i="7"/>
  <c r="I368" i="7"/>
  <c r="H369" i="7"/>
  <c r="U369" i="7"/>
  <c r="F370" i="7"/>
  <c r="S370" i="7"/>
  <c r="D371" i="7"/>
  <c r="Q371" i="7"/>
  <c r="AD371" i="7"/>
  <c r="O372" i="7"/>
  <c r="AB372" i="7"/>
  <c r="M373" i="7"/>
  <c r="Z373" i="7"/>
  <c r="L374" i="7"/>
  <c r="Y374" i="7"/>
  <c r="J375" i="7"/>
  <c r="W375" i="7"/>
  <c r="H376" i="7"/>
  <c r="U376" i="7"/>
  <c r="F377" i="7"/>
  <c r="S377" i="7"/>
  <c r="D378" i="7"/>
  <c r="Q378" i="7"/>
  <c r="AD378" i="7"/>
  <c r="P379" i="7"/>
  <c r="AC379" i="7"/>
  <c r="N380" i="7"/>
  <c r="AA380" i="7"/>
  <c r="L381" i="7"/>
  <c r="Y381" i="7"/>
  <c r="I382" i="7"/>
  <c r="U382" i="7"/>
  <c r="E383" i="7"/>
  <c r="Q383" i="7"/>
  <c r="AC383" i="7"/>
  <c r="M384" i="7"/>
  <c r="Y384" i="7"/>
  <c r="I385" i="7"/>
  <c r="U385" i="7"/>
  <c r="E386" i="7"/>
  <c r="Q386" i="7"/>
  <c r="AC386" i="7"/>
  <c r="M387" i="7"/>
  <c r="Y387" i="7"/>
  <c r="I388" i="7"/>
  <c r="U388" i="7"/>
  <c r="E389" i="7"/>
  <c r="Q389" i="7"/>
  <c r="AC389" i="7"/>
  <c r="M390" i="7"/>
  <c r="Y390" i="7"/>
  <c r="I391" i="7"/>
  <c r="U391" i="7"/>
  <c r="E392" i="7"/>
  <c r="Q392" i="7"/>
  <c r="AC392" i="7"/>
  <c r="M393" i="7"/>
  <c r="Y393" i="7"/>
  <c r="I394" i="7"/>
  <c r="U394" i="7"/>
  <c r="E395" i="7"/>
  <c r="Q395" i="7"/>
  <c r="AC395" i="7"/>
  <c r="M396" i="7"/>
  <c r="Y396" i="7"/>
  <c r="I397" i="7"/>
  <c r="U397" i="7"/>
  <c r="E398" i="7"/>
  <c r="Q398" i="7"/>
  <c r="AC398" i="7"/>
  <c r="M399" i="7"/>
  <c r="Y399" i="7"/>
  <c r="I400" i="7"/>
  <c r="U400" i="7"/>
  <c r="E401" i="7"/>
  <c r="Q401" i="7"/>
  <c r="AC401" i="7"/>
  <c r="M402" i="7"/>
  <c r="Y402" i="7"/>
  <c r="I403" i="7"/>
  <c r="U403" i="7"/>
  <c r="E404" i="7"/>
  <c r="Q404" i="7"/>
  <c r="AC404" i="7"/>
  <c r="M405" i="7"/>
  <c r="Y405" i="7"/>
  <c r="I406" i="7"/>
  <c r="U406" i="7"/>
  <c r="E407" i="7"/>
  <c r="Q407" i="7"/>
  <c r="AC407" i="7"/>
  <c r="M408" i="7"/>
  <c r="Y408" i="7"/>
  <c r="I409" i="7"/>
  <c r="U409" i="7"/>
  <c r="E410" i="7"/>
  <c r="Q410" i="7"/>
  <c r="AC410" i="7"/>
  <c r="M411" i="7"/>
  <c r="Y411" i="7"/>
  <c r="I412" i="7"/>
  <c r="U412" i="7"/>
  <c r="E413" i="7"/>
  <c r="Q413" i="7"/>
  <c r="AC413" i="7"/>
  <c r="M414" i="7"/>
  <c r="Y414" i="7"/>
  <c r="I415" i="7"/>
  <c r="U415" i="7"/>
  <c r="E416" i="7"/>
  <c r="Q416" i="7"/>
  <c r="AC416" i="7"/>
  <c r="M417" i="7"/>
  <c r="Y417" i="7"/>
  <c r="I418" i="7"/>
  <c r="U418" i="7"/>
  <c r="E419" i="7"/>
  <c r="Q419" i="7"/>
  <c r="AC419" i="7"/>
  <c r="M420" i="7"/>
  <c r="Y420" i="7"/>
  <c r="I421" i="7"/>
  <c r="U421" i="7"/>
  <c r="E422" i="7"/>
  <c r="Q422" i="7"/>
  <c r="AC422" i="7"/>
  <c r="M423" i="7"/>
  <c r="Y423" i="7"/>
  <c r="I424" i="7"/>
  <c r="U424" i="7"/>
  <c r="E425" i="7"/>
  <c r="Q425" i="7"/>
  <c r="AC425" i="7"/>
  <c r="M426" i="7"/>
  <c r="Y426" i="7"/>
  <c r="I427" i="7"/>
  <c r="U427" i="7"/>
  <c r="E428" i="7"/>
  <c r="Q428" i="7"/>
  <c r="AC428" i="7"/>
  <c r="M429" i="7"/>
  <c r="Y429" i="7"/>
  <c r="I430" i="7"/>
  <c r="U430" i="7"/>
  <c r="E431" i="7"/>
  <c r="Q431" i="7"/>
  <c r="AC431" i="7"/>
  <c r="M432" i="7"/>
  <c r="Y432" i="7"/>
  <c r="I433" i="7"/>
  <c r="U433" i="7"/>
  <c r="E434" i="7"/>
  <c r="Q434" i="7"/>
  <c r="AC434" i="7"/>
  <c r="M435" i="7"/>
  <c r="Y435" i="7"/>
  <c r="I436" i="7"/>
  <c r="U436" i="7"/>
  <c r="E437" i="7"/>
  <c r="Q437" i="7"/>
  <c r="AC437" i="7"/>
  <c r="M438" i="7"/>
  <c r="Y438" i="7"/>
  <c r="I439" i="7"/>
  <c r="U439" i="7"/>
  <c r="E440" i="7"/>
  <c r="Q440" i="7"/>
  <c r="AC440" i="7"/>
  <c r="M441" i="7"/>
  <c r="Y441" i="7"/>
  <c r="I442" i="7"/>
  <c r="C305" i="7"/>
  <c r="J310" i="7"/>
  <c r="N315" i="7"/>
  <c r="R320" i="7"/>
  <c r="AD329" i="7"/>
  <c r="R332" i="7"/>
  <c r="K334" i="7"/>
  <c r="R335" i="7"/>
  <c r="P336" i="7"/>
  <c r="P337" i="7"/>
  <c r="S338" i="7"/>
  <c r="P339" i="7"/>
  <c r="L340" i="7"/>
  <c r="H341" i="7"/>
  <c r="D342" i="7"/>
  <c r="AB342" i="7"/>
  <c r="X343" i="7"/>
  <c r="S344" i="7"/>
  <c r="K345" i="7"/>
  <c r="D346" i="7"/>
  <c r="X346" i="7"/>
  <c r="R347" i="7"/>
  <c r="J348" i="7"/>
  <c r="AC348" i="7"/>
  <c r="W349" i="7"/>
  <c r="O350" i="7"/>
  <c r="E351" i="7"/>
  <c r="X351" i="7"/>
  <c r="M352" i="7"/>
  <c r="D353" i="7"/>
  <c r="U353" i="7"/>
  <c r="L354" i="7"/>
  <c r="AC354" i="7"/>
  <c r="T355" i="7"/>
  <c r="I356" i="7"/>
  <c r="AB356" i="7"/>
  <c r="Q357" i="7"/>
  <c r="H358" i="7"/>
  <c r="Y358" i="7"/>
  <c r="P359" i="7"/>
  <c r="E360" i="7"/>
  <c r="W360" i="7"/>
  <c r="J361" i="7"/>
  <c r="Y361" i="7"/>
  <c r="L362" i="7"/>
  <c r="AA362" i="7"/>
  <c r="M363" i="7"/>
  <c r="AA363" i="7"/>
  <c r="M364" i="7"/>
  <c r="AB364" i="7"/>
  <c r="O365" i="7"/>
  <c r="AC365" i="7"/>
  <c r="N366" i="7"/>
  <c r="AA366" i="7"/>
  <c r="L367" i="7"/>
  <c r="Y367" i="7"/>
  <c r="J368" i="7"/>
  <c r="X368" i="7"/>
  <c r="I369" i="7"/>
  <c r="T370" i="7"/>
  <c r="E371" i="7"/>
  <c r="R371" i="7"/>
  <c r="C372" i="7"/>
  <c r="P372" i="7"/>
  <c r="AC372" i="7"/>
  <c r="N373" i="7"/>
  <c r="AB373" i="7"/>
  <c r="M374" i="7"/>
  <c r="Z374" i="7"/>
  <c r="K375" i="7"/>
  <c r="X375" i="7"/>
  <c r="I376" i="7"/>
  <c r="T377" i="7"/>
  <c r="E378" i="7"/>
  <c r="R378" i="7"/>
  <c r="D379" i="7"/>
  <c r="Q379" i="7"/>
  <c r="AD379" i="7"/>
  <c r="O380" i="7"/>
  <c r="AB380" i="7"/>
  <c r="M381" i="7"/>
  <c r="Z381" i="7"/>
  <c r="J382" i="7"/>
  <c r="F383" i="7"/>
  <c r="R383" i="7"/>
  <c r="AD383" i="7"/>
  <c r="N384" i="7"/>
  <c r="Z384" i="7"/>
  <c r="J385" i="7"/>
  <c r="F386" i="7"/>
  <c r="R386" i="7"/>
  <c r="AD386" i="7"/>
  <c r="N387" i="7"/>
  <c r="Z387" i="7"/>
  <c r="J388" i="7"/>
  <c r="F389" i="7"/>
  <c r="R389" i="7"/>
  <c r="AD389" i="7"/>
  <c r="N390" i="7"/>
  <c r="Z390" i="7"/>
  <c r="J391" i="7"/>
  <c r="F392" i="7"/>
  <c r="R392" i="7"/>
  <c r="AD392" i="7"/>
  <c r="N393" i="7"/>
  <c r="Z393" i="7"/>
  <c r="J394" i="7"/>
  <c r="F395" i="7"/>
  <c r="R395" i="7"/>
  <c r="AD395" i="7"/>
  <c r="N396" i="7"/>
  <c r="Z396" i="7"/>
  <c r="J397" i="7"/>
  <c r="F398" i="7"/>
  <c r="R398" i="7"/>
  <c r="AD398" i="7"/>
  <c r="N399" i="7"/>
  <c r="Z399" i="7"/>
  <c r="J400" i="7"/>
  <c r="F401" i="7"/>
  <c r="R401" i="7"/>
  <c r="AD401" i="7"/>
  <c r="N402" i="7"/>
  <c r="Z402" i="7"/>
  <c r="J403" i="7"/>
  <c r="F404" i="7"/>
  <c r="R404" i="7"/>
  <c r="AD404" i="7"/>
  <c r="N405" i="7"/>
  <c r="Z405" i="7"/>
  <c r="J406" i="7"/>
  <c r="F407" i="7"/>
  <c r="R407" i="7"/>
  <c r="AD407" i="7"/>
  <c r="N408" i="7"/>
  <c r="Z408" i="7"/>
  <c r="J409" i="7"/>
  <c r="F410" i="7"/>
  <c r="R410" i="7"/>
  <c r="AD410" i="7"/>
  <c r="N411" i="7"/>
  <c r="Z411" i="7"/>
  <c r="J412" i="7"/>
  <c r="F413" i="7"/>
  <c r="R413" i="7"/>
  <c r="AD413" i="7"/>
  <c r="N414" i="7"/>
  <c r="Z414" i="7"/>
  <c r="J415" i="7"/>
  <c r="F416" i="7"/>
  <c r="R416" i="7"/>
  <c r="AD416" i="7"/>
  <c r="N417" i="7"/>
  <c r="Z417" i="7"/>
  <c r="J418" i="7"/>
  <c r="F419" i="7"/>
  <c r="R419" i="7"/>
  <c r="AD419" i="7"/>
  <c r="N420" i="7"/>
  <c r="Z420" i="7"/>
  <c r="J421" i="7"/>
  <c r="F422" i="7"/>
  <c r="R422" i="7"/>
  <c r="AD422" i="7"/>
  <c r="N423" i="7"/>
  <c r="Z423" i="7"/>
  <c r="J424" i="7"/>
  <c r="F425" i="7"/>
  <c r="R425" i="7"/>
  <c r="AD425" i="7"/>
  <c r="N426" i="7"/>
  <c r="Z426" i="7"/>
  <c r="J427" i="7"/>
  <c r="F428" i="7"/>
  <c r="R428" i="7"/>
  <c r="AD428" i="7"/>
  <c r="N429" i="7"/>
  <c r="Z429" i="7"/>
  <c r="J430" i="7"/>
  <c r="F431" i="7"/>
  <c r="R431" i="7"/>
  <c r="AD431" i="7"/>
  <c r="N432" i="7"/>
  <c r="Z432" i="7"/>
  <c r="J433" i="7"/>
  <c r="F434" i="7"/>
  <c r="R434" i="7"/>
  <c r="AD434" i="7"/>
  <c r="N435" i="7"/>
  <c r="Z435" i="7"/>
  <c r="J436" i="7"/>
  <c r="F437" i="7"/>
  <c r="P305" i="7"/>
  <c r="Z315" i="7"/>
  <c r="AD320" i="7"/>
  <c r="F326" i="7"/>
  <c r="H330" i="7"/>
  <c r="X332" i="7"/>
  <c r="L334" i="7"/>
  <c r="S335" i="7"/>
  <c r="Q336" i="7"/>
  <c r="T338" i="7"/>
  <c r="Q339" i="7"/>
  <c r="M340" i="7"/>
  <c r="I341" i="7"/>
  <c r="E342" i="7"/>
  <c r="AC342" i="7"/>
  <c r="Y343" i="7"/>
  <c r="T344" i="7"/>
  <c r="N345" i="7"/>
  <c r="F346" i="7"/>
  <c r="Y346" i="7"/>
  <c r="S347" i="7"/>
  <c r="K348" i="7"/>
  <c r="D349" i="7"/>
  <c r="X349" i="7"/>
  <c r="R350" i="7"/>
  <c r="H351" i="7"/>
  <c r="Z351" i="7"/>
  <c r="P352" i="7"/>
  <c r="F353" i="7"/>
  <c r="X353" i="7"/>
  <c r="N354" i="7"/>
  <c r="D355" i="7"/>
  <c r="L356" i="7"/>
  <c r="AD356" i="7"/>
  <c r="T357" i="7"/>
  <c r="J358" i="7"/>
  <c r="AB358" i="7"/>
  <c r="R359" i="7"/>
  <c r="H360" i="7"/>
  <c r="X360" i="7"/>
  <c r="K361" i="7"/>
  <c r="Z361" i="7"/>
  <c r="N362" i="7"/>
  <c r="AB362" i="7"/>
  <c r="N363" i="7"/>
  <c r="AB363" i="7"/>
  <c r="N364" i="7"/>
  <c r="AD364" i="7"/>
  <c r="P365" i="7"/>
  <c r="AD365" i="7"/>
  <c r="O366" i="7"/>
  <c r="AB366" i="7"/>
  <c r="M367" i="7"/>
  <c r="Z367" i="7"/>
  <c r="L368" i="7"/>
  <c r="Y368" i="7"/>
  <c r="J369" i="7"/>
  <c r="W369" i="7"/>
  <c r="H370" i="7"/>
  <c r="U370" i="7"/>
  <c r="F371" i="7"/>
  <c r="S371" i="7"/>
  <c r="D372" i="7"/>
  <c r="Q372" i="7"/>
  <c r="AD372" i="7"/>
  <c r="P373" i="7"/>
  <c r="AC373" i="7"/>
  <c r="N374" i="7"/>
  <c r="AA374" i="7"/>
  <c r="L375" i="7"/>
  <c r="Y375" i="7"/>
  <c r="J376" i="7"/>
  <c r="W376" i="7"/>
  <c r="H377" i="7"/>
  <c r="U377" i="7"/>
  <c r="F378" i="7"/>
  <c r="T378" i="7"/>
  <c r="E379" i="7"/>
  <c r="R379" i="7"/>
  <c r="C380" i="7"/>
  <c r="P380" i="7"/>
  <c r="AC380" i="7"/>
  <c r="N381" i="7"/>
  <c r="AA381" i="7"/>
  <c r="K382" i="7"/>
  <c r="W382" i="7"/>
  <c r="S383" i="7"/>
  <c r="C384" i="7"/>
  <c r="O384" i="7"/>
  <c r="AA384" i="7"/>
  <c r="K385" i="7"/>
  <c r="W385" i="7"/>
  <c r="S386" i="7"/>
  <c r="C387" i="7"/>
  <c r="O387" i="7"/>
  <c r="AA387" i="7"/>
  <c r="K388" i="7"/>
  <c r="W388" i="7"/>
  <c r="S389" i="7"/>
  <c r="C390" i="7"/>
  <c r="O390" i="7"/>
  <c r="AA390" i="7"/>
  <c r="K391" i="7"/>
  <c r="W391" i="7"/>
  <c r="S392" i="7"/>
  <c r="C393" i="7"/>
  <c r="O393" i="7"/>
  <c r="AA393" i="7"/>
  <c r="K394" i="7"/>
  <c r="W394" i="7"/>
  <c r="S395" i="7"/>
  <c r="C396" i="7"/>
  <c r="O396" i="7"/>
  <c r="AA396" i="7"/>
  <c r="K397" i="7"/>
  <c r="W397" i="7"/>
  <c r="S398" i="7"/>
  <c r="C399" i="7"/>
  <c r="O399" i="7"/>
  <c r="AA399" i="7"/>
  <c r="K400" i="7"/>
  <c r="W400" i="7"/>
  <c r="S401" i="7"/>
  <c r="C402" i="7"/>
  <c r="O402" i="7"/>
  <c r="AA402" i="7"/>
  <c r="K403" i="7"/>
  <c r="W403" i="7"/>
  <c r="S404" i="7"/>
  <c r="C405" i="7"/>
  <c r="O405" i="7"/>
  <c r="AA405" i="7"/>
  <c r="K406" i="7"/>
  <c r="W406" i="7"/>
  <c r="S407" i="7"/>
  <c r="C408" i="7"/>
  <c r="O408" i="7"/>
  <c r="AA408" i="7"/>
  <c r="K409" i="7"/>
  <c r="W409" i="7"/>
  <c r="S410" i="7"/>
  <c r="C411" i="7"/>
  <c r="O411" i="7"/>
  <c r="AA411" i="7"/>
  <c r="K412" i="7"/>
  <c r="W412" i="7"/>
  <c r="S413" i="7"/>
  <c r="C414" i="7"/>
  <c r="O414" i="7"/>
  <c r="AA414" i="7"/>
  <c r="K415" i="7"/>
  <c r="W415" i="7"/>
  <c r="S416" i="7"/>
  <c r="C417" i="7"/>
  <c r="O417" i="7"/>
  <c r="AA417" i="7"/>
  <c r="K418" i="7"/>
  <c r="W418" i="7"/>
  <c r="S419" i="7"/>
  <c r="C420" i="7"/>
  <c r="O420" i="7"/>
  <c r="AA420" i="7"/>
  <c r="K421" i="7"/>
  <c r="AC305" i="7"/>
  <c r="F311" i="7"/>
  <c r="J316" i="7"/>
  <c r="N321" i="7"/>
  <c r="R326" i="7"/>
  <c r="N330" i="7"/>
  <c r="AD332" i="7"/>
  <c r="P334" i="7"/>
  <c r="T335" i="7"/>
  <c r="T336" i="7"/>
  <c r="W337" i="7"/>
  <c r="U338" i="7"/>
  <c r="T339" i="7"/>
  <c r="P340" i="7"/>
  <c r="L341" i="7"/>
  <c r="H342" i="7"/>
  <c r="D343" i="7"/>
  <c r="AB343" i="7"/>
  <c r="U344" i="7"/>
  <c r="O345" i="7"/>
  <c r="AB346" i="7"/>
  <c r="T347" i="7"/>
  <c r="N348" i="7"/>
  <c r="F349" i="7"/>
  <c r="Y349" i="7"/>
  <c r="S350" i="7"/>
  <c r="J351" i="7"/>
  <c r="AA351" i="7"/>
  <c r="R352" i="7"/>
  <c r="Z353" i="7"/>
  <c r="O354" i="7"/>
  <c r="F355" i="7"/>
  <c r="W355" i="7"/>
  <c r="N356" i="7"/>
  <c r="C357" i="7"/>
  <c r="K358" i="7"/>
  <c r="AD358" i="7"/>
  <c r="S359" i="7"/>
  <c r="J360" i="7"/>
  <c r="Y360" i="7"/>
  <c r="L361" i="7"/>
  <c r="AB361" i="7"/>
  <c r="O362" i="7"/>
  <c r="AC362" i="7"/>
  <c r="O363" i="7"/>
  <c r="AC363" i="7"/>
  <c r="P364" i="7"/>
  <c r="C365" i="7"/>
  <c r="Q365" i="7"/>
  <c r="C366" i="7"/>
  <c r="P366" i="7"/>
  <c r="AC366" i="7"/>
  <c r="N367" i="7"/>
  <c r="AB367" i="7"/>
  <c r="M368" i="7"/>
  <c r="Z368" i="7"/>
  <c r="K369" i="7"/>
  <c r="X369" i="7"/>
  <c r="I370" i="7"/>
  <c r="T371" i="7"/>
  <c r="E372" i="7"/>
  <c r="R372" i="7"/>
  <c r="D373" i="7"/>
  <c r="Q373" i="7"/>
  <c r="AD373" i="7"/>
  <c r="O374" i="7"/>
  <c r="AB374" i="7"/>
  <c r="M375" i="7"/>
  <c r="Z375" i="7"/>
  <c r="K376" i="7"/>
  <c r="X376" i="7"/>
  <c r="I377" i="7"/>
  <c r="H378" i="7"/>
  <c r="U378" i="7"/>
  <c r="F379" i="7"/>
  <c r="S379" i="7"/>
  <c r="D380" i="7"/>
  <c r="Q380" i="7"/>
  <c r="AD380" i="7"/>
  <c r="O381" i="7"/>
  <c r="AB381" i="7"/>
  <c r="L382" i="7"/>
  <c r="X382" i="7"/>
  <c r="H383" i="7"/>
  <c r="T383" i="7"/>
  <c r="D384" i="7"/>
  <c r="P384" i="7"/>
  <c r="AB384" i="7"/>
  <c r="L385" i="7"/>
  <c r="X385" i="7"/>
  <c r="H386" i="7"/>
  <c r="T386" i="7"/>
  <c r="D387" i="7"/>
  <c r="P387" i="7"/>
  <c r="AB387" i="7"/>
  <c r="L388" i="7"/>
  <c r="X388" i="7"/>
  <c r="H389" i="7"/>
  <c r="T389" i="7"/>
  <c r="D390" i="7"/>
  <c r="P390" i="7"/>
  <c r="AB390" i="7"/>
  <c r="L391" i="7"/>
  <c r="X391" i="7"/>
  <c r="H392" i="7"/>
  <c r="T392" i="7"/>
  <c r="D393" i="7"/>
  <c r="P393" i="7"/>
  <c r="AB393" i="7"/>
  <c r="L394" i="7"/>
  <c r="X394" i="7"/>
  <c r="H395" i="7"/>
  <c r="T395" i="7"/>
  <c r="D396" i="7"/>
  <c r="P396" i="7"/>
  <c r="AB396" i="7"/>
  <c r="L397" i="7"/>
  <c r="X397" i="7"/>
  <c r="H398" i="7"/>
  <c r="T398" i="7"/>
  <c r="D399" i="7"/>
  <c r="P399" i="7"/>
  <c r="AB399" i="7"/>
  <c r="L400" i="7"/>
  <c r="X400" i="7"/>
  <c r="H401" i="7"/>
  <c r="T401" i="7"/>
  <c r="D402" i="7"/>
  <c r="P402" i="7"/>
  <c r="AB402" i="7"/>
  <c r="L403" i="7"/>
  <c r="X403" i="7"/>
  <c r="H404" i="7"/>
  <c r="T404" i="7"/>
  <c r="D405" i="7"/>
  <c r="P405" i="7"/>
  <c r="AB405" i="7"/>
  <c r="L406" i="7"/>
  <c r="X406" i="7"/>
  <c r="H407" i="7"/>
  <c r="T407" i="7"/>
  <c r="D408" i="7"/>
  <c r="P408" i="7"/>
  <c r="AB408" i="7"/>
  <c r="L409" i="7"/>
  <c r="X409" i="7"/>
  <c r="H410" i="7"/>
  <c r="T410" i="7"/>
  <c r="D411" i="7"/>
  <c r="P411" i="7"/>
  <c r="AB411" i="7"/>
  <c r="L412" i="7"/>
  <c r="X412" i="7"/>
  <c r="H413" i="7"/>
  <c r="T413" i="7"/>
  <c r="D414" i="7"/>
  <c r="P414" i="7"/>
  <c r="AB414" i="7"/>
  <c r="L415" i="7"/>
  <c r="X415" i="7"/>
  <c r="H416" i="7"/>
  <c r="T416" i="7"/>
  <c r="D417" i="7"/>
  <c r="P417" i="7"/>
  <c r="AB417" i="7"/>
  <c r="L418" i="7"/>
  <c r="X418" i="7"/>
  <c r="H419" i="7"/>
  <c r="T419" i="7"/>
  <c r="D420" i="7"/>
  <c r="P420" i="7"/>
  <c r="AB420" i="7"/>
  <c r="L421" i="7"/>
  <c r="X421" i="7"/>
  <c r="H422" i="7"/>
  <c r="T422" i="7"/>
  <c r="D423" i="7"/>
  <c r="P423" i="7"/>
  <c r="AB423" i="7"/>
  <c r="L424" i="7"/>
  <c r="X424" i="7"/>
  <c r="H425" i="7"/>
  <c r="T425" i="7"/>
  <c r="D426" i="7"/>
  <c r="P426" i="7"/>
  <c r="AB426" i="7"/>
  <c r="L427" i="7"/>
  <c r="X427" i="7"/>
  <c r="H428" i="7"/>
  <c r="T428" i="7"/>
  <c r="D429" i="7"/>
  <c r="P429" i="7"/>
  <c r="AB429" i="7"/>
  <c r="L430" i="7"/>
  <c r="X430" i="7"/>
  <c r="H431" i="7"/>
  <c r="T431" i="7"/>
  <c r="D432" i="7"/>
  <c r="P432" i="7"/>
  <c r="AB432" i="7"/>
  <c r="L433" i="7"/>
  <c r="X433" i="7"/>
  <c r="H434" i="7"/>
  <c r="T434" i="7"/>
  <c r="D435" i="7"/>
  <c r="P435" i="7"/>
  <c r="AB435" i="7"/>
  <c r="L436" i="7"/>
  <c r="X436" i="7"/>
  <c r="H437" i="7"/>
  <c r="T437" i="7"/>
  <c r="D438" i="7"/>
  <c r="P438" i="7"/>
  <c r="AB438" i="7"/>
  <c r="L439" i="7"/>
  <c r="X439" i="7"/>
  <c r="H440" i="7"/>
  <c r="T440" i="7"/>
  <c r="D441" i="7"/>
  <c r="P441" i="7"/>
  <c r="AB441" i="7"/>
  <c r="L442" i="7"/>
  <c r="X442" i="7"/>
  <c r="H443" i="7"/>
  <c r="T443" i="7"/>
  <c r="D444" i="7"/>
  <c r="P444" i="7"/>
  <c r="AB444" i="7"/>
  <c r="L445" i="7"/>
  <c r="X445" i="7"/>
  <c r="H446" i="7"/>
  <c r="T446" i="7"/>
  <c r="D447" i="7"/>
  <c r="P447" i="7"/>
  <c r="AB447" i="7"/>
  <c r="L448" i="7"/>
  <c r="X448" i="7"/>
  <c r="H449" i="7"/>
  <c r="T449" i="7"/>
  <c r="D450" i="7"/>
  <c r="P450" i="7"/>
  <c r="AB450" i="7"/>
  <c r="L451" i="7"/>
  <c r="X451" i="7"/>
  <c r="H452" i="7"/>
  <c r="T452" i="7"/>
  <c r="N306" i="7"/>
  <c r="R311" i="7"/>
  <c r="Z321" i="7"/>
  <c r="AD326" i="7"/>
  <c r="T330" i="7"/>
  <c r="C333" i="7"/>
  <c r="U335" i="7"/>
  <c r="Z336" i="7"/>
  <c r="X337" i="7"/>
  <c r="X338" i="7"/>
  <c r="R340" i="7"/>
  <c r="N341" i="7"/>
  <c r="J342" i="7"/>
  <c r="F343" i="7"/>
  <c r="AD343" i="7"/>
  <c r="X344" i="7"/>
  <c r="P345" i="7"/>
  <c r="J346" i="7"/>
  <c r="AD346" i="7"/>
  <c r="U347" i="7"/>
  <c r="O348" i="7"/>
  <c r="AB349" i="7"/>
  <c r="T350" i="7"/>
  <c r="K351" i="7"/>
  <c r="AB351" i="7"/>
  <c r="S352" i="7"/>
  <c r="H353" i="7"/>
  <c r="AA353" i="7"/>
  <c r="P354" i="7"/>
  <c r="X355" i="7"/>
  <c r="O356" i="7"/>
  <c r="D357" i="7"/>
  <c r="W357" i="7"/>
  <c r="L358" i="7"/>
  <c r="C359" i="7"/>
  <c r="T359" i="7"/>
  <c r="K360" i="7"/>
  <c r="Z360" i="7"/>
  <c r="M361" i="7"/>
  <c r="AD361" i="7"/>
  <c r="P362" i="7"/>
  <c r="AD362" i="7"/>
  <c r="P363" i="7"/>
  <c r="AD363" i="7"/>
  <c r="R364" i="7"/>
  <c r="D365" i="7"/>
  <c r="R365" i="7"/>
  <c r="D366" i="7"/>
  <c r="Q366" i="7"/>
  <c r="AD366" i="7"/>
  <c r="P367" i="7"/>
  <c r="AC367" i="7"/>
  <c r="N368" i="7"/>
  <c r="AA368" i="7"/>
  <c r="L369" i="7"/>
  <c r="Y369" i="7"/>
  <c r="J370" i="7"/>
  <c r="W370" i="7"/>
  <c r="H371" i="7"/>
  <c r="U371" i="7"/>
  <c r="F372" i="7"/>
  <c r="T372" i="7"/>
  <c r="E373" i="7"/>
  <c r="R373" i="7"/>
  <c r="C374" i="7"/>
  <c r="P374" i="7"/>
  <c r="AC374" i="7"/>
  <c r="N375" i="7"/>
  <c r="AA375" i="7"/>
  <c r="L376" i="7"/>
  <c r="Y376" i="7"/>
  <c r="J377" i="7"/>
  <c r="X377" i="7"/>
  <c r="I378" i="7"/>
  <c r="T379" i="7"/>
  <c r="E380" i="7"/>
  <c r="R380" i="7"/>
  <c r="C381" i="7"/>
  <c r="P381" i="7"/>
  <c r="AC381" i="7"/>
  <c r="M382" i="7"/>
  <c r="Y382" i="7"/>
  <c r="I383" i="7"/>
  <c r="U383" i="7"/>
  <c r="E384" i="7"/>
  <c r="Q384" i="7"/>
  <c r="AC384" i="7"/>
  <c r="M385" i="7"/>
  <c r="Y385" i="7"/>
  <c r="I386" i="7"/>
  <c r="U386" i="7"/>
  <c r="E387" i="7"/>
  <c r="Q387" i="7"/>
  <c r="AC387" i="7"/>
  <c r="M388" i="7"/>
  <c r="Y388" i="7"/>
  <c r="I389" i="7"/>
  <c r="U389" i="7"/>
  <c r="E390" i="7"/>
  <c r="Q390" i="7"/>
  <c r="AC390" i="7"/>
  <c r="M391" i="7"/>
  <c r="Y391" i="7"/>
  <c r="I392" i="7"/>
  <c r="U392" i="7"/>
  <c r="E393" i="7"/>
  <c r="Q393" i="7"/>
  <c r="AC393" i="7"/>
  <c r="M394" i="7"/>
  <c r="Y394" i="7"/>
  <c r="I395" i="7"/>
  <c r="U395" i="7"/>
  <c r="E396" i="7"/>
  <c r="Q396" i="7"/>
  <c r="AC396" i="7"/>
  <c r="M397" i="7"/>
  <c r="Z306" i="7"/>
  <c r="AD311" i="7"/>
  <c r="F317" i="7"/>
  <c r="J322" i="7"/>
  <c r="N327" i="7"/>
  <c r="Z330" i="7"/>
  <c r="H333" i="7"/>
  <c r="W334" i="7"/>
  <c r="X335" i="7"/>
  <c r="AA336" i="7"/>
  <c r="Y337" i="7"/>
  <c r="AD338" i="7"/>
  <c r="Z339" i="7"/>
  <c r="R341" i="7"/>
  <c r="N342" i="7"/>
  <c r="J343" i="7"/>
  <c r="F344" i="7"/>
  <c r="Z344" i="7"/>
  <c r="Q345" i="7"/>
  <c r="K346" i="7"/>
  <c r="C347" i="7"/>
  <c r="X347" i="7"/>
  <c r="P348" i="7"/>
  <c r="J349" i="7"/>
  <c r="AD349" i="7"/>
  <c r="U350" i="7"/>
  <c r="L351" i="7"/>
  <c r="AC351" i="7"/>
  <c r="T352" i="7"/>
  <c r="I353" i="7"/>
  <c r="AB353" i="7"/>
  <c r="Q354" i="7"/>
  <c r="H355" i="7"/>
  <c r="Y355" i="7"/>
  <c r="P356" i="7"/>
  <c r="E357" i="7"/>
  <c r="X357" i="7"/>
  <c r="M358" i="7"/>
  <c r="D359" i="7"/>
  <c r="U359" i="7"/>
  <c r="L360" i="7"/>
  <c r="AA360" i="7"/>
  <c r="P361" i="7"/>
  <c r="C362" i="7"/>
  <c r="Q362" i="7"/>
  <c r="C363" i="7"/>
  <c r="Q363" i="7"/>
  <c r="D364" i="7"/>
  <c r="S364" i="7"/>
  <c r="E365" i="7"/>
  <c r="S365" i="7"/>
  <c r="E366" i="7"/>
  <c r="R366" i="7"/>
  <c r="D367" i="7"/>
  <c r="Q367" i="7"/>
  <c r="AD367" i="7"/>
  <c r="O368" i="7"/>
  <c r="AB368" i="7"/>
  <c r="M369" i="7"/>
  <c r="Z369" i="7"/>
  <c r="K370" i="7"/>
  <c r="X370" i="7"/>
  <c r="I371" i="7"/>
  <c r="H372" i="7"/>
  <c r="U372" i="7"/>
  <c r="F373" i="7"/>
  <c r="S373" i="7"/>
  <c r="D374" i="7"/>
  <c r="Q374" i="7"/>
  <c r="AD374" i="7"/>
  <c r="O375" i="7"/>
  <c r="AB375" i="7"/>
  <c r="M376" i="7"/>
  <c r="Z376" i="7"/>
  <c r="L377" i="7"/>
  <c r="Y377" i="7"/>
  <c r="J378" i="7"/>
  <c r="W378" i="7"/>
  <c r="H379" i="7"/>
  <c r="U379" i="7"/>
  <c r="F380" i="7"/>
  <c r="S380" i="7"/>
  <c r="D381" i="7"/>
  <c r="Q381" i="7"/>
  <c r="AD381" i="7"/>
  <c r="N382" i="7"/>
  <c r="Z382" i="7"/>
  <c r="J383" i="7"/>
  <c r="F384" i="7"/>
  <c r="R384" i="7"/>
  <c r="AD384" i="7"/>
  <c r="N385" i="7"/>
  <c r="Z385" i="7"/>
  <c r="J386" i="7"/>
  <c r="F387" i="7"/>
  <c r="R387" i="7"/>
  <c r="AD387" i="7"/>
  <c r="N388" i="7"/>
  <c r="Z388" i="7"/>
  <c r="J389" i="7"/>
  <c r="F390" i="7"/>
  <c r="R390" i="7"/>
  <c r="AD390" i="7"/>
  <c r="N391" i="7"/>
  <c r="Z391" i="7"/>
  <c r="J392" i="7"/>
  <c r="F393" i="7"/>
  <c r="R393" i="7"/>
  <c r="AD393" i="7"/>
  <c r="N394" i="7"/>
  <c r="Z394" i="7"/>
  <c r="J395" i="7"/>
  <c r="F396" i="7"/>
  <c r="R396" i="7"/>
  <c r="AD396" i="7"/>
  <c r="N397" i="7"/>
  <c r="Z397" i="7"/>
  <c r="J398" i="7"/>
  <c r="F399" i="7"/>
  <c r="R399" i="7"/>
  <c r="AD399" i="7"/>
  <c r="N400" i="7"/>
  <c r="Z400" i="7"/>
  <c r="J401" i="7"/>
  <c r="F402" i="7"/>
  <c r="R402" i="7"/>
  <c r="AD402" i="7"/>
  <c r="N403" i="7"/>
  <c r="Z403" i="7"/>
  <c r="J404" i="7"/>
  <c r="F405" i="7"/>
  <c r="R405" i="7"/>
  <c r="AD405" i="7"/>
  <c r="N406" i="7"/>
  <c r="Z406" i="7"/>
  <c r="J407" i="7"/>
  <c r="F408" i="7"/>
  <c r="R408" i="7"/>
  <c r="AD408" i="7"/>
  <c r="N409" i="7"/>
  <c r="Z409" i="7"/>
  <c r="J410" i="7"/>
  <c r="F411" i="7"/>
  <c r="R411" i="7"/>
  <c r="AD411" i="7"/>
  <c r="N412" i="7"/>
  <c r="Z412" i="7"/>
  <c r="J307" i="7"/>
  <c r="N312" i="7"/>
  <c r="R317" i="7"/>
  <c r="Z327" i="7"/>
  <c r="D331" i="7"/>
  <c r="N333" i="7"/>
  <c r="X334" i="7"/>
  <c r="AD335" i="7"/>
  <c r="AB336" i="7"/>
  <c r="AB337" i="7"/>
  <c r="C339" i="7"/>
  <c r="AA339" i="7"/>
  <c r="W340" i="7"/>
  <c r="S341" i="7"/>
  <c r="O342" i="7"/>
  <c r="K343" i="7"/>
  <c r="AA344" i="7"/>
  <c r="T345" i="7"/>
  <c r="L346" i="7"/>
  <c r="F347" i="7"/>
  <c r="Z347" i="7"/>
  <c r="Q348" i="7"/>
  <c r="K349" i="7"/>
  <c r="C350" i="7"/>
  <c r="X350" i="7"/>
  <c r="N351" i="7"/>
  <c r="D352" i="7"/>
  <c r="L353" i="7"/>
  <c r="AD353" i="7"/>
  <c r="T354" i="7"/>
  <c r="J355" i="7"/>
  <c r="AB355" i="7"/>
  <c r="R356" i="7"/>
  <c r="H357" i="7"/>
  <c r="Z357" i="7"/>
  <c r="P358" i="7"/>
  <c r="F359" i="7"/>
  <c r="X359" i="7"/>
  <c r="M360" i="7"/>
  <c r="AB360" i="7"/>
  <c r="R361" i="7"/>
  <c r="D362" i="7"/>
  <c r="R362" i="7"/>
  <c r="D363" i="7"/>
  <c r="R363" i="7"/>
  <c r="F364" i="7"/>
  <c r="T364" i="7"/>
  <c r="F365" i="7"/>
  <c r="T365" i="7"/>
  <c r="F366" i="7"/>
  <c r="T366" i="7"/>
  <c r="E367" i="7"/>
  <c r="R367" i="7"/>
  <c r="C368" i="7"/>
  <c r="P368" i="7"/>
  <c r="AC368" i="7"/>
  <c r="N369" i="7"/>
  <c r="AA369" i="7"/>
  <c r="L370" i="7"/>
  <c r="Y370" i="7"/>
  <c r="J371" i="7"/>
  <c r="X371" i="7"/>
  <c r="I372" i="7"/>
  <c r="T373" i="7"/>
  <c r="E374" i="7"/>
  <c r="R374" i="7"/>
  <c r="C375" i="7"/>
  <c r="P375" i="7"/>
  <c r="AC375" i="7"/>
  <c r="N376" i="7"/>
  <c r="AB376" i="7"/>
  <c r="M377" i="7"/>
  <c r="Z377" i="7"/>
  <c r="K378" i="7"/>
  <c r="X378" i="7"/>
  <c r="I379" i="7"/>
  <c r="T380" i="7"/>
  <c r="E381" i="7"/>
  <c r="R381" i="7"/>
  <c r="C382" i="7"/>
  <c r="O382" i="7"/>
  <c r="AA382" i="7"/>
  <c r="K383" i="7"/>
  <c r="W383" i="7"/>
  <c r="S384" i="7"/>
  <c r="C385" i="7"/>
  <c r="O385" i="7"/>
  <c r="AA385" i="7"/>
  <c r="K386" i="7"/>
  <c r="W386" i="7"/>
  <c r="S387" i="7"/>
  <c r="C388" i="7"/>
  <c r="O388" i="7"/>
  <c r="AA388" i="7"/>
  <c r="K389" i="7"/>
  <c r="W389" i="7"/>
  <c r="S390" i="7"/>
  <c r="C391" i="7"/>
  <c r="O391" i="7"/>
  <c r="AA391" i="7"/>
  <c r="K392" i="7"/>
  <c r="W392" i="7"/>
  <c r="S393" i="7"/>
  <c r="Z312" i="7"/>
  <c r="AD317" i="7"/>
  <c r="F323" i="7"/>
  <c r="J328" i="7"/>
  <c r="J331" i="7"/>
  <c r="O333" i="7"/>
  <c r="AB334" i="7"/>
  <c r="C336" i="7"/>
  <c r="AC336" i="7"/>
  <c r="F338" i="7"/>
  <c r="D339" i="7"/>
  <c r="AB339" i="7"/>
  <c r="X340" i="7"/>
  <c r="T341" i="7"/>
  <c r="P342" i="7"/>
  <c r="L343" i="7"/>
  <c r="H344" i="7"/>
  <c r="AD344" i="7"/>
  <c r="M346" i="7"/>
  <c r="AA347" i="7"/>
  <c r="T348" i="7"/>
  <c r="L349" i="7"/>
  <c r="F350" i="7"/>
  <c r="Z350" i="7"/>
  <c r="O351" i="7"/>
  <c r="F352" i="7"/>
  <c r="W352" i="7"/>
  <c r="N353" i="7"/>
  <c r="C354" i="7"/>
  <c r="K355" i="7"/>
  <c r="AD355" i="7"/>
  <c r="S356" i="7"/>
  <c r="J357" i="7"/>
  <c r="AA357" i="7"/>
  <c r="R358" i="7"/>
  <c r="Z359" i="7"/>
  <c r="N360" i="7"/>
  <c r="AC360" i="7"/>
  <c r="S361" i="7"/>
  <c r="E362" i="7"/>
  <c r="S362" i="7"/>
  <c r="E363" i="7"/>
  <c r="T363" i="7"/>
  <c r="U364" i="7"/>
  <c r="U365" i="7"/>
  <c r="H366" i="7"/>
  <c r="U366" i="7"/>
  <c r="F367" i="7"/>
  <c r="S367" i="7"/>
  <c r="D368" i="7"/>
  <c r="Q368" i="7"/>
  <c r="AD368" i="7"/>
  <c r="O369" i="7"/>
  <c r="AB369" i="7"/>
  <c r="M370" i="7"/>
  <c r="Z370" i="7"/>
  <c r="L371" i="7"/>
  <c r="Y371" i="7"/>
  <c r="J372" i="7"/>
  <c r="W372" i="7"/>
  <c r="H373" i="7"/>
  <c r="U373" i="7"/>
  <c r="F374" i="7"/>
  <c r="S374" i="7"/>
  <c r="D375" i="7"/>
  <c r="Q375" i="7"/>
  <c r="AD375" i="7"/>
  <c r="P376" i="7"/>
  <c r="AC376" i="7"/>
  <c r="N377" i="7"/>
  <c r="AA377" i="7"/>
  <c r="L378" i="7"/>
  <c r="Y378" i="7"/>
  <c r="J379" i="7"/>
  <c r="W379" i="7"/>
  <c r="H380" i="7"/>
  <c r="U380" i="7"/>
  <c r="F381" i="7"/>
  <c r="T381" i="7"/>
  <c r="D382" i="7"/>
  <c r="P382" i="7"/>
  <c r="AB382" i="7"/>
  <c r="L383" i="7"/>
  <c r="X383" i="7"/>
  <c r="H384" i="7"/>
  <c r="T384" i="7"/>
  <c r="D385" i="7"/>
  <c r="P385" i="7"/>
  <c r="AB385" i="7"/>
  <c r="L386" i="7"/>
  <c r="X386" i="7"/>
  <c r="H387" i="7"/>
  <c r="T387" i="7"/>
  <c r="D388" i="7"/>
  <c r="P388" i="7"/>
  <c r="AB388" i="7"/>
  <c r="L389" i="7"/>
  <c r="X389" i="7"/>
  <c r="H390" i="7"/>
  <c r="T390" i="7"/>
  <c r="D391" i="7"/>
  <c r="P391" i="7"/>
  <c r="AB391" i="7"/>
  <c r="L392" i="7"/>
  <c r="X392" i="7"/>
  <c r="H393" i="7"/>
  <c r="T393" i="7"/>
  <c r="D394" i="7"/>
  <c r="P394" i="7"/>
  <c r="AB394" i="7"/>
  <c r="L395" i="7"/>
  <c r="X395" i="7"/>
  <c r="H396" i="7"/>
  <c r="T396" i="7"/>
  <c r="D397" i="7"/>
  <c r="P397" i="7"/>
  <c r="AB397" i="7"/>
  <c r="L398" i="7"/>
  <c r="X398" i="7"/>
  <c r="H399" i="7"/>
  <c r="T399" i="7"/>
  <c r="D400" i="7"/>
  <c r="P400" i="7"/>
  <c r="AB400" i="7"/>
  <c r="L401" i="7"/>
  <c r="X401" i="7"/>
  <c r="H402" i="7"/>
  <c r="T402" i="7"/>
  <c r="D403" i="7"/>
  <c r="P403" i="7"/>
  <c r="AB403" i="7"/>
  <c r="L404" i="7"/>
  <c r="X404" i="7"/>
  <c r="H405" i="7"/>
  <c r="T405" i="7"/>
  <c r="D406" i="7"/>
  <c r="P406" i="7"/>
  <c r="AB406" i="7"/>
  <c r="L407" i="7"/>
  <c r="X407" i="7"/>
  <c r="H408" i="7"/>
  <c r="T408" i="7"/>
  <c r="D409" i="7"/>
  <c r="P409" i="7"/>
  <c r="AB409" i="7"/>
  <c r="L410" i="7"/>
  <c r="X410" i="7"/>
  <c r="H411" i="7"/>
  <c r="T411" i="7"/>
  <c r="D412" i="7"/>
  <c r="P412" i="7"/>
  <c r="AB412" i="7"/>
  <c r="L413" i="7"/>
  <c r="X413" i="7"/>
  <c r="H414" i="7"/>
  <c r="T414" i="7"/>
  <c r="D415" i="7"/>
  <c r="P415" i="7"/>
  <c r="AB415" i="7"/>
  <c r="L416" i="7"/>
  <c r="X416" i="7"/>
  <c r="H417" i="7"/>
  <c r="T417" i="7"/>
  <c r="D418" i="7"/>
  <c r="P418" i="7"/>
  <c r="AB418" i="7"/>
  <c r="L419" i="7"/>
  <c r="X419" i="7"/>
  <c r="H420" i="7"/>
  <c r="T420" i="7"/>
  <c r="D421" i="7"/>
  <c r="P421" i="7"/>
  <c r="AB421" i="7"/>
  <c r="L422" i="7"/>
  <c r="X422" i="7"/>
  <c r="H423" i="7"/>
  <c r="T423" i="7"/>
  <c r="D424" i="7"/>
  <c r="P424" i="7"/>
  <c r="AB424" i="7"/>
  <c r="L425" i="7"/>
  <c r="X425" i="7"/>
  <c r="H426" i="7"/>
  <c r="T426" i="7"/>
  <c r="D427" i="7"/>
  <c r="P427" i="7"/>
  <c r="AB427" i="7"/>
  <c r="L428" i="7"/>
  <c r="X428" i="7"/>
  <c r="H429" i="7"/>
  <c r="T429" i="7"/>
  <c r="D430" i="7"/>
  <c r="P430" i="7"/>
  <c r="AB430" i="7"/>
  <c r="L431" i="7"/>
  <c r="X431" i="7"/>
  <c r="H432" i="7"/>
  <c r="T432" i="7"/>
  <c r="D433" i="7"/>
  <c r="P433" i="7"/>
  <c r="AB433" i="7"/>
  <c r="L434" i="7"/>
  <c r="X434" i="7"/>
  <c r="H435" i="7"/>
  <c r="T435" i="7"/>
  <c r="D436" i="7"/>
  <c r="P436" i="7"/>
  <c r="AB436" i="7"/>
  <c r="L437" i="7"/>
  <c r="X437" i="7"/>
  <c r="H438" i="7"/>
  <c r="T438" i="7"/>
  <c r="D439" i="7"/>
  <c r="P439" i="7"/>
  <c r="AB439" i="7"/>
  <c r="L440" i="7"/>
  <c r="X440" i="7"/>
  <c r="H441" i="7"/>
  <c r="F308" i="7"/>
  <c r="J313" i="7"/>
  <c r="N318" i="7"/>
  <c r="R323" i="7"/>
  <c r="P331" i="7"/>
  <c r="T333" i="7"/>
  <c r="F335" i="7"/>
  <c r="D336" i="7"/>
  <c r="D337" i="7"/>
  <c r="E339" i="7"/>
  <c r="AC339" i="7"/>
  <c r="Y340" i="7"/>
  <c r="U341" i="7"/>
  <c r="Q342" i="7"/>
  <c r="M343" i="7"/>
  <c r="I344" i="7"/>
  <c r="C345" i="7"/>
  <c r="W345" i="7"/>
  <c r="P346" i="7"/>
  <c r="H347" i="7"/>
  <c r="AD347" i="7"/>
  <c r="M349" i="7"/>
  <c r="AA350" i="7"/>
  <c r="P351" i="7"/>
  <c r="X352" i="7"/>
  <c r="O353" i="7"/>
  <c r="D354" i="7"/>
  <c r="W354" i="7"/>
  <c r="L355" i="7"/>
  <c r="C356" i="7"/>
  <c r="T356" i="7"/>
  <c r="K357" i="7"/>
  <c r="AB357" i="7"/>
  <c r="S358" i="7"/>
  <c r="H359" i="7"/>
  <c r="AA359" i="7"/>
  <c r="O360" i="7"/>
  <c r="D361" i="7"/>
  <c r="T361" i="7"/>
  <c r="F362" i="7"/>
  <c r="T362" i="7"/>
  <c r="F363" i="7"/>
  <c r="H364" i="7"/>
  <c r="H365" i="7"/>
  <c r="I366" i="7"/>
  <c r="T367" i="7"/>
  <c r="E368" i="7"/>
  <c r="R368" i="7"/>
  <c r="C369" i="7"/>
  <c r="P369" i="7"/>
  <c r="AC369" i="7"/>
  <c r="N370" i="7"/>
  <c r="AB370" i="7"/>
  <c r="M371" i="7"/>
  <c r="Z371" i="7"/>
  <c r="K372" i="7"/>
  <c r="X372" i="7"/>
  <c r="I373" i="7"/>
  <c r="T374" i="7"/>
  <c r="E375" i="7"/>
  <c r="R375" i="7"/>
  <c r="D376" i="7"/>
  <c r="Q376" i="7"/>
  <c r="AD376" i="7"/>
  <c r="O377" i="7"/>
  <c r="AB377" i="7"/>
  <c r="M378" i="7"/>
  <c r="Z378" i="7"/>
  <c r="K379" i="7"/>
  <c r="X379" i="7"/>
  <c r="I380" i="7"/>
  <c r="H381" i="7"/>
  <c r="U381" i="7"/>
  <c r="E382" i="7"/>
  <c r="Q382" i="7"/>
  <c r="AC382" i="7"/>
  <c r="M383" i="7"/>
  <c r="Y383" i="7"/>
  <c r="I384" i="7"/>
  <c r="U384" i="7"/>
  <c r="E385" i="7"/>
  <c r="Q385" i="7"/>
  <c r="AC385" i="7"/>
  <c r="M386" i="7"/>
  <c r="Y386" i="7"/>
  <c r="I387" i="7"/>
  <c r="U387" i="7"/>
  <c r="E388" i="7"/>
  <c r="Q388" i="7"/>
  <c r="AC388" i="7"/>
  <c r="M389" i="7"/>
  <c r="Y389" i="7"/>
  <c r="I390" i="7"/>
  <c r="U390" i="7"/>
  <c r="E391" i="7"/>
  <c r="Q391" i="7"/>
  <c r="AC391" i="7"/>
  <c r="M392" i="7"/>
  <c r="Y392" i="7"/>
  <c r="I393" i="7"/>
  <c r="U393" i="7"/>
  <c r="E394" i="7"/>
  <c r="Q394" i="7"/>
  <c r="AC394" i="7"/>
  <c r="M395" i="7"/>
  <c r="Y395" i="7"/>
  <c r="I396" i="7"/>
  <c r="U396" i="7"/>
  <c r="E397" i="7"/>
  <c r="Q397" i="7"/>
  <c r="AC397" i="7"/>
  <c r="M398" i="7"/>
  <c r="Y398" i="7"/>
  <c r="I399" i="7"/>
  <c r="U399" i="7"/>
  <c r="E400" i="7"/>
  <c r="Q400" i="7"/>
  <c r="AC400" i="7"/>
  <c r="M401" i="7"/>
  <c r="Y401" i="7"/>
  <c r="I402" i="7"/>
  <c r="U402" i="7"/>
  <c r="E403" i="7"/>
  <c r="Q403" i="7"/>
  <c r="AC403" i="7"/>
  <c r="M404" i="7"/>
  <c r="Y404" i="7"/>
  <c r="I405" i="7"/>
  <c r="U405" i="7"/>
  <c r="E406" i="7"/>
  <c r="Q406" i="7"/>
  <c r="AC406" i="7"/>
  <c r="M407" i="7"/>
  <c r="Y407" i="7"/>
  <c r="I408" i="7"/>
  <c r="U408" i="7"/>
  <c r="E409" i="7"/>
  <c r="Q409" i="7"/>
  <c r="AC409" i="7"/>
  <c r="M410" i="7"/>
  <c r="Y410" i="7"/>
  <c r="I411" i="7"/>
  <c r="U411" i="7"/>
  <c r="E412" i="7"/>
  <c r="Q412" i="7"/>
  <c r="AC412" i="7"/>
  <c r="M413" i="7"/>
  <c r="Y413" i="7"/>
  <c r="I414" i="7"/>
  <c r="U414" i="7"/>
  <c r="E415" i="7"/>
  <c r="Q415" i="7"/>
  <c r="AC415" i="7"/>
  <c r="M416" i="7"/>
  <c r="Y416" i="7"/>
  <c r="I417" i="7"/>
  <c r="U417" i="7"/>
  <c r="E418" i="7"/>
  <c r="Q418" i="7"/>
  <c r="AC418" i="7"/>
  <c r="M419" i="7"/>
  <c r="Y419" i="7"/>
  <c r="I420" i="7"/>
  <c r="U420" i="7"/>
  <c r="E421" i="7"/>
  <c r="Q421" i="7"/>
  <c r="AC421" i="7"/>
  <c r="M422" i="7"/>
  <c r="Y422" i="7"/>
  <c r="I423" i="7"/>
  <c r="U423" i="7"/>
  <c r="E424" i="7"/>
  <c r="Q424" i="7"/>
  <c r="AC424" i="7"/>
  <c r="M425" i="7"/>
  <c r="Y425" i="7"/>
  <c r="I426" i="7"/>
  <c r="U426" i="7"/>
  <c r="E427" i="7"/>
  <c r="Q427" i="7"/>
  <c r="AC427" i="7"/>
  <c r="M428" i="7"/>
  <c r="Y428" i="7"/>
  <c r="I429" i="7"/>
  <c r="U429" i="7"/>
  <c r="E430" i="7"/>
  <c r="R308" i="7"/>
  <c r="Z318" i="7"/>
  <c r="AD323" i="7"/>
  <c r="F329" i="7"/>
  <c r="Z333" i="7"/>
  <c r="E336" i="7"/>
  <c r="J337" i="7"/>
  <c r="H338" i="7"/>
  <c r="H339" i="7"/>
  <c r="D340" i="7"/>
  <c r="AB340" i="7"/>
  <c r="X341" i="7"/>
  <c r="T342" i="7"/>
  <c r="P343" i="7"/>
  <c r="L344" i="7"/>
  <c r="D345" i="7"/>
  <c r="Z345" i="7"/>
  <c r="R346" i="7"/>
  <c r="I347" i="7"/>
  <c r="C348" i="7"/>
  <c r="W348" i="7"/>
  <c r="P349" i="7"/>
  <c r="H350" i="7"/>
  <c r="AB350" i="7"/>
  <c r="Q351" i="7"/>
  <c r="H352" i="7"/>
  <c r="Y352" i="7"/>
  <c r="P353" i="7"/>
  <c r="E354" i="7"/>
  <c r="X354" i="7"/>
  <c r="M355" i="7"/>
  <c r="D356" i="7"/>
  <c r="U356" i="7"/>
  <c r="L357" i="7"/>
  <c r="AC357" i="7"/>
  <c r="T358" i="7"/>
  <c r="I359" i="7"/>
  <c r="AB359" i="7"/>
  <c r="P360" i="7"/>
  <c r="F361" i="7"/>
  <c r="U361" i="7"/>
  <c r="U362" i="7"/>
  <c r="H363" i="7"/>
  <c r="W363" i="7"/>
  <c r="I364" i="7"/>
  <c r="W364" i="7"/>
  <c r="I365" i="7"/>
  <c r="X365" i="7"/>
  <c r="J366" i="7"/>
  <c r="W366" i="7"/>
  <c r="H367" i="7"/>
  <c r="U367" i="7"/>
  <c r="F368" i="7"/>
  <c r="S368" i="7"/>
  <c r="D369" i="7"/>
  <c r="Q369" i="7"/>
  <c r="AD369" i="7"/>
  <c r="P370" i="7"/>
  <c r="AC370" i="7"/>
  <c r="N371" i="7"/>
  <c r="AA371" i="7"/>
  <c r="L372" i="7"/>
  <c r="Y372" i="7"/>
  <c r="J373" i="7"/>
  <c r="W373" i="7"/>
  <c r="H374" i="7"/>
  <c r="U374" i="7"/>
  <c r="F375" i="7"/>
  <c r="T375" i="7"/>
  <c r="E376" i="7"/>
  <c r="R376" i="7"/>
  <c r="C377" i="7"/>
  <c r="P377" i="7"/>
  <c r="AC377" i="7"/>
  <c r="N378" i="7"/>
  <c r="AA378" i="7"/>
  <c r="L379" i="7"/>
  <c r="Y379" i="7"/>
  <c r="J380" i="7"/>
  <c r="X380" i="7"/>
  <c r="I381" i="7"/>
  <c r="F382" i="7"/>
  <c r="R382" i="7"/>
  <c r="AD382" i="7"/>
  <c r="N383" i="7"/>
  <c r="Z383" i="7"/>
  <c r="J384" i="7"/>
  <c r="F385" i="7"/>
  <c r="R385" i="7"/>
  <c r="AD385" i="7"/>
  <c r="N386" i="7"/>
  <c r="Z386" i="7"/>
  <c r="J387" i="7"/>
  <c r="F388" i="7"/>
  <c r="R388" i="7"/>
  <c r="AD388" i="7"/>
  <c r="N389" i="7"/>
  <c r="Z389" i="7"/>
  <c r="J390" i="7"/>
  <c r="F391" i="7"/>
  <c r="R391" i="7"/>
  <c r="AD391" i="7"/>
  <c r="N392" i="7"/>
  <c r="Z392" i="7"/>
  <c r="J393" i="7"/>
  <c r="F394" i="7"/>
  <c r="R394" i="7"/>
  <c r="AD394" i="7"/>
  <c r="N395" i="7"/>
  <c r="Z395" i="7"/>
  <c r="J396" i="7"/>
  <c r="F397" i="7"/>
  <c r="R397" i="7"/>
  <c r="AD397" i="7"/>
  <c r="N398" i="7"/>
  <c r="Z398" i="7"/>
  <c r="J399" i="7"/>
  <c r="F400" i="7"/>
  <c r="R400" i="7"/>
  <c r="AD400" i="7"/>
  <c r="N401" i="7"/>
  <c r="Z401" i="7"/>
  <c r="J402" i="7"/>
  <c r="F403" i="7"/>
  <c r="R403" i="7"/>
  <c r="AD403" i="7"/>
  <c r="N404" i="7"/>
  <c r="Z404" i="7"/>
  <c r="J405" i="7"/>
  <c r="F406" i="7"/>
  <c r="R406" i="7"/>
  <c r="AD406" i="7"/>
  <c r="N407" i="7"/>
  <c r="Z407" i="7"/>
  <c r="J408" i="7"/>
  <c r="F409" i="7"/>
  <c r="R409" i="7"/>
  <c r="AD409" i="7"/>
  <c r="AD308" i="7"/>
  <c r="F314" i="7"/>
  <c r="J319" i="7"/>
  <c r="N324" i="7"/>
  <c r="L329" i="7"/>
  <c r="AB331" i="7"/>
  <c r="AA333" i="7"/>
  <c r="H335" i="7"/>
  <c r="H336" i="7"/>
  <c r="K337" i="7"/>
  <c r="I338" i="7"/>
  <c r="J339" i="7"/>
  <c r="F340" i="7"/>
  <c r="AD340" i="7"/>
  <c r="Z341" i="7"/>
  <c r="R343" i="7"/>
  <c r="N344" i="7"/>
  <c r="E345" i="7"/>
  <c r="AA345" i="7"/>
  <c r="S346" i="7"/>
  <c r="L347" i="7"/>
  <c r="D348" i="7"/>
  <c r="Z348" i="7"/>
  <c r="R349" i="7"/>
  <c r="I350" i="7"/>
  <c r="AD350" i="7"/>
  <c r="T351" i="7"/>
  <c r="J352" i="7"/>
  <c r="AB352" i="7"/>
  <c r="R353" i="7"/>
  <c r="N309" i="7"/>
  <c r="R314" i="7"/>
  <c r="Z324" i="7"/>
  <c r="R329" i="7"/>
  <c r="F332" i="7"/>
  <c r="D334" i="7"/>
  <c r="I335" i="7"/>
  <c r="N336" i="7"/>
  <c r="L337" i="7"/>
  <c r="L338" i="7"/>
  <c r="N339" i="7"/>
  <c r="J340" i="7"/>
  <c r="F341" i="7"/>
  <c r="AD341" i="7"/>
  <c r="Z342" i="7"/>
  <c r="O344" i="7"/>
  <c r="H345" i="7"/>
  <c r="AB345" i="7"/>
  <c r="N347" i="7"/>
  <c r="E348" i="7"/>
  <c r="AA348" i="7"/>
  <c r="S349" i="7"/>
  <c r="L350" i="7"/>
  <c r="C351" i="7"/>
  <c r="K352" i="7"/>
  <c r="AD352" i="7"/>
  <c r="S353" i="7"/>
  <c r="J354" i="7"/>
  <c r="AA354" i="7"/>
  <c r="R355" i="7"/>
  <c r="Z356" i="7"/>
  <c r="O357" i="7"/>
  <c r="F358" i="7"/>
  <c r="W358" i="7"/>
  <c r="N359" i="7"/>
  <c r="C360" i="7"/>
  <c r="T360" i="7"/>
  <c r="H361" i="7"/>
  <c r="W361" i="7"/>
  <c r="I362" i="7"/>
  <c r="X362" i="7"/>
  <c r="K363" i="7"/>
  <c r="Y363" i="7"/>
  <c r="K364" i="7"/>
  <c r="Y364" i="7"/>
  <c r="L365" i="7"/>
  <c r="AA365" i="7"/>
  <c r="L366" i="7"/>
  <c r="Y366" i="7"/>
  <c r="J367" i="7"/>
  <c r="W367" i="7"/>
  <c r="H368" i="7"/>
  <c r="U368" i="7"/>
  <c r="F369" i="7"/>
  <c r="T369" i="7"/>
  <c r="E370" i="7"/>
  <c r="R370" i="7"/>
  <c r="C371" i="7"/>
  <c r="P371" i="7"/>
  <c r="AC371" i="7"/>
  <c r="N372" i="7"/>
  <c r="AA372" i="7"/>
  <c r="L373" i="7"/>
  <c r="Y373" i="7"/>
  <c r="J374" i="7"/>
  <c r="X374" i="7"/>
  <c r="I375" i="7"/>
  <c r="T376" i="7"/>
  <c r="E377" i="7"/>
  <c r="R377" i="7"/>
  <c r="C378" i="7"/>
  <c r="P378" i="7"/>
  <c r="AC378" i="7"/>
  <c r="N379" i="7"/>
  <c r="AB379" i="7"/>
  <c r="M380" i="7"/>
  <c r="Z380" i="7"/>
  <c r="K381" i="7"/>
  <c r="X381" i="7"/>
  <c r="H382" i="7"/>
  <c r="T382" i="7"/>
  <c r="D383" i="7"/>
  <c r="P383" i="7"/>
  <c r="AB383" i="7"/>
  <c r="L384" i="7"/>
  <c r="X384" i="7"/>
  <c r="H385" i="7"/>
  <c r="T385" i="7"/>
  <c r="D386" i="7"/>
  <c r="P386" i="7"/>
  <c r="AB386" i="7"/>
  <c r="L387" i="7"/>
  <c r="X387" i="7"/>
  <c r="H388" i="7"/>
  <c r="T388" i="7"/>
  <c r="D389" i="7"/>
  <c r="P389" i="7"/>
  <c r="AB389" i="7"/>
  <c r="L390" i="7"/>
  <c r="X390" i="7"/>
  <c r="H391" i="7"/>
  <c r="T391" i="7"/>
  <c r="D392" i="7"/>
  <c r="P392" i="7"/>
  <c r="AB392" i="7"/>
  <c r="L393" i="7"/>
  <c r="X393" i="7"/>
  <c r="H394" i="7"/>
  <c r="T394" i="7"/>
  <c r="D395" i="7"/>
  <c r="P395" i="7"/>
  <c r="AB395" i="7"/>
  <c r="L396" i="7"/>
  <c r="X396" i="7"/>
  <c r="H397" i="7"/>
  <c r="T397" i="7"/>
  <c r="D398" i="7"/>
  <c r="P398" i="7"/>
  <c r="AB398" i="7"/>
  <c r="L399" i="7"/>
  <c r="X399" i="7"/>
  <c r="H400" i="7"/>
  <c r="T400" i="7"/>
  <c r="D401" i="7"/>
  <c r="P401" i="7"/>
  <c r="AB401" i="7"/>
  <c r="L402" i="7"/>
  <c r="X402" i="7"/>
  <c r="H403" i="7"/>
  <c r="T403" i="7"/>
  <c r="D404" i="7"/>
  <c r="P404" i="7"/>
  <c r="AB404" i="7"/>
  <c r="L405" i="7"/>
  <c r="X405" i="7"/>
  <c r="H406" i="7"/>
  <c r="T406" i="7"/>
  <c r="D407" i="7"/>
  <c r="P407" i="7"/>
  <c r="AB407" i="7"/>
  <c r="L408" i="7"/>
  <c r="X408" i="7"/>
  <c r="H409" i="7"/>
  <c r="T409" i="7"/>
  <c r="D410" i="7"/>
  <c r="P410" i="7"/>
  <c r="AB410" i="7"/>
  <c r="L411" i="7"/>
  <c r="X411" i="7"/>
  <c r="H412" i="7"/>
  <c r="T412" i="7"/>
  <c r="D413" i="7"/>
  <c r="P413" i="7"/>
  <c r="AB413" i="7"/>
  <c r="L414" i="7"/>
  <c r="X414" i="7"/>
  <c r="H415" i="7"/>
  <c r="T415" i="7"/>
  <c r="D416" i="7"/>
  <c r="P416" i="7"/>
  <c r="AB416" i="7"/>
  <c r="L417" i="7"/>
  <c r="X417" i="7"/>
  <c r="H418" i="7"/>
  <c r="T418" i="7"/>
  <c r="D419" i="7"/>
  <c r="P419" i="7"/>
  <c r="AB419" i="7"/>
  <c r="L420" i="7"/>
  <c r="X420" i="7"/>
  <c r="H421" i="7"/>
  <c r="T421" i="7"/>
  <c r="D422" i="7"/>
  <c r="P422" i="7"/>
  <c r="AB422" i="7"/>
  <c r="L423" i="7"/>
  <c r="X423" i="7"/>
  <c r="H424" i="7"/>
  <c r="T424" i="7"/>
  <c r="D425" i="7"/>
  <c r="P425" i="7"/>
  <c r="AB425" i="7"/>
  <c r="L426" i="7"/>
  <c r="X426" i="7"/>
  <c r="H427" i="7"/>
  <c r="T427" i="7"/>
  <c r="D428" i="7"/>
  <c r="P428" i="7"/>
  <c r="AB428" i="7"/>
  <c r="L429" i="7"/>
  <c r="X429" i="7"/>
  <c r="H430" i="7"/>
  <c r="T430" i="7"/>
  <c r="D431" i="7"/>
  <c r="P431" i="7"/>
  <c r="AB431" i="7"/>
  <c r="L432" i="7"/>
  <c r="X432" i="7"/>
  <c r="H433" i="7"/>
  <c r="T433" i="7"/>
  <c r="D434" i="7"/>
  <c r="P434" i="7"/>
  <c r="AB434" i="7"/>
  <c r="L435" i="7"/>
  <c r="X435" i="7"/>
  <c r="H436" i="7"/>
  <c r="T436" i="7"/>
  <c r="D437" i="7"/>
  <c r="P437" i="7"/>
  <c r="AB437" i="7"/>
  <c r="L438" i="7"/>
  <c r="X438" i="7"/>
  <c r="H439" i="7"/>
  <c r="T439" i="7"/>
  <c r="D440" i="7"/>
  <c r="P440" i="7"/>
  <c r="AB440" i="7"/>
  <c r="L441" i="7"/>
  <c r="X441" i="7"/>
  <c r="H442" i="7"/>
  <c r="T442" i="7"/>
  <c r="D443" i="7"/>
  <c r="P443" i="7"/>
  <c r="AB443" i="7"/>
  <c r="L444" i="7"/>
  <c r="X444" i="7"/>
  <c r="H445" i="7"/>
  <c r="T445" i="7"/>
  <c r="D446" i="7"/>
  <c r="P446" i="7"/>
  <c r="AB446" i="7"/>
  <c r="L447" i="7"/>
  <c r="X447" i="7"/>
  <c r="H354" i="7"/>
  <c r="K373" i="7"/>
  <c r="AB378" i="7"/>
  <c r="K384" i="7"/>
  <c r="O389" i="7"/>
  <c r="W396" i="7"/>
  <c r="W398" i="7"/>
  <c r="O400" i="7"/>
  <c r="AA403" i="7"/>
  <c r="S405" i="7"/>
  <c r="K407" i="7"/>
  <c r="C409" i="7"/>
  <c r="U410" i="7"/>
  <c r="AC411" i="7"/>
  <c r="I413" i="7"/>
  <c r="J416" i="7"/>
  <c r="J417" i="7"/>
  <c r="M418" i="7"/>
  <c r="K419" i="7"/>
  <c r="K420" i="7"/>
  <c r="N421" i="7"/>
  <c r="J422" i="7"/>
  <c r="F423" i="7"/>
  <c r="AD423" i="7"/>
  <c r="Z424" i="7"/>
  <c r="R426" i="7"/>
  <c r="N427" i="7"/>
  <c r="J428" i="7"/>
  <c r="F429" i="7"/>
  <c r="AD429" i="7"/>
  <c r="Y430" i="7"/>
  <c r="O431" i="7"/>
  <c r="I432" i="7"/>
  <c r="AD432" i="7"/>
  <c r="W433" i="7"/>
  <c r="N434" i="7"/>
  <c r="AC435" i="7"/>
  <c r="S436" i="7"/>
  <c r="M437" i="7"/>
  <c r="C438" i="7"/>
  <c r="U438" i="7"/>
  <c r="K439" i="7"/>
  <c r="AC439" i="7"/>
  <c r="S440" i="7"/>
  <c r="I441" i="7"/>
  <c r="Z441" i="7"/>
  <c r="N442" i="7"/>
  <c r="AB442" i="7"/>
  <c r="N443" i="7"/>
  <c r="AC443" i="7"/>
  <c r="O444" i="7"/>
  <c r="AD444" i="7"/>
  <c r="P445" i="7"/>
  <c r="AD445" i="7"/>
  <c r="Q446" i="7"/>
  <c r="C447" i="7"/>
  <c r="R447" i="7"/>
  <c r="D448" i="7"/>
  <c r="Q448" i="7"/>
  <c r="AD448" i="7"/>
  <c r="O449" i="7"/>
  <c r="AB449" i="7"/>
  <c r="M450" i="7"/>
  <c r="Z450" i="7"/>
  <c r="K451" i="7"/>
  <c r="Y451" i="7"/>
  <c r="J452" i="7"/>
  <c r="W452" i="7"/>
  <c r="S453" i="7"/>
  <c r="C454" i="7"/>
  <c r="O454" i="7"/>
  <c r="AA454" i="7"/>
  <c r="K455" i="7"/>
  <c r="W455" i="7"/>
  <c r="S456" i="7"/>
  <c r="C457" i="7"/>
  <c r="O457" i="7"/>
  <c r="AA457" i="7"/>
  <c r="K458" i="7"/>
  <c r="W458" i="7"/>
  <c r="Z354" i="7"/>
  <c r="H362" i="7"/>
  <c r="X373" i="7"/>
  <c r="M379" i="7"/>
  <c r="W384" i="7"/>
  <c r="AA389" i="7"/>
  <c r="O394" i="7"/>
  <c r="C397" i="7"/>
  <c r="AA398" i="7"/>
  <c r="S400" i="7"/>
  <c r="K402" i="7"/>
  <c r="C404" i="7"/>
  <c r="W405" i="7"/>
  <c r="O407" i="7"/>
  <c r="W410" i="7"/>
  <c r="C412" i="7"/>
  <c r="J413" i="7"/>
  <c r="J414" i="7"/>
  <c r="M415" i="7"/>
  <c r="K416" i="7"/>
  <c r="K417" i="7"/>
  <c r="N418" i="7"/>
  <c r="N419" i="7"/>
  <c r="Q420" i="7"/>
  <c r="O421" i="7"/>
  <c r="K422" i="7"/>
  <c r="C424" i="7"/>
  <c r="AA424" i="7"/>
  <c r="W425" i="7"/>
  <c r="S426" i="7"/>
  <c r="O427" i="7"/>
  <c r="K428" i="7"/>
  <c r="C430" i="7"/>
  <c r="Z430" i="7"/>
  <c r="S431" i="7"/>
  <c r="J432" i="7"/>
  <c r="C433" i="7"/>
  <c r="Y433" i="7"/>
  <c r="O434" i="7"/>
  <c r="I435" i="7"/>
  <c r="AD435" i="7"/>
  <c r="W436" i="7"/>
  <c r="N437" i="7"/>
  <c r="E438" i="7"/>
  <c r="M439" i="7"/>
  <c r="AD439" i="7"/>
  <c r="U440" i="7"/>
  <c r="J441" i="7"/>
  <c r="AA441" i="7"/>
  <c r="O442" i="7"/>
  <c r="AC442" i="7"/>
  <c r="O443" i="7"/>
  <c r="AD443" i="7"/>
  <c r="Q444" i="7"/>
  <c r="C445" i="7"/>
  <c r="Q445" i="7"/>
  <c r="C446" i="7"/>
  <c r="R446" i="7"/>
  <c r="E447" i="7"/>
  <c r="S447" i="7"/>
  <c r="E448" i="7"/>
  <c r="R448" i="7"/>
  <c r="C449" i="7"/>
  <c r="P449" i="7"/>
  <c r="AC449" i="7"/>
  <c r="N450" i="7"/>
  <c r="AA450" i="7"/>
  <c r="M451" i="7"/>
  <c r="Z451" i="7"/>
  <c r="K452" i="7"/>
  <c r="X452" i="7"/>
  <c r="H453" i="7"/>
  <c r="T453" i="7"/>
  <c r="D454" i="7"/>
  <c r="P454" i="7"/>
  <c r="AB454" i="7"/>
  <c r="L455" i="7"/>
  <c r="X455" i="7"/>
  <c r="H456" i="7"/>
  <c r="T456" i="7"/>
  <c r="D457" i="7"/>
  <c r="P457" i="7"/>
  <c r="AB457" i="7"/>
  <c r="L458" i="7"/>
  <c r="X458" i="7"/>
  <c r="H459" i="7"/>
  <c r="T459" i="7"/>
  <c r="D460" i="7"/>
  <c r="P460" i="7"/>
  <c r="AB460" i="7"/>
  <c r="L461" i="7"/>
  <c r="X461" i="7"/>
  <c r="H462" i="7"/>
  <c r="T462" i="7"/>
  <c r="D463" i="7"/>
  <c r="P463" i="7"/>
  <c r="AB463" i="7"/>
  <c r="L464" i="7"/>
  <c r="X464" i="7"/>
  <c r="H465" i="7"/>
  <c r="T465" i="7"/>
  <c r="D466" i="7"/>
  <c r="P466" i="7"/>
  <c r="AB466" i="7"/>
  <c r="L467" i="7"/>
  <c r="X467" i="7"/>
  <c r="H468" i="7"/>
  <c r="T468" i="7"/>
  <c r="D469" i="7"/>
  <c r="P469" i="7"/>
  <c r="AB469" i="7"/>
  <c r="L470" i="7"/>
  <c r="X470" i="7"/>
  <c r="H471" i="7"/>
  <c r="T471" i="7"/>
  <c r="D472" i="7"/>
  <c r="P472" i="7"/>
  <c r="AB472" i="7"/>
  <c r="L473" i="7"/>
  <c r="X473" i="7"/>
  <c r="H474" i="7"/>
  <c r="T474" i="7"/>
  <c r="D475" i="7"/>
  <c r="P475" i="7"/>
  <c r="AB475" i="7"/>
  <c r="L476" i="7"/>
  <c r="X476" i="7"/>
  <c r="H477" i="7"/>
  <c r="T477" i="7"/>
  <c r="D478" i="7"/>
  <c r="P478" i="7"/>
  <c r="AB478" i="7"/>
  <c r="L479" i="7"/>
  <c r="X479" i="7"/>
  <c r="H480" i="7"/>
  <c r="T480" i="7"/>
  <c r="D481" i="7"/>
  <c r="P481" i="7"/>
  <c r="AB481" i="7"/>
  <c r="L482" i="7"/>
  <c r="X482" i="7"/>
  <c r="H483" i="7"/>
  <c r="T483" i="7"/>
  <c r="D484" i="7"/>
  <c r="P484" i="7"/>
  <c r="AB484" i="7"/>
  <c r="L485" i="7"/>
  <c r="X485" i="7"/>
  <c r="H486" i="7"/>
  <c r="T486" i="7"/>
  <c r="D487" i="7"/>
  <c r="P487" i="7"/>
  <c r="AB487" i="7"/>
  <c r="L488" i="7"/>
  <c r="X488" i="7"/>
  <c r="H489" i="7"/>
  <c r="T489" i="7"/>
  <c r="D490" i="7"/>
  <c r="P490" i="7"/>
  <c r="AB490" i="7"/>
  <c r="L491" i="7"/>
  <c r="X491" i="7"/>
  <c r="H492" i="7"/>
  <c r="T492" i="7"/>
  <c r="D493" i="7"/>
  <c r="P493" i="7"/>
  <c r="AB493" i="7"/>
  <c r="L494" i="7"/>
  <c r="X494" i="7"/>
  <c r="H495" i="7"/>
  <c r="T495" i="7"/>
  <c r="D496" i="7"/>
  <c r="P496" i="7"/>
  <c r="AB496" i="7"/>
  <c r="L497" i="7"/>
  <c r="X497" i="7"/>
  <c r="H498" i="7"/>
  <c r="T498" i="7"/>
  <c r="D499" i="7"/>
  <c r="P499" i="7"/>
  <c r="AB499" i="7"/>
  <c r="L500" i="7"/>
  <c r="X500" i="7"/>
  <c r="H501" i="7"/>
  <c r="T501" i="7"/>
  <c r="D502" i="7"/>
  <c r="P502" i="7"/>
  <c r="AB502" i="7"/>
  <c r="L503" i="7"/>
  <c r="X503" i="7"/>
  <c r="H504" i="7"/>
  <c r="T504" i="7"/>
  <c r="D505" i="7"/>
  <c r="P505" i="7"/>
  <c r="AB505" i="7"/>
  <c r="L506" i="7"/>
  <c r="X506" i="7"/>
  <c r="H507" i="7"/>
  <c r="T507" i="7"/>
  <c r="D508" i="7"/>
  <c r="P508" i="7"/>
  <c r="AB508" i="7"/>
  <c r="L509" i="7"/>
  <c r="X509" i="7"/>
  <c r="H510" i="7"/>
  <c r="T510" i="7"/>
  <c r="D511" i="7"/>
  <c r="P511" i="7"/>
  <c r="AB511" i="7"/>
  <c r="L512" i="7"/>
  <c r="X512" i="7"/>
  <c r="H513" i="7"/>
  <c r="T513" i="7"/>
  <c r="D514" i="7"/>
  <c r="P514" i="7"/>
  <c r="AB514" i="7"/>
  <c r="L515" i="7"/>
  <c r="X515" i="7"/>
  <c r="H516" i="7"/>
  <c r="T516" i="7"/>
  <c r="D517" i="7"/>
  <c r="P517" i="7"/>
  <c r="AB517" i="7"/>
  <c r="L518" i="7"/>
  <c r="X518" i="7"/>
  <c r="H519" i="7"/>
  <c r="T519" i="7"/>
  <c r="D520" i="7"/>
  <c r="P520" i="7"/>
  <c r="AB520" i="7"/>
  <c r="L521" i="7"/>
  <c r="X521" i="7"/>
  <c r="H522" i="7"/>
  <c r="T522" i="7"/>
  <c r="D523" i="7"/>
  <c r="P523" i="7"/>
  <c r="AB523" i="7"/>
  <c r="L524" i="7"/>
  <c r="X524" i="7"/>
  <c r="H525" i="7"/>
  <c r="T525" i="7"/>
  <c r="D526" i="7"/>
  <c r="P526" i="7"/>
  <c r="AB526" i="7"/>
  <c r="L527" i="7"/>
  <c r="X527" i="7"/>
  <c r="H528" i="7"/>
  <c r="T528" i="7"/>
  <c r="P355" i="7"/>
  <c r="T368" i="7"/>
  <c r="I374" i="7"/>
  <c r="Z379" i="7"/>
  <c r="K390" i="7"/>
  <c r="S394" i="7"/>
  <c r="E399" i="7"/>
  <c r="Y400" i="7"/>
  <c r="Q402" i="7"/>
  <c r="I404" i="7"/>
  <c r="AC405" i="7"/>
  <c r="U407" i="7"/>
  <c r="M409" i="7"/>
  <c r="Z410" i="7"/>
  <c r="F412" i="7"/>
  <c r="K413" i="7"/>
  <c r="K414" i="7"/>
  <c r="N415" i="7"/>
  <c r="N416" i="7"/>
  <c r="Q417" i="7"/>
  <c r="O418" i="7"/>
  <c r="O419" i="7"/>
  <c r="R420" i="7"/>
  <c r="R421" i="7"/>
  <c r="N422" i="7"/>
  <c r="J423" i="7"/>
  <c r="F424" i="7"/>
  <c r="AD424" i="7"/>
  <c r="Z425" i="7"/>
  <c r="R427" i="7"/>
  <c r="N428" i="7"/>
  <c r="J429" i="7"/>
  <c r="F430" i="7"/>
  <c r="AA430" i="7"/>
  <c r="U431" i="7"/>
  <c r="K432" i="7"/>
  <c r="E433" i="7"/>
  <c r="Z433" i="7"/>
  <c r="S434" i="7"/>
  <c r="J435" i="7"/>
  <c r="C436" i="7"/>
  <c r="Y436" i="7"/>
  <c r="O437" i="7"/>
  <c r="F438" i="7"/>
  <c r="W438" i="7"/>
  <c r="N439" i="7"/>
  <c r="C440" i="7"/>
  <c r="K441" i="7"/>
  <c r="AC441" i="7"/>
  <c r="P442" i="7"/>
  <c r="AD442" i="7"/>
  <c r="Q443" i="7"/>
  <c r="C444" i="7"/>
  <c r="R444" i="7"/>
  <c r="D445" i="7"/>
  <c r="R445" i="7"/>
  <c r="E446" i="7"/>
  <c r="S446" i="7"/>
  <c r="F447" i="7"/>
  <c r="T447" i="7"/>
  <c r="F448" i="7"/>
  <c r="S448" i="7"/>
  <c r="D449" i="7"/>
  <c r="Q449" i="7"/>
  <c r="AD449" i="7"/>
  <c r="O450" i="7"/>
  <c r="AC450" i="7"/>
  <c r="N451" i="7"/>
  <c r="AA451" i="7"/>
  <c r="L452" i="7"/>
  <c r="Y452" i="7"/>
  <c r="I453" i="7"/>
  <c r="U453" i="7"/>
  <c r="E454" i="7"/>
  <c r="Q454" i="7"/>
  <c r="AC454" i="7"/>
  <c r="M455" i="7"/>
  <c r="Y455" i="7"/>
  <c r="I456" i="7"/>
  <c r="U456" i="7"/>
  <c r="E457" i="7"/>
  <c r="Q457" i="7"/>
  <c r="AC457" i="7"/>
  <c r="M458" i="7"/>
  <c r="Y458" i="7"/>
  <c r="I459" i="7"/>
  <c r="U459" i="7"/>
  <c r="E460" i="7"/>
  <c r="Q460" i="7"/>
  <c r="AC460" i="7"/>
  <c r="M461" i="7"/>
  <c r="Y461" i="7"/>
  <c r="I462" i="7"/>
  <c r="U462" i="7"/>
  <c r="E463" i="7"/>
  <c r="Q463" i="7"/>
  <c r="AC463" i="7"/>
  <c r="M464" i="7"/>
  <c r="Y464" i="7"/>
  <c r="I465" i="7"/>
  <c r="U465" i="7"/>
  <c r="E466" i="7"/>
  <c r="Q466" i="7"/>
  <c r="AC466" i="7"/>
  <c r="M467" i="7"/>
  <c r="Y467" i="7"/>
  <c r="I468" i="7"/>
  <c r="U468" i="7"/>
  <c r="E469" i="7"/>
  <c r="Q469" i="7"/>
  <c r="AC469" i="7"/>
  <c r="M470" i="7"/>
  <c r="Y470" i="7"/>
  <c r="I471" i="7"/>
  <c r="U471" i="7"/>
  <c r="E472" i="7"/>
  <c r="Q472" i="7"/>
  <c r="AC472" i="7"/>
  <c r="M473" i="7"/>
  <c r="Y473" i="7"/>
  <c r="I474" i="7"/>
  <c r="U474" i="7"/>
  <c r="E475" i="7"/>
  <c r="Q475" i="7"/>
  <c r="AC475" i="7"/>
  <c r="M476" i="7"/>
  <c r="Y476" i="7"/>
  <c r="I477" i="7"/>
  <c r="U477" i="7"/>
  <c r="E478" i="7"/>
  <c r="Q478" i="7"/>
  <c r="AC478" i="7"/>
  <c r="M479" i="7"/>
  <c r="Y479" i="7"/>
  <c r="I480" i="7"/>
  <c r="U480" i="7"/>
  <c r="E481" i="7"/>
  <c r="Q481" i="7"/>
  <c r="AC481" i="7"/>
  <c r="M482" i="7"/>
  <c r="Y482" i="7"/>
  <c r="I483" i="7"/>
  <c r="U483" i="7"/>
  <c r="E484" i="7"/>
  <c r="Q484" i="7"/>
  <c r="AC484" i="7"/>
  <c r="M485" i="7"/>
  <c r="Y485" i="7"/>
  <c r="I486" i="7"/>
  <c r="U486" i="7"/>
  <c r="E487" i="7"/>
  <c r="Q487" i="7"/>
  <c r="AC487" i="7"/>
  <c r="M488" i="7"/>
  <c r="Y488" i="7"/>
  <c r="I489" i="7"/>
  <c r="U489" i="7"/>
  <c r="E490" i="7"/>
  <c r="Q490" i="7"/>
  <c r="AC490" i="7"/>
  <c r="M491" i="7"/>
  <c r="Y491" i="7"/>
  <c r="I492" i="7"/>
  <c r="U492" i="7"/>
  <c r="E493" i="7"/>
  <c r="Q493" i="7"/>
  <c r="AC493" i="7"/>
  <c r="M494" i="7"/>
  <c r="Y494" i="7"/>
  <c r="I495" i="7"/>
  <c r="U495" i="7"/>
  <c r="E496" i="7"/>
  <c r="Q496" i="7"/>
  <c r="AC496" i="7"/>
  <c r="M497" i="7"/>
  <c r="Y497" i="7"/>
  <c r="I498" i="7"/>
  <c r="U498" i="7"/>
  <c r="E499" i="7"/>
  <c r="Q499" i="7"/>
  <c r="AC499" i="7"/>
  <c r="M500" i="7"/>
  <c r="Y500" i="7"/>
  <c r="I501" i="7"/>
  <c r="U501" i="7"/>
  <c r="E502" i="7"/>
  <c r="Q502" i="7"/>
  <c r="AC502" i="7"/>
  <c r="M503" i="7"/>
  <c r="Y503" i="7"/>
  <c r="I504" i="7"/>
  <c r="U504" i="7"/>
  <c r="E505" i="7"/>
  <c r="Q505" i="7"/>
  <c r="AC505" i="7"/>
  <c r="M506" i="7"/>
  <c r="Y506" i="7"/>
  <c r="I507" i="7"/>
  <c r="U507" i="7"/>
  <c r="E508" i="7"/>
  <c r="Q508" i="7"/>
  <c r="AC508" i="7"/>
  <c r="M509" i="7"/>
  <c r="Y509" i="7"/>
  <c r="I510" i="7"/>
  <c r="U510" i="7"/>
  <c r="E511" i="7"/>
  <c r="Q511" i="7"/>
  <c r="AC511" i="7"/>
  <c r="M512" i="7"/>
  <c r="Y512" i="7"/>
  <c r="I513" i="7"/>
  <c r="U513" i="7"/>
  <c r="E514" i="7"/>
  <c r="F356" i="7"/>
  <c r="J363" i="7"/>
  <c r="E369" i="7"/>
  <c r="L380" i="7"/>
  <c r="S385" i="7"/>
  <c r="W390" i="7"/>
  <c r="AA394" i="7"/>
  <c r="O397" i="7"/>
  <c r="AA400" i="7"/>
  <c r="S402" i="7"/>
  <c r="K404" i="7"/>
  <c r="C406" i="7"/>
  <c r="W407" i="7"/>
  <c r="O409" i="7"/>
  <c r="AA410" i="7"/>
  <c r="N413" i="7"/>
  <c r="Q414" i="7"/>
  <c r="O415" i="7"/>
  <c r="O416" i="7"/>
  <c r="R417" i="7"/>
  <c r="R418" i="7"/>
  <c r="U419" i="7"/>
  <c r="S420" i="7"/>
  <c r="S421" i="7"/>
  <c r="O422" i="7"/>
  <c r="K423" i="7"/>
  <c r="C425" i="7"/>
  <c r="AA425" i="7"/>
  <c r="W426" i="7"/>
  <c r="S427" i="7"/>
  <c r="O428" i="7"/>
  <c r="K429" i="7"/>
  <c r="AC430" i="7"/>
  <c r="O432" i="7"/>
  <c r="F433" i="7"/>
  <c r="AA433" i="7"/>
  <c r="U434" i="7"/>
  <c r="K435" i="7"/>
  <c r="E436" i="7"/>
  <c r="Z436" i="7"/>
  <c r="R437" i="7"/>
  <c r="Z438" i="7"/>
  <c r="O439" i="7"/>
  <c r="F440" i="7"/>
  <c r="W440" i="7"/>
  <c r="N441" i="7"/>
  <c r="AD441" i="7"/>
  <c r="Q442" i="7"/>
  <c r="C443" i="7"/>
  <c r="R443" i="7"/>
  <c r="E444" i="7"/>
  <c r="S444" i="7"/>
  <c r="E445" i="7"/>
  <c r="S445" i="7"/>
  <c r="F446" i="7"/>
  <c r="U446" i="7"/>
  <c r="U447" i="7"/>
  <c r="T448" i="7"/>
  <c r="E449" i="7"/>
  <c r="R449" i="7"/>
  <c r="C450" i="7"/>
  <c r="Q450" i="7"/>
  <c r="AD450" i="7"/>
  <c r="O451" i="7"/>
  <c r="AB451" i="7"/>
  <c r="M452" i="7"/>
  <c r="Z452" i="7"/>
  <c r="J453" i="7"/>
  <c r="F454" i="7"/>
  <c r="R454" i="7"/>
  <c r="AD454" i="7"/>
  <c r="N455" i="7"/>
  <c r="Z455" i="7"/>
  <c r="J456" i="7"/>
  <c r="F457" i="7"/>
  <c r="R457" i="7"/>
  <c r="AD457" i="7"/>
  <c r="N458" i="7"/>
  <c r="Z458" i="7"/>
  <c r="J459" i="7"/>
  <c r="F460" i="7"/>
  <c r="R460" i="7"/>
  <c r="AD460" i="7"/>
  <c r="N461" i="7"/>
  <c r="Z461" i="7"/>
  <c r="J462" i="7"/>
  <c r="F463" i="7"/>
  <c r="R463" i="7"/>
  <c r="AD463" i="7"/>
  <c r="N464" i="7"/>
  <c r="Z464" i="7"/>
  <c r="J465" i="7"/>
  <c r="F466" i="7"/>
  <c r="R466" i="7"/>
  <c r="AD466" i="7"/>
  <c r="N467" i="7"/>
  <c r="Z467" i="7"/>
  <c r="J468" i="7"/>
  <c r="F469" i="7"/>
  <c r="R469" i="7"/>
  <c r="AD469" i="7"/>
  <c r="N470" i="7"/>
  <c r="Z470" i="7"/>
  <c r="J471" i="7"/>
  <c r="F472" i="7"/>
  <c r="R472" i="7"/>
  <c r="AD472" i="7"/>
  <c r="N473" i="7"/>
  <c r="Z473" i="7"/>
  <c r="J474" i="7"/>
  <c r="F475" i="7"/>
  <c r="R475" i="7"/>
  <c r="AD475" i="7"/>
  <c r="N476" i="7"/>
  <c r="Z476" i="7"/>
  <c r="J477" i="7"/>
  <c r="F478" i="7"/>
  <c r="R478" i="7"/>
  <c r="AD478" i="7"/>
  <c r="N479" i="7"/>
  <c r="Z479" i="7"/>
  <c r="J480" i="7"/>
  <c r="F481" i="7"/>
  <c r="R481" i="7"/>
  <c r="AD481" i="7"/>
  <c r="N482" i="7"/>
  <c r="Z482" i="7"/>
  <c r="J483" i="7"/>
  <c r="F484" i="7"/>
  <c r="R484" i="7"/>
  <c r="AD484" i="7"/>
  <c r="N485" i="7"/>
  <c r="Z485" i="7"/>
  <c r="J486" i="7"/>
  <c r="F487" i="7"/>
  <c r="R487" i="7"/>
  <c r="AD487" i="7"/>
  <c r="N488" i="7"/>
  <c r="Z488" i="7"/>
  <c r="J489" i="7"/>
  <c r="F490" i="7"/>
  <c r="R490" i="7"/>
  <c r="AD490" i="7"/>
  <c r="N491" i="7"/>
  <c r="Z491" i="7"/>
  <c r="J492" i="7"/>
  <c r="F493" i="7"/>
  <c r="R493" i="7"/>
  <c r="AD493" i="7"/>
  <c r="N494" i="7"/>
  <c r="Z494" i="7"/>
  <c r="J495" i="7"/>
  <c r="F496" i="7"/>
  <c r="R496" i="7"/>
  <c r="AD496" i="7"/>
  <c r="N497" i="7"/>
  <c r="Z497" i="7"/>
  <c r="J498" i="7"/>
  <c r="F499" i="7"/>
  <c r="R499" i="7"/>
  <c r="AD499" i="7"/>
  <c r="N500" i="7"/>
  <c r="Z500" i="7"/>
  <c r="J501" i="7"/>
  <c r="F502" i="7"/>
  <c r="R502" i="7"/>
  <c r="AD502" i="7"/>
  <c r="N503" i="7"/>
  <c r="Z503" i="7"/>
  <c r="J504" i="7"/>
  <c r="F505" i="7"/>
  <c r="R505" i="7"/>
  <c r="AD505" i="7"/>
  <c r="N506" i="7"/>
  <c r="Z506" i="7"/>
  <c r="J507" i="7"/>
  <c r="F508" i="7"/>
  <c r="R508" i="7"/>
  <c r="AD508" i="7"/>
  <c r="N509" i="7"/>
  <c r="Z509" i="7"/>
  <c r="J510" i="7"/>
  <c r="F511" i="7"/>
  <c r="R511" i="7"/>
  <c r="AD511" i="7"/>
  <c r="N512" i="7"/>
  <c r="Z512" i="7"/>
  <c r="J513" i="7"/>
  <c r="F514" i="7"/>
  <c r="R514" i="7"/>
  <c r="AD514" i="7"/>
  <c r="N515" i="7"/>
  <c r="Z515" i="7"/>
  <c r="J516" i="7"/>
  <c r="F517" i="7"/>
  <c r="R517" i="7"/>
  <c r="AD517" i="7"/>
  <c r="N518" i="7"/>
  <c r="Z518" i="7"/>
  <c r="J519" i="7"/>
  <c r="F520" i="7"/>
  <c r="R520" i="7"/>
  <c r="AD520" i="7"/>
  <c r="N521" i="7"/>
  <c r="Z521" i="7"/>
  <c r="J522" i="7"/>
  <c r="F523" i="7"/>
  <c r="R523" i="7"/>
  <c r="AD523" i="7"/>
  <c r="N524" i="7"/>
  <c r="Z524" i="7"/>
  <c r="J525" i="7"/>
  <c r="F526" i="7"/>
  <c r="R526" i="7"/>
  <c r="AD526" i="7"/>
  <c r="N527" i="7"/>
  <c r="Z527" i="7"/>
  <c r="J528" i="7"/>
  <c r="F529" i="7"/>
  <c r="R529" i="7"/>
  <c r="AD529" i="7"/>
  <c r="N530" i="7"/>
  <c r="X356" i="7"/>
  <c r="X363" i="7"/>
  <c r="R369" i="7"/>
  <c r="H375" i="7"/>
  <c r="Y380" i="7"/>
  <c r="C386" i="7"/>
  <c r="C395" i="7"/>
  <c r="S397" i="7"/>
  <c r="K399" i="7"/>
  <c r="C401" i="7"/>
  <c r="W402" i="7"/>
  <c r="O404" i="7"/>
  <c r="AA407" i="7"/>
  <c r="S409" i="7"/>
  <c r="E411" i="7"/>
  <c r="M412" i="7"/>
  <c r="O413" i="7"/>
  <c r="R414" i="7"/>
  <c r="R415" i="7"/>
  <c r="U416" i="7"/>
  <c r="S417" i="7"/>
  <c r="S418" i="7"/>
  <c r="W421" i="7"/>
  <c r="S422" i="7"/>
  <c r="O423" i="7"/>
  <c r="K424" i="7"/>
  <c r="C426" i="7"/>
  <c r="AA426" i="7"/>
  <c r="W427" i="7"/>
  <c r="S428" i="7"/>
  <c r="O429" i="7"/>
  <c r="K430" i="7"/>
  <c r="AD430" i="7"/>
  <c r="W431" i="7"/>
  <c r="Q432" i="7"/>
  <c r="AC433" i="7"/>
  <c r="O435" i="7"/>
  <c r="F436" i="7"/>
  <c r="AA436" i="7"/>
  <c r="S437" i="7"/>
  <c r="I438" i="7"/>
  <c r="AA438" i="7"/>
  <c r="Q439" i="7"/>
  <c r="Y440" i="7"/>
  <c r="O441" i="7"/>
  <c r="C442" i="7"/>
  <c r="R442" i="7"/>
  <c r="E443" i="7"/>
  <c r="S443" i="7"/>
  <c r="F444" i="7"/>
  <c r="T444" i="7"/>
  <c r="F445" i="7"/>
  <c r="U445" i="7"/>
  <c r="H447" i="7"/>
  <c r="H448" i="7"/>
  <c r="U448" i="7"/>
  <c r="F449" i="7"/>
  <c r="S449" i="7"/>
  <c r="E450" i="7"/>
  <c r="R450" i="7"/>
  <c r="C451" i="7"/>
  <c r="P451" i="7"/>
  <c r="AC451" i="7"/>
  <c r="N452" i="7"/>
  <c r="AA452" i="7"/>
  <c r="K453" i="7"/>
  <c r="W453" i="7"/>
  <c r="S454" i="7"/>
  <c r="C455" i="7"/>
  <c r="O455" i="7"/>
  <c r="AA455" i="7"/>
  <c r="K456" i="7"/>
  <c r="W456" i="7"/>
  <c r="S457" i="7"/>
  <c r="C458" i="7"/>
  <c r="O458" i="7"/>
  <c r="AA458" i="7"/>
  <c r="K459" i="7"/>
  <c r="W459" i="7"/>
  <c r="S460" i="7"/>
  <c r="C461" i="7"/>
  <c r="O461" i="7"/>
  <c r="AA461" i="7"/>
  <c r="K462" i="7"/>
  <c r="W462" i="7"/>
  <c r="S463" i="7"/>
  <c r="C464" i="7"/>
  <c r="O464" i="7"/>
  <c r="AA464" i="7"/>
  <c r="K465" i="7"/>
  <c r="W465" i="7"/>
  <c r="S466" i="7"/>
  <c r="C467" i="7"/>
  <c r="O467" i="7"/>
  <c r="AA467" i="7"/>
  <c r="K468" i="7"/>
  <c r="W468" i="7"/>
  <c r="S469" i="7"/>
  <c r="C470" i="7"/>
  <c r="O470" i="7"/>
  <c r="AA470" i="7"/>
  <c r="K471" i="7"/>
  <c r="W471" i="7"/>
  <c r="S472" i="7"/>
  <c r="C473" i="7"/>
  <c r="O473" i="7"/>
  <c r="AA473" i="7"/>
  <c r="K474" i="7"/>
  <c r="W474" i="7"/>
  <c r="S475" i="7"/>
  <c r="C476" i="7"/>
  <c r="O476" i="7"/>
  <c r="AA476" i="7"/>
  <c r="K477" i="7"/>
  <c r="W477" i="7"/>
  <c r="S478" i="7"/>
  <c r="C479" i="7"/>
  <c r="O479" i="7"/>
  <c r="AA479" i="7"/>
  <c r="K480" i="7"/>
  <c r="W480" i="7"/>
  <c r="S481" i="7"/>
  <c r="N357" i="7"/>
  <c r="J364" i="7"/>
  <c r="D370" i="7"/>
  <c r="U375" i="7"/>
  <c r="J381" i="7"/>
  <c r="O386" i="7"/>
  <c r="S391" i="7"/>
  <c r="K395" i="7"/>
  <c r="Y397" i="7"/>
  <c r="Q399" i="7"/>
  <c r="I401" i="7"/>
  <c r="AC402" i="7"/>
  <c r="U404" i="7"/>
  <c r="M406" i="7"/>
  <c r="E408" i="7"/>
  <c r="Y409" i="7"/>
  <c r="O412" i="7"/>
  <c r="U413" i="7"/>
  <c r="S414" i="7"/>
  <c r="S415" i="7"/>
  <c r="Y418" i="7"/>
  <c r="W419" i="7"/>
  <c r="W420" i="7"/>
  <c r="Y421" i="7"/>
  <c r="U422" i="7"/>
  <c r="Q423" i="7"/>
  <c r="M424" i="7"/>
  <c r="I425" i="7"/>
  <c r="E426" i="7"/>
  <c r="AC426" i="7"/>
  <c r="Y427" i="7"/>
  <c r="U428" i="7"/>
  <c r="Q429" i="7"/>
  <c r="M430" i="7"/>
  <c r="C431" i="7"/>
  <c r="Y431" i="7"/>
  <c r="R432" i="7"/>
  <c r="K433" i="7"/>
  <c r="AD433" i="7"/>
  <c r="W434" i="7"/>
  <c r="Q435" i="7"/>
  <c r="AC436" i="7"/>
  <c r="U437" i="7"/>
  <c r="J438" i="7"/>
  <c r="AC438" i="7"/>
  <c r="R439" i="7"/>
  <c r="I440" i="7"/>
  <c r="Z440" i="7"/>
  <c r="Q441" i="7"/>
  <c r="D442" i="7"/>
  <c r="S442" i="7"/>
  <c r="F443" i="7"/>
  <c r="U443" i="7"/>
  <c r="U444" i="7"/>
  <c r="I446" i="7"/>
  <c r="W446" i="7"/>
  <c r="I447" i="7"/>
  <c r="W447" i="7"/>
  <c r="I448" i="7"/>
  <c r="U449" i="7"/>
  <c r="F450" i="7"/>
  <c r="S450" i="7"/>
  <c r="D451" i="7"/>
  <c r="Q451" i="7"/>
  <c r="AD451" i="7"/>
  <c r="O452" i="7"/>
  <c r="AB452" i="7"/>
  <c r="L453" i="7"/>
  <c r="X453" i="7"/>
  <c r="H454" i="7"/>
  <c r="T454" i="7"/>
  <c r="D455" i="7"/>
  <c r="P455" i="7"/>
  <c r="AB455" i="7"/>
  <c r="L456" i="7"/>
  <c r="X456" i="7"/>
  <c r="H457" i="7"/>
  <c r="T457" i="7"/>
  <c r="D458" i="7"/>
  <c r="P458" i="7"/>
  <c r="AB458" i="7"/>
  <c r="L459" i="7"/>
  <c r="X459" i="7"/>
  <c r="H460" i="7"/>
  <c r="T460" i="7"/>
  <c r="D461" i="7"/>
  <c r="P461" i="7"/>
  <c r="AB461" i="7"/>
  <c r="L462" i="7"/>
  <c r="X462" i="7"/>
  <c r="H463" i="7"/>
  <c r="T463" i="7"/>
  <c r="D464" i="7"/>
  <c r="P464" i="7"/>
  <c r="AB464" i="7"/>
  <c r="L465" i="7"/>
  <c r="X465" i="7"/>
  <c r="H466" i="7"/>
  <c r="D358" i="7"/>
  <c r="X364" i="7"/>
  <c r="Q370" i="7"/>
  <c r="F376" i="7"/>
  <c r="W381" i="7"/>
  <c r="AA386" i="7"/>
  <c r="C392" i="7"/>
  <c r="O395" i="7"/>
  <c r="AA397" i="7"/>
  <c r="S399" i="7"/>
  <c r="K401" i="7"/>
  <c r="C403" i="7"/>
  <c r="W404" i="7"/>
  <c r="O406" i="7"/>
  <c r="AA409" i="7"/>
  <c r="J411" i="7"/>
  <c r="R412" i="7"/>
  <c r="Y415" i="7"/>
  <c r="W416" i="7"/>
  <c r="W417" i="7"/>
  <c r="Z418" i="7"/>
  <c r="Z419" i="7"/>
  <c r="AC420" i="7"/>
  <c r="Z421" i="7"/>
  <c r="R423" i="7"/>
  <c r="N424" i="7"/>
  <c r="J425" i="7"/>
  <c r="F426" i="7"/>
  <c r="AD426" i="7"/>
  <c r="Z427" i="7"/>
  <c r="R429" i="7"/>
  <c r="N430" i="7"/>
  <c r="Z431" i="7"/>
  <c r="S432" i="7"/>
  <c r="M433" i="7"/>
  <c r="C434" i="7"/>
  <c r="Y434" i="7"/>
  <c r="R435" i="7"/>
  <c r="K436" i="7"/>
  <c r="AD436" i="7"/>
  <c r="K438" i="7"/>
  <c r="AD438" i="7"/>
  <c r="S439" i="7"/>
  <c r="J440" i="7"/>
  <c r="AA440" i="7"/>
  <c r="R441" i="7"/>
  <c r="E442" i="7"/>
  <c r="U442" i="7"/>
  <c r="H444" i="7"/>
  <c r="I445" i="7"/>
  <c r="W445" i="7"/>
  <c r="J446" i="7"/>
  <c r="X446" i="7"/>
  <c r="J447" i="7"/>
  <c r="Y447" i="7"/>
  <c r="J448" i="7"/>
  <c r="W448" i="7"/>
  <c r="I449" i="7"/>
  <c r="T450" i="7"/>
  <c r="E451" i="7"/>
  <c r="R451" i="7"/>
  <c r="C452" i="7"/>
  <c r="P452" i="7"/>
  <c r="AC452" i="7"/>
  <c r="M453" i="7"/>
  <c r="Y453" i="7"/>
  <c r="I454" i="7"/>
  <c r="U454" i="7"/>
  <c r="E455" i="7"/>
  <c r="Q455" i="7"/>
  <c r="AC455" i="7"/>
  <c r="M456" i="7"/>
  <c r="Y456" i="7"/>
  <c r="I457" i="7"/>
  <c r="U457" i="7"/>
  <c r="E458" i="7"/>
  <c r="Q458" i="7"/>
  <c r="AC458" i="7"/>
  <c r="M459" i="7"/>
  <c r="Y459" i="7"/>
  <c r="I460" i="7"/>
  <c r="U460" i="7"/>
  <c r="E461" i="7"/>
  <c r="Q461" i="7"/>
  <c r="AC461" i="7"/>
  <c r="M462" i="7"/>
  <c r="Y462" i="7"/>
  <c r="I463" i="7"/>
  <c r="U463" i="7"/>
  <c r="E464" i="7"/>
  <c r="Q464" i="7"/>
  <c r="AC464" i="7"/>
  <c r="M465" i="7"/>
  <c r="Y465" i="7"/>
  <c r="I466" i="7"/>
  <c r="U466" i="7"/>
  <c r="E467" i="7"/>
  <c r="Q467" i="7"/>
  <c r="AC467" i="7"/>
  <c r="M468" i="7"/>
  <c r="Y468" i="7"/>
  <c r="I469" i="7"/>
  <c r="U469" i="7"/>
  <c r="E470" i="7"/>
  <c r="Q470" i="7"/>
  <c r="AC470" i="7"/>
  <c r="M471" i="7"/>
  <c r="Y471" i="7"/>
  <c r="I472" i="7"/>
  <c r="U472" i="7"/>
  <c r="E473" i="7"/>
  <c r="Q473" i="7"/>
  <c r="AC473" i="7"/>
  <c r="M474" i="7"/>
  <c r="Y474" i="7"/>
  <c r="I475" i="7"/>
  <c r="U475" i="7"/>
  <c r="E476" i="7"/>
  <c r="Q476" i="7"/>
  <c r="AC476" i="7"/>
  <c r="M477" i="7"/>
  <c r="Y477" i="7"/>
  <c r="I478" i="7"/>
  <c r="U478" i="7"/>
  <c r="E479" i="7"/>
  <c r="Q479" i="7"/>
  <c r="AC479" i="7"/>
  <c r="M480" i="7"/>
  <c r="Y480" i="7"/>
  <c r="I481" i="7"/>
  <c r="U481" i="7"/>
  <c r="E482" i="7"/>
  <c r="Q482" i="7"/>
  <c r="AC482" i="7"/>
  <c r="M483" i="7"/>
  <c r="Y483" i="7"/>
  <c r="I484" i="7"/>
  <c r="U484" i="7"/>
  <c r="E485" i="7"/>
  <c r="Q485" i="7"/>
  <c r="AC485" i="7"/>
  <c r="M486" i="7"/>
  <c r="Y486" i="7"/>
  <c r="I487" i="7"/>
  <c r="U487" i="7"/>
  <c r="E488" i="7"/>
  <c r="Q488" i="7"/>
  <c r="AC488" i="7"/>
  <c r="M489" i="7"/>
  <c r="Y489" i="7"/>
  <c r="I490" i="7"/>
  <c r="U490" i="7"/>
  <c r="E491" i="7"/>
  <c r="Q491" i="7"/>
  <c r="AC491" i="7"/>
  <c r="M492" i="7"/>
  <c r="Y492" i="7"/>
  <c r="I493" i="7"/>
  <c r="U493" i="7"/>
  <c r="E494" i="7"/>
  <c r="Q494" i="7"/>
  <c r="AC494" i="7"/>
  <c r="M495" i="7"/>
  <c r="Y495" i="7"/>
  <c r="I496" i="7"/>
  <c r="U496" i="7"/>
  <c r="J365" i="7"/>
  <c r="AD370" i="7"/>
  <c r="S376" i="7"/>
  <c r="K387" i="7"/>
  <c r="O392" i="7"/>
  <c r="W395" i="7"/>
  <c r="C398" i="7"/>
  <c r="W399" i="7"/>
  <c r="O401" i="7"/>
  <c r="AA404" i="7"/>
  <c r="S406" i="7"/>
  <c r="K408" i="7"/>
  <c r="C410" i="7"/>
  <c r="K411" i="7"/>
  <c r="S412" i="7"/>
  <c r="W413" i="7"/>
  <c r="W414" i="7"/>
  <c r="Z415" i="7"/>
  <c r="Z416" i="7"/>
  <c r="AC417" i="7"/>
  <c r="AA418" i="7"/>
  <c r="AA419" i="7"/>
  <c r="AD420" i="7"/>
  <c r="AA421" i="7"/>
  <c r="W422" i="7"/>
  <c r="S423" i="7"/>
  <c r="O424" i="7"/>
  <c r="K425" i="7"/>
  <c r="C427" i="7"/>
  <c r="AA427" i="7"/>
  <c r="W428" i="7"/>
  <c r="S429" i="7"/>
  <c r="O430" i="7"/>
  <c r="I431" i="7"/>
  <c r="AA431" i="7"/>
  <c r="U432" i="7"/>
  <c r="N433" i="7"/>
  <c r="Z434" i="7"/>
  <c r="S435" i="7"/>
  <c r="M436" i="7"/>
  <c r="C437" i="7"/>
  <c r="W437" i="7"/>
  <c r="N438" i="7"/>
  <c r="C439" i="7"/>
  <c r="K440" i="7"/>
  <c r="AD440" i="7"/>
  <c r="S441" i="7"/>
  <c r="F442" i="7"/>
  <c r="I443" i="7"/>
  <c r="W443" i="7"/>
  <c r="I444" i="7"/>
  <c r="W444" i="7"/>
  <c r="J445" i="7"/>
  <c r="Y445" i="7"/>
  <c r="K446" i="7"/>
  <c r="Y446" i="7"/>
  <c r="K447" i="7"/>
  <c r="Z447" i="7"/>
  <c r="K448" i="7"/>
  <c r="Y448" i="7"/>
  <c r="J449" i="7"/>
  <c r="W449" i="7"/>
  <c r="H450" i="7"/>
  <c r="U450" i="7"/>
  <c r="F451" i="7"/>
  <c r="S451" i="7"/>
  <c r="D452" i="7"/>
  <c r="Q452" i="7"/>
  <c r="AD452" i="7"/>
  <c r="N453" i="7"/>
  <c r="Z453" i="7"/>
  <c r="J454" i="7"/>
  <c r="F455" i="7"/>
  <c r="R455" i="7"/>
  <c r="AD455" i="7"/>
  <c r="N456" i="7"/>
  <c r="Z456" i="7"/>
  <c r="J457" i="7"/>
  <c r="F458" i="7"/>
  <c r="R458" i="7"/>
  <c r="AD458" i="7"/>
  <c r="N459" i="7"/>
  <c r="Z459" i="7"/>
  <c r="J460" i="7"/>
  <c r="F461" i="7"/>
  <c r="R461" i="7"/>
  <c r="AD461" i="7"/>
  <c r="N462" i="7"/>
  <c r="Z462" i="7"/>
  <c r="J463" i="7"/>
  <c r="F464" i="7"/>
  <c r="R464" i="7"/>
  <c r="AD464" i="7"/>
  <c r="N465" i="7"/>
  <c r="Z465" i="7"/>
  <c r="J466" i="7"/>
  <c r="F467" i="7"/>
  <c r="R467" i="7"/>
  <c r="AD467" i="7"/>
  <c r="N468" i="7"/>
  <c r="Z468" i="7"/>
  <c r="J469" i="7"/>
  <c r="F470" i="7"/>
  <c r="R470" i="7"/>
  <c r="AD470" i="7"/>
  <c r="N471" i="7"/>
  <c r="Z471" i="7"/>
  <c r="J472" i="7"/>
  <c r="F473" i="7"/>
  <c r="R473" i="7"/>
  <c r="AD473" i="7"/>
  <c r="N474" i="7"/>
  <c r="Z474" i="7"/>
  <c r="J475" i="7"/>
  <c r="F476" i="7"/>
  <c r="R476" i="7"/>
  <c r="AD476" i="7"/>
  <c r="N477" i="7"/>
  <c r="Z477" i="7"/>
  <c r="J478" i="7"/>
  <c r="F479" i="7"/>
  <c r="R479" i="7"/>
  <c r="AD479" i="7"/>
  <c r="N480" i="7"/>
  <c r="Z480" i="7"/>
  <c r="J481" i="7"/>
  <c r="L359" i="7"/>
  <c r="Z365" i="7"/>
  <c r="O371" i="7"/>
  <c r="D377" i="7"/>
  <c r="S382" i="7"/>
  <c r="W387" i="7"/>
  <c r="AA392" i="7"/>
  <c r="AA395" i="7"/>
  <c r="I398" i="7"/>
  <c r="AC399" i="7"/>
  <c r="U401" i="7"/>
  <c r="M403" i="7"/>
  <c r="E405" i="7"/>
  <c r="Y406" i="7"/>
  <c r="Q408" i="7"/>
  <c r="I410" i="7"/>
  <c r="Q411" i="7"/>
  <c r="Y412" i="7"/>
  <c r="Z413" i="7"/>
  <c r="AC414" i="7"/>
  <c r="AA415" i="7"/>
  <c r="AA416" i="7"/>
  <c r="AD417" i="7"/>
  <c r="AD418" i="7"/>
  <c r="E420" i="7"/>
  <c r="C421" i="7"/>
  <c r="AD421" i="7"/>
  <c r="Z422" i="7"/>
  <c r="R424" i="7"/>
  <c r="N425" i="7"/>
  <c r="J426" i="7"/>
  <c r="F427" i="7"/>
  <c r="AD427" i="7"/>
  <c r="Z428" i="7"/>
  <c r="Q430" i="7"/>
  <c r="J431" i="7"/>
  <c r="C432" i="7"/>
  <c r="O433" i="7"/>
  <c r="I434" i="7"/>
  <c r="AA434" i="7"/>
  <c r="U435" i="7"/>
  <c r="N436" i="7"/>
  <c r="Y437" i="7"/>
  <c r="O438" i="7"/>
  <c r="E439" i="7"/>
  <c r="W439" i="7"/>
  <c r="M440" i="7"/>
  <c r="C441" i="7"/>
  <c r="T441" i="7"/>
  <c r="W442" i="7"/>
  <c r="J443" i="7"/>
  <c r="X443" i="7"/>
  <c r="J444" i="7"/>
  <c r="Y444" i="7"/>
  <c r="K445" i="7"/>
  <c r="Z445" i="7"/>
  <c r="L446" i="7"/>
  <c r="Z446" i="7"/>
  <c r="M447" i="7"/>
  <c r="AA447" i="7"/>
  <c r="M448" i="7"/>
  <c r="Z448" i="7"/>
  <c r="K449" i="7"/>
  <c r="X449" i="7"/>
  <c r="I450" i="7"/>
  <c r="T451" i="7"/>
  <c r="E452" i="7"/>
  <c r="R452" i="7"/>
  <c r="C453" i="7"/>
  <c r="O453" i="7"/>
  <c r="AA453" i="7"/>
  <c r="K454" i="7"/>
  <c r="W454" i="7"/>
  <c r="S455" i="7"/>
  <c r="C456" i="7"/>
  <c r="O456" i="7"/>
  <c r="AA456" i="7"/>
  <c r="K457" i="7"/>
  <c r="W457" i="7"/>
  <c r="S458" i="7"/>
  <c r="C459" i="7"/>
  <c r="O459" i="7"/>
  <c r="AA459" i="7"/>
  <c r="K460" i="7"/>
  <c r="W460" i="7"/>
  <c r="S461" i="7"/>
  <c r="C462" i="7"/>
  <c r="O462" i="7"/>
  <c r="AA462" i="7"/>
  <c r="K463" i="7"/>
  <c r="W463" i="7"/>
  <c r="S464" i="7"/>
  <c r="C465" i="7"/>
  <c r="O465" i="7"/>
  <c r="AA465" i="7"/>
  <c r="K466" i="7"/>
  <c r="W466" i="7"/>
  <c r="S467" i="7"/>
  <c r="C468" i="7"/>
  <c r="O468" i="7"/>
  <c r="AA468" i="7"/>
  <c r="K469" i="7"/>
  <c r="W469" i="7"/>
  <c r="S470" i="7"/>
  <c r="C471" i="7"/>
  <c r="O471" i="7"/>
  <c r="AA471" i="7"/>
  <c r="K472" i="7"/>
  <c r="W472" i="7"/>
  <c r="S473" i="7"/>
  <c r="C474" i="7"/>
  <c r="O474" i="7"/>
  <c r="AA474" i="7"/>
  <c r="K475" i="7"/>
  <c r="W475" i="7"/>
  <c r="S476" i="7"/>
  <c r="C477" i="7"/>
  <c r="O477" i="7"/>
  <c r="AA477" i="7"/>
  <c r="K478" i="7"/>
  <c r="W478" i="7"/>
  <c r="S479" i="7"/>
  <c r="C480" i="7"/>
  <c r="O480" i="7"/>
  <c r="AA480" i="7"/>
  <c r="K481" i="7"/>
  <c r="W481" i="7"/>
  <c r="S482" i="7"/>
  <c r="C483" i="7"/>
  <c r="O483" i="7"/>
  <c r="AA483" i="7"/>
  <c r="K484" i="7"/>
  <c r="W484" i="7"/>
  <c r="S485" i="7"/>
  <c r="C486" i="7"/>
  <c r="O486" i="7"/>
  <c r="AA486" i="7"/>
  <c r="K487" i="7"/>
  <c r="W487" i="7"/>
  <c r="S488" i="7"/>
  <c r="C489" i="7"/>
  <c r="O489" i="7"/>
  <c r="AA489" i="7"/>
  <c r="K490" i="7"/>
  <c r="W490" i="7"/>
  <c r="S491" i="7"/>
  <c r="C492" i="7"/>
  <c r="O492" i="7"/>
  <c r="AA492" i="7"/>
  <c r="K493" i="7"/>
  <c r="W493" i="7"/>
  <c r="S494" i="7"/>
  <c r="C495" i="7"/>
  <c r="O495" i="7"/>
  <c r="AA495" i="7"/>
  <c r="K496" i="7"/>
  <c r="W496" i="7"/>
  <c r="S497" i="7"/>
  <c r="C498" i="7"/>
  <c r="O498" i="7"/>
  <c r="AA498" i="7"/>
  <c r="K499" i="7"/>
  <c r="W499" i="7"/>
  <c r="S500" i="7"/>
  <c r="C501" i="7"/>
  <c r="O501" i="7"/>
  <c r="AA501" i="7"/>
  <c r="K502" i="7"/>
  <c r="W502" i="7"/>
  <c r="S503" i="7"/>
  <c r="C504" i="7"/>
  <c r="O504" i="7"/>
  <c r="AA504" i="7"/>
  <c r="K505" i="7"/>
  <c r="W505" i="7"/>
  <c r="S506" i="7"/>
  <c r="C507" i="7"/>
  <c r="O507" i="7"/>
  <c r="AA507" i="7"/>
  <c r="K508" i="7"/>
  <c r="W508" i="7"/>
  <c r="S509" i="7"/>
  <c r="C510" i="7"/>
  <c r="O510" i="7"/>
  <c r="AD359" i="7"/>
  <c r="K366" i="7"/>
  <c r="AB371" i="7"/>
  <c r="Q377" i="7"/>
  <c r="C383" i="7"/>
  <c r="K393" i="7"/>
  <c r="K398" i="7"/>
  <c r="C400" i="7"/>
  <c r="W401" i="7"/>
  <c r="O403" i="7"/>
  <c r="AA406" i="7"/>
  <c r="S408" i="7"/>
  <c r="K410" i="7"/>
  <c r="S411" i="7"/>
  <c r="AA412" i="7"/>
  <c r="AA413" i="7"/>
  <c r="AD414" i="7"/>
  <c r="AD415" i="7"/>
  <c r="E417" i="7"/>
  <c r="C418" i="7"/>
  <c r="C419" i="7"/>
  <c r="F420" i="7"/>
  <c r="F421" i="7"/>
  <c r="C422" i="7"/>
  <c r="AA422" i="7"/>
  <c r="W423" i="7"/>
  <c r="S424" i="7"/>
  <c r="O425" i="7"/>
  <c r="K426" i="7"/>
  <c r="C428" i="7"/>
  <c r="AA428" i="7"/>
  <c r="W429" i="7"/>
  <c r="R430" i="7"/>
  <c r="K431" i="7"/>
  <c r="E432" i="7"/>
  <c r="W432" i="7"/>
  <c r="Q433" i="7"/>
  <c r="J434" i="7"/>
  <c r="C435" i="7"/>
  <c r="O436" i="7"/>
  <c r="I437" i="7"/>
  <c r="Z437" i="7"/>
  <c r="Q438" i="7"/>
  <c r="F439" i="7"/>
  <c r="Y439" i="7"/>
  <c r="N440" i="7"/>
  <c r="E441" i="7"/>
  <c r="U441" i="7"/>
  <c r="J442" i="7"/>
  <c r="Y442" i="7"/>
  <c r="K443" i="7"/>
  <c r="Y443" i="7"/>
  <c r="K444" i="7"/>
  <c r="Z444" i="7"/>
  <c r="M445" i="7"/>
  <c r="AA445" i="7"/>
  <c r="M446" i="7"/>
  <c r="AA446" i="7"/>
  <c r="N447" i="7"/>
  <c r="AC447" i="7"/>
  <c r="N448" i="7"/>
  <c r="AA448" i="7"/>
  <c r="L449" i="7"/>
  <c r="Y449" i="7"/>
  <c r="J450" i="7"/>
  <c r="W450" i="7"/>
  <c r="H451" i="7"/>
  <c r="U451" i="7"/>
  <c r="F452" i="7"/>
  <c r="S452" i="7"/>
  <c r="D453" i="7"/>
  <c r="P453" i="7"/>
  <c r="AB453" i="7"/>
  <c r="L454" i="7"/>
  <c r="X454" i="7"/>
  <c r="H455" i="7"/>
  <c r="T455" i="7"/>
  <c r="D456" i="7"/>
  <c r="P456" i="7"/>
  <c r="AB456" i="7"/>
  <c r="L457" i="7"/>
  <c r="X457" i="7"/>
  <c r="H458" i="7"/>
  <c r="T458" i="7"/>
  <c r="D459" i="7"/>
  <c r="P459" i="7"/>
  <c r="AB459" i="7"/>
  <c r="L460" i="7"/>
  <c r="X460" i="7"/>
  <c r="H461" i="7"/>
  <c r="T461" i="7"/>
  <c r="D462" i="7"/>
  <c r="P462" i="7"/>
  <c r="AB462" i="7"/>
  <c r="L463" i="7"/>
  <c r="X463" i="7"/>
  <c r="Q360" i="7"/>
  <c r="X366" i="7"/>
  <c r="M372" i="7"/>
  <c r="AD377" i="7"/>
  <c r="O383" i="7"/>
  <c r="S388" i="7"/>
  <c r="W393" i="7"/>
  <c r="K396" i="7"/>
  <c r="O398" i="7"/>
  <c r="AA401" i="7"/>
  <c r="S403" i="7"/>
  <c r="K405" i="7"/>
  <c r="C407" i="7"/>
  <c r="W408" i="7"/>
  <c r="N410" i="7"/>
  <c r="AD412" i="7"/>
  <c r="E414" i="7"/>
  <c r="C415" i="7"/>
  <c r="C416" i="7"/>
  <c r="F417" i="7"/>
  <c r="F418" i="7"/>
  <c r="I419" i="7"/>
  <c r="C423" i="7"/>
  <c r="AA423" i="7"/>
  <c r="W424" i="7"/>
  <c r="S425" i="7"/>
  <c r="O426" i="7"/>
  <c r="K427" i="7"/>
  <c r="C429" i="7"/>
  <c r="AA429" i="7"/>
  <c r="S430" i="7"/>
  <c r="M431" i="7"/>
  <c r="F432" i="7"/>
  <c r="AA432" i="7"/>
  <c r="R433" i="7"/>
  <c r="K434" i="7"/>
  <c r="E435" i="7"/>
  <c r="W435" i="7"/>
  <c r="Q436" i="7"/>
  <c r="J437" i="7"/>
  <c r="AA437" i="7"/>
  <c r="R438" i="7"/>
  <c r="Z439" i="7"/>
  <c r="O440" i="7"/>
  <c r="F441" i="7"/>
  <c r="K442" i="7"/>
  <c r="Z442" i="7"/>
  <c r="L443" i="7"/>
  <c r="Z443" i="7"/>
  <c r="M444" i="7"/>
  <c r="AA444" i="7"/>
  <c r="N445" i="7"/>
  <c r="AB445" i="7"/>
  <c r="N446" i="7"/>
  <c r="AC446" i="7"/>
  <c r="O447" i="7"/>
  <c r="AD447" i="7"/>
  <c r="O448" i="7"/>
  <c r="AB448" i="7"/>
  <c r="M449" i="7"/>
  <c r="Z449" i="7"/>
  <c r="K450" i="7"/>
  <c r="X450" i="7"/>
  <c r="I451" i="7"/>
  <c r="U452" i="7"/>
  <c r="E453" i="7"/>
  <c r="Q453" i="7"/>
  <c r="AC453" i="7"/>
  <c r="M454" i="7"/>
  <c r="Y454" i="7"/>
  <c r="I455" i="7"/>
  <c r="U455" i="7"/>
  <c r="E456" i="7"/>
  <c r="Q456" i="7"/>
  <c r="AC456" i="7"/>
  <c r="M457" i="7"/>
  <c r="Y457" i="7"/>
  <c r="I458" i="7"/>
  <c r="U458" i="7"/>
  <c r="E459" i="7"/>
  <c r="Q459" i="7"/>
  <c r="AC459" i="7"/>
  <c r="M460" i="7"/>
  <c r="Y460" i="7"/>
  <c r="I461" i="7"/>
  <c r="U461" i="7"/>
  <c r="E462" i="7"/>
  <c r="Q462" i="7"/>
  <c r="AC462" i="7"/>
  <c r="M463" i="7"/>
  <c r="Y463" i="7"/>
  <c r="I464" i="7"/>
  <c r="U464" i="7"/>
  <c r="E465" i="7"/>
  <c r="Q465" i="7"/>
  <c r="AC465" i="7"/>
  <c r="M466" i="7"/>
  <c r="Y466" i="7"/>
  <c r="I467" i="7"/>
  <c r="U467" i="7"/>
  <c r="E468" i="7"/>
  <c r="Q468" i="7"/>
  <c r="AC468" i="7"/>
  <c r="M469" i="7"/>
  <c r="Y469" i="7"/>
  <c r="I470" i="7"/>
  <c r="U470" i="7"/>
  <c r="E471" i="7"/>
  <c r="Q471" i="7"/>
  <c r="AC471" i="7"/>
  <c r="M472" i="7"/>
  <c r="Y472" i="7"/>
  <c r="I473" i="7"/>
  <c r="U473" i="7"/>
  <c r="E474" i="7"/>
  <c r="Q474" i="7"/>
  <c r="AC474" i="7"/>
  <c r="M475" i="7"/>
  <c r="Y475" i="7"/>
  <c r="I476" i="7"/>
  <c r="U476" i="7"/>
  <c r="E477" i="7"/>
  <c r="Q477" i="7"/>
  <c r="AC477" i="7"/>
  <c r="M478" i="7"/>
  <c r="Y478" i="7"/>
  <c r="I479" i="7"/>
  <c r="U479" i="7"/>
  <c r="E480" i="7"/>
  <c r="Q480" i="7"/>
  <c r="AC480" i="7"/>
  <c r="M481" i="7"/>
  <c r="Y481" i="7"/>
  <c r="I482" i="7"/>
  <c r="U482" i="7"/>
  <c r="E483" i="7"/>
  <c r="Q483" i="7"/>
  <c r="AC483" i="7"/>
  <c r="M484" i="7"/>
  <c r="Y484" i="7"/>
  <c r="I485" i="7"/>
  <c r="U485" i="7"/>
  <c r="E486" i="7"/>
  <c r="Q486" i="7"/>
  <c r="AC486" i="7"/>
  <c r="M487" i="7"/>
  <c r="Y487" i="7"/>
  <c r="I488" i="7"/>
  <c r="U488" i="7"/>
  <c r="E489" i="7"/>
  <c r="I367" i="7"/>
  <c r="Z372" i="7"/>
  <c r="O378" i="7"/>
  <c r="AA383" i="7"/>
  <c r="C389" i="7"/>
  <c r="C394" i="7"/>
  <c r="S396" i="7"/>
  <c r="U398" i="7"/>
  <c r="M400" i="7"/>
  <c r="E402" i="7"/>
  <c r="Y403" i="7"/>
  <c r="Q405" i="7"/>
  <c r="I407" i="7"/>
  <c r="AC408" i="7"/>
  <c r="O410" i="7"/>
  <c r="W411" i="7"/>
  <c r="C413" i="7"/>
  <c r="F414" i="7"/>
  <c r="F415" i="7"/>
  <c r="I416" i="7"/>
  <c r="J419" i="7"/>
  <c r="J420" i="7"/>
  <c r="M421" i="7"/>
  <c r="I422" i="7"/>
  <c r="E423" i="7"/>
  <c r="AC423" i="7"/>
  <c r="Y424" i="7"/>
  <c r="U425" i="7"/>
  <c r="Q426" i="7"/>
  <c r="M427" i="7"/>
  <c r="I428" i="7"/>
  <c r="E429" i="7"/>
  <c r="AC429" i="7"/>
  <c r="W430" i="7"/>
  <c r="N431" i="7"/>
  <c r="AC432" i="7"/>
  <c r="S433" i="7"/>
  <c r="M434" i="7"/>
  <c r="F435" i="7"/>
  <c r="AA435" i="7"/>
  <c r="R436" i="7"/>
  <c r="K437" i="7"/>
  <c r="AD437" i="7"/>
  <c r="S438" i="7"/>
  <c r="J439" i="7"/>
  <c r="AA439" i="7"/>
  <c r="R440" i="7"/>
  <c r="W441" i="7"/>
  <c r="M442" i="7"/>
  <c r="AA442" i="7"/>
  <c r="AC448" i="7"/>
  <c r="N454" i="7"/>
  <c r="W461" i="7"/>
  <c r="J464" i="7"/>
  <c r="AD465" i="7"/>
  <c r="K467" i="7"/>
  <c r="S468" i="7"/>
  <c r="AA469" i="7"/>
  <c r="O472" i="7"/>
  <c r="W473" i="7"/>
  <c r="C475" i="7"/>
  <c r="K476" i="7"/>
  <c r="S477" i="7"/>
  <c r="AA478" i="7"/>
  <c r="O481" i="7"/>
  <c r="O482" i="7"/>
  <c r="K483" i="7"/>
  <c r="C485" i="7"/>
  <c r="AA485" i="7"/>
  <c r="W486" i="7"/>
  <c r="S487" i="7"/>
  <c r="O488" i="7"/>
  <c r="K489" i="7"/>
  <c r="AD489" i="7"/>
  <c r="X490" i="7"/>
  <c r="P491" i="7"/>
  <c r="AC492" i="7"/>
  <c r="O494" i="7"/>
  <c r="F495" i="7"/>
  <c r="AB495" i="7"/>
  <c r="T496" i="7"/>
  <c r="J497" i="7"/>
  <c r="AC497" i="7"/>
  <c r="R498" i="7"/>
  <c r="I499" i="7"/>
  <c r="Z499" i="7"/>
  <c r="Q500" i="7"/>
  <c r="F501" i="7"/>
  <c r="Y501" i="7"/>
  <c r="N502" i="7"/>
  <c r="E503" i="7"/>
  <c r="M504" i="7"/>
  <c r="AD504" i="7"/>
  <c r="U505" i="7"/>
  <c r="J506" i="7"/>
  <c r="AC506" i="7"/>
  <c r="R507" i="7"/>
  <c r="I508" i="7"/>
  <c r="Z508" i="7"/>
  <c r="Q509" i="7"/>
  <c r="F510" i="7"/>
  <c r="Y510" i="7"/>
  <c r="L511" i="7"/>
  <c r="AA511" i="7"/>
  <c r="Q512" i="7"/>
  <c r="D513" i="7"/>
  <c r="S513" i="7"/>
  <c r="I514" i="7"/>
  <c r="W514" i="7"/>
  <c r="I515" i="7"/>
  <c r="W515" i="7"/>
  <c r="K516" i="7"/>
  <c r="Y516" i="7"/>
  <c r="K517" i="7"/>
  <c r="Y517" i="7"/>
  <c r="K518" i="7"/>
  <c r="AA518" i="7"/>
  <c r="M519" i="7"/>
  <c r="AA519" i="7"/>
  <c r="M520" i="7"/>
  <c r="AA520" i="7"/>
  <c r="O521" i="7"/>
  <c r="AC521" i="7"/>
  <c r="O522" i="7"/>
  <c r="AC522" i="7"/>
  <c r="O523" i="7"/>
  <c r="C524" i="7"/>
  <c r="Q524" i="7"/>
  <c r="C525" i="7"/>
  <c r="Q525" i="7"/>
  <c r="C526" i="7"/>
  <c r="S526" i="7"/>
  <c r="E527" i="7"/>
  <c r="S527" i="7"/>
  <c r="E528" i="7"/>
  <c r="S528" i="7"/>
  <c r="E529" i="7"/>
  <c r="S529" i="7"/>
  <c r="D530" i="7"/>
  <c r="Q530" i="7"/>
  <c r="AC530" i="7"/>
  <c r="M531" i="7"/>
  <c r="Y531" i="7"/>
  <c r="I532" i="7"/>
  <c r="U532" i="7"/>
  <c r="E533" i="7"/>
  <c r="Q533" i="7"/>
  <c r="AC533" i="7"/>
  <c r="M534" i="7"/>
  <c r="Y534" i="7"/>
  <c r="I535" i="7"/>
  <c r="U535" i="7"/>
  <c r="E536" i="7"/>
  <c r="Q536" i="7"/>
  <c r="AC536" i="7"/>
  <c r="M537" i="7"/>
  <c r="Y537" i="7"/>
  <c r="I538" i="7"/>
  <c r="U538" i="7"/>
  <c r="E539" i="7"/>
  <c r="Q539" i="7"/>
  <c r="AC539" i="7"/>
  <c r="M540" i="7"/>
  <c r="Y540" i="7"/>
  <c r="I541" i="7"/>
  <c r="U541" i="7"/>
  <c r="E542" i="7"/>
  <c r="Q542" i="7"/>
  <c r="AC542" i="7"/>
  <c r="M543" i="7"/>
  <c r="Y543" i="7"/>
  <c r="I544" i="7"/>
  <c r="U544" i="7"/>
  <c r="E545" i="7"/>
  <c r="Q545" i="7"/>
  <c r="AC545" i="7"/>
  <c r="M546" i="7"/>
  <c r="Y546" i="7"/>
  <c r="I547" i="7"/>
  <c r="U547" i="7"/>
  <c r="E548" i="7"/>
  <c r="Q548" i="7"/>
  <c r="AC548" i="7"/>
  <c r="M549" i="7"/>
  <c r="Y549" i="7"/>
  <c r="I550" i="7"/>
  <c r="U550" i="7"/>
  <c r="E551" i="7"/>
  <c r="Q551" i="7"/>
  <c r="AC551" i="7"/>
  <c r="M552" i="7"/>
  <c r="Y552" i="7"/>
  <c r="I553" i="7"/>
  <c r="U553" i="7"/>
  <c r="E554" i="7"/>
  <c r="Q554" i="7"/>
  <c r="AC554" i="7"/>
  <c r="M555" i="7"/>
  <c r="Y555" i="7"/>
  <c r="I556" i="7"/>
  <c r="U556" i="7"/>
  <c r="E557" i="7"/>
  <c r="Q557" i="7"/>
  <c r="AC557" i="7"/>
  <c r="M558" i="7"/>
  <c r="Y558" i="7"/>
  <c r="I559" i="7"/>
  <c r="U559" i="7"/>
  <c r="E560" i="7"/>
  <c r="Q560" i="7"/>
  <c r="AC560" i="7"/>
  <c r="M561" i="7"/>
  <c r="Y561" i="7"/>
  <c r="I562" i="7"/>
  <c r="U562" i="7"/>
  <c r="E563" i="7"/>
  <c r="Q563" i="7"/>
  <c r="AC563" i="7"/>
  <c r="M564" i="7"/>
  <c r="Y564" i="7"/>
  <c r="I565" i="7"/>
  <c r="U565" i="7"/>
  <c r="E566" i="7"/>
  <c r="Q566" i="7"/>
  <c r="AC566" i="7"/>
  <c r="M567" i="7"/>
  <c r="Y567" i="7"/>
  <c r="I568" i="7"/>
  <c r="U568" i="7"/>
  <c r="C539" i="7"/>
  <c r="S541" i="7"/>
  <c r="O545" i="7"/>
  <c r="C548" i="7"/>
  <c r="O557" i="7"/>
  <c r="Z469" i="7"/>
  <c r="S486" i="7"/>
  <c r="K488" i="7"/>
  <c r="F492" i="7"/>
  <c r="I497" i="7"/>
  <c r="AB506" i="7"/>
  <c r="K511" i="7"/>
  <c r="I516" i="7"/>
  <c r="Z520" i="7"/>
  <c r="AB522" i="7"/>
  <c r="AD524" i="7"/>
  <c r="D528" i="7"/>
  <c r="M443" i="7"/>
  <c r="N449" i="7"/>
  <c r="Z454" i="7"/>
  <c r="R459" i="7"/>
  <c r="F462" i="7"/>
  <c r="K464" i="7"/>
  <c r="C466" i="7"/>
  <c r="P467" i="7"/>
  <c r="X468" i="7"/>
  <c r="D470" i="7"/>
  <c r="L471" i="7"/>
  <c r="T472" i="7"/>
  <c r="AB473" i="7"/>
  <c r="H475" i="7"/>
  <c r="P476" i="7"/>
  <c r="X477" i="7"/>
  <c r="D479" i="7"/>
  <c r="L480" i="7"/>
  <c r="T481" i="7"/>
  <c r="P482" i="7"/>
  <c r="L483" i="7"/>
  <c r="H484" i="7"/>
  <c r="D485" i="7"/>
  <c r="AB485" i="7"/>
  <c r="X486" i="7"/>
  <c r="T487" i="7"/>
  <c r="P488" i="7"/>
  <c r="L489" i="7"/>
  <c r="C490" i="7"/>
  <c r="Y490" i="7"/>
  <c r="R491" i="7"/>
  <c r="K492" i="7"/>
  <c r="AD492" i="7"/>
  <c r="X493" i="7"/>
  <c r="P494" i="7"/>
  <c r="AC495" i="7"/>
  <c r="K497" i="7"/>
  <c r="AD497" i="7"/>
  <c r="S498" i="7"/>
  <c r="J499" i="7"/>
  <c r="AA499" i="7"/>
  <c r="R500" i="7"/>
  <c r="Z501" i="7"/>
  <c r="O502" i="7"/>
  <c r="F503" i="7"/>
  <c r="W503" i="7"/>
  <c r="N504" i="7"/>
  <c r="C505" i="7"/>
  <c r="K506" i="7"/>
  <c r="AD506" i="7"/>
  <c r="S507" i="7"/>
  <c r="J508" i="7"/>
  <c r="AA508" i="7"/>
  <c r="R509" i="7"/>
  <c r="Z510" i="7"/>
  <c r="M511" i="7"/>
  <c r="C512" i="7"/>
  <c r="R512" i="7"/>
  <c r="E513" i="7"/>
  <c r="W513" i="7"/>
  <c r="J514" i="7"/>
  <c r="X514" i="7"/>
  <c r="J515" i="7"/>
  <c r="Y515" i="7"/>
  <c r="L516" i="7"/>
  <c r="Z516" i="7"/>
  <c r="L517" i="7"/>
  <c r="Z517" i="7"/>
  <c r="M518" i="7"/>
  <c r="AB518" i="7"/>
  <c r="N519" i="7"/>
  <c r="AB519" i="7"/>
  <c r="N520" i="7"/>
  <c r="AC520" i="7"/>
  <c r="P521" i="7"/>
  <c r="AD521" i="7"/>
  <c r="P522" i="7"/>
  <c r="AD522" i="7"/>
  <c r="Q523" i="7"/>
  <c r="D524" i="7"/>
  <c r="R524" i="7"/>
  <c r="D525" i="7"/>
  <c r="R525" i="7"/>
  <c r="E526" i="7"/>
  <c r="T526" i="7"/>
  <c r="F527" i="7"/>
  <c r="T527" i="7"/>
  <c r="F528" i="7"/>
  <c r="U528" i="7"/>
  <c r="T529" i="7"/>
  <c r="E530" i="7"/>
  <c r="R530" i="7"/>
  <c r="AD530" i="7"/>
  <c r="N531" i="7"/>
  <c r="Z531" i="7"/>
  <c r="J532" i="7"/>
  <c r="F533" i="7"/>
  <c r="R533" i="7"/>
  <c r="AD533" i="7"/>
  <c r="N534" i="7"/>
  <c r="Z534" i="7"/>
  <c r="J535" i="7"/>
  <c r="F536" i="7"/>
  <c r="R536" i="7"/>
  <c r="AD536" i="7"/>
  <c r="N537" i="7"/>
  <c r="Z537" i="7"/>
  <c r="J538" i="7"/>
  <c r="F539" i="7"/>
  <c r="R539" i="7"/>
  <c r="AD539" i="7"/>
  <c r="N540" i="7"/>
  <c r="Z540" i="7"/>
  <c r="J541" i="7"/>
  <c r="F542" i="7"/>
  <c r="R542" i="7"/>
  <c r="AD542" i="7"/>
  <c r="N543" i="7"/>
  <c r="Z543" i="7"/>
  <c r="J544" i="7"/>
  <c r="F545" i="7"/>
  <c r="R545" i="7"/>
  <c r="AD545" i="7"/>
  <c r="N546" i="7"/>
  <c r="Z546" i="7"/>
  <c r="J547" i="7"/>
  <c r="F548" i="7"/>
  <c r="R548" i="7"/>
  <c r="AD548" i="7"/>
  <c r="N549" i="7"/>
  <c r="Z549" i="7"/>
  <c r="J550" i="7"/>
  <c r="F551" i="7"/>
  <c r="R551" i="7"/>
  <c r="AD551" i="7"/>
  <c r="N552" i="7"/>
  <c r="Z552" i="7"/>
  <c r="J553" i="7"/>
  <c r="F554" i="7"/>
  <c r="R554" i="7"/>
  <c r="AD554" i="7"/>
  <c r="N555" i="7"/>
  <c r="Z555" i="7"/>
  <c r="J556" i="7"/>
  <c r="F557" i="7"/>
  <c r="R557" i="7"/>
  <c r="AD557" i="7"/>
  <c r="N558" i="7"/>
  <c r="Z558" i="7"/>
  <c r="J559" i="7"/>
  <c r="F560" i="7"/>
  <c r="R560" i="7"/>
  <c r="AD560" i="7"/>
  <c r="N561" i="7"/>
  <c r="Z561" i="7"/>
  <c r="J562" i="7"/>
  <c r="F563" i="7"/>
  <c r="R563" i="7"/>
  <c r="AD563" i="7"/>
  <c r="N564" i="7"/>
  <c r="Z564" i="7"/>
  <c r="J565" i="7"/>
  <c r="F566" i="7"/>
  <c r="R566" i="7"/>
  <c r="AD566" i="7"/>
  <c r="N567" i="7"/>
  <c r="Z567" i="7"/>
  <c r="J568" i="7"/>
  <c r="C543" i="7"/>
  <c r="K544" i="7"/>
  <c r="W544" i="7"/>
  <c r="S545" i="7"/>
  <c r="C546" i="7"/>
  <c r="AA546" i="7"/>
  <c r="S548" i="7"/>
  <c r="AA549" i="7"/>
  <c r="W550" i="7"/>
  <c r="S551" i="7"/>
  <c r="C552" i="7"/>
  <c r="AA552" i="7"/>
  <c r="C564" i="7"/>
  <c r="AA564" i="7"/>
  <c r="M565" i="7"/>
  <c r="Y568" i="7"/>
  <c r="J542" i="7"/>
  <c r="J545" i="7"/>
  <c r="AD546" i="7"/>
  <c r="J548" i="7"/>
  <c r="F549" i="7"/>
  <c r="AD549" i="7"/>
  <c r="N550" i="7"/>
  <c r="Z550" i="7"/>
  <c r="J551" i="7"/>
  <c r="AD555" i="7"/>
  <c r="J557" i="7"/>
  <c r="W537" i="7"/>
  <c r="P448" i="7"/>
  <c r="L504" i="7"/>
  <c r="C513" i="7"/>
  <c r="H514" i="7"/>
  <c r="X516" i="7"/>
  <c r="N523" i="7"/>
  <c r="AD525" i="7"/>
  <c r="H532" i="7"/>
  <c r="AB542" i="7"/>
  <c r="D545" i="7"/>
  <c r="X546" i="7"/>
  <c r="H547" i="7"/>
  <c r="AB548" i="7"/>
  <c r="D551" i="7"/>
  <c r="D554" i="7"/>
  <c r="AB554" i="7"/>
  <c r="AB557" i="7"/>
  <c r="AA443" i="7"/>
  <c r="AA449" i="7"/>
  <c r="J455" i="7"/>
  <c r="S459" i="7"/>
  <c r="T464" i="7"/>
  <c r="L466" i="7"/>
  <c r="T467" i="7"/>
  <c r="AB468" i="7"/>
  <c r="H470" i="7"/>
  <c r="P471" i="7"/>
  <c r="X472" i="7"/>
  <c r="D474" i="7"/>
  <c r="L475" i="7"/>
  <c r="T476" i="7"/>
  <c r="AB477" i="7"/>
  <c r="H479" i="7"/>
  <c r="P480" i="7"/>
  <c r="R482" i="7"/>
  <c r="N483" i="7"/>
  <c r="J484" i="7"/>
  <c r="F485" i="7"/>
  <c r="AD485" i="7"/>
  <c r="Z486" i="7"/>
  <c r="R488" i="7"/>
  <c r="N489" i="7"/>
  <c r="Z490" i="7"/>
  <c r="T491" i="7"/>
  <c r="L492" i="7"/>
  <c r="C493" i="7"/>
  <c r="Y493" i="7"/>
  <c r="R494" i="7"/>
  <c r="K495" i="7"/>
  <c r="AD495" i="7"/>
  <c r="X496" i="7"/>
  <c r="O497" i="7"/>
  <c r="D498" i="7"/>
  <c r="W498" i="7"/>
  <c r="L499" i="7"/>
  <c r="C500" i="7"/>
  <c r="T500" i="7"/>
  <c r="K501" i="7"/>
  <c r="AB501" i="7"/>
  <c r="S502" i="7"/>
  <c r="H503" i="7"/>
  <c r="AA503" i="7"/>
  <c r="P504" i="7"/>
  <c r="X505" i="7"/>
  <c r="O506" i="7"/>
  <c r="D507" i="7"/>
  <c r="W507" i="7"/>
  <c r="L508" i="7"/>
  <c r="C509" i="7"/>
  <c r="T509" i="7"/>
  <c r="K510" i="7"/>
  <c r="AA510" i="7"/>
  <c r="N511" i="7"/>
  <c r="D512" i="7"/>
  <c r="S512" i="7"/>
  <c r="F513" i="7"/>
  <c r="X513" i="7"/>
  <c r="K514" i="7"/>
  <c r="Y514" i="7"/>
  <c r="K515" i="7"/>
  <c r="AA515" i="7"/>
  <c r="M516" i="7"/>
  <c r="AA516" i="7"/>
  <c r="M517" i="7"/>
  <c r="AA517" i="7"/>
  <c r="O518" i="7"/>
  <c r="AC518" i="7"/>
  <c r="O519" i="7"/>
  <c r="AC519" i="7"/>
  <c r="O520" i="7"/>
  <c r="C521" i="7"/>
  <c r="Q521" i="7"/>
  <c r="C522" i="7"/>
  <c r="Q522" i="7"/>
  <c r="C523" i="7"/>
  <c r="S523" i="7"/>
  <c r="E524" i="7"/>
  <c r="S524" i="7"/>
  <c r="E525" i="7"/>
  <c r="S525" i="7"/>
  <c r="U526" i="7"/>
  <c r="U527" i="7"/>
  <c r="W528" i="7"/>
  <c r="H529" i="7"/>
  <c r="U529" i="7"/>
  <c r="F530" i="7"/>
  <c r="S530" i="7"/>
  <c r="C531" i="7"/>
  <c r="O531" i="7"/>
  <c r="AA531" i="7"/>
  <c r="K532" i="7"/>
  <c r="W532" i="7"/>
  <c r="S533" i="7"/>
  <c r="C534" i="7"/>
  <c r="O534" i="7"/>
  <c r="AA534" i="7"/>
  <c r="K535" i="7"/>
  <c r="W535" i="7"/>
  <c r="S536" i="7"/>
  <c r="C537" i="7"/>
  <c r="O537" i="7"/>
  <c r="AA537" i="7"/>
  <c r="K538" i="7"/>
  <c r="W538" i="7"/>
  <c r="S539" i="7"/>
  <c r="C540" i="7"/>
  <c r="O540" i="7"/>
  <c r="AA540" i="7"/>
  <c r="K541" i="7"/>
  <c r="W541" i="7"/>
  <c r="S542" i="7"/>
  <c r="O543" i="7"/>
  <c r="AA543" i="7"/>
  <c r="O546" i="7"/>
  <c r="K547" i="7"/>
  <c r="W547" i="7"/>
  <c r="C549" i="7"/>
  <c r="O549" i="7"/>
  <c r="K550" i="7"/>
  <c r="O552" i="7"/>
  <c r="K553" i="7"/>
  <c r="W553" i="7"/>
  <c r="S554" i="7"/>
  <c r="C555" i="7"/>
  <c r="O555" i="7"/>
  <c r="AA555" i="7"/>
  <c r="K556" i="7"/>
  <c r="W556" i="7"/>
  <c r="S557" i="7"/>
  <c r="C558" i="7"/>
  <c r="O558" i="7"/>
  <c r="AA558" i="7"/>
  <c r="K559" i="7"/>
  <c r="W559" i="7"/>
  <c r="S560" i="7"/>
  <c r="C561" i="7"/>
  <c r="O561" i="7"/>
  <c r="AA561" i="7"/>
  <c r="K562" i="7"/>
  <c r="W562" i="7"/>
  <c r="S563" i="7"/>
  <c r="O564" i="7"/>
  <c r="K565" i="7"/>
  <c r="W565" i="7"/>
  <c r="S566" i="7"/>
  <c r="C567" i="7"/>
  <c r="O567" i="7"/>
  <c r="AA567" i="7"/>
  <c r="K568" i="7"/>
  <c r="W568" i="7"/>
  <c r="M568" i="7"/>
  <c r="Z544" i="7"/>
  <c r="N547" i="7"/>
  <c r="R549" i="7"/>
  <c r="J554" i="7"/>
  <c r="R555" i="7"/>
  <c r="Z556" i="7"/>
  <c r="R558" i="7"/>
  <c r="Z559" i="7"/>
  <c r="Z562" i="7"/>
  <c r="R564" i="7"/>
  <c r="J566" i="7"/>
  <c r="F567" i="7"/>
  <c r="R567" i="7"/>
  <c r="N568" i="7"/>
  <c r="Z568" i="7"/>
  <c r="W531" i="7"/>
  <c r="O539" i="7"/>
  <c r="O542" i="7"/>
  <c r="S550" i="7"/>
  <c r="K552" i="7"/>
  <c r="S553" i="7"/>
  <c r="W555" i="7"/>
  <c r="K558" i="7"/>
  <c r="J467" i="7"/>
  <c r="O491" i="7"/>
  <c r="K494" i="7"/>
  <c r="AC504" i="7"/>
  <c r="Y508" i="7"/>
  <c r="X510" i="7"/>
  <c r="X540" i="7"/>
  <c r="L546" i="7"/>
  <c r="D548" i="7"/>
  <c r="P557" i="7"/>
  <c r="N444" i="7"/>
  <c r="L450" i="7"/>
  <c r="AD459" i="7"/>
  <c r="R462" i="7"/>
  <c r="N466" i="7"/>
  <c r="AD468" i="7"/>
  <c r="J470" i="7"/>
  <c r="R471" i="7"/>
  <c r="Z472" i="7"/>
  <c r="F474" i="7"/>
  <c r="N475" i="7"/>
  <c r="AD477" i="7"/>
  <c r="J479" i="7"/>
  <c r="R480" i="7"/>
  <c r="X481" i="7"/>
  <c r="T482" i="7"/>
  <c r="P483" i="7"/>
  <c r="L484" i="7"/>
  <c r="H485" i="7"/>
  <c r="D486" i="7"/>
  <c r="AB486" i="7"/>
  <c r="X487" i="7"/>
  <c r="T488" i="7"/>
  <c r="P489" i="7"/>
  <c r="H490" i="7"/>
  <c r="AA490" i="7"/>
  <c r="U491" i="7"/>
  <c r="N492" i="7"/>
  <c r="Z493" i="7"/>
  <c r="T494" i="7"/>
  <c r="L495" i="7"/>
  <c r="C496" i="7"/>
  <c r="Y496" i="7"/>
  <c r="P497" i="7"/>
  <c r="E498" i="7"/>
  <c r="X498" i="7"/>
  <c r="M499" i="7"/>
  <c r="D500" i="7"/>
  <c r="U500" i="7"/>
  <c r="L501" i="7"/>
  <c r="AC501" i="7"/>
  <c r="T502" i="7"/>
  <c r="I503" i="7"/>
  <c r="AB503" i="7"/>
  <c r="Q504" i="7"/>
  <c r="H505" i="7"/>
  <c r="Y505" i="7"/>
  <c r="P506" i="7"/>
  <c r="E507" i="7"/>
  <c r="X507" i="7"/>
  <c r="M508" i="7"/>
  <c r="D509" i="7"/>
  <c r="U509" i="7"/>
  <c r="L510" i="7"/>
  <c r="AB510" i="7"/>
  <c r="O511" i="7"/>
  <c r="E512" i="7"/>
  <c r="T512" i="7"/>
  <c r="Y513" i="7"/>
  <c r="L514" i="7"/>
  <c r="Z514" i="7"/>
  <c r="M515" i="7"/>
  <c r="AB515" i="7"/>
  <c r="N516" i="7"/>
  <c r="AB516" i="7"/>
  <c r="N517" i="7"/>
  <c r="AC517" i="7"/>
  <c r="P518" i="7"/>
  <c r="AD518" i="7"/>
  <c r="P519" i="7"/>
  <c r="AD519" i="7"/>
  <c r="Q520" i="7"/>
  <c r="D521" i="7"/>
  <c r="R521" i="7"/>
  <c r="D522" i="7"/>
  <c r="R522" i="7"/>
  <c r="E523" i="7"/>
  <c r="T523" i="7"/>
  <c r="F524" i="7"/>
  <c r="T524" i="7"/>
  <c r="F525" i="7"/>
  <c r="U525" i="7"/>
  <c r="H526" i="7"/>
  <c r="H527" i="7"/>
  <c r="I528" i="7"/>
  <c r="X528" i="7"/>
  <c r="I529" i="7"/>
  <c r="T530" i="7"/>
  <c r="D531" i="7"/>
  <c r="P531" i="7"/>
  <c r="AB531" i="7"/>
  <c r="L532" i="7"/>
  <c r="X532" i="7"/>
  <c r="H533" i="7"/>
  <c r="T533" i="7"/>
  <c r="D534" i="7"/>
  <c r="P534" i="7"/>
  <c r="AB534" i="7"/>
  <c r="L535" i="7"/>
  <c r="X535" i="7"/>
  <c r="H536" i="7"/>
  <c r="T536" i="7"/>
  <c r="D537" i="7"/>
  <c r="P537" i="7"/>
  <c r="AB537" i="7"/>
  <c r="L538" i="7"/>
  <c r="X538" i="7"/>
  <c r="H539" i="7"/>
  <c r="T539" i="7"/>
  <c r="D540" i="7"/>
  <c r="P540" i="7"/>
  <c r="AB540" i="7"/>
  <c r="L541" i="7"/>
  <c r="X541" i="7"/>
  <c r="H542" i="7"/>
  <c r="T542" i="7"/>
  <c r="D543" i="7"/>
  <c r="P543" i="7"/>
  <c r="AB543" i="7"/>
  <c r="L544" i="7"/>
  <c r="X544" i="7"/>
  <c r="H545" i="7"/>
  <c r="T545" i="7"/>
  <c r="D546" i="7"/>
  <c r="P546" i="7"/>
  <c r="AB546" i="7"/>
  <c r="L547" i="7"/>
  <c r="X547" i="7"/>
  <c r="H548" i="7"/>
  <c r="T548" i="7"/>
  <c r="D549" i="7"/>
  <c r="P549" i="7"/>
  <c r="AB549" i="7"/>
  <c r="L550" i="7"/>
  <c r="X550" i="7"/>
  <c r="H551" i="7"/>
  <c r="T551" i="7"/>
  <c r="D552" i="7"/>
  <c r="P552" i="7"/>
  <c r="AB552" i="7"/>
  <c r="L553" i="7"/>
  <c r="X553" i="7"/>
  <c r="H554" i="7"/>
  <c r="T554" i="7"/>
  <c r="D555" i="7"/>
  <c r="P555" i="7"/>
  <c r="AB555" i="7"/>
  <c r="L556" i="7"/>
  <c r="X556" i="7"/>
  <c r="H557" i="7"/>
  <c r="T557" i="7"/>
  <c r="D558" i="7"/>
  <c r="P558" i="7"/>
  <c r="AB558" i="7"/>
  <c r="L559" i="7"/>
  <c r="X559" i="7"/>
  <c r="H560" i="7"/>
  <c r="T560" i="7"/>
  <c r="D561" i="7"/>
  <c r="P561" i="7"/>
  <c r="AB561" i="7"/>
  <c r="L562" i="7"/>
  <c r="X562" i="7"/>
  <c r="H563" i="7"/>
  <c r="T563" i="7"/>
  <c r="D564" i="7"/>
  <c r="P564" i="7"/>
  <c r="AB564" i="7"/>
  <c r="L565" i="7"/>
  <c r="X565" i="7"/>
  <c r="H566" i="7"/>
  <c r="T566" i="7"/>
  <c r="D567" i="7"/>
  <c r="P567" i="7"/>
  <c r="AB567" i="7"/>
  <c r="L568" i="7"/>
  <c r="X568" i="7"/>
  <c r="M547" i="7"/>
  <c r="Y547" i="7"/>
  <c r="E549" i="7"/>
  <c r="I551" i="7"/>
  <c r="Q552" i="7"/>
  <c r="AC552" i="7"/>
  <c r="E555" i="7"/>
  <c r="AC555" i="7"/>
  <c r="I557" i="7"/>
  <c r="Q561" i="7"/>
  <c r="I563" i="7"/>
  <c r="E564" i="7"/>
  <c r="AC564" i="7"/>
  <c r="I566" i="7"/>
  <c r="R546" i="7"/>
  <c r="F552" i="7"/>
  <c r="AD552" i="7"/>
  <c r="Z553" i="7"/>
  <c r="N556" i="7"/>
  <c r="AD558" i="7"/>
  <c r="R561" i="7"/>
  <c r="N565" i="7"/>
  <c r="Z565" i="7"/>
  <c r="AD567" i="7"/>
  <c r="K534" i="7"/>
  <c r="S547" i="7"/>
  <c r="O548" i="7"/>
  <c r="O551" i="7"/>
  <c r="O554" i="7"/>
  <c r="C563" i="7"/>
  <c r="O566" i="7"/>
  <c r="AB465" i="7"/>
  <c r="R477" i="7"/>
  <c r="T493" i="7"/>
  <c r="E501" i="7"/>
  <c r="X534" i="7"/>
  <c r="H538" i="7"/>
  <c r="AB539" i="7"/>
  <c r="X543" i="7"/>
  <c r="T544" i="7"/>
  <c r="P545" i="7"/>
  <c r="X549" i="7"/>
  <c r="T550" i="7"/>
  <c r="L552" i="7"/>
  <c r="T553" i="7"/>
  <c r="X555" i="7"/>
  <c r="L558" i="7"/>
  <c r="AC444" i="7"/>
  <c r="Y450" i="7"/>
  <c r="F456" i="7"/>
  <c r="C460" i="7"/>
  <c r="S462" i="7"/>
  <c r="W464" i="7"/>
  <c r="O466" i="7"/>
  <c r="W467" i="7"/>
  <c r="C469" i="7"/>
  <c r="K470" i="7"/>
  <c r="S471" i="7"/>
  <c r="AA472" i="7"/>
  <c r="O475" i="7"/>
  <c r="W476" i="7"/>
  <c r="C478" i="7"/>
  <c r="K479" i="7"/>
  <c r="S480" i="7"/>
  <c r="Z481" i="7"/>
  <c r="R483" i="7"/>
  <c r="N484" i="7"/>
  <c r="J485" i="7"/>
  <c r="F486" i="7"/>
  <c r="AD486" i="7"/>
  <c r="Z487" i="7"/>
  <c r="Q489" i="7"/>
  <c r="J490" i="7"/>
  <c r="C491" i="7"/>
  <c r="P492" i="7"/>
  <c r="H493" i="7"/>
  <c r="AA493" i="7"/>
  <c r="U494" i="7"/>
  <c r="N495" i="7"/>
  <c r="Z496" i="7"/>
  <c r="Q497" i="7"/>
  <c r="F498" i="7"/>
  <c r="Y498" i="7"/>
  <c r="N499" i="7"/>
  <c r="E500" i="7"/>
  <c r="M501" i="7"/>
  <c r="AD501" i="7"/>
  <c r="U502" i="7"/>
  <c r="J503" i="7"/>
  <c r="AC503" i="7"/>
  <c r="R504" i="7"/>
  <c r="I505" i="7"/>
  <c r="Z505" i="7"/>
  <c r="Q506" i="7"/>
  <c r="F507" i="7"/>
  <c r="Y507" i="7"/>
  <c r="N508" i="7"/>
  <c r="E509" i="7"/>
  <c r="M510" i="7"/>
  <c r="AC510" i="7"/>
  <c r="S511" i="7"/>
  <c r="F512" i="7"/>
  <c r="U512" i="7"/>
  <c r="K513" i="7"/>
  <c r="Z513" i="7"/>
  <c r="M514" i="7"/>
  <c r="AA514" i="7"/>
  <c r="O515" i="7"/>
  <c r="AC515" i="7"/>
  <c r="O516" i="7"/>
  <c r="AC516" i="7"/>
  <c r="O517" i="7"/>
  <c r="C518" i="7"/>
  <c r="Q518" i="7"/>
  <c r="C519" i="7"/>
  <c r="Q519" i="7"/>
  <c r="C520" i="7"/>
  <c r="S520" i="7"/>
  <c r="E521" i="7"/>
  <c r="S521" i="7"/>
  <c r="E522" i="7"/>
  <c r="S522" i="7"/>
  <c r="U523" i="7"/>
  <c r="U524" i="7"/>
  <c r="W525" i="7"/>
  <c r="I526" i="7"/>
  <c r="W526" i="7"/>
  <c r="I527" i="7"/>
  <c r="W527" i="7"/>
  <c r="K528" i="7"/>
  <c r="Y528" i="7"/>
  <c r="J529" i="7"/>
  <c r="W529" i="7"/>
  <c r="H530" i="7"/>
  <c r="U530" i="7"/>
  <c r="E531" i="7"/>
  <c r="Q531" i="7"/>
  <c r="AC531" i="7"/>
  <c r="M532" i="7"/>
  <c r="Y532" i="7"/>
  <c r="I533" i="7"/>
  <c r="U533" i="7"/>
  <c r="E534" i="7"/>
  <c r="Q534" i="7"/>
  <c r="AC534" i="7"/>
  <c r="M535" i="7"/>
  <c r="Y535" i="7"/>
  <c r="I536" i="7"/>
  <c r="U536" i="7"/>
  <c r="E537" i="7"/>
  <c r="Q537" i="7"/>
  <c r="AC537" i="7"/>
  <c r="M538" i="7"/>
  <c r="Y538" i="7"/>
  <c r="I539" i="7"/>
  <c r="U539" i="7"/>
  <c r="E540" i="7"/>
  <c r="Q540" i="7"/>
  <c r="AC540" i="7"/>
  <c r="M541" i="7"/>
  <c r="Y541" i="7"/>
  <c r="I542" i="7"/>
  <c r="U542" i="7"/>
  <c r="E543" i="7"/>
  <c r="Q543" i="7"/>
  <c r="AC543" i="7"/>
  <c r="M544" i="7"/>
  <c r="Y544" i="7"/>
  <c r="I545" i="7"/>
  <c r="U545" i="7"/>
  <c r="E546" i="7"/>
  <c r="Q546" i="7"/>
  <c r="AC546" i="7"/>
  <c r="I548" i="7"/>
  <c r="U548" i="7"/>
  <c r="Q549" i="7"/>
  <c r="AC549" i="7"/>
  <c r="M550" i="7"/>
  <c r="Y550" i="7"/>
  <c r="U551" i="7"/>
  <c r="E552" i="7"/>
  <c r="M553" i="7"/>
  <c r="Y553" i="7"/>
  <c r="I554" i="7"/>
  <c r="U554" i="7"/>
  <c r="Q555" i="7"/>
  <c r="M556" i="7"/>
  <c r="Y556" i="7"/>
  <c r="U557" i="7"/>
  <c r="E558" i="7"/>
  <c r="Q558" i="7"/>
  <c r="AC558" i="7"/>
  <c r="M559" i="7"/>
  <c r="Y559" i="7"/>
  <c r="I560" i="7"/>
  <c r="U560" i="7"/>
  <c r="E561" i="7"/>
  <c r="AC561" i="7"/>
  <c r="M562" i="7"/>
  <c r="Y562" i="7"/>
  <c r="U563" i="7"/>
  <c r="Q564" i="7"/>
  <c r="Y565" i="7"/>
  <c r="U566" i="7"/>
  <c r="E567" i="7"/>
  <c r="Q567" i="7"/>
  <c r="AC567" i="7"/>
  <c r="R552" i="7"/>
  <c r="F558" i="7"/>
  <c r="F561" i="7"/>
  <c r="N562" i="7"/>
  <c r="S532" i="7"/>
  <c r="K540" i="7"/>
  <c r="AA542" i="7"/>
  <c r="AB545" i="7"/>
  <c r="T559" i="7"/>
  <c r="O445" i="7"/>
  <c r="J451" i="7"/>
  <c r="R456" i="7"/>
  <c r="N460" i="7"/>
  <c r="AD462" i="7"/>
  <c r="D465" i="7"/>
  <c r="T466" i="7"/>
  <c r="AB467" i="7"/>
  <c r="H469" i="7"/>
  <c r="P470" i="7"/>
  <c r="X471" i="7"/>
  <c r="D473" i="7"/>
  <c r="L474" i="7"/>
  <c r="T475" i="7"/>
  <c r="AB476" i="7"/>
  <c r="H478" i="7"/>
  <c r="P479" i="7"/>
  <c r="X480" i="7"/>
  <c r="AA481" i="7"/>
  <c r="W482" i="7"/>
  <c r="S483" i="7"/>
  <c r="O484" i="7"/>
  <c r="K485" i="7"/>
  <c r="C487" i="7"/>
  <c r="AA487" i="7"/>
  <c r="W488" i="7"/>
  <c r="R489" i="7"/>
  <c r="L490" i="7"/>
  <c r="D491" i="7"/>
  <c r="W491" i="7"/>
  <c r="Q492" i="7"/>
  <c r="J493" i="7"/>
  <c r="C494" i="7"/>
  <c r="P495" i="7"/>
  <c r="H496" i="7"/>
  <c r="AA496" i="7"/>
  <c r="R497" i="7"/>
  <c r="Z498" i="7"/>
  <c r="O499" i="7"/>
  <c r="F500" i="7"/>
  <c r="W500" i="7"/>
  <c r="N501" i="7"/>
  <c r="C502" i="7"/>
  <c r="K503" i="7"/>
  <c r="AD503" i="7"/>
  <c r="S504" i="7"/>
  <c r="J505" i="7"/>
  <c r="AA505" i="7"/>
  <c r="R506" i="7"/>
  <c r="Z507" i="7"/>
  <c r="O508" i="7"/>
  <c r="F509" i="7"/>
  <c r="W509" i="7"/>
  <c r="N510" i="7"/>
  <c r="AD510" i="7"/>
  <c r="T511" i="7"/>
  <c r="L513" i="7"/>
  <c r="AA513" i="7"/>
  <c r="N514" i="7"/>
  <c r="AC514" i="7"/>
  <c r="P515" i="7"/>
  <c r="AD515" i="7"/>
  <c r="P516" i="7"/>
  <c r="AD516" i="7"/>
  <c r="Q517" i="7"/>
  <c r="D518" i="7"/>
  <c r="R518" i="7"/>
  <c r="D519" i="7"/>
  <c r="R519" i="7"/>
  <c r="E520" i="7"/>
  <c r="T520" i="7"/>
  <c r="F521" i="7"/>
  <c r="T521" i="7"/>
  <c r="F522" i="7"/>
  <c r="U522" i="7"/>
  <c r="H523" i="7"/>
  <c r="H524" i="7"/>
  <c r="I525" i="7"/>
  <c r="X525" i="7"/>
  <c r="J526" i="7"/>
  <c r="X526" i="7"/>
  <c r="J527" i="7"/>
  <c r="Y527" i="7"/>
  <c r="L528" i="7"/>
  <c r="Z528" i="7"/>
  <c r="K529" i="7"/>
  <c r="X529" i="7"/>
  <c r="I530" i="7"/>
  <c r="F531" i="7"/>
  <c r="R531" i="7"/>
  <c r="AD531" i="7"/>
  <c r="N532" i="7"/>
  <c r="Z532" i="7"/>
  <c r="J533" i="7"/>
  <c r="F534" i="7"/>
  <c r="R534" i="7"/>
  <c r="AD534" i="7"/>
  <c r="N535" i="7"/>
  <c r="Z535" i="7"/>
  <c r="J536" i="7"/>
  <c r="F537" i="7"/>
  <c r="R537" i="7"/>
  <c r="AD537" i="7"/>
  <c r="N538" i="7"/>
  <c r="Z538" i="7"/>
  <c r="J539" i="7"/>
  <c r="F540" i="7"/>
  <c r="R540" i="7"/>
  <c r="AD540" i="7"/>
  <c r="N541" i="7"/>
  <c r="Z541" i="7"/>
  <c r="F543" i="7"/>
  <c r="R543" i="7"/>
  <c r="AD543" i="7"/>
  <c r="N544" i="7"/>
  <c r="F546" i="7"/>
  <c r="Z547" i="7"/>
  <c r="N553" i="7"/>
  <c r="F555" i="7"/>
  <c r="N559" i="7"/>
  <c r="J560" i="7"/>
  <c r="AD561" i="7"/>
  <c r="J563" i="7"/>
  <c r="F564" i="7"/>
  <c r="AD564" i="7"/>
  <c r="O536" i="7"/>
  <c r="W543" i="7"/>
  <c r="AA545" i="7"/>
  <c r="W552" i="7"/>
  <c r="C554" i="7"/>
  <c r="AA560" i="7"/>
  <c r="W561" i="7"/>
  <c r="C566" i="7"/>
  <c r="K567" i="7"/>
  <c r="R468" i="7"/>
  <c r="O487" i="7"/>
  <c r="P512" i="7"/>
  <c r="X517" i="7"/>
  <c r="AC523" i="7"/>
  <c r="D529" i="7"/>
  <c r="AB530" i="7"/>
  <c r="T535" i="7"/>
  <c r="AB536" i="7"/>
  <c r="D539" i="7"/>
  <c r="D542" i="7"/>
  <c r="P542" i="7"/>
  <c r="H544" i="7"/>
  <c r="T547" i="7"/>
  <c r="L549" i="7"/>
  <c r="H550" i="7"/>
  <c r="P551" i="7"/>
  <c r="X552" i="7"/>
  <c r="H556" i="7"/>
  <c r="AC445" i="7"/>
  <c r="W451" i="7"/>
  <c r="AD456" i="7"/>
  <c r="O460" i="7"/>
  <c r="C463" i="7"/>
  <c r="F465" i="7"/>
  <c r="X466" i="7"/>
  <c r="D468" i="7"/>
  <c r="L469" i="7"/>
  <c r="T470" i="7"/>
  <c r="AB471" i="7"/>
  <c r="H473" i="7"/>
  <c r="P474" i="7"/>
  <c r="X475" i="7"/>
  <c r="D477" i="7"/>
  <c r="L478" i="7"/>
  <c r="T479" i="7"/>
  <c r="AB480" i="7"/>
  <c r="C482" i="7"/>
  <c r="AA482" i="7"/>
  <c r="W483" i="7"/>
  <c r="S484" i="7"/>
  <c r="O485" i="7"/>
  <c r="K486" i="7"/>
  <c r="C488" i="7"/>
  <c r="AA488" i="7"/>
  <c r="S489" i="7"/>
  <c r="M490" i="7"/>
  <c r="F491" i="7"/>
  <c r="AA491" i="7"/>
  <c r="R492" i="7"/>
  <c r="L493" i="7"/>
  <c r="D494" i="7"/>
  <c r="W494" i="7"/>
  <c r="Q495" i="7"/>
  <c r="J496" i="7"/>
  <c r="C497" i="7"/>
  <c r="T497" i="7"/>
  <c r="K498" i="7"/>
  <c r="AB498" i="7"/>
  <c r="S499" i="7"/>
  <c r="H500" i="7"/>
  <c r="AA500" i="7"/>
  <c r="P501" i="7"/>
  <c r="X502" i="7"/>
  <c r="O503" i="7"/>
  <c r="D504" i="7"/>
  <c r="W504" i="7"/>
  <c r="L505" i="7"/>
  <c r="C506" i="7"/>
  <c r="T506" i="7"/>
  <c r="K507" i="7"/>
  <c r="AB507" i="7"/>
  <c r="S508" i="7"/>
  <c r="H509" i="7"/>
  <c r="AA509" i="7"/>
  <c r="P510" i="7"/>
  <c r="C511" i="7"/>
  <c r="U511" i="7"/>
  <c r="H512" i="7"/>
  <c r="W512" i="7"/>
  <c r="M513" i="7"/>
  <c r="AB513" i="7"/>
  <c r="O514" i="7"/>
  <c r="C515" i="7"/>
  <c r="Q515" i="7"/>
  <c r="C516" i="7"/>
  <c r="Q516" i="7"/>
  <c r="C517" i="7"/>
  <c r="S517" i="7"/>
  <c r="E518" i="7"/>
  <c r="S518" i="7"/>
  <c r="E519" i="7"/>
  <c r="S519" i="7"/>
  <c r="U520" i="7"/>
  <c r="U521" i="7"/>
  <c r="W522" i="7"/>
  <c r="I523" i="7"/>
  <c r="W523" i="7"/>
  <c r="I524" i="7"/>
  <c r="W524" i="7"/>
  <c r="K525" i="7"/>
  <c r="Y525" i="7"/>
  <c r="K526" i="7"/>
  <c r="Y526" i="7"/>
  <c r="K527" i="7"/>
  <c r="AA527" i="7"/>
  <c r="M528" i="7"/>
  <c r="AA528" i="7"/>
  <c r="L529" i="7"/>
  <c r="Y529" i="7"/>
  <c r="J530" i="7"/>
  <c r="W530" i="7"/>
  <c r="S531" i="7"/>
  <c r="C532" i="7"/>
  <c r="O532" i="7"/>
  <c r="AA532" i="7"/>
  <c r="K533" i="7"/>
  <c r="W533" i="7"/>
  <c r="S534" i="7"/>
  <c r="C535" i="7"/>
  <c r="O535" i="7"/>
  <c r="AA535" i="7"/>
  <c r="K536" i="7"/>
  <c r="W536" i="7"/>
  <c r="S537" i="7"/>
  <c r="C538" i="7"/>
  <c r="O538" i="7"/>
  <c r="AA538" i="7"/>
  <c r="K539" i="7"/>
  <c r="W539" i="7"/>
  <c r="S540" i="7"/>
  <c r="C541" i="7"/>
  <c r="O541" i="7"/>
  <c r="AA541" i="7"/>
  <c r="K542" i="7"/>
  <c r="W542" i="7"/>
  <c r="S543" i="7"/>
  <c r="C544" i="7"/>
  <c r="O544" i="7"/>
  <c r="AA544" i="7"/>
  <c r="K545" i="7"/>
  <c r="W545" i="7"/>
  <c r="S546" i="7"/>
  <c r="C547" i="7"/>
  <c r="O547" i="7"/>
  <c r="AA547" i="7"/>
  <c r="K548" i="7"/>
  <c r="W548" i="7"/>
  <c r="S549" i="7"/>
  <c r="C550" i="7"/>
  <c r="O550" i="7"/>
  <c r="AA550" i="7"/>
  <c r="K551" i="7"/>
  <c r="W551" i="7"/>
  <c r="S552" i="7"/>
  <c r="C553" i="7"/>
  <c r="O553" i="7"/>
  <c r="AA553" i="7"/>
  <c r="K554" i="7"/>
  <c r="W554" i="7"/>
  <c r="S555" i="7"/>
  <c r="C556" i="7"/>
  <c r="O556" i="7"/>
  <c r="AA556" i="7"/>
  <c r="K557" i="7"/>
  <c r="W557" i="7"/>
  <c r="S558" i="7"/>
  <c r="C559" i="7"/>
  <c r="O559" i="7"/>
  <c r="AA559" i="7"/>
  <c r="K560" i="7"/>
  <c r="W560" i="7"/>
  <c r="S561" i="7"/>
  <c r="C562" i="7"/>
  <c r="O562" i="7"/>
  <c r="AA562" i="7"/>
  <c r="K563" i="7"/>
  <c r="W563" i="7"/>
  <c r="S564" i="7"/>
  <c r="C565" i="7"/>
  <c r="O565" i="7"/>
  <c r="AA565" i="7"/>
  <c r="K566" i="7"/>
  <c r="W566" i="7"/>
  <c r="S567" i="7"/>
  <c r="C568" i="7"/>
  <c r="O568" i="7"/>
  <c r="AA568" i="7"/>
  <c r="T555" i="7"/>
  <c r="L557" i="7"/>
  <c r="X557" i="7"/>
  <c r="H558" i="7"/>
  <c r="T558" i="7"/>
  <c r="D559" i="7"/>
  <c r="H561" i="7"/>
  <c r="P562" i="7"/>
  <c r="L563" i="7"/>
  <c r="D565" i="7"/>
  <c r="AB565" i="7"/>
  <c r="T567" i="7"/>
  <c r="P568" i="7"/>
  <c r="AB568" i="7"/>
  <c r="M566" i="7"/>
  <c r="AC568" i="7"/>
  <c r="AD547" i="7"/>
  <c r="Z548" i="7"/>
  <c r="F550" i="7"/>
  <c r="Z551" i="7"/>
  <c r="J552" i="7"/>
  <c r="J567" i="7"/>
  <c r="F568" i="7"/>
  <c r="AA533" i="7"/>
  <c r="S544" i="7"/>
  <c r="K549" i="7"/>
  <c r="C551" i="7"/>
  <c r="S556" i="7"/>
  <c r="O563" i="7"/>
  <c r="K564" i="7"/>
  <c r="F471" i="7"/>
  <c r="E495" i="7"/>
  <c r="X501" i="7"/>
  <c r="D503" i="7"/>
  <c r="T505" i="7"/>
  <c r="Q507" i="7"/>
  <c r="P509" i="7"/>
  <c r="H515" i="7"/>
  <c r="J518" i="7"/>
  <c r="L519" i="7"/>
  <c r="N522" i="7"/>
  <c r="P524" i="7"/>
  <c r="P525" i="7"/>
  <c r="R528" i="7"/>
  <c r="X531" i="7"/>
  <c r="H535" i="7"/>
  <c r="L537" i="7"/>
  <c r="T538" i="7"/>
  <c r="L540" i="7"/>
  <c r="AB551" i="7"/>
  <c r="H553" i="7"/>
  <c r="X558" i="7"/>
  <c r="O446" i="7"/>
  <c r="I452" i="7"/>
  <c r="N457" i="7"/>
  <c r="Z460" i="7"/>
  <c r="N463" i="7"/>
  <c r="Z466" i="7"/>
  <c r="F468" i="7"/>
  <c r="N469" i="7"/>
  <c r="AD471" i="7"/>
  <c r="J473" i="7"/>
  <c r="R474" i="7"/>
  <c r="Z475" i="7"/>
  <c r="F477" i="7"/>
  <c r="N478" i="7"/>
  <c r="AD480" i="7"/>
  <c r="D482" i="7"/>
  <c r="AB482" i="7"/>
  <c r="X483" i="7"/>
  <c r="T484" i="7"/>
  <c r="P485" i="7"/>
  <c r="L486" i="7"/>
  <c r="H487" i="7"/>
  <c r="D488" i="7"/>
  <c r="AB488" i="7"/>
  <c r="W489" i="7"/>
  <c r="N490" i="7"/>
  <c r="H491" i="7"/>
  <c r="AB491" i="7"/>
  <c r="S492" i="7"/>
  <c r="M493" i="7"/>
  <c r="F494" i="7"/>
  <c r="AA494" i="7"/>
  <c r="R495" i="7"/>
  <c r="L496" i="7"/>
  <c r="D497" i="7"/>
  <c r="U497" i="7"/>
  <c r="L498" i="7"/>
  <c r="AC498" i="7"/>
  <c r="T499" i="7"/>
  <c r="I500" i="7"/>
  <c r="AB500" i="7"/>
  <c r="Q501" i="7"/>
  <c r="H502" i="7"/>
  <c r="Y502" i="7"/>
  <c r="P503" i="7"/>
  <c r="E504" i="7"/>
  <c r="X504" i="7"/>
  <c r="M505" i="7"/>
  <c r="D506" i="7"/>
  <c r="U506" i="7"/>
  <c r="L507" i="7"/>
  <c r="AC507" i="7"/>
  <c r="T508" i="7"/>
  <c r="I509" i="7"/>
  <c r="AB509" i="7"/>
  <c r="Q510" i="7"/>
  <c r="I512" i="7"/>
  <c r="AA512" i="7"/>
  <c r="N513" i="7"/>
  <c r="AC513" i="7"/>
  <c r="Q514" i="7"/>
  <c r="D515" i="7"/>
  <c r="R515" i="7"/>
  <c r="D516" i="7"/>
  <c r="R516" i="7"/>
  <c r="E517" i="7"/>
  <c r="T517" i="7"/>
  <c r="F518" i="7"/>
  <c r="T518" i="7"/>
  <c r="F519" i="7"/>
  <c r="U519" i="7"/>
  <c r="H520" i="7"/>
  <c r="H521" i="7"/>
  <c r="I522" i="7"/>
  <c r="X522" i="7"/>
  <c r="J523" i="7"/>
  <c r="X523" i="7"/>
  <c r="J524" i="7"/>
  <c r="Y524" i="7"/>
  <c r="L525" i="7"/>
  <c r="Z525" i="7"/>
  <c r="L526" i="7"/>
  <c r="Z526" i="7"/>
  <c r="M527" i="7"/>
  <c r="AB527" i="7"/>
  <c r="N528" i="7"/>
  <c r="AB528" i="7"/>
  <c r="M529" i="7"/>
  <c r="Z529" i="7"/>
  <c r="K530" i="7"/>
  <c r="X530" i="7"/>
  <c r="H531" i="7"/>
  <c r="T531" i="7"/>
  <c r="D532" i="7"/>
  <c r="P532" i="7"/>
  <c r="AB532" i="7"/>
  <c r="L533" i="7"/>
  <c r="X533" i="7"/>
  <c r="H534" i="7"/>
  <c r="T534" i="7"/>
  <c r="D535" i="7"/>
  <c r="P535" i="7"/>
  <c r="AB535" i="7"/>
  <c r="L536" i="7"/>
  <c r="X536" i="7"/>
  <c r="H537" i="7"/>
  <c r="T537" i="7"/>
  <c r="D538" i="7"/>
  <c r="P538" i="7"/>
  <c r="AB538" i="7"/>
  <c r="L539" i="7"/>
  <c r="X539" i="7"/>
  <c r="H540" i="7"/>
  <c r="T540" i="7"/>
  <c r="D541" i="7"/>
  <c r="P541" i="7"/>
  <c r="AB541" i="7"/>
  <c r="L542" i="7"/>
  <c r="X542" i="7"/>
  <c r="H543" i="7"/>
  <c r="T543" i="7"/>
  <c r="D544" i="7"/>
  <c r="P544" i="7"/>
  <c r="AB544" i="7"/>
  <c r="L545" i="7"/>
  <c r="X545" i="7"/>
  <c r="H546" i="7"/>
  <c r="T546" i="7"/>
  <c r="D547" i="7"/>
  <c r="P547" i="7"/>
  <c r="AB547" i="7"/>
  <c r="L548" i="7"/>
  <c r="X548" i="7"/>
  <c r="H549" i="7"/>
  <c r="T549" i="7"/>
  <c r="D550" i="7"/>
  <c r="P550" i="7"/>
  <c r="AB550" i="7"/>
  <c r="L551" i="7"/>
  <c r="X551" i="7"/>
  <c r="H552" i="7"/>
  <c r="T552" i="7"/>
  <c r="D553" i="7"/>
  <c r="P553" i="7"/>
  <c r="AB553" i="7"/>
  <c r="L554" i="7"/>
  <c r="X554" i="7"/>
  <c r="H555" i="7"/>
  <c r="D556" i="7"/>
  <c r="P556" i="7"/>
  <c r="AB556" i="7"/>
  <c r="P559" i="7"/>
  <c r="AB559" i="7"/>
  <c r="L560" i="7"/>
  <c r="X560" i="7"/>
  <c r="T561" i="7"/>
  <c r="D562" i="7"/>
  <c r="AB562" i="7"/>
  <c r="X563" i="7"/>
  <c r="H564" i="7"/>
  <c r="T564" i="7"/>
  <c r="P565" i="7"/>
  <c r="L566" i="7"/>
  <c r="X566" i="7"/>
  <c r="H567" i="7"/>
  <c r="D568" i="7"/>
  <c r="AC565" i="7"/>
  <c r="I567" i="7"/>
  <c r="E568" i="7"/>
  <c r="Q568" i="7"/>
  <c r="R547" i="7"/>
  <c r="N548" i="7"/>
  <c r="J549" i="7"/>
  <c r="R550" i="7"/>
  <c r="AD550" i="7"/>
  <c r="N551" i="7"/>
  <c r="F553" i="7"/>
  <c r="R553" i="7"/>
  <c r="N554" i="7"/>
  <c r="J555" i="7"/>
  <c r="AD556" i="7"/>
  <c r="N557" i="7"/>
  <c r="Z557" i="7"/>
  <c r="J558" i="7"/>
  <c r="N560" i="7"/>
  <c r="AD565" i="7"/>
  <c r="AD568" i="7"/>
  <c r="C536" i="7"/>
  <c r="K546" i="7"/>
  <c r="W549" i="7"/>
  <c r="K555" i="7"/>
  <c r="K561" i="7"/>
  <c r="S562" i="7"/>
  <c r="W567" i="7"/>
  <c r="AD453" i="7"/>
  <c r="F480" i="7"/>
  <c r="W485" i="7"/>
  <c r="Z495" i="7"/>
  <c r="H499" i="7"/>
  <c r="M502" i="7"/>
  <c r="H508" i="7"/>
  <c r="E510" i="7"/>
  <c r="P530" i="7"/>
  <c r="P533" i="7"/>
  <c r="AD446" i="7"/>
  <c r="Z457" i="7"/>
  <c r="AA460" i="7"/>
  <c r="O463" i="7"/>
  <c r="P465" i="7"/>
  <c r="AA466" i="7"/>
  <c r="O469" i="7"/>
  <c r="W470" i="7"/>
  <c r="C472" i="7"/>
  <c r="K473" i="7"/>
  <c r="S474" i="7"/>
  <c r="AA475" i="7"/>
  <c r="O478" i="7"/>
  <c r="W479" i="7"/>
  <c r="C481" i="7"/>
  <c r="F482" i="7"/>
  <c r="AD482" i="7"/>
  <c r="Z483" i="7"/>
  <c r="R485" i="7"/>
  <c r="N486" i="7"/>
  <c r="J487" i="7"/>
  <c r="F488" i="7"/>
  <c r="AD488" i="7"/>
  <c r="X489" i="7"/>
  <c r="O490" i="7"/>
  <c r="I491" i="7"/>
  <c r="AD491" i="7"/>
  <c r="W492" i="7"/>
  <c r="N493" i="7"/>
  <c r="H494" i="7"/>
  <c r="AB494" i="7"/>
  <c r="S495" i="7"/>
  <c r="M496" i="7"/>
  <c r="E497" i="7"/>
  <c r="M498" i="7"/>
  <c r="AD498" i="7"/>
  <c r="U499" i="7"/>
  <c r="J500" i="7"/>
  <c r="AC500" i="7"/>
  <c r="R501" i="7"/>
  <c r="I502" i="7"/>
  <c r="Z502" i="7"/>
  <c r="Q503" i="7"/>
  <c r="F504" i="7"/>
  <c r="Y504" i="7"/>
  <c r="N505" i="7"/>
  <c r="E506" i="7"/>
  <c r="M507" i="7"/>
  <c r="AD507" i="7"/>
  <c r="U508" i="7"/>
  <c r="J509" i="7"/>
  <c r="AC509" i="7"/>
  <c r="R510" i="7"/>
  <c r="H511" i="7"/>
  <c r="W511" i="7"/>
  <c r="J512" i="7"/>
  <c r="AB512" i="7"/>
  <c r="O513" i="7"/>
  <c r="AD513" i="7"/>
  <c r="S514" i="7"/>
  <c r="E515" i="7"/>
  <c r="S515" i="7"/>
  <c r="E516" i="7"/>
  <c r="S516" i="7"/>
  <c r="U517" i="7"/>
  <c r="U518" i="7"/>
  <c r="W519" i="7"/>
  <c r="I520" i="7"/>
  <c r="W520" i="7"/>
  <c r="I521" i="7"/>
  <c r="W521" i="7"/>
  <c r="K522" i="7"/>
  <c r="Y522" i="7"/>
  <c r="K523" i="7"/>
  <c r="Y523" i="7"/>
  <c r="K524" i="7"/>
  <c r="AA524" i="7"/>
  <c r="M525" i="7"/>
  <c r="AA525" i="7"/>
  <c r="M526" i="7"/>
  <c r="AA526" i="7"/>
  <c r="O527" i="7"/>
  <c r="AC527" i="7"/>
  <c r="O528" i="7"/>
  <c r="AC528" i="7"/>
  <c r="N529" i="7"/>
  <c r="AA529" i="7"/>
  <c r="L530" i="7"/>
  <c r="Y530" i="7"/>
  <c r="I531" i="7"/>
  <c r="U531" i="7"/>
  <c r="E532" i="7"/>
  <c r="Q532" i="7"/>
  <c r="AC532" i="7"/>
  <c r="M533" i="7"/>
  <c r="Y533" i="7"/>
  <c r="I534" i="7"/>
  <c r="U534" i="7"/>
  <c r="E535" i="7"/>
  <c r="Q535" i="7"/>
  <c r="AC535" i="7"/>
  <c r="M536" i="7"/>
  <c r="Y536" i="7"/>
  <c r="I537" i="7"/>
  <c r="U537" i="7"/>
  <c r="E538" i="7"/>
  <c r="Q538" i="7"/>
  <c r="AC538" i="7"/>
  <c r="M539" i="7"/>
  <c r="Y539" i="7"/>
  <c r="I540" i="7"/>
  <c r="U540" i="7"/>
  <c r="E541" i="7"/>
  <c r="Q541" i="7"/>
  <c r="AC541" i="7"/>
  <c r="M542" i="7"/>
  <c r="Y542" i="7"/>
  <c r="I543" i="7"/>
  <c r="U543" i="7"/>
  <c r="E544" i="7"/>
  <c r="Q544" i="7"/>
  <c r="AC544" i="7"/>
  <c r="M545" i="7"/>
  <c r="Y545" i="7"/>
  <c r="I546" i="7"/>
  <c r="U546" i="7"/>
  <c r="E547" i="7"/>
  <c r="Q547" i="7"/>
  <c r="AC547" i="7"/>
  <c r="M548" i="7"/>
  <c r="Y548" i="7"/>
  <c r="I549" i="7"/>
  <c r="U549" i="7"/>
  <c r="E550" i="7"/>
  <c r="Q550" i="7"/>
  <c r="AC550" i="7"/>
  <c r="M551" i="7"/>
  <c r="Y551" i="7"/>
  <c r="I552" i="7"/>
  <c r="U552" i="7"/>
  <c r="E553" i="7"/>
  <c r="Q553" i="7"/>
  <c r="AC553" i="7"/>
  <c r="M554" i="7"/>
  <c r="Y554" i="7"/>
  <c r="I555" i="7"/>
  <c r="U555" i="7"/>
  <c r="E556" i="7"/>
  <c r="Q556" i="7"/>
  <c r="AC556" i="7"/>
  <c r="M557" i="7"/>
  <c r="Y557" i="7"/>
  <c r="I558" i="7"/>
  <c r="U558" i="7"/>
  <c r="E559" i="7"/>
  <c r="Q559" i="7"/>
  <c r="AC559" i="7"/>
  <c r="M560" i="7"/>
  <c r="Y560" i="7"/>
  <c r="I561" i="7"/>
  <c r="U561" i="7"/>
  <c r="E562" i="7"/>
  <c r="Q562" i="7"/>
  <c r="AC562" i="7"/>
  <c r="M563" i="7"/>
  <c r="Y563" i="7"/>
  <c r="I564" i="7"/>
  <c r="U564" i="7"/>
  <c r="E565" i="7"/>
  <c r="Q565" i="7"/>
  <c r="Y566" i="7"/>
  <c r="U567" i="7"/>
  <c r="W534" i="7"/>
  <c r="C542" i="7"/>
  <c r="C545" i="7"/>
  <c r="W546" i="7"/>
  <c r="AA554" i="7"/>
  <c r="C557" i="7"/>
  <c r="W558" i="7"/>
  <c r="W564" i="7"/>
  <c r="AA566" i="7"/>
  <c r="H464" i="7"/>
  <c r="J476" i="7"/>
  <c r="K482" i="7"/>
  <c r="S496" i="7"/>
  <c r="I506" i="7"/>
  <c r="Z511" i="7"/>
  <c r="R513" i="7"/>
  <c r="J517" i="7"/>
  <c r="Y518" i="7"/>
  <c r="Z519" i="7"/>
  <c r="AB521" i="7"/>
  <c r="Q526" i="7"/>
  <c r="Q529" i="7"/>
  <c r="T532" i="7"/>
  <c r="L534" i="7"/>
  <c r="D536" i="7"/>
  <c r="H541" i="7"/>
  <c r="D557" i="7"/>
  <c r="Q447" i="7"/>
  <c r="F453" i="7"/>
  <c r="J458" i="7"/>
  <c r="J461" i="7"/>
  <c r="Z463" i="7"/>
  <c r="R465" i="7"/>
  <c r="D467" i="7"/>
  <c r="L468" i="7"/>
  <c r="T469" i="7"/>
  <c r="AB470" i="7"/>
  <c r="H472" i="7"/>
  <c r="P473" i="7"/>
  <c r="X474" i="7"/>
  <c r="D476" i="7"/>
  <c r="L477" i="7"/>
  <c r="T478" i="7"/>
  <c r="AB479" i="7"/>
  <c r="H481" i="7"/>
  <c r="H482" i="7"/>
  <c r="D483" i="7"/>
  <c r="AB483" i="7"/>
  <c r="X484" i="7"/>
  <c r="T485" i="7"/>
  <c r="P486" i="7"/>
  <c r="L487" i="7"/>
  <c r="H488" i="7"/>
  <c r="D489" i="7"/>
  <c r="Z489" i="7"/>
  <c r="S490" i="7"/>
  <c r="J491" i="7"/>
  <c r="D492" i="7"/>
  <c r="X492" i="7"/>
  <c r="O493" i="7"/>
  <c r="I494" i="7"/>
  <c r="AD494" i="7"/>
  <c r="W495" i="7"/>
  <c r="N496" i="7"/>
  <c r="F497" i="7"/>
  <c r="W497" i="7"/>
  <c r="N498" i="7"/>
  <c r="C499" i="7"/>
  <c r="K500" i="7"/>
  <c r="AD500" i="7"/>
  <c r="S501" i="7"/>
  <c r="J502" i="7"/>
  <c r="AA502" i="7"/>
  <c r="R503" i="7"/>
  <c r="Z504" i="7"/>
  <c r="O505" i="7"/>
  <c r="F506" i="7"/>
  <c r="W506" i="7"/>
  <c r="N507" i="7"/>
  <c r="C508" i="7"/>
  <c r="K509" i="7"/>
  <c r="AD509" i="7"/>
  <c r="S510" i="7"/>
  <c r="I511" i="7"/>
  <c r="X511" i="7"/>
  <c r="K512" i="7"/>
  <c r="AC512" i="7"/>
  <c r="P513" i="7"/>
  <c r="C514" i="7"/>
  <c r="T514" i="7"/>
  <c r="F515" i="7"/>
  <c r="T515" i="7"/>
  <c r="F516" i="7"/>
  <c r="U516" i="7"/>
  <c r="H517" i="7"/>
  <c r="H518" i="7"/>
  <c r="I519" i="7"/>
  <c r="X519" i="7"/>
  <c r="J520" i="7"/>
  <c r="X520" i="7"/>
  <c r="J521" i="7"/>
  <c r="Y521" i="7"/>
  <c r="L522" i="7"/>
  <c r="Z522" i="7"/>
  <c r="L523" i="7"/>
  <c r="Z523" i="7"/>
  <c r="M524" i="7"/>
  <c r="AB524" i="7"/>
  <c r="N525" i="7"/>
  <c r="AB525" i="7"/>
  <c r="N526" i="7"/>
  <c r="AC526" i="7"/>
  <c r="P527" i="7"/>
  <c r="AD527" i="7"/>
  <c r="P528" i="7"/>
  <c r="AD528" i="7"/>
  <c r="O529" i="7"/>
  <c r="AB529" i="7"/>
  <c r="M530" i="7"/>
  <c r="Z530" i="7"/>
  <c r="J531" i="7"/>
  <c r="F532" i="7"/>
  <c r="R532" i="7"/>
  <c r="AD532" i="7"/>
  <c r="N533" i="7"/>
  <c r="Z533" i="7"/>
  <c r="J534" i="7"/>
  <c r="F535" i="7"/>
  <c r="R535" i="7"/>
  <c r="AD535" i="7"/>
  <c r="N536" i="7"/>
  <c r="Z536" i="7"/>
  <c r="J537" i="7"/>
  <c r="F538" i="7"/>
  <c r="R538" i="7"/>
  <c r="AD538" i="7"/>
  <c r="N539" i="7"/>
  <c r="Z539" i="7"/>
  <c r="J540" i="7"/>
  <c r="F541" i="7"/>
  <c r="R541" i="7"/>
  <c r="AD541" i="7"/>
  <c r="N542" i="7"/>
  <c r="Z542" i="7"/>
  <c r="J543" i="7"/>
  <c r="F544" i="7"/>
  <c r="R544" i="7"/>
  <c r="AD544" i="7"/>
  <c r="N545" i="7"/>
  <c r="Z545" i="7"/>
  <c r="J546" i="7"/>
  <c r="F547" i="7"/>
  <c r="AD553" i="7"/>
  <c r="Z554" i="7"/>
  <c r="F556" i="7"/>
  <c r="R556" i="7"/>
  <c r="F559" i="7"/>
  <c r="R559" i="7"/>
  <c r="AD559" i="7"/>
  <c r="Z560" i="7"/>
  <c r="J561" i="7"/>
  <c r="F562" i="7"/>
  <c r="R562" i="7"/>
  <c r="AD562" i="7"/>
  <c r="N563" i="7"/>
  <c r="Z563" i="7"/>
  <c r="J564" i="7"/>
  <c r="F565" i="7"/>
  <c r="R565" i="7"/>
  <c r="N566" i="7"/>
  <c r="Z566" i="7"/>
  <c r="R568" i="7"/>
  <c r="W540" i="7"/>
  <c r="AA551" i="7"/>
  <c r="C560" i="7"/>
  <c r="AA563" i="7"/>
  <c r="S568" i="7"/>
  <c r="F459" i="7"/>
  <c r="AD474" i="7"/>
  <c r="N481" i="7"/>
  <c r="C484" i="7"/>
  <c r="AC489" i="7"/>
  <c r="AB492" i="7"/>
  <c r="AB497" i="7"/>
  <c r="Q498" i="7"/>
  <c r="P500" i="7"/>
  <c r="U503" i="7"/>
  <c r="M521" i="7"/>
  <c r="D527" i="7"/>
  <c r="C530" i="7"/>
  <c r="P539" i="7"/>
  <c r="L543" i="7"/>
  <c r="P548" i="7"/>
  <c r="L555" i="7"/>
  <c r="H559" i="7"/>
  <c r="C448" i="7"/>
  <c r="R453" i="7"/>
  <c r="K461" i="7"/>
  <c r="AA463" i="7"/>
  <c r="S465" i="7"/>
  <c r="H467" i="7"/>
  <c r="P468" i="7"/>
  <c r="X469" i="7"/>
  <c r="D471" i="7"/>
  <c r="L472" i="7"/>
  <c r="T473" i="7"/>
  <c r="AB474" i="7"/>
  <c r="H476" i="7"/>
  <c r="P477" i="7"/>
  <c r="X478" i="7"/>
  <c r="D480" i="7"/>
  <c r="L481" i="7"/>
  <c r="J482" i="7"/>
  <c r="F483" i="7"/>
  <c r="AD483" i="7"/>
  <c r="Z484" i="7"/>
  <c r="R486" i="7"/>
  <c r="N487" i="7"/>
  <c r="J488" i="7"/>
  <c r="F489" i="7"/>
  <c r="AB489" i="7"/>
  <c r="T490" i="7"/>
  <c r="K491" i="7"/>
  <c r="E492" i="7"/>
  <c r="Z492" i="7"/>
  <c r="S493" i="7"/>
  <c r="J494" i="7"/>
  <c r="D495" i="7"/>
  <c r="X495" i="7"/>
  <c r="O496" i="7"/>
  <c r="H497" i="7"/>
  <c r="AA497" i="7"/>
  <c r="P498" i="7"/>
  <c r="X499" i="7"/>
  <c r="O500" i="7"/>
  <c r="D501" i="7"/>
  <c r="W501" i="7"/>
  <c r="L502" i="7"/>
  <c r="C503" i="7"/>
  <c r="T503" i="7"/>
  <c r="K504" i="7"/>
  <c r="AB504" i="7"/>
  <c r="S505" i="7"/>
  <c r="H506" i="7"/>
  <c r="AA506" i="7"/>
  <c r="P507" i="7"/>
  <c r="X508" i="7"/>
  <c r="O509" i="7"/>
  <c r="D510" i="7"/>
  <c r="W510" i="7"/>
  <c r="J511" i="7"/>
  <c r="Y511" i="7"/>
  <c r="O512" i="7"/>
  <c r="AD512" i="7"/>
  <c r="Q513" i="7"/>
  <c r="U514" i="7"/>
  <c r="U515" i="7"/>
  <c r="W516" i="7"/>
  <c r="I517" i="7"/>
  <c r="W517" i="7"/>
  <c r="I518" i="7"/>
  <c r="W518" i="7"/>
  <c r="K519" i="7"/>
  <c r="Y519" i="7"/>
  <c r="K520" i="7"/>
  <c r="Y520" i="7"/>
  <c r="K521" i="7"/>
  <c r="AA521" i="7"/>
  <c r="M522" i="7"/>
  <c r="AA522" i="7"/>
  <c r="M523" i="7"/>
  <c r="AA523" i="7"/>
  <c r="O524" i="7"/>
  <c r="AC524" i="7"/>
  <c r="O525" i="7"/>
  <c r="AC525" i="7"/>
  <c r="O526" i="7"/>
  <c r="C527" i="7"/>
  <c r="Q527" i="7"/>
  <c r="C528" i="7"/>
  <c r="Q528" i="7"/>
  <c r="C529" i="7"/>
  <c r="P529" i="7"/>
  <c r="AC529" i="7"/>
  <c r="O530" i="7"/>
  <c r="AA530" i="7"/>
  <c r="K531" i="7"/>
  <c r="C533" i="7"/>
  <c r="O533" i="7"/>
  <c r="S535" i="7"/>
  <c r="AA536" i="7"/>
  <c r="K537" i="7"/>
  <c r="S538" i="7"/>
  <c r="AA539" i="7"/>
  <c r="K543" i="7"/>
  <c r="AA548" i="7"/>
  <c r="AA557" i="7"/>
  <c r="S559" i="7"/>
  <c r="O560" i="7"/>
  <c r="S565" i="7"/>
  <c r="N472" i="7"/>
  <c r="Z478" i="7"/>
  <c r="AA484" i="7"/>
  <c r="Y499" i="7"/>
  <c r="L520" i="7"/>
  <c r="R527" i="7"/>
  <c r="L531" i="7"/>
  <c r="D533" i="7"/>
  <c r="AB533" i="7"/>
  <c r="P536" i="7"/>
  <c r="X537" i="7"/>
  <c r="T541" i="7"/>
  <c r="P554" i="7"/>
  <c r="T556" i="7"/>
  <c r="D560" i="7"/>
  <c r="H565" i="7"/>
  <c r="P560" i="7"/>
  <c r="T565" i="7"/>
  <c r="H568" i="7"/>
  <c r="AB560" i="7"/>
  <c r="D566" i="7"/>
  <c r="T568" i="7"/>
  <c r="L561" i="7"/>
  <c r="P566" i="7"/>
  <c r="D563" i="7"/>
  <c r="X561" i="7"/>
  <c r="AB566" i="7"/>
  <c r="H562" i="7"/>
  <c r="L567" i="7"/>
  <c r="T562" i="7"/>
  <c r="X567" i="7"/>
  <c r="P563" i="7"/>
  <c r="AB563" i="7"/>
  <c r="L564" i="7"/>
  <c r="X564" i="7"/>
  <c r="AD2" i="7"/>
  <c r="M2" i="7"/>
  <c r="AC2" i="7"/>
  <c r="L2" i="7"/>
  <c r="X2" i="7"/>
  <c r="AB2" i="7"/>
  <c r="K2" i="7"/>
  <c r="P2" i="7"/>
  <c r="AA2" i="7"/>
  <c r="J2" i="7"/>
  <c r="F2" i="7"/>
  <c r="Q2" i="7"/>
  <c r="Z2" i="7"/>
  <c r="I2" i="7"/>
  <c r="Y2" i="7"/>
  <c r="H2" i="7"/>
  <c r="S2" i="7"/>
  <c r="E2" i="7"/>
  <c r="R2" i="7"/>
  <c r="N2" i="7"/>
  <c r="T2" i="7"/>
  <c r="D2" i="7"/>
  <c r="W2" i="7"/>
  <c r="U2" i="7"/>
  <c r="C2" i="7"/>
  <c r="G562" i="7" l="1"/>
  <c r="G568" i="7"/>
  <c r="G565" i="7"/>
  <c r="V533" i="7"/>
  <c r="V529" i="7"/>
  <c r="V528" i="7"/>
  <c r="V527" i="7"/>
  <c r="G506" i="7"/>
  <c r="V503" i="7"/>
  <c r="G497" i="7"/>
  <c r="G476" i="7"/>
  <c r="G467" i="7"/>
  <c r="V448" i="7"/>
  <c r="G559" i="7"/>
  <c r="V530" i="7"/>
  <c r="V484" i="7"/>
  <c r="V560" i="7"/>
  <c r="G518" i="7"/>
  <c r="G517" i="7"/>
  <c r="V514" i="7"/>
  <c r="V508" i="7"/>
  <c r="V499" i="7"/>
  <c r="G488" i="7"/>
  <c r="G482" i="7"/>
  <c r="G481" i="7"/>
  <c r="G472" i="7"/>
  <c r="G541" i="7"/>
  <c r="G464" i="7"/>
  <c r="V557" i="7"/>
  <c r="V545" i="7"/>
  <c r="V542" i="7"/>
  <c r="G511" i="7"/>
  <c r="G494" i="7"/>
  <c r="V481" i="7"/>
  <c r="V472" i="7"/>
  <c r="G508" i="7"/>
  <c r="G499" i="7"/>
  <c r="V536" i="7"/>
  <c r="G567" i="7"/>
  <c r="G564" i="7"/>
  <c r="G555" i="7"/>
  <c r="G552" i="7"/>
  <c r="G549" i="7"/>
  <c r="G546" i="7"/>
  <c r="G543" i="7"/>
  <c r="G540" i="7"/>
  <c r="G537" i="7"/>
  <c r="G534" i="7"/>
  <c r="G531" i="7"/>
  <c r="G521" i="7"/>
  <c r="G520" i="7"/>
  <c r="G502" i="7"/>
  <c r="G491" i="7"/>
  <c r="G487" i="7"/>
  <c r="G553" i="7"/>
  <c r="G535" i="7"/>
  <c r="G515" i="7"/>
  <c r="V551" i="7"/>
  <c r="G561" i="7"/>
  <c r="G558" i="7"/>
  <c r="V568" i="7"/>
  <c r="V565" i="7"/>
  <c r="V562" i="7"/>
  <c r="V559" i="7"/>
  <c r="V556" i="7"/>
  <c r="V553" i="7"/>
  <c r="V550" i="7"/>
  <c r="V547" i="7"/>
  <c r="V544" i="7"/>
  <c r="V541" i="7"/>
  <c r="V538" i="7"/>
  <c r="V535" i="7"/>
  <c r="V532" i="7"/>
  <c r="V517" i="7"/>
  <c r="V516" i="7"/>
  <c r="V515" i="7"/>
  <c r="G512" i="7"/>
  <c r="V511" i="7"/>
  <c r="G509" i="7"/>
  <c r="V506" i="7"/>
  <c r="G500" i="7"/>
  <c r="V497" i="7"/>
  <c r="V488" i="7"/>
  <c r="V482" i="7"/>
  <c r="G473" i="7"/>
  <c r="V463" i="7"/>
  <c r="G556" i="7"/>
  <c r="G550" i="7"/>
  <c r="G544" i="7"/>
  <c r="V566" i="7"/>
  <c r="V554" i="7"/>
  <c r="G524" i="7"/>
  <c r="G523" i="7"/>
  <c r="V502" i="7"/>
  <c r="G496" i="7"/>
  <c r="V494" i="7"/>
  <c r="V487" i="7"/>
  <c r="G478" i="7"/>
  <c r="G469" i="7"/>
  <c r="G530" i="7"/>
  <c r="V520" i="7"/>
  <c r="V519" i="7"/>
  <c r="V518" i="7"/>
  <c r="G493" i="7"/>
  <c r="V491" i="7"/>
  <c r="V478" i="7"/>
  <c r="V469" i="7"/>
  <c r="V460" i="7"/>
  <c r="G538" i="7"/>
  <c r="V563" i="7"/>
  <c r="G566" i="7"/>
  <c r="G563" i="7"/>
  <c r="G560" i="7"/>
  <c r="G557" i="7"/>
  <c r="G554" i="7"/>
  <c r="G551" i="7"/>
  <c r="G548" i="7"/>
  <c r="G545" i="7"/>
  <c r="G542" i="7"/>
  <c r="G539" i="7"/>
  <c r="G536" i="7"/>
  <c r="G533" i="7"/>
  <c r="G527" i="7"/>
  <c r="G526" i="7"/>
  <c r="G505" i="7"/>
  <c r="V496" i="7"/>
  <c r="G490" i="7"/>
  <c r="G485" i="7"/>
  <c r="V567" i="7"/>
  <c r="V561" i="7"/>
  <c r="V558" i="7"/>
  <c r="V555" i="7"/>
  <c r="V549" i="7"/>
  <c r="V540" i="7"/>
  <c r="V537" i="7"/>
  <c r="V534" i="7"/>
  <c r="V531" i="7"/>
  <c r="G529" i="7"/>
  <c r="V523" i="7"/>
  <c r="V522" i="7"/>
  <c r="V521" i="7"/>
  <c r="V509" i="7"/>
  <c r="G503" i="7"/>
  <c r="V500" i="7"/>
  <c r="V493" i="7"/>
  <c r="G479" i="7"/>
  <c r="G470" i="7"/>
  <c r="G547" i="7"/>
  <c r="G532" i="7"/>
  <c r="G514" i="7"/>
  <c r="V513" i="7"/>
  <c r="V564" i="7"/>
  <c r="V552" i="7"/>
  <c r="V546" i="7"/>
  <c r="V543" i="7"/>
  <c r="V512" i="7"/>
  <c r="V505" i="7"/>
  <c r="V490" i="7"/>
  <c r="G484" i="7"/>
  <c r="G475" i="7"/>
  <c r="V466" i="7"/>
  <c r="V548" i="7"/>
  <c r="V539" i="7"/>
  <c r="V526" i="7"/>
  <c r="V525" i="7"/>
  <c r="V524" i="7"/>
  <c r="V485" i="7"/>
  <c r="V475" i="7"/>
  <c r="V413" i="7"/>
  <c r="V394" i="7"/>
  <c r="V389" i="7"/>
  <c r="V429" i="7"/>
  <c r="V423" i="7"/>
  <c r="V416" i="7"/>
  <c r="V415" i="7"/>
  <c r="V407" i="7"/>
  <c r="G461" i="7"/>
  <c r="G458" i="7"/>
  <c r="G455" i="7"/>
  <c r="G451" i="7"/>
  <c r="V435" i="7"/>
  <c r="V428" i="7"/>
  <c r="V422" i="7"/>
  <c r="V419" i="7"/>
  <c r="V418" i="7"/>
  <c r="V400" i="7"/>
  <c r="V383" i="7"/>
  <c r="V510" i="7"/>
  <c r="V507" i="7"/>
  <c r="V504" i="7"/>
  <c r="V501" i="7"/>
  <c r="V498" i="7"/>
  <c r="V495" i="7"/>
  <c r="V492" i="7"/>
  <c r="V489" i="7"/>
  <c r="V486" i="7"/>
  <c r="V483" i="7"/>
  <c r="V480" i="7"/>
  <c r="V477" i="7"/>
  <c r="V474" i="7"/>
  <c r="V471" i="7"/>
  <c r="V468" i="7"/>
  <c r="V465" i="7"/>
  <c r="V462" i="7"/>
  <c r="V459" i="7"/>
  <c r="V456" i="7"/>
  <c r="V453" i="7"/>
  <c r="V441" i="7"/>
  <c r="V432" i="7"/>
  <c r="V421" i="7"/>
  <c r="G450" i="7"/>
  <c r="V439" i="7"/>
  <c r="V437" i="7"/>
  <c r="V427" i="7"/>
  <c r="V410" i="7"/>
  <c r="V398" i="7"/>
  <c r="V452" i="7"/>
  <c r="G444" i="7"/>
  <c r="V434" i="7"/>
  <c r="V403" i="7"/>
  <c r="V392" i="7"/>
  <c r="G466" i="7"/>
  <c r="G463" i="7"/>
  <c r="G460" i="7"/>
  <c r="G457" i="7"/>
  <c r="G454" i="7"/>
  <c r="V431" i="7"/>
  <c r="V479" i="7"/>
  <c r="V476" i="7"/>
  <c r="V473" i="7"/>
  <c r="V470" i="7"/>
  <c r="V467" i="7"/>
  <c r="V464" i="7"/>
  <c r="V461" i="7"/>
  <c r="V458" i="7"/>
  <c r="V455" i="7"/>
  <c r="V451" i="7"/>
  <c r="G448" i="7"/>
  <c r="G447" i="7"/>
  <c r="V442" i="7"/>
  <c r="V426" i="7"/>
  <c r="V401" i="7"/>
  <c r="V395" i="7"/>
  <c r="V386" i="7"/>
  <c r="G375" i="7"/>
  <c r="V450" i="7"/>
  <c r="V443" i="7"/>
  <c r="V425" i="7"/>
  <c r="V406" i="7"/>
  <c r="V444" i="7"/>
  <c r="V440" i="7"/>
  <c r="V436" i="7"/>
  <c r="G528" i="7"/>
  <c r="G525" i="7"/>
  <c r="G522" i="7"/>
  <c r="G519" i="7"/>
  <c r="G516" i="7"/>
  <c r="G513" i="7"/>
  <c r="G510" i="7"/>
  <c r="G507" i="7"/>
  <c r="G504" i="7"/>
  <c r="G501" i="7"/>
  <c r="G498" i="7"/>
  <c r="G495" i="7"/>
  <c r="G492" i="7"/>
  <c r="G489" i="7"/>
  <c r="G486" i="7"/>
  <c r="G483" i="7"/>
  <c r="G480" i="7"/>
  <c r="G477" i="7"/>
  <c r="G474" i="7"/>
  <c r="G471" i="7"/>
  <c r="G468" i="7"/>
  <c r="G465" i="7"/>
  <c r="G462" i="7"/>
  <c r="G459" i="7"/>
  <c r="G456" i="7"/>
  <c r="G453" i="7"/>
  <c r="V449" i="7"/>
  <c r="V446" i="7"/>
  <c r="V445" i="7"/>
  <c r="V433" i="7"/>
  <c r="V430" i="7"/>
  <c r="V424" i="7"/>
  <c r="V412" i="7"/>
  <c r="V404" i="7"/>
  <c r="V397" i="7"/>
  <c r="G362" i="7"/>
  <c r="V457" i="7"/>
  <c r="V454" i="7"/>
  <c r="V447" i="7"/>
  <c r="V438" i="7"/>
  <c r="V409" i="7"/>
  <c r="G354" i="7"/>
  <c r="G445" i="7"/>
  <c r="G442" i="7"/>
  <c r="G439" i="7"/>
  <c r="G436" i="7"/>
  <c r="G433" i="7"/>
  <c r="G430" i="7"/>
  <c r="G427" i="7"/>
  <c r="G424" i="7"/>
  <c r="G421" i="7"/>
  <c r="G418" i="7"/>
  <c r="G415" i="7"/>
  <c r="G412" i="7"/>
  <c r="G409" i="7"/>
  <c r="G406" i="7"/>
  <c r="G403" i="7"/>
  <c r="G400" i="7"/>
  <c r="G397" i="7"/>
  <c r="G394" i="7"/>
  <c r="G391" i="7"/>
  <c r="G388" i="7"/>
  <c r="G385" i="7"/>
  <c r="G382" i="7"/>
  <c r="V378" i="7"/>
  <c r="V371" i="7"/>
  <c r="G368" i="7"/>
  <c r="G361" i="7"/>
  <c r="V360" i="7"/>
  <c r="V351" i="7"/>
  <c r="G345" i="7"/>
  <c r="G336" i="7"/>
  <c r="G335" i="7"/>
  <c r="V377" i="7"/>
  <c r="G374" i="7"/>
  <c r="G367" i="7"/>
  <c r="G363" i="7"/>
  <c r="G352" i="7"/>
  <c r="G350" i="7"/>
  <c r="V348" i="7"/>
  <c r="G339" i="7"/>
  <c r="G338" i="7"/>
  <c r="G381" i="7"/>
  <c r="V369" i="7"/>
  <c r="G365" i="7"/>
  <c r="G364" i="7"/>
  <c r="G359" i="7"/>
  <c r="V356" i="7"/>
  <c r="G347" i="7"/>
  <c r="V345" i="7"/>
  <c r="G441" i="7"/>
  <c r="G438" i="7"/>
  <c r="G435" i="7"/>
  <c r="G432" i="7"/>
  <c r="G429" i="7"/>
  <c r="G426" i="7"/>
  <c r="G423" i="7"/>
  <c r="G420" i="7"/>
  <c r="G417" i="7"/>
  <c r="G414" i="7"/>
  <c r="G411" i="7"/>
  <c r="G408" i="7"/>
  <c r="G405" i="7"/>
  <c r="G402" i="7"/>
  <c r="G399" i="7"/>
  <c r="G396" i="7"/>
  <c r="G393" i="7"/>
  <c r="G390" i="7"/>
  <c r="G387" i="7"/>
  <c r="G384" i="7"/>
  <c r="G380" i="7"/>
  <c r="G373" i="7"/>
  <c r="G366" i="7"/>
  <c r="V354" i="7"/>
  <c r="G344" i="7"/>
  <c r="V336" i="7"/>
  <c r="V391" i="7"/>
  <c r="V388" i="7"/>
  <c r="V385" i="7"/>
  <c r="V382" i="7"/>
  <c r="V375" i="7"/>
  <c r="V368" i="7"/>
  <c r="G357" i="7"/>
  <c r="V350" i="7"/>
  <c r="V339" i="7"/>
  <c r="G379" i="7"/>
  <c r="G372" i="7"/>
  <c r="V363" i="7"/>
  <c r="V362" i="7"/>
  <c r="G355" i="7"/>
  <c r="V347" i="7"/>
  <c r="G333" i="7"/>
  <c r="V381" i="7"/>
  <c r="V374" i="7"/>
  <c r="G371" i="7"/>
  <c r="V359" i="7"/>
  <c r="G353" i="7"/>
  <c r="V333" i="7"/>
  <c r="G452" i="7"/>
  <c r="G449" i="7"/>
  <c r="G446" i="7"/>
  <c r="G443" i="7"/>
  <c r="G440" i="7"/>
  <c r="G437" i="7"/>
  <c r="G434" i="7"/>
  <c r="G431" i="7"/>
  <c r="G428" i="7"/>
  <c r="G425" i="7"/>
  <c r="G422" i="7"/>
  <c r="G419" i="7"/>
  <c r="G416" i="7"/>
  <c r="G413" i="7"/>
  <c r="G410" i="7"/>
  <c r="G407" i="7"/>
  <c r="G404" i="7"/>
  <c r="G401" i="7"/>
  <c r="G398" i="7"/>
  <c r="G395" i="7"/>
  <c r="G392" i="7"/>
  <c r="G389" i="7"/>
  <c r="G386" i="7"/>
  <c r="G383" i="7"/>
  <c r="G378" i="7"/>
  <c r="V366" i="7"/>
  <c r="V365" i="7"/>
  <c r="V357" i="7"/>
  <c r="G342" i="7"/>
  <c r="V420" i="7"/>
  <c r="V417" i="7"/>
  <c r="V414" i="7"/>
  <c r="V411" i="7"/>
  <c r="V408" i="7"/>
  <c r="V405" i="7"/>
  <c r="V402" i="7"/>
  <c r="V399" i="7"/>
  <c r="V396" i="7"/>
  <c r="V393" i="7"/>
  <c r="V390" i="7"/>
  <c r="V387" i="7"/>
  <c r="V384" i="7"/>
  <c r="V380" i="7"/>
  <c r="G377" i="7"/>
  <c r="G370" i="7"/>
  <c r="G360" i="7"/>
  <c r="G351" i="7"/>
  <c r="G330" i="7"/>
  <c r="V372" i="7"/>
  <c r="G358" i="7"/>
  <c r="G341" i="7"/>
  <c r="V305" i="7"/>
  <c r="G376" i="7"/>
  <c r="G369" i="7"/>
  <c r="G356" i="7"/>
  <c r="V353" i="7"/>
  <c r="G348" i="7"/>
  <c r="V342" i="7"/>
  <c r="V344" i="7"/>
  <c r="V341" i="7"/>
  <c r="V338" i="7"/>
  <c r="V335" i="7"/>
  <c r="V332" i="7"/>
  <c r="V329" i="7"/>
  <c r="V326" i="7"/>
  <c r="V323" i="7"/>
  <c r="V320" i="7"/>
  <c r="V317" i="7"/>
  <c r="V314" i="7"/>
  <c r="V311" i="7"/>
  <c r="V308" i="7"/>
  <c r="G298" i="7"/>
  <c r="V295" i="7"/>
  <c r="V287" i="7"/>
  <c r="V275" i="7"/>
  <c r="G301" i="7"/>
  <c r="V292" i="7"/>
  <c r="V286" i="7"/>
  <c r="G327" i="7"/>
  <c r="G324" i="7"/>
  <c r="G321" i="7"/>
  <c r="G318" i="7"/>
  <c r="G315" i="7"/>
  <c r="G312" i="7"/>
  <c r="G309" i="7"/>
  <c r="G306" i="7"/>
  <c r="V300" i="7"/>
  <c r="V379" i="7"/>
  <c r="V376" i="7"/>
  <c r="V373" i="7"/>
  <c r="V370" i="7"/>
  <c r="V367" i="7"/>
  <c r="V364" i="7"/>
  <c r="V361" i="7"/>
  <c r="V358" i="7"/>
  <c r="V355" i="7"/>
  <c r="V352" i="7"/>
  <c r="V349" i="7"/>
  <c r="V346" i="7"/>
  <c r="V343" i="7"/>
  <c r="V340" i="7"/>
  <c r="V337" i="7"/>
  <c r="V334" i="7"/>
  <c r="V331" i="7"/>
  <c r="V328" i="7"/>
  <c r="V325" i="7"/>
  <c r="V322" i="7"/>
  <c r="V319" i="7"/>
  <c r="V316" i="7"/>
  <c r="V313" i="7"/>
  <c r="V310" i="7"/>
  <c r="V307" i="7"/>
  <c r="V298" i="7"/>
  <c r="V291" i="7"/>
  <c r="V285" i="7"/>
  <c r="G278" i="7"/>
  <c r="G305" i="7"/>
  <c r="V296" i="7"/>
  <c r="V294" i="7"/>
  <c r="G289" i="7"/>
  <c r="G283" i="7"/>
  <c r="G304" i="7"/>
  <c r="G303" i="7"/>
  <c r="V301" i="7"/>
  <c r="V290" i="7"/>
  <c r="V284" i="7"/>
  <c r="G280" i="7"/>
  <c r="G332" i="7"/>
  <c r="G329" i="7"/>
  <c r="G326" i="7"/>
  <c r="G323" i="7"/>
  <c r="G320" i="7"/>
  <c r="G317" i="7"/>
  <c r="G314" i="7"/>
  <c r="G311" i="7"/>
  <c r="G308" i="7"/>
  <c r="G297" i="7"/>
  <c r="V330" i="7"/>
  <c r="V327" i="7"/>
  <c r="V324" i="7"/>
  <c r="V321" i="7"/>
  <c r="V318" i="7"/>
  <c r="V315" i="7"/>
  <c r="V312" i="7"/>
  <c r="V309" i="7"/>
  <c r="V306" i="7"/>
  <c r="V302" i="7"/>
  <c r="G295" i="7"/>
  <c r="V289" i="7"/>
  <c r="V283" i="7"/>
  <c r="V280" i="7"/>
  <c r="V279" i="7"/>
  <c r="V299" i="7"/>
  <c r="V293" i="7"/>
  <c r="V282" i="7"/>
  <c r="G292" i="7"/>
  <c r="V288" i="7"/>
  <c r="G349" i="7"/>
  <c r="G346" i="7"/>
  <c r="G343" i="7"/>
  <c r="G340" i="7"/>
  <c r="G337" i="7"/>
  <c r="G334" i="7"/>
  <c r="G331" i="7"/>
  <c r="G328" i="7"/>
  <c r="G325" i="7"/>
  <c r="G322" i="7"/>
  <c r="G319" i="7"/>
  <c r="G316" i="7"/>
  <c r="G313" i="7"/>
  <c r="G310" i="7"/>
  <c r="G307" i="7"/>
  <c r="V304" i="7"/>
  <c r="V303" i="7"/>
  <c r="G300" i="7"/>
  <c r="V297" i="7"/>
  <c r="G286" i="7"/>
  <c r="G277" i="7"/>
  <c r="G302" i="7"/>
  <c r="G299" i="7"/>
  <c r="G296" i="7"/>
  <c r="G293" i="7"/>
  <c r="G290" i="7"/>
  <c r="G287" i="7"/>
  <c r="G284" i="7"/>
  <c r="G281" i="7"/>
  <c r="G271" i="7"/>
  <c r="V270" i="7"/>
  <c r="V266" i="7"/>
  <c r="G259" i="7"/>
  <c r="V243" i="7"/>
  <c r="G276" i="7"/>
  <c r="G272" i="7"/>
  <c r="V246" i="7"/>
  <c r="G268" i="7"/>
  <c r="V267" i="7"/>
  <c r="V278" i="7"/>
  <c r="G275" i="7"/>
  <c r="G273" i="7"/>
  <c r="V263" i="7"/>
  <c r="V281" i="7"/>
  <c r="V277" i="7"/>
  <c r="G274" i="7"/>
  <c r="G269" i="7"/>
  <c r="V261" i="7"/>
  <c r="G265" i="7"/>
  <c r="V264" i="7"/>
  <c r="V258" i="7"/>
  <c r="V252" i="7"/>
  <c r="V276" i="7"/>
  <c r="V272" i="7"/>
  <c r="G260" i="7"/>
  <c r="V219" i="7"/>
  <c r="G294" i="7"/>
  <c r="G291" i="7"/>
  <c r="G288" i="7"/>
  <c r="G285" i="7"/>
  <c r="G282" i="7"/>
  <c r="G279" i="7"/>
  <c r="V273" i="7"/>
  <c r="G266" i="7"/>
  <c r="G262" i="7"/>
  <c r="G256" i="7"/>
  <c r="V218" i="7"/>
  <c r="V269" i="7"/>
  <c r="V249" i="7"/>
  <c r="V240" i="7"/>
  <c r="G263" i="7"/>
  <c r="V255" i="7"/>
  <c r="G257" i="7"/>
  <c r="G254" i="7"/>
  <c r="G251" i="7"/>
  <c r="G248" i="7"/>
  <c r="G245" i="7"/>
  <c r="G242" i="7"/>
  <c r="G239" i="7"/>
  <c r="G236" i="7"/>
  <c r="G233" i="7"/>
  <c r="G230" i="7"/>
  <c r="V216" i="7"/>
  <c r="V215" i="7"/>
  <c r="G210" i="7"/>
  <c r="V206" i="7"/>
  <c r="G204" i="7"/>
  <c r="V237" i="7"/>
  <c r="V234" i="7"/>
  <c r="V231" i="7"/>
  <c r="V228" i="7"/>
  <c r="G226" i="7"/>
  <c r="G224" i="7"/>
  <c r="G223" i="7"/>
  <c r="G222" i="7"/>
  <c r="G200" i="7"/>
  <c r="G225" i="7"/>
  <c r="V210" i="7"/>
  <c r="V204" i="7"/>
  <c r="G253" i="7"/>
  <c r="G250" i="7"/>
  <c r="G247" i="7"/>
  <c r="G244" i="7"/>
  <c r="G241" i="7"/>
  <c r="G238" i="7"/>
  <c r="G235" i="7"/>
  <c r="G232" i="7"/>
  <c r="G229" i="7"/>
  <c r="V227" i="7"/>
  <c r="V222" i="7"/>
  <c r="V221" i="7"/>
  <c r="G211" i="7"/>
  <c r="V200" i="7"/>
  <c r="G197" i="7"/>
  <c r="V260" i="7"/>
  <c r="V257" i="7"/>
  <c r="V254" i="7"/>
  <c r="V251" i="7"/>
  <c r="V248" i="7"/>
  <c r="V245" i="7"/>
  <c r="V242" i="7"/>
  <c r="V239" i="7"/>
  <c r="V236" i="7"/>
  <c r="V233" i="7"/>
  <c r="V230" i="7"/>
  <c r="G212" i="7"/>
  <c r="V191" i="7"/>
  <c r="V225" i="7"/>
  <c r="V224" i="7"/>
  <c r="G209" i="7"/>
  <c r="G207" i="7"/>
  <c r="V201" i="7"/>
  <c r="G215" i="7"/>
  <c r="G214" i="7"/>
  <c r="G213" i="7"/>
  <c r="G198" i="7"/>
  <c r="G270" i="7"/>
  <c r="G267" i="7"/>
  <c r="G264" i="7"/>
  <c r="G261" i="7"/>
  <c r="G258" i="7"/>
  <c r="G255" i="7"/>
  <c r="G252" i="7"/>
  <c r="G249" i="7"/>
  <c r="G246" i="7"/>
  <c r="G243" i="7"/>
  <c r="G240" i="7"/>
  <c r="G237" i="7"/>
  <c r="G234" i="7"/>
  <c r="G231" i="7"/>
  <c r="G228" i="7"/>
  <c r="G188" i="7"/>
  <c r="V274" i="7"/>
  <c r="V271" i="7"/>
  <c r="V268" i="7"/>
  <c r="V265" i="7"/>
  <c r="V262" i="7"/>
  <c r="V259" i="7"/>
  <c r="V256" i="7"/>
  <c r="V253" i="7"/>
  <c r="V250" i="7"/>
  <c r="V247" i="7"/>
  <c r="V244" i="7"/>
  <c r="V241" i="7"/>
  <c r="V238" i="7"/>
  <c r="V235" i="7"/>
  <c r="V232" i="7"/>
  <c r="V229" i="7"/>
  <c r="G218" i="7"/>
  <c r="G217" i="7"/>
  <c r="G216" i="7"/>
  <c r="V207" i="7"/>
  <c r="V213" i="7"/>
  <c r="V212" i="7"/>
  <c r="V209" i="7"/>
  <c r="G206" i="7"/>
  <c r="G227" i="7"/>
  <c r="G221" i="7"/>
  <c r="G220" i="7"/>
  <c r="G219" i="7"/>
  <c r="G203" i="7"/>
  <c r="G208" i="7"/>
  <c r="G205" i="7"/>
  <c r="G202" i="7"/>
  <c r="V198" i="7"/>
  <c r="G191" i="7"/>
  <c r="V183" i="7"/>
  <c r="G162" i="7"/>
  <c r="V203" i="7"/>
  <c r="G195" i="7"/>
  <c r="G193" i="7"/>
  <c r="G192" i="7"/>
  <c r="G187" i="7"/>
  <c r="G177" i="7"/>
  <c r="G166" i="7"/>
  <c r="V197" i="7"/>
  <c r="G194" i="7"/>
  <c r="V186" i="7"/>
  <c r="G184" i="7"/>
  <c r="G169" i="7"/>
  <c r="G201" i="7"/>
  <c r="G182" i="7"/>
  <c r="V177" i="7"/>
  <c r="G176" i="7"/>
  <c r="V226" i="7"/>
  <c r="V223" i="7"/>
  <c r="V220" i="7"/>
  <c r="V217" i="7"/>
  <c r="V214" i="7"/>
  <c r="V211" i="7"/>
  <c r="V208" i="7"/>
  <c r="V205" i="7"/>
  <c r="V202" i="7"/>
  <c r="V195" i="7"/>
  <c r="V192" i="7"/>
  <c r="G180" i="7"/>
  <c r="G199" i="7"/>
  <c r="V194" i="7"/>
  <c r="G178" i="7"/>
  <c r="G171" i="7"/>
  <c r="G189" i="7"/>
  <c r="G185" i="7"/>
  <c r="V180" i="7"/>
  <c r="G173" i="7"/>
  <c r="V165" i="7"/>
  <c r="G183" i="7"/>
  <c r="G174" i="7"/>
  <c r="V172" i="7"/>
  <c r="G190" i="7"/>
  <c r="G186" i="7"/>
  <c r="G181" i="7"/>
  <c r="G196" i="7"/>
  <c r="V189" i="7"/>
  <c r="G179" i="7"/>
  <c r="V174" i="7"/>
  <c r="G137" i="7"/>
  <c r="V188" i="7"/>
  <c r="V185" i="7"/>
  <c r="V182" i="7"/>
  <c r="V179" i="7"/>
  <c r="V176" i="7"/>
  <c r="V173" i="7"/>
  <c r="G170" i="7"/>
  <c r="G163" i="7"/>
  <c r="G155" i="7"/>
  <c r="V157" i="7"/>
  <c r="G149" i="7"/>
  <c r="V171" i="7"/>
  <c r="G168" i="7"/>
  <c r="V164" i="7"/>
  <c r="G161" i="7"/>
  <c r="G158" i="7"/>
  <c r="V155" i="7"/>
  <c r="G140" i="7"/>
  <c r="V199" i="7"/>
  <c r="V196" i="7"/>
  <c r="V193" i="7"/>
  <c r="V190" i="7"/>
  <c r="V187" i="7"/>
  <c r="V184" i="7"/>
  <c r="V181" i="7"/>
  <c r="V178" i="7"/>
  <c r="V175" i="7"/>
  <c r="V163" i="7"/>
  <c r="G154" i="7"/>
  <c r="V149" i="7"/>
  <c r="V170" i="7"/>
  <c r="G167" i="7"/>
  <c r="G160" i="7"/>
  <c r="G159" i="7"/>
  <c r="V169" i="7"/>
  <c r="V162" i="7"/>
  <c r="V158" i="7"/>
  <c r="G143" i="7"/>
  <c r="V168" i="7"/>
  <c r="G165" i="7"/>
  <c r="V161" i="7"/>
  <c r="G172" i="7"/>
  <c r="V160" i="7"/>
  <c r="G152" i="7"/>
  <c r="G146" i="7"/>
  <c r="G134" i="7"/>
  <c r="V167" i="7"/>
  <c r="G164" i="7"/>
  <c r="G157" i="7"/>
  <c r="G175" i="7"/>
  <c r="V166" i="7"/>
  <c r="V152" i="7"/>
  <c r="V127" i="7"/>
  <c r="G124" i="7"/>
  <c r="V118" i="7"/>
  <c r="G156" i="7"/>
  <c r="G153" i="7"/>
  <c r="G150" i="7"/>
  <c r="G147" i="7"/>
  <c r="G144" i="7"/>
  <c r="G141" i="7"/>
  <c r="G138" i="7"/>
  <c r="G135" i="7"/>
  <c r="G132" i="7"/>
  <c r="G129" i="7"/>
  <c r="G110" i="7"/>
  <c r="V103" i="7"/>
  <c r="V154" i="7"/>
  <c r="V151" i="7"/>
  <c r="V148" i="7"/>
  <c r="V145" i="7"/>
  <c r="V142" i="7"/>
  <c r="V139" i="7"/>
  <c r="V136" i="7"/>
  <c r="V133" i="7"/>
  <c r="V130" i="7"/>
  <c r="V126" i="7"/>
  <c r="G123" i="7"/>
  <c r="G122" i="7"/>
  <c r="G119" i="7"/>
  <c r="V125" i="7"/>
  <c r="G117" i="7"/>
  <c r="V114" i="7"/>
  <c r="V61" i="7"/>
  <c r="V121" i="7"/>
  <c r="G108" i="7"/>
  <c r="G104" i="7"/>
  <c r="V72" i="7"/>
  <c r="G131" i="7"/>
  <c r="G128" i="7"/>
  <c r="V124" i="7"/>
  <c r="V122" i="7"/>
  <c r="V109" i="7"/>
  <c r="V159" i="7"/>
  <c r="V156" i="7"/>
  <c r="V153" i="7"/>
  <c r="V150" i="7"/>
  <c r="V147" i="7"/>
  <c r="V144" i="7"/>
  <c r="V141" i="7"/>
  <c r="V138" i="7"/>
  <c r="V135" i="7"/>
  <c r="V132" i="7"/>
  <c r="V129" i="7"/>
  <c r="G113" i="7"/>
  <c r="G105" i="7"/>
  <c r="G102" i="7"/>
  <c r="G127" i="7"/>
  <c r="V123" i="7"/>
  <c r="G120" i="7"/>
  <c r="V117" i="7"/>
  <c r="G107" i="7"/>
  <c r="G92" i="7"/>
  <c r="V115" i="7"/>
  <c r="V69" i="7"/>
  <c r="G151" i="7"/>
  <c r="G148" i="7"/>
  <c r="G145" i="7"/>
  <c r="G142" i="7"/>
  <c r="G139" i="7"/>
  <c r="G136" i="7"/>
  <c r="G133" i="7"/>
  <c r="G130" i="7"/>
  <c r="G126" i="7"/>
  <c r="V146" i="7"/>
  <c r="V143" i="7"/>
  <c r="V140" i="7"/>
  <c r="V137" i="7"/>
  <c r="V134" i="7"/>
  <c r="V131" i="7"/>
  <c r="V128" i="7"/>
  <c r="G116" i="7"/>
  <c r="G111" i="7"/>
  <c r="V106" i="7"/>
  <c r="V100" i="7"/>
  <c r="G125" i="7"/>
  <c r="V120" i="7"/>
  <c r="G114" i="7"/>
  <c r="V112" i="7"/>
  <c r="G82" i="7"/>
  <c r="G81" i="7"/>
  <c r="V80" i="7"/>
  <c r="G77" i="7"/>
  <c r="G74" i="7"/>
  <c r="G61" i="7"/>
  <c r="G99" i="7"/>
  <c r="V95" i="7"/>
  <c r="V94" i="7"/>
  <c r="V76" i="7"/>
  <c r="G68" i="7"/>
  <c r="G67" i="7"/>
  <c r="G86" i="7"/>
  <c r="G78" i="7"/>
  <c r="V77" i="7"/>
  <c r="G88" i="7"/>
  <c r="G87" i="7"/>
  <c r="V85" i="7"/>
  <c r="G75" i="7"/>
  <c r="G101" i="7"/>
  <c r="G98" i="7"/>
  <c r="G89" i="7"/>
  <c r="G79" i="7"/>
  <c r="V111" i="7"/>
  <c r="V108" i="7"/>
  <c r="V105" i="7"/>
  <c r="V102" i="7"/>
  <c r="V99" i="7"/>
  <c r="G97" i="7"/>
  <c r="G91" i="7"/>
  <c r="G90" i="7"/>
  <c r="V86" i="7"/>
  <c r="G83" i="7"/>
  <c r="V59" i="7"/>
  <c r="V82" i="7"/>
  <c r="G64" i="7"/>
  <c r="G96" i="7"/>
  <c r="G94" i="7"/>
  <c r="G93" i="7"/>
  <c r="G76" i="7"/>
  <c r="G73" i="7"/>
  <c r="V71" i="7"/>
  <c r="G121" i="7"/>
  <c r="G118" i="7"/>
  <c r="G115" i="7"/>
  <c r="G112" i="7"/>
  <c r="G109" i="7"/>
  <c r="G106" i="7"/>
  <c r="G103" i="7"/>
  <c r="G100" i="7"/>
  <c r="V98" i="7"/>
  <c r="G95" i="7"/>
  <c r="V89" i="7"/>
  <c r="V88" i="7"/>
  <c r="G84" i="7"/>
  <c r="V83" i="7"/>
  <c r="G80" i="7"/>
  <c r="G53" i="7"/>
  <c r="V44" i="7"/>
  <c r="V119" i="7"/>
  <c r="V116" i="7"/>
  <c r="V113" i="7"/>
  <c r="V110" i="7"/>
  <c r="V107" i="7"/>
  <c r="V104" i="7"/>
  <c r="V101" i="7"/>
  <c r="V79" i="7"/>
  <c r="G69" i="7"/>
  <c r="V38" i="7"/>
  <c r="V97" i="7"/>
  <c r="V92" i="7"/>
  <c r="V91" i="7"/>
  <c r="G85" i="7"/>
  <c r="G57" i="7"/>
  <c r="G43" i="7"/>
  <c r="G56" i="7"/>
  <c r="V55" i="7"/>
  <c r="G51" i="7"/>
  <c r="V35" i="7"/>
  <c r="V70" i="7"/>
  <c r="G63" i="7"/>
  <c r="G62" i="7"/>
  <c r="V56" i="7"/>
  <c r="G42" i="7"/>
  <c r="G41" i="7"/>
  <c r="G33" i="7"/>
  <c r="G66" i="7"/>
  <c r="G65" i="7"/>
  <c r="G58" i="7"/>
  <c r="G54" i="7"/>
  <c r="G50" i="7"/>
  <c r="G46" i="7"/>
  <c r="G36" i="7"/>
  <c r="V29" i="7"/>
  <c r="V75" i="7"/>
  <c r="G72" i="7"/>
  <c r="V68" i="7"/>
  <c r="V62" i="7"/>
  <c r="G52" i="7"/>
  <c r="V50" i="7"/>
  <c r="V67" i="7"/>
  <c r="V64" i="7"/>
  <c r="V63" i="7"/>
  <c r="G55" i="7"/>
  <c r="V96" i="7"/>
  <c r="V93" i="7"/>
  <c r="V90" i="7"/>
  <c r="V87" i="7"/>
  <c r="V84" i="7"/>
  <c r="V81" i="7"/>
  <c r="V78" i="7"/>
  <c r="V74" i="7"/>
  <c r="G71" i="7"/>
  <c r="V65" i="7"/>
  <c r="G59" i="7"/>
  <c r="V58" i="7"/>
  <c r="G49" i="7"/>
  <c r="G45" i="7"/>
  <c r="G37" i="7"/>
  <c r="V73" i="7"/>
  <c r="V66" i="7"/>
  <c r="V52" i="7"/>
  <c r="G70" i="7"/>
  <c r="G60" i="7"/>
  <c r="V49" i="7"/>
  <c r="V32" i="7"/>
  <c r="G30" i="7"/>
  <c r="G28" i="7"/>
  <c r="G40" i="7"/>
  <c r="G39" i="7"/>
  <c r="V26" i="7"/>
  <c r="G19" i="7"/>
  <c r="V14" i="7"/>
  <c r="V60" i="7"/>
  <c r="V57" i="7"/>
  <c r="V54" i="7"/>
  <c r="V47" i="7"/>
  <c r="G44" i="7"/>
  <c r="G27" i="7"/>
  <c r="G25" i="7"/>
  <c r="V20" i="7"/>
  <c r="V53" i="7"/>
  <c r="V46" i="7"/>
  <c r="V41" i="7"/>
  <c r="V23" i="7"/>
  <c r="G48" i="7"/>
  <c r="G34" i="7"/>
  <c r="G22" i="7"/>
  <c r="V17" i="7"/>
  <c r="G47" i="7"/>
  <c r="G31" i="7"/>
  <c r="G24" i="7"/>
  <c r="G16" i="7"/>
  <c r="G13" i="7"/>
  <c r="G10" i="7"/>
  <c r="G7" i="7"/>
  <c r="G4" i="7"/>
  <c r="V11" i="7"/>
  <c r="V8" i="7"/>
  <c r="V5" i="7"/>
  <c r="G21" i="7"/>
  <c r="G18" i="7"/>
  <c r="G15" i="7"/>
  <c r="G12" i="7"/>
  <c r="G9" i="7"/>
  <c r="G6" i="7"/>
  <c r="G3" i="7"/>
  <c r="V43" i="7"/>
  <c r="V40" i="7"/>
  <c r="V37" i="7"/>
  <c r="V34" i="7"/>
  <c r="V31" i="7"/>
  <c r="V28" i="7"/>
  <c r="V25" i="7"/>
  <c r="V22" i="7"/>
  <c r="V19" i="7"/>
  <c r="V16" i="7"/>
  <c r="V13" i="7"/>
  <c r="V10" i="7"/>
  <c r="V7" i="7"/>
  <c r="V4" i="7"/>
  <c r="G38" i="7"/>
  <c r="G35" i="7"/>
  <c r="G32" i="7"/>
  <c r="G29" i="7"/>
  <c r="G26" i="7"/>
  <c r="G23" i="7"/>
  <c r="G20" i="7"/>
  <c r="G17" i="7"/>
  <c r="G14" i="7"/>
  <c r="G11" i="7"/>
  <c r="G8" i="7"/>
  <c r="G5" i="7"/>
  <c r="V51" i="7"/>
  <c r="V48" i="7"/>
  <c r="V45" i="7"/>
  <c r="V42" i="7"/>
  <c r="V39" i="7"/>
  <c r="V36" i="7"/>
  <c r="V33" i="7"/>
  <c r="V30" i="7"/>
  <c r="V27" i="7"/>
  <c r="V24" i="7"/>
  <c r="V21" i="7"/>
  <c r="V18" i="7"/>
  <c r="V15" i="7"/>
  <c r="V12" i="7"/>
  <c r="V9" i="7"/>
  <c r="V6" i="7"/>
  <c r="V3" i="7"/>
  <c r="V2" i="7"/>
  <c r="BB190" i="10"/>
  <c r="BB177" i="10"/>
  <c r="BB4" i="10"/>
  <c r="BB12" i="10"/>
  <c r="BB186" i="10"/>
  <c r="BB129" i="10"/>
  <c r="BB141" i="10"/>
  <c r="BB15" i="10"/>
  <c r="BB179" i="10"/>
  <c r="BB38" i="10"/>
  <c r="BB161" i="10"/>
  <c r="BB164" i="10"/>
  <c r="BB147" i="10"/>
  <c r="BB35" i="10"/>
  <c r="BB175" i="10"/>
  <c r="BB145" i="10"/>
  <c r="BB10" i="10"/>
  <c r="BB31" i="10"/>
  <c r="BB57" i="10"/>
  <c r="BB88" i="10"/>
  <c r="BB9" i="10"/>
  <c r="BB11" i="10"/>
  <c r="BB66" i="10"/>
  <c r="BB72" i="10"/>
  <c r="BB171" i="10"/>
  <c r="BB17" i="10"/>
  <c r="BB41" i="10"/>
  <c r="BB107" i="10"/>
  <c r="BB133" i="10"/>
  <c r="BB136" i="10"/>
  <c r="BB169" i="10"/>
  <c r="BB78" i="10"/>
  <c r="BB140" i="10"/>
  <c r="BB86" i="10"/>
  <c r="BB91" i="10"/>
  <c r="BB6" i="10"/>
  <c r="BB40" i="10"/>
  <c r="BB68" i="10"/>
  <c r="BB8" i="10"/>
  <c r="BB48" i="10"/>
  <c r="BB54" i="10"/>
  <c r="BB56" i="10"/>
  <c r="BB83" i="10"/>
  <c r="BB123" i="10"/>
  <c r="BB150" i="10"/>
  <c r="BB162" i="10"/>
  <c r="BB168" i="10"/>
  <c r="BB45" i="10"/>
  <c r="BB70" i="10"/>
  <c r="BB115" i="10"/>
  <c r="BB138" i="10"/>
  <c r="BB174" i="10"/>
  <c r="BB87" i="10"/>
  <c r="BB46" i="10"/>
  <c r="BB81" i="10"/>
  <c r="BB151" i="10"/>
  <c r="BB157" i="10"/>
  <c r="BB163" i="10"/>
  <c r="BB166" i="10"/>
  <c r="BB180" i="10"/>
  <c r="BB189" i="10"/>
  <c r="BB102" i="10"/>
  <c r="BB19" i="10"/>
  <c r="BB28" i="10"/>
  <c r="BB50" i="10"/>
  <c r="BB53" i="10"/>
  <c r="BB79" i="10"/>
  <c r="BB128" i="10"/>
  <c r="BB152" i="10"/>
  <c r="BB178" i="10"/>
  <c r="BB181" i="10"/>
  <c r="BB103" i="10"/>
  <c r="BB106" i="10"/>
  <c r="BB114" i="10"/>
  <c r="BB27" i="10"/>
  <c r="BB47" i="10"/>
  <c r="BB63" i="10"/>
  <c r="BB76" i="10"/>
  <c r="BB104" i="10"/>
  <c r="BB121" i="10"/>
  <c r="BB135" i="10"/>
  <c r="BB146" i="10"/>
  <c r="BB160" i="10"/>
  <c r="BB7" i="10"/>
  <c r="BB21" i="10"/>
  <c r="BB42" i="10"/>
  <c r="BB60" i="10"/>
  <c r="BB69" i="10"/>
  <c r="BB73" i="10"/>
  <c r="BB90" i="10"/>
  <c r="BB96" i="10"/>
  <c r="BB99" i="10"/>
  <c r="BB112" i="10"/>
  <c r="BB143" i="10"/>
  <c r="BB149" i="10"/>
  <c r="BB182" i="10"/>
  <c r="BB30" i="10"/>
  <c r="BB85" i="10"/>
  <c r="BB93" i="10"/>
  <c r="BB5" i="10"/>
  <c r="BB22" i="10"/>
  <c r="BB51" i="10"/>
  <c r="BB58" i="10"/>
  <c r="BB64" i="10"/>
  <c r="BB77" i="10"/>
  <c r="BB105" i="10"/>
  <c r="BB113" i="10"/>
  <c r="BB116" i="10"/>
  <c r="BB119" i="10"/>
  <c r="BB183" i="10"/>
  <c r="BB13" i="10"/>
  <c r="BB16" i="10"/>
  <c r="BB33" i="10"/>
  <c r="BB67" i="10"/>
  <c r="BB97" i="10"/>
  <c r="BB100" i="10"/>
  <c r="BB108" i="10"/>
  <c r="BB122" i="10"/>
  <c r="BB191" i="10"/>
  <c r="BB139" i="10"/>
  <c r="BB80" i="10"/>
  <c r="BB14" i="10"/>
  <c r="BB23" i="10"/>
  <c r="BB26" i="10"/>
  <c r="BB89" i="10"/>
  <c r="BB111" i="10"/>
  <c r="BB117" i="10"/>
  <c r="BB126" i="10"/>
  <c r="BB134" i="10"/>
  <c r="BB159" i="10"/>
  <c r="BB165" i="10"/>
  <c r="BB184" i="10"/>
  <c r="BB52" i="10"/>
  <c r="BB20" i="10"/>
  <c r="BB29" i="10"/>
  <c r="BB34" i="10"/>
  <c r="BB62" i="10"/>
  <c r="BB95" i="10"/>
  <c r="BB98" i="10"/>
  <c r="BB101" i="10"/>
  <c r="BB109" i="10"/>
  <c r="BB120" i="10"/>
  <c r="BB137" i="10"/>
  <c r="BB142" i="10"/>
  <c r="BB148" i="10"/>
  <c r="BB176" i="10"/>
  <c r="BB32" i="10"/>
  <c r="BB24" i="10"/>
  <c r="BB18" i="10"/>
  <c r="BB25" i="10"/>
  <c r="BB37" i="10"/>
  <c r="BB39" i="10"/>
  <c r="BB44" i="10"/>
  <c r="BB59" i="10"/>
  <c r="BB36" i="10"/>
  <c r="BB49" i="10"/>
  <c r="BB43" i="10"/>
  <c r="BB61" i="10"/>
  <c r="BB71" i="10"/>
  <c r="BB65" i="10"/>
  <c r="BB55" i="10"/>
  <c r="BB75" i="10"/>
  <c r="BB84" i="10"/>
  <c r="BB74" i="10"/>
  <c r="BB82" i="10"/>
  <c r="BB94" i="10"/>
  <c r="BB92" i="10"/>
  <c r="BB110" i="10"/>
  <c r="BB118" i="10"/>
  <c r="BB127" i="10"/>
  <c r="BB124" i="10"/>
  <c r="BB130" i="10"/>
  <c r="BB132" i="10"/>
  <c r="BB131" i="10"/>
  <c r="BB125" i="10"/>
  <c r="BB153" i="10"/>
  <c r="BB155" i="10"/>
  <c r="BB144" i="10"/>
  <c r="BB154" i="10"/>
  <c r="BB158" i="10"/>
  <c r="BB156" i="10"/>
  <c r="BB167" i="10"/>
  <c r="BB170" i="10"/>
  <c r="BB173" i="10"/>
  <c r="BB185" i="10"/>
  <c r="BB172" i="10"/>
  <c r="BB187" i="10"/>
  <c r="BB188" i="10"/>
  <c r="I4" i="8" l="1"/>
  <c r="C15" i="8" s="1"/>
  <c r="B15" i="8" s="1"/>
  <c r="P4" i="8"/>
  <c r="C5" i="8" l="1"/>
  <c r="B5" i="8" s="1"/>
  <c r="C46" i="8"/>
  <c r="B46" i="8" s="1"/>
  <c r="C52" i="8"/>
  <c r="B52" i="8" s="1"/>
  <c r="C68" i="8"/>
  <c r="B68" i="8" s="1"/>
  <c r="C45" i="8"/>
  <c r="B45" i="8" s="1"/>
  <c r="C69" i="8"/>
  <c r="B69" i="8" s="1"/>
  <c r="C62" i="8"/>
  <c r="B62" i="8" s="1"/>
  <c r="C38" i="8"/>
  <c r="B38" i="8" s="1"/>
  <c r="C61" i="8"/>
  <c r="B61" i="8" s="1"/>
  <c r="C37" i="8"/>
  <c r="B37" i="8" s="1"/>
  <c r="C70" i="8"/>
  <c r="B70" i="8" s="1"/>
  <c r="C10" i="8"/>
  <c r="B10" i="8" s="1"/>
  <c r="C60" i="8"/>
  <c r="B60" i="8" s="1"/>
  <c r="C30" i="8"/>
  <c r="B30" i="8" s="1"/>
  <c r="C9" i="8"/>
  <c r="B9" i="8" s="1"/>
  <c r="C54" i="8"/>
  <c r="B54" i="8" s="1"/>
  <c r="C29" i="8"/>
  <c r="B29" i="8" s="1"/>
  <c r="C8" i="8"/>
  <c r="B8" i="8" s="1"/>
  <c r="C53" i="8"/>
  <c r="B53" i="8" s="1"/>
  <c r="C22" i="8"/>
  <c r="B22" i="8" s="1"/>
  <c r="C21" i="8"/>
  <c r="B21" i="8" s="1"/>
  <c r="C44" i="8"/>
  <c r="B44" i="8" s="1"/>
  <c r="C36" i="8"/>
  <c r="B36" i="8" s="1"/>
  <c r="C28" i="8"/>
  <c r="B28" i="8" s="1"/>
  <c r="C20" i="8"/>
  <c r="B20" i="8" s="1"/>
  <c r="C59" i="8"/>
  <c r="B59" i="8" s="1"/>
  <c r="C51" i="8"/>
  <c r="B51" i="8" s="1"/>
  <c r="C43" i="8"/>
  <c r="B43" i="8" s="1"/>
  <c r="C35" i="8"/>
  <c r="B35" i="8" s="1"/>
  <c r="C27" i="8"/>
  <c r="B27" i="8" s="1"/>
  <c r="C19" i="8"/>
  <c r="B19" i="8" s="1"/>
  <c r="C6" i="8"/>
  <c r="B6" i="8" s="1"/>
  <c r="C66" i="8"/>
  <c r="B66" i="8" s="1"/>
  <c r="C58" i="8"/>
  <c r="B58" i="8" s="1"/>
  <c r="C50" i="8"/>
  <c r="B50" i="8" s="1"/>
  <c r="C42" i="8"/>
  <c r="B42" i="8" s="1"/>
  <c r="C34" i="8"/>
  <c r="B34" i="8" s="1"/>
  <c r="C26" i="8"/>
  <c r="B26" i="8" s="1"/>
  <c r="C18" i="8"/>
  <c r="B18" i="8" s="1"/>
  <c r="C13" i="8"/>
  <c r="B13" i="8" s="1"/>
  <c r="C65" i="8"/>
  <c r="B65" i="8" s="1"/>
  <c r="C57" i="8"/>
  <c r="B57" i="8" s="1"/>
  <c r="C49" i="8"/>
  <c r="B49" i="8" s="1"/>
  <c r="C41" i="8"/>
  <c r="B41" i="8" s="1"/>
  <c r="C33" i="8"/>
  <c r="B33" i="8" s="1"/>
  <c r="C25" i="8"/>
  <c r="B25" i="8" s="1"/>
  <c r="C17" i="8"/>
  <c r="B17" i="8" s="1"/>
  <c r="C67" i="8"/>
  <c r="B67" i="8" s="1"/>
  <c r="C12" i="8"/>
  <c r="B12" i="8" s="1"/>
  <c r="C72" i="8"/>
  <c r="B72" i="8" s="1"/>
  <c r="C64" i="8"/>
  <c r="B64" i="8" s="1"/>
  <c r="C56" i="8"/>
  <c r="B56" i="8" s="1"/>
  <c r="C48" i="8"/>
  <c r="B48" i="8" s="1"/>
  <c r="C40" i="8"/>
  <c r="B40" i="8" s="1"/>
  <c r="C32" i="8"/>
  <c r="B32" i="8" s="1"/>
  <c r="C24" i="8"/>
  <c r="B24" i="8" s="1"/>
  <c r="C16" i="8"/>
  <c r="B16" i="8" s="1"/>
  <c r="C7" i="8"/>
  <c r="B7" i="8" s="1"/>
  <c r="C11" i="8"/>
  <c r="B11" i="8" s="1"/>
  <c r="C71" i="8"/>
  <c r="B71" i="8" s="1"/>
  <c r="C63" i="8"/>
  <c r="B63" i="8" s="1"/>
  <c r="C55" i="8"/>
  <c r="B55" i="8" s="1"/>
  <c r="C47" i="8"/>
  <c r="B47" i="8" s="1"/>
  <c r="C39" i="8"/>
  <c r="B39" i="8" s="1"/>
  <c r="C31" i="8"/>
  <c r="B31" i="8" s="1"/>
  <c r="C23" i="8"/>
  <c r="B23" i="8" s="1"/>
  <c r="C14" i="8"/>
  <c r="B14" i="8" s="1"/>
  <c r="J58" i="8"/>
  <c r="J62" i="8"/>
  <c r="J34" i="8"/>
  <c r="J14" i="8"/>
  <c r="J63" i="8"/>
  <c r="J20" i="8"/>
  <c r="J28" i="8"/>
  <c r="J72" i="8"/>
  <c r="J43" i="8"/>
  <c r="J55" i="8"/>
  <c r="J41" i="8"/>
  <c r="J45" i="8"/>
  <c r="J38" i="8"/>
  <c r="J71" i="8"/>
  <c r="J49" i="8"/>
  <c r="J61" i="8"/>
  <c r="J39" i="8"/>
  <c r="J59" i="8"/>
  <c r="J15" i="8"/>
  <c r="C3" i="8" l="1"/>
  <c r="C4" i="8"/>
  <c r="J4" i="8"/>
  <c r="CJ175" i="10"/>
  <c r="BQ110" i="10"/>
  <c r="CQ166" i="10"/>
  <c r="CJ168" i="10"/>
  <c r="CQ192" i="10"/>
  <c r="BT181" i="10"/>
  <c r="AB184" i="10"/>
  <c r="CR158" i="10"/>
  <c r="CM70" i="10"/>
  <c r="CD102" i="10"/>
  <c r="CR138" i="10"/>
  <c r="Z99" i="10"/>
  <c r="BW160" i="10"/>
  <c r="Z174" i="10"/>
  <c r="CE130" i="10"/>
  <c r="AB170" i="10"/>
  <c r="AH146" i="10"/>
  <c r="BU113" i="10"/>
  <c r="AB141" i="10"/>
  <c r="CV95" i="10"/>
  <c r="L188" i="10"/>
  <c r="BQ136" i="10"/>
  <c r="AM155" i="10"/>
  <c r="AC105" i="10"/>
  <c r="BM131" i="10"/>
  <c r="BM90" i="10"/>
  <c r="AK184" i="10"/>
  <c r="CW123" i="10"/>
  <c r="CJ129" i="10"/>
  <c r="CP144" i="10"/>
  <c r="L160" i="10"/>
  <c r="BU121" i="10"/>
  <c r="CE189" i="10"/>
  <c r="CB111" i="10"/>
  <c r="AL97" i="10"/>
  <c r="AB172" i="10"/>
  <c r="CW76" i="10"/>
  <c r="AA135" i="10"/>
  <c r="CT185" i="10"/>
  <c r="AL167" i="10"/>
  <c r="CE96" i="10"/>
  <c r="CW80" i="10"/>
  <c r="BW140" i="10"/>
  <c r="AE155" i="10"/>
  <c r="BM148" i="10"/>
  <c r="R184" i="10"/>
  <c r="CP168" i="10"/>
  <c r="BX85" i="10"/>
  <c r="AH149" i="10"/>
  <c r="AA188" i="10"/>
  <c r="CD96" i="10"/>
  <c r="BX145" i="10"/>
  <c r="CA128" i="10"/>
  <c r="AJ169" i="10"/>
  <c r="BW138" i="10"/>
  <c r="BZ174" i="10"/>
  <c r="BL165" i="10"/>
  <c r="AK153" i="10"/>
  <c r="CA142" i="10"/>
  <c r="BU162" i="10"/>
  <c r="AE161" i="10"/>
  <c r="BW120" i="10"/>
  <c r="BW190" i="10"/>
  <c r="AA161" i="10"/>
  <c r="BX146" i="10"/>
  <c r="BM142" i="10"/>
  <c r="CW179" i="10"/>
  <c r="BV156" i="10"/>
  <c r="BU66" i="10"/>
  <c r="BQ59" i="10"/>
  <c r="BM56" i="10"/>
  <c r="BZ148" i="10"/>
  <c r="CW147" i="10"/>
  <c r="BV163" i="10"/>
  <c r="R85" i="10"/>
  <c r="AM112" i="10"/>
  <c r="BS111" i="10"/>
  <c r="CE143" i="10"/>
  <c r="AJ186" i="10"/>
  <c r="BX130" i="10"/>
  <c r="BX191" i="10"/>
  <c r="BW123" i="10"/>
  <c r="BU154" i="10"/>
  <c r="AL125" i="10"/>
  <c r="CE129" i="10"/>
  <c r="BM175" i="10"/>
  <c r="AB169" i="10"/>
  <c r="AF145" i="10"/>
  <c r="CJ164" i="10"/>
  <c r="BM189" i="10"/>
  <c r="CJ122" i="10"/>
  <c r="BU149" i="10"/>
  <c r="BZ137" i="10"/>
  <c r="CV174" i="10"/>
  <c r="AK116" i="10"/>
  <c r="CT115" i="10"/>
  <c r="BP77" i="10"/>
  <c r="AE56" i="10"/>
  <c r="AA174" i="10"/>
  <c r="BP188" i="10"/>
  <c r="CQ169" i="10"/>
  <c r="BQ133" i="10"/>
  <c r="BX176" i="10"/>
  <c r="CW106" i="10"/>
  <c r="BX158" i="10"/>
  <c r="AC182" i="10"/>
  <c r="AF80" i="10"/>
  <c r="CW169" i="10"/>
  <c r="AM89" i="10"/>
  <c r="BU141" i="10"/>
  <c r="CQ79" i="10"/>
  <c r="AB123" i="10"/>
  <c r="BL168" i="10"/>
  <c r="CA161" i="10"/>
  <c r="AK140" i="10"/>
  <c r="BP189" i="10"/>
  <c r="AM185" i="10"/>
  <c r="CC145" i="10"/>
  <c r="CR140" i="10"/>
  <c r="CD169" i="10"/>
  <c r="CD121" i="10"/>
  <c r="Z159" i="10"/>
  <c r="AE147" i="10"/>
  <c r="CA120" i="10"/>
  <c r="CW138" i="10"/>
  <c r="CT145" i="10"/>
  <c r="Z132" i="10"/>
  <c r="CC161" i="10"/>
  <c r="CE192" i="10"/>
  <c r="AL161" i="10"/>
  <c r="CC175" i="10"/>
  <c r="CJ134" i="10"/>
  <c r="CB143" i="10"/>
  <c r="BM190" i="10"/>
  <c r="CE182" i="10"/>
  <c r="BP140" i="10"/>
  <c r="BM128" i="10"/>
  <c r="AK155" i="10"/>
  <c r="L184" i="10"/>
  <c r="BS135" i="10"/>
  <c r="CP159" i="10"/>
  <c r="AE75" i="10"/>
  <c r="Z102" i="10"/>
  <c r="BT144" i="10"/>
  <c r="CJ116" i="10"/>
  <c r="CT183" i="10"/>
  <c r="AL137" i="10"/>
  <c r="BU126" i="10"/>
  <c r="BX177" i="10"/>
  <c r="CV149" i="10"/>
  <c r="CV175" i="10"/>
  <c r="BP171" i="10"/>
  <c r="AC183" i="10"/>
  <c r="BX117" i="10"/>
  <c r="BT145" i="10"/>
  <c r="AL113" i="10"/>
  <c r="BZ96" i="10"/>
  <c r="CE184" i="10"/>
  <c r="CV98" i="10"/>
  <c r="BX129" i="10"/>
  <c r="BL134" i="10"/>
  <c r="BM145" i="10"/>
  <c r="CV159" i="10"/>
  <c r="AH157" i="10"/>
  <c r="AB126" i="10"/>
  <c r="BP172" i="10"/>
  <c r="AK182" i="10"/>
  <c r="AH112" i="10"/>
  <c r="CP183" i="10"/>
  <c r="CQ173" i="10"/>
  <c r="BX188" i="10"/>
  <c r="AM52" i="10"/>
  <c r="AA143" i="10"/>
  <c r="AH120" i="10"/>
  <c r="CE108" i="10"/>
  <c r="CW102" i="10"/>
  <c r="AA133" i="10"/>
  <c r="AL126" i="10"/>
  <c r="CR171" i="10"/>
  <c r="CA121" i="10"/>
  <c r="BS151" i="10"/>
  <c r="AK146" i="10"/>
  <c r="AM186" i="10"/>
  <c r="CR165" i="10"/>
  <c r="CD168" i="10"/>
  <c r="AK54" i="10"/>
  <c r="AC135" i="10"/>
  <c r="BU73" i="10"/>
  <c r="BP124" i="10"/>
  <c r="L96" i="10"/>
  <c r="BZ92" i="10"/>
  <c r="CP133" i="10"/>
  <c r="BQ132" i="10"/>
  <c r="AJ121" i="10"/>
  <c r="AK154" i="10"/>
  <c r="AE105" i="10"/>
  <c r="L149" i="10"/>
  <c r="BT129" i="10"/>
  <c r="BV99" i="10"/>
  <c r="CW148" i="10"/>
  <c r="AJ175" i="10"/>
  <c r="BW164" i="10"/>
  <c r="CD156" i="10"/>
  <c r="CD90" i="10"/>
  <c r="BL148" i="10"/>
  <c r="CR121" i="10"/>
  <c r="BM43" i="10"/>
  <c r="CQ121" i="10"/>
  <c r="AE130" i="10"/>
  <c r="CP173" i="10"/>
  <c r="BV123" i="10"/>
  <c r="L150" i="10"/>
  <c r="Z183" i="10"/>
  <c r="CR184" i="10"/>
  <c r="CJ143" i="10"/>
  <c r="CW155" i="10"/>
  <c r="AE90" i="10"/>
  <c r="AA90" i="10"/>
  <c r="CA172" i="10"/>
  <c r="CW166" i="10"/>
  <c r="CV156" i="10"/>
  <c r="BS131" i="10"/>
  <c r="AA94" i="10"/>
  <c r="BM35" i="10"/>
  <c r="BT176" i="10"/>
  <c r="AC128" i="10"/>
  <c r="BL154" i="10"/>
  <c r="BU174" i="10"/>
  <c r="BZ168" i="10"/>
  <c r="CP152" i="10"/>
  <c r="AJ79" i="10"/>
  <c r="CA190" i="10"/>
  <c r="L64" i="10"/>
  <c r="BP183" i="10"/>
  <c r="BW157" i="10"/>
  <c r="AH174" i="10"/>
  <c r="CJ180" i="10"/>
  <c r="BL179" i="10"/>
  <c r="L185" i="10"/>
  <c r="CD158" i="10"/>
  <c r="CC129" i="10"/>
  <c r="Z84" i="10"/>
  <c r="CQ124" i="10"/>
  <c r="CB146" i="10"/>
  <c r="CR136" i="10"/>
  <c r="BL149" i="10"/>
  <c r="AE14" i="10"/>
  <c r="AE190" i="10"/>
  <c r="AK168" i="10"/>
  <c r="BZ160" i="10"/>
  <c r="BW127" i="10"/>
  <c r="CW114" i="10"/>
  <c r="BV132" i="10"/>
  <c r="BU138" i="10"/>
  <c r="CJ173" i="10"/>
  <c r="AK170" i="10"/>
  <c r="BX69" i="10"/>
  <c r="L177" i="10"/>
  <c r="AB180" i="10"/>
  <c r="BX178" i="10"/>
  <c r="BW65" i="10"/>
  <c r="BT133" i="10"/>
  <c r="BW137" i="10"/>
  <c r="CQ135" i="10"/>
  <c r="AK150" i="10"/>
  <c r="L172" i="10"/>
  <c r="AB175" i="10"/>
  <c r="BW118" i="10"/>
  <c r="CT135" i="10"/>
  <c r="CP171" i="10"/>
  <c r="CJ142" i="10"/>
  <c r="AM95" i="10"/>
  <c r="AL168" i="10"/>
  <c r="AA97" i="10"/>
  <c r="BX181" i="10"/>
  <c r="CP136" i="10"/>
  <c r="BV141" i="10"/>
  <c r="AE141" i="10"/>
  <c r="CJ18" i="10"/>
  <c r="AH91" i="10"/>
  <c r="BP175" i="10"/>
  <c r="BU172" i="10"/>
  <c r="BM185" i="10"/>
  <c r="AH186" i="10"/>
  <c r="BL153" i="10"/>
  <c r="AB139" i="10"/>
  <c r="BQ169" i="10"/>
  <c r="L186" i="10"/>
  <c r="AL63" i="10"/>
  <c r="CR137" i="10"/>
  <c r="N117" i="10"/>
  <c r="AM143" i="10"/>
  <c r="AC42" i="10"/>
  <c r="AM142" i="10"/>
  <c r="CW192" i="10"/>
  <c r="CT188" i="10"/>
  <c r="AC98" i="10"/>
  <c r="CR55" i="10"/>
  <c r="BP180" i="10"/>
  <c r="AK159" i="10"/>
  <c r="CE161" i="10"/>
  <c r="CC165" i="10"/>
  <c r="BL127" i="10"/>
  <c r="CT149" i="10"/>
  <c r="CC187" i="10"/>
  <c r="BV192" i="10"/>
  <c r="Z73" i="10"/>
  <c r="CP100" i="10"/>
  <c r="AJ47" i="10"/>
  <c r="BL72" i="10"/>
  <c r="BT122" i="10"/>
  <c r="BT188" i="10"/>
  <c r="CV117" i="10"/>
  <c r="AA126" i="10"/>
  <c r="AB84" i="10"/>
  <c r="BU182" i="10"/>
  <c r="CR168" i="10"/>
  <c r="CE146" i="10"/>
  <c r="BX100" i="10"/>
  <c r="AJ141" i="10"/>
  <c r="CR141" i="10"/>
  <c r="AE160" i="10"/>
  <c r="BL86" i="10"/>
  <c r="CC112" i="10"/>
  <c r="CB125" i="10"/>
  <c r="AB173" i="10"/>
  <c r="BU77" i="10"/>
  <c r="BX156" i="10"/>
  <c r="BW135" i="10"/>
  <c r="BW141" i="10"/>
  <c r="BL75" i="10"/>
  <c r="Z182" i="10"/>
  <c r="CD111" i="10"/>
  <c r="BQ141" i="10"/>
  <c r="CE47" i="10"/>
  <c r="CT155" i="10"/>
  <c r="AJ48" i="10"/>
  <c r="R153" i="10"/>
  <c r="BU69" i="10"/>
  <c r="AM141" i="10"/>
  <c r="CB153" i="10"/>
  <c r="BT156" i="10"/>
  <c r="BW113" i="10"/>
  <c r="AM150" i="10"/>
  <c r="BP186" i="10"/>
  <c r="BU144" i="10"/>
  <c r="AH134" i="10"/>
  <c r="BX144" i="10"/>
  <c r="CW129" i="10"/>
  <c r="CQ122" i="10"/>
  <c r="AE164" i="10"/>
  <c r="CD186" i="10"/>
  <c r="BV178" i="10"/>
  <c r="AM134" i="10"/>
  <c r="AB167" i="10"/>
  <c r="CR132" i="10"/>
  <c r="Z95" i="10"/>
  <c r="CB142" i="10"/>
  <c r="CB162" i="10"/>
  <c r="BX179" i="10"/>
  <c r="CE179" i="10"/>
  <c r="BL185" i="10"/>
  <c r="AF113" i="10"/>
  <c r="CE155" i="10"/>
  <c r="Z148" i="10"/>
  <c r="CJ99" i="10"/>
  <c r="L158" i="10"/>
  <c r="AF126" i="10"/>
  <c r="AE188" i="10"/>
  <c r="AA112" i="10"/>
  <c r="BL68" i="10"/>
  <c r="BZ159" i="10"/>
  <c r="CD132" i="10"/>
  <c r="AA109" i="10"/>
  <c r="CE98" i="10"/>
  <c r="CR183" i="10"/>
  <c r="AK175" i="10"/>
  <c r="CA126" i="10"/>
  <c r="AM77" i="10"/>
  <c r="CW88" i="10"/>
  <c r="CT157" i="10"/>
  <c r="BM191" i="10"/>
  <c r="AF117" i="10"/>
  <c r="Z155" i="10"/>
  <c r="AE65" i="10"/>
  <c r="BX103" i="10"/>
  <c r="BV90" i="10"/>
  <c r="CP91" i="10"/>
  <c r="BS137" i="10"/>
  <c r="BS157" i="10"/>
  <c r="AK183" i="10"/>
  <c r="CD190" i="10"/>
  <c r="AB150" i="10"/>
  <c r="CA79" i="10"/>
  <c r="CA137" i="10"/>
  <c r="CD176" i="10"/>
  <c r="BZ178" i="10"/>
  <c r="AH37" i="10"/>
  <c r="CV129" i="10"/>
  <c r="CW162" i="10"/>
  <c r="L183" i="10"/>
  <c r="CV182" i="10"/>
  <c r="BX89" i="10"/>
  <c r="AL164" i="10"/>
  <c r="BS166" i="10"/>
  <c r="CA129" i="10"/>
  <c r="BU173" i="10"/>
  <c r="BZ112" i="10"/>
  <c r="BS112" i="10"/>
  <c r="CT120" i="10"/>
  <c r="AM71" i="10"/>
  <c r="CV168" i="10"/>
  <c r="BT124" i="10"/>
  <c r="AM136" i="10"/>
  <c r="BZ62" i="10"/>
  <c r="AH162" i="10"/>
  <c r="CT158" i="10"/>
  <c r="BV148" i="10"/>
  <c r="CA88" i="10"/>
  <c r="AK152" i="10"/>
  <c r="CT133" i="10"/>
  <c r="AC188" i="10"/>
  <c r="AH161" i="10"/>
  <c r="CE145" i="10"/>
  <c r="Z188" i="10"/>
  <c r="CB101" i="10"/>
  <c r="CE82" i="10"/>
  <c r="BV174" i="10"/>
  <c r="BT192" i="10"/>
  <c r="N86" i="10"/>
  <c r="BQ147" i="10"/>
  <c r="CW181" i="10"/>
  <c r="BT92" i="10"/>
  <c r="Z138" i="10"/>
  <c r="AJ188" i="10"/>
  <c r="CT113" i="10"/>
  <c r="CP160" i="10"/>
  <c r="BZ44" i="10"/>
  <c r="AL184" i="10"/>
  <c r="CV181" i="10"/>
  <c r="BW155" i="10"/>
  <c r="BW188" i="10"/>
  <c r="R136" i="10"/>
  <c r="CQ104" i="10"/>
  <c r="AK114" i="10"/>
  <c r="BU165" i="10"/>
  <c r="BZ186" i="10"/>
  <c r="AK161" i="10"/>
  <c r="AB140" i="10"/>
  <c r="CT166" i="10"/>
  <c r="L157" i="10"/>
  <c r="CD178" i="10"/>
  <c r="CQ191" i="10"/>
  <c r="BT173" i="10"/>
  <c r="Z143" i="10"/>
  <c r="CC169" i="10"/>
  <c r="BV87" i="10"/>
  <c r="AH185" i="10"/>
  <c r="CQ123" i="10"/>
  <c r="CC148" i="10"/>
  <c r="BX174" i="10"/>
  <c r="AA100" i="10"/>
  <c r="CD157" i="10"/>
  <c r="L168" i="10"/>
  <c r="CQ179" i="10"/>
  <c r="BP143" i="10"/>
  <c r="CP177" i="10"/>
  <c r="BT100" i="10"/>
  <c r="BZ167" i="10"/>
  <c r="AL191" i="10"/>
  <c r="L141" i="10"/>
  <c r="AC131" i="10"/>
  <c r="CP117" i="10"/>
  <c r="BL129" i="10"/>
  <c r="AM92" i="10"/>
  <c r="CE147" i="10"/>
  <c r="BT119" i="10"/>
  <c r="AJ154" i="10"/>
  <c r="BS113" i="10"/>
  <c r="Z139" i="10"/>
  <c r="AF141" i="10"/>
  <c r="BV184" i="10"/>
  <c r="BL184" i="10"/>
  <c r="Z156" i="10"/>
  <c r="AH180" i="10"/>
  <c r="AJ190" i="10"/>
  <c r="AA170" i="10"/>
  <c r="CJ141" i="10"/>
  <c r="CB79" i="10"/>
  <c r="AJ137" i="10"/>
  <c r="BS168" i="10"/>
  <c r="BU179" i="10"/>
  <c r="BP67" i="10"/>
  <c r="BL53" i="10"/>
  <c r="CP126" i="10"/>
  <c r="AB131" i="10"/>
  <c r="BV158" i="10"/>
  <c r="AA66" i="10"/>
  <c r="BQ181" i="10"/>
  <c r="CD153" i="10"/>
  <c r="CA130" i="10"/>
  <c r="AH135" i="10"/>
  <c r="BV186" i="10"/>
  <c r="L89" i="10"/>
  <c r="AH42" i="10"/>
  <c r="AB89" i="10"/>
  <c r="BW91" i="10"/>
  <c r="CT159" i="10"/>
  <c r="CE128" i="10"/>
  <c r="Z170" i="10"/>
  <c r="AL175" i="10"/>
  <c r="CA113" i="10"/>
  <c r="BL162" i="10"/>
  <c r="BV116" i="10"/>
  <c r="CB112" i="10"/>
  <c r="BM137" i="10"/>
  <c r="BL143" i="10"/>
  <c r="AA44" i="10"/>
  <c r="CC101" i="10"/>
  <c r="AA186" i="10"/>
  <c r="AE129" i="10"/>
  <c r="N72" i="10"/>
  <c r="BU169" i="10"/>
  <c r="BL117" i="10"/>
  <c r="AL187" i="10"/>
  <c r="CT117" i="10"/>
  <c r="CC149" i="10"/>
  <c r="AA119" i="10"/>
  <c r="AM178" i="10"/>
  <c r="AF157" i="10"/>
  <c r="BT179" i="10"/>
  <c r="CC159" i="10"/>
  <c r="BP105" i="10"/>
  <c r="AA175" i="10"/>
  <c r="BV160" i="10"/>
  <c r="N116" i="10"/>
  <c r="BL174" i="10"/>
  <c r="AF179" i="10"/>
  <c r="CC83" i="10"/>
  <c r="R54" i="10"/>
  <c r="AA172" i="10"/>
  <c r="BX192" i="10"/>
  <c r="BV189" i="10"/>
  <c r="AC165" i="10"/>
  <c r="BZ113" i="10"/>
  <c r="CT192" i="10"/>
  <c r="BT185" i="10"/>
  <c r="BX82" i="10"/>
  <c r="CV189" i="10"/>
  <c r="CC166" i="10"/>
  <c r="BV140" i="10"/>
  <c r="AC106" i="10"/>
  <c r="BM79" i="10"/>
  <c r="CW172" i="10"/>
  <c r="BZ135" i="10"/>
  <c r="CE181" i="10"/>
  <c r="AJ99" i="10"/>
  <c r="BV170" i="10"/>
  <c r="AC140" i="10"/>
  <c r="AA120" i="10"/>
  <c r="AJ149" i="10"/>
  <c r="CD160" i="10"/>
  <c r="BM95" i="10"/>
  <c r="AK165" i="10"/>
  <c r="BW134" i="10"/>
  <c r="Z74" i="10"/>
  <c r="AM88" i="10"/>
  <c r="BV151" i="10"/>
  <c r="CQ178" i="10"/>
  <c r="CR155" i="10"/>
  <c r="CE111" i="10"/>
  <c r="BV91" i="10"/>
  <c r="CE119" i="10"/>
  <c r="CV128" i="10"/>
  <c r="BP168" i="10"/>
  <c r="CE107" i="10"/>
  <c r="CQ126" i="10"/>
  <c r="AL133" i="10"/>
  <c r="CQ139" i="10"/>
  <c r="Z176" i="10"/>
  <c r="CT62" i="10"/>
  <c r="BZ177" i="10"/>
  <c r="BV57" i="10"/>
  <c r="BZ154" i="10"/>
  <c r="BV142" i="10"/>
  <c r="AA169" i="10"/>
  <c r="AL156" i="10"/>
  <c r="BZ48" i="10"/>
  <c r="AA84" i="10"/>
  <c r="CE116" i="10"/>
  <c r="R182" i="10"/>
  <c r="N102" i="10"/>
  <c r="AF148" i="10"/>
  <c r="CW153" i="10"/>
  <c r="BU140" i="10"/>
  <c r="BX128" i="10"/>
  <c r="CT126" i="10"/>
  <c r="BU117" i="10"/>
  <c r="BW53" i="10"/>
  <c r="BT186" i="10"/>
  <c r="AH190" i="10"/>
  <c r="AH171" i="10"/>
  <c r="AM188" i="10"/>
  <c r="AB188" i="10"/>
  <c r="CR142" i="10"/>
  <c r="AK120" i="10"/>
  <c r="R145" i="10"/>
  <c r="BL128" i="10"/>
  <c r="BQ159" i="10"/>
  <c r="AJ135" i="10"/>
  <c r="BX167" i="10"/>
  <c r="AA138" i="10"/>
  <c r="CE112" i="10"/>
  <c r="R23" i="10"/>
  <c r="BW117" i="10"/>
  <c r="BP167" i="10"/>
  <c r="AK178" i="10"/>
  <c r="CC144" i="10"/>
  <c r="AF37" i="10"/>
  <c r="CJ93" i="10"/>
  <c r="CE73" i="10"/>
  <c r="CA180" i="10"/>
  <c r="AK99" i="10"/>
  <c r="BS186" i="10"/>
  <c r="CT151" i="10"/>
  <c r="CB150" i="10"/>
  <c r="BQ175" i="10"/>
  <c r="CA146" i="10"/>
  <c r="L159" i="10"/>
  <c r="CE57" i="10"/>
  <c r="AL79" i="10"/>
  <c r="BM150" i="10"/>
  <c r="BV169" i="10"/>
  <c r="AA173" i="10"/>
  <c r="AJ144" i="10"/>
  <c r="CA173" i="10"/>
  <c r="AB61" i="10"/>
  <c r="BL146" i="10"/>
  <c r="L173" i="10"/>
  <c r="BP157" i="10"/>
  <c r="BW181" i="10"/>
  <c r="CJ92" i="10"/>
  <c r="BP159" i="10"/>
  <c r="AH136" i="10"/>
  <c r="R101" i="10"/>
  <c r="L162" i="10"/>
  <c r="BX93" i="10"/>
  <c r="AF99" i="10"/>
  <c r="AC177" i="10"/>
  <c r="CC170" i="10"/>
  <c r="BM192" i="10"/>
  <c r="CQ163" i="10"/>
  <c r="CR189" i="10"/>
  <c r="CT156" i="10"/>
  <c r="CD103" i="10"/>
  <c r="CR181" i="10"/>
  <c r="BW169" i="10"/>
  <c r="Z136" i="10"/>
  <c r="CJ150" i="10"/>
  <c r="BW51" i="10"/>
  <c r="BX135" i="10"/>
  <c r="CD154" i="10"/>
  <c r="BS177" i="10"/>
  <c r="BX121" i="10"/>
  <c r="BU161" i="10"/>
  <c r="BX139" i="10"/>
  <c r="AM191" i="10"/>
  <c r="AM164" i="10"/>
  <c r="BL171" i="10"/>
  <c r="AJ101" i="10"/>
  <c r="BX166" i="10"/>
  <c r="BW172" i="10"/>
  <c r="BZ84" i="10"/>
  <c r="BZ79" i="10"/>
  <c r="CB130" i="10"/>
  <c r="Z110" i="10"/>
  <c r="AC48" i="10"/>
  <c r="AC150" i="10"/>
  <c r="CJ176" i="10"/>
  <c r="CA163" i="10"/>
  <c r="AM149" i="10"/>
  <c r="CJ88" i="10"/>
  <c r="CC186" i="10"/>
  <c r="AK164" i="10"/>
  <c r="CE166" i="10"/>
  <c r="BX75" i="10"/>
  <c r="AA92" i="10"/>
  <c r="CB32" i="10"/>
  <c r="CB184" i="10"/>
  <c r="CT186" i="10"/>
  <c r="CT147" i="10"/>
  <c r="CB100" i="10"/>
  <c r="CJ101" i="10"/>
  <c r="BT166" i="10"/>
  <c r="CE174" i="10"/>
  <c r="BW119" i="10"/>
  <c r="CB139" i="10"/>
  <c r="BM133" i="10"/>
  <c r="BL158" i="10"/>
  <c r="AA129" i="10"/>
  <c r="AH152" i="10"/>
  <c r="W89" i="10"/>
  <c r="BQ187" i="10"/>
  <c r="BP190" i="10"/>
  <c r="BZ192" i="10"/>
  <c r="Z85" i="10"/>
  <c r="AM187" i="10"/>
  <c r="BV176" i="10"/>
  <c r="CT172" i="10"/>
  <c r="CE171" i="10"/>
  <c r="AF58" i="10"/>
  <c r="AB99" i="10"/>
  <c r="CC64" i="10"/>
  <c r="L181" i="10"/>
  <c r="BV149" i="10"/>
  <c r="AA89" i="10"/>
  <c r="CQ106" i="10"/>
  <c r="AJ139" i="10"/>
  <c r="BH84" i="10"/>
  <c r="CM90" i="10"/>
  <c r="CB144" i="10"/>
  <c r="L109" i="10"/>
  <c r="CB133" i="10"/>
  <c r="BT109" i="10"/>
  <c r="N129" i="10"/>
  <c r="AL72" i="10"/>
  <c r="AB103" i="10"/>
  <c r="AM105" i="10"/>
  <c r="BM151" i="10"/>
  <c r="Z108" i="10"/>
  <c r="CP140" i="10"/>
  <c r="AB101" i="10"/>
  <c r="CA143" i="10"/>
  <c r="BT128" i="10"/>
  <c r="CD189" i="10"/>
  <c r="CV165" i="10"/>
  <c r="AA110" i="10"/>
  <c r="AJ143" i="10"/>
  <c r="CC66" i="10"/>
  <c r="AH77" i="10"/>
  <c r="AL153" i="10"/>
  <c r="Z168" i="10"/>
  <c r="CR177" i="10"/>
  <c r="BV127" i="10"/>
  <c r="CD179" i="10"/>
  <c r="BL123" i="10"/>
  <c r="AC154" i="10"/>
  <c r="AM176" i="10"/>
  <c r="CD187" i="10"/>
  <c r="AJ179" i="10"/>
  <c r="AC179" i="10"/>
  <c r="AA178" i="10"/>
  <c r="BT104" i="10"/>
  <c r="R168" i="10"/>
  <c r="AH170" i="10"/>
  <c r="BZ149" i="10"/>
  <c r="AH169" i="10"/>
  <c r="CW82" i="10"/>
  <c r="BP138" i="10"/>
  <c r="CV4" i="10"/>
  <c r="AA139" i="10"/>
  <c r="CT182" i="10"/>
  <c r="BX67" i="10"/>
  <c r="BT95" i="10"/>
  <c r="CA125" i="10"/>
  <c r="CP149" i="10"/>
  <c r="Z114" i="10"/>
  <c r="CW167" i="10"/>
  <c r="BW191" i="10"/>
  <c r="BS115" i="10"/>
  <c r="CB140" i="10"/>
  <c r="L166" i="10"/>
  <c r="CQ189" i="10"/>
  <c r="BS178" i="10"/>
  <c r="R82" i="10"/>
  <c r="BX155" i="10"/>
  <c r="CT148" i="10"/>
  <c r="CB132" i="10"/>
  <c r="BT162" i="10"/>
  <c r="CE144" i="10"/>
  <c r="CC142" i="10"/>
  <c r="CA145" i="10"/>
  <c r="BW165" i="10"/>
  <c r="CV81" i="10"/>
  <c r="AL129" i="10"/>
  <c r="CP89" i="10"/>
  <c r="CE139" i="10"/>
  <c r="BL125" i="10"/>
  <c r="AF56" i="10"/>
  <c r="BT127" i="10"/>
  <c r="CC127" i="10"/>
  <c r="CQ168" i="10"/>
  <c r="BS99" i="10"/>
  <c r="AA142" i="10"/>
  <c r="AJ126" i="10"/>
  <c r="CJ152" i="10"/>
  <c r="AH139" i="10"/>
  <c r="BW107" i="10"/>
  <c r="CV171" i="10"/>
  <c r="CB147" i="10"/>
  <c r="CC106" i="10"/>
  <c r="AJ165" i="10"/>
  <c r="BS176" i="10"/>
  <c r="BS154" i="10"/>
  <c r="CP123" i="10"/>
  <c r="BZ121" i="10"/>
  <c r="AF38" i="10"/>
  <c r="CQ190" i="10"/>
  <c r="BW130" i="10"/>
  <c r="AL147" i="10"/>
  <c r="BZ171" i="10"/>
  <c r="AF79" i="10"/>
  <c r="AB142" i="10"/>
  <c r="Z134" i="10"/>
  <c r="AJ25" i="10"/>
  <c r="BS134" i="10"/>
  <c r="AC190" i="10"/>
  <c r="N132" i="10"/>
  <c r="AM123" i="10"/>
  <c r="BW37" i="10"/>
  <c r="CA102" i="10"/>
  <c r="N113" i="10"/>
  <c r="Z185" i="10"/>
  <c r="AM79" i="10"/>
  <c r="AF189" i="10"/>
  <c r="BZ110" i="10"/>
  <c r="AC167" i="10"/>
  <c r="BM149" i="10"/>
  <c r="CV131" i="10"/>
  <c r="BT177" i="10"/>
  <c r="CW173" i="10"/>
  <c r="AC116" i="10"/>
  <c r="AM174" i="10"/>
  <c r="CW126" i="10"/>
  <c r="CV144" i="10"/>
  <c r="BP114" i="10"/>
  <c r="BM170" i="10"/>
  <c r="BU72" i="10"/>
  <c r="R55" i="10"/>
  <c r="BI188" i="10"/>
  <c r="BM158" i="10"/>
  <c r="AE112" i="10"/>
  <c r="L128" i="10"/>
  <c r="AH155" i="10"/>
  <c r="CR145" i="10"/>
  <c r="CJ79" i="10"/>
  <c r="BV157" i="10"/>
  <c r="AA62" i="10"/>
  <c r="BW192" i="10"/>
  <c r="AK185" i="10"/>
  <c r="AM156" i="10"/>
  <c r="AA72" i="10"/>
  <c r="CR71" i="10"/>
  <c r="BZ59" i="10"/>
  <c r="BU192" i="10"/>
  <c r="BT47" i="10"/>
  <c r="BS142" i="10"/>
  <c r="BV95" i="10"/>
  <c r="BM77" i="10"/>
  <c r="CJ149" i="10"/>
  <c r="CE86" i="10"/>
  <c r="CV72" i="10"/>
  <c r="BU156" i="10"/>
  <c r="AC112" i="10"/>
  <c r="CV62" i="10"/>
  <c r="CQ160" i="10"/>
  <c r="CP87" i="10"/>
  <c r="CP68" i="10"/>
  <c r="BW115" i="10"/>
  <c r="BV94" i="10"/>
  <c r="AJ124" i="10"/>
  <c r="CR188" i="10"/>
  <c r="CA133" i="10"/>
  <c r="BL182" i="10"/>
  <c r="CC54" i="10"/>
  <c r="R192" i="10"/>
  <c r="CD5" i="10"/>
  <c r="CC95" i="10"/>
  <c r="BU136" i="10"/>
  <c r="R172" i="10"/>
  <c r="AJ145" i="10"/>
  <c r="CR153" i="10"/>
  <c r="BL150" i="10"/>
  <c r="CQ187" i="10"/>
  <c r="BX86" i="10"/>
  <c r="AC171" i="10"/>
  <c r="AB137" i="10"/>
  <c r="AE76" i="10"/>
  <c r="L135" i="10"/>
  <c r="AL131" i="10"/>
  <c r="CE114" i="10"/>
  <c r="CT20" i="10"/>
  <c r="Z135" i="10"/>
  <c r="BP115" i="10"/>
  <c r="CA187" i="10"/>
  <c r="BW142" i="10"/>
  <c r="BT135" i="10"/>
  <c r="AB77" i="10"/>
  <c r="CA166" i="10"/>
  <c r="L180" i="10"/>
  <c r="AE51" i="10"/>
  <c r="AA158" i="10"/>
  <c r="AK64" i="10"/>
  <c r="CT176" i="10"/>
  <c r="BM117" i="10"/>
  <c r="BL133" i="10"/>
  <c r="CC146" i="10"/>
  <c r="AK86" i="10"/>
  <c r="CE168" i="10"/>
  <c r="CW115" i="10"/>
  <c r="L70" i="10"/>
  <c r="BP148" i="10"/>
  <c r="AF180" i="10"/>
  <c r="L191" i="10"/>
  <c r="AM128" i="10"/>
  <c r="AE151" i="10"/>
  <c r="BS164" i="10"/>
  <c r="CP190" i="10"/>
  <c r="BX13" i="10"/>
  <c r="AM132" i="10"/>
  <c r="AB130" i="10"/>
  <c r="CD165" i="10"/>
  <c r="CE43" i="10"/>
  <c r="CC115" i="10"/>
  <c r="CV49" i="10"/>
  <c r="BS182" i="10"/>
  <c r="CP110" i="10"/>
  <c r="BT120" i="10"/>
  <c r="AA46" i="10"/>
  <c r="BW163" i="10"/>
  <c r="CW164" i="10"/>
  <c r="AB136" i="10"/>
  <c r="CV145" i="10"/>
  <c r="BT132" i="10"/>
  <c r="BM127" i="10"/>
  <c r="BU143" i="10"/>
  <c r="BM114" i="10"/>
  <c r="BU107" i="10"/>
  <c r="AF171" i="10"/>
  <c r="AJ187" i="10"/>
  <c r="AK179" i="10"/>
  <c r="CD175" i="10"/>
  <c r="AC142" i="10"/>
  <c r="CR187" i="10"/>
  <c r="BQ64" i="10"/>
  <c r="BP192" i="10"/>
  <c r="AF147" i="10"/>
  <c r="AH15" i="10"/>
  <c r="BQ127" i="10"/>
  <c r="AA162" i="10"/>
  <c r="AE185" i="10"/>
  <c r="BP37" i="10"/>
  <c r="AA177" i="10"/>
  <c r="CT89" i="10"/>
  <c r="AC92" i="10"/>
  <c r="AF118" i="10"/>
  <c r="BL173" i="10"/>
  <c r="S89" i="10"/>
  <c r="CT173" i="10"/>
  <c r="BZ157" i="10"/>
  <c r="CC151" i="10"/>
  <c r="AE123" i="10"/>
  <c r="CR162" i="10"/>
  <c r="AF182" i="10"/>
  <c r="L155" i="10"/>
  <c r="BV177" i="10"/>
  <c r="CA91" i="10"/>
  <c r="AB80" i="10"/>
  <c r="AM38" i="10"/>
  <c r="CB172" i="10"/>
  <c r="CP135" i="10"/>
  <c r="AA137" i="10"/>
  <c r="CW43" i="10"/>
  <c r="CP105" i="10"/>
  <c r="AC95" i="10"/>
  <c r="BU101" i="10"/>
  <c r="AJ45" i="10"/>
  <c r="AM113" i="10"/>
  <c r="AB76" i="10"/>
  <c r="L142" i="10"/>
  <c r="BZ176" i="10"/>
  <c r="AM137" i="10"/>
  <c r="BP163" i="10"/>
  <c r="CV186" i="10"/>
  <c r="CT191" i="10"/>
  <c r="CP95" i="10"/>
  <c r="BV128" i="10"/>
  <c r="BV185" i="10"/>
  <c r="L119" i="10"/>
  <c r="AB157" i="10"/>
  <c r="BS97" i="10"/>
  <c r="BT88" i="10"/>
  <c r="AK135" i="10"/>
  <c r="BM99" i="10"/>
  <c r="CD188" i="10"/>
  <c r="CJ148" i="10"/>
  <c r="CC167" i="10"/>
  <c r="BT62" i="10"/>
  <c r="CQ128" i="10"/>
  <c r="BV188" i="10"/>
  <c r="AC34" i="10"/>
  <c r="AB83" i="10"/>
  <c r="BZ161" i="10"/>
  <c r="CE185" i="10"/>
  <c r="CR86" i="10"/>
  <c r="BS171" i="10"/>
  <c r="BX160" i="10"/>
  <c r="AC113" i="10"/>
  <c r="CA176" i="10"/>
  <c r="AF143" i="10"/>
  <c r="AF144" i="10"/>
  <c r="BS70" i="10"/>
  <c r="R188" i="10"/>
  <c r="CJ61" i="10"/>
  <c r="AJ161" i="10"/>
  <c r="AE158" i="10"/>
  <c r="BU191" i="10"/>
  <c r="AE166" i="10"/>
  <c r="AE142" i="10"/>
  <c r="CE135" i="10"/>
  <c r="BS160" i="10"/>
  <c r="CQ177" i="10"/>
  <c r="BV182" i="10"/>
  <c r="BX51" i="10"/>
  <c r="CC94" i="10"/>
  <c r="AK169" i="10"/>
  <c r="Z153" i="10"/>
  <c r="BU152" i="10"/>
  <c r="BX180" i="10"/>
  <c r="L44" i="10"/>
  <c r="AA168" i="10"/>
  <c r="R15" i="10"/>
  <c r="AE67" i="10"/>
  <c r="CB181" i="10"/>
  <c r="AM122" i="10"/>
  <c r="CW104" i="10"/>
  <c r="AJ177" i="10"/>
  <c r="CA169" i="10"/>
  <c r="Z179" i="10"/>
  <c r="CQ142" i="10"/>
  <c r="BT118" i="10"/>
  <c r="BZ71" i="10"/>
  <c r="CJ145" i="10"/>
  <c r="BS163" i="10"/>
  <c r="CA132" i="10"/>
  <c r="AB190" i="10"/>
  <c r="N29" i="10"/>
  <c r="AB185" i="10"/>
  <c r="BP108" i="10"/>
  <c r="BS23" i="10"/>
  <c r="AK94" i="10"/>
  <c r="CP143" i="10"/>
  <c r="BP174" i="10"/>
  <c r="AF186" i="10"/>
  <c r="CD106" i="10"/>
  <c r="BX71" i="10"/>
  <c r="AK176" i="10"/>
  <c r="BX154" i="10"/>
  <c r="CV172" i="10"/>
  <c r="AM162" i="10"/>
  <c r="BX96" i="10"/>
  <c r="CP41" i="10"/>
  <c r="BU57" i="10"/>
  <c r="BW189" i="10"/>
  <c r="AJ85" i="10"/>
  <c r="BX110" i="10"/>
  <c r="AK162" i="10"/>
  <c r="AH102" i="10"/>
  <c r="R171" i="10"/>
  <c r="BP158" i="10"/>
  <c r="Z187" i="10"/>
  <c r="CB179" i="10"/>
  <c r="CQ133" i="10"/>
  <c r="CJ72" i="10"/>
  <c r="CV147" i="10"/>
  <c r="CR150" i="10"/>
  <c r="L187" i="10"/>
  <c r="CW46" i="10"/>
  <c r="AA125" i="10"/>
  <c r="CB108" i="10"/>
  <c r="AC160" i="10"/>
  <c r="AL132" i="10"/>
  <c r="Z128" i="10"/>
  <c r="AE96" i="10"/>
  <c r="CB174" i="10"/>
  <c r="BQ160" i="10"/>
  <c r="CJ133" i="10"/>
  <c r="CM107" i="10"/>
  <c r="CE152" i="10"/>
  <c r="CD142" i="10"/>
  <c r="CP186" i="10"/>
  <c r="AA179" i="10"/>
  <c r="CB167" i="10"/>
  <c r="BS125" i="10"/>
  <c r="BP154" i="10"/>
  <c r="CJ115" i="10"/>
  <c r="AE163" i="10"/>
  <c r="CD83" i="10"/>
  <c r="BZ120" i="10"/>
  <c r="Z144" i="10"/>
  <c r="CA103" i="10"/>
  <c r="BT40" i="10"/>
  <c r="AL120" i="10"/>
  <c r="CV121" i="10"/>
  <c r="L120" i="10"/>
  <c r="BU81" i="10"/>
  <c r="CE149" i="10"/>
  <c r="AJ158" i="10"/>
  <c r="BM88" i="10"/>
  <c r="CV132" i="10"/>
  <c r="CJ136" i="10"/>
  <c r="CQ82" i="10"/>
  <c r="CR127" i="10"/>
  <c r="BV120" i="10"/>
  <c r="AF163" i="10"/>
  <c r="AL138" i="10"/>
  <c r="BP120" i="10"/>
  <c r="BS181" i="10"/>
  <c r="AC67" i="10"/>
  <c r="BZ151" i="10"/>
  <c r="CJ181" i="10"/>
  <c r="CP141" i="10"/>
  <c r="CJ124" i="10"/>
  <c r="AB116" i="10"/>
  <c r="AC69" i="10"/>
  <c r="AB145" i="10"/>
  <c r="Z150" i="10"/>
  <c r="BM87" i="10"/>
  <c r="AF106" i="10"/>
  <c r="AE85" i="10"/>
  <c r="CV118" i="10"/>
  <c r="BV115" i="10"/>
  <c r="L144" i="10"/>
  <c r="BP141" i="10"/>
  <c r="BZ173" i="10"/>
  <c r="CV158" i="10"/>
  <c r="BT165" i="10"/>
  <c r="BQ167" i="10"/>
  <c r="CR185" i="10"/>
  <c r="BQ89" i="10"/>
  <c r="CW149" i="10"/>
  <c r="CD151" i="10"/>
  <c r="BU50" i="10"/>
  <c r="BQ139" i="10"/>
  <c r="AA36" i="10"/>
  <c r="AC89" i="10"/>
  <c r="BP80" i="10"/>
  <c r="BU38" i="10"/>
  <c r="CT143" i="10"/>
  <c r="Z117" i="10"/>
  <c r="CB190" i="10"/>
  <c r="AE149" i="10"/>
  <c r="BX183" i="10"/>
  <c r="BV152" i="10"/>
  <c r="BL79" i="10"/>
  <c r="AB87" i="10"/>
  <c r="BM152" i="10"/>
  <c r="BP127" i="10"/>
  <c r="AE137" i="10"/>
  <c r="BM168" i="10"/>
  <c r="BZ143" i="10"/>
  <c r="L176" i="10"/>
  <c r="CR94" i="10"/>
  <c r="AK192" i="10"/>
  <c r="AH189" i="10"/>
  <c r="CC141" i="10"/>
  <c r="CT130" i="10"/>
  <c r="CB169" i="10"/>
  <c r="AB182" i="10"/>
  <c r="CP163" i="10"/>
  <c r="CW171" i="10"/>
  <c r="BW177" i="10"/>
  <c r="Z190" i="10"/>
  <c r="BZ134" i="10"/>
  <c r="BZ166" i="10"/>
  <c r="CR144" i="10"/>
  <c r="L104" i="10"/>
  <c r="L165" i="10"/>
  <c r="CW154" i="10"/>
  <c r="CD182" i="10"/>
  <c r="CW163" i="10"/>
  <c r="CW92" i="10"/>
  <c r="CV184" i="10"/>
  <c r="AM183" i="10"/>
  <c r="BW176" i="10"/>
  <c r="BL109" i="10"/>
  <c r="AE101" i="10"/>
  <c r="L84" i="10"/>
  <c r="CB191" i="10"/>
  <c r="CV112" i="10"/>
  <c r="BW179" i="10"/>
  <c r="CV91" i="10"/>
  <c r="CP151" i="10"/>
  <c r="AB164" i="10"/>
  <c r="BZ190" i="10"/>
  <c r="BZ172" i="10"/>
  <c r="BQ156" i="10"/>
  <c r="AH151" i="10"/>
  <c r="CR114" i="10"/>
  <c r="AL95" i="10"/>
  <c r="AH100" i="10"/>
  <c r="BT8" i="10"/>
  <c r="BQ134" i="10"/>
  <c r="AL155" i="10"/>
  <c r="BP84" i="10"/>
  <c r="CE178" i="10"/>
  <c r="BT149" i="10"/>
  <c r="CB93" i="10"/>
  <c r="L137" i="10"/>
  <c r="AE134" i="10"/>
  <c r="CE167" i="10"/>
  <c r="BS143" i="10"/>
  <c r="BT69" i="10"/>
  <c r="CC147" i="10"/>
  <c r="AC176" i="10"/>
  <c r="BV165" i="10"/>
  <c r="AM118" i="10"/>
  <c r="CJ139" i="10"/>
  <c r="L88" i="10"/>
  <c r="CC138" i="10"/>
  <c r="AC100" i="10"/>
  <c r="CV141" i="10"/>
  <c r="BZ117" i="10"/>
  <c r="CB182" i="10"/>
  <c r="CP97" i="10"/>
  <c r="CA97" i="10"/>
  <c r="L175" i="10"/>
  <c r="BW32" i="10"/>
  <c r="AC64" i="10"/>
  <c r="R175" i="10"/>
  <c r="CR49" i="10"/>
  <c r="CW136" i="10"/>
  <c r="AA181" i="10"/>
  <c r="AJ106" i="10"/>
  <c r="CV64" i="10"/>
  <c r="BS140" i="10"/>
  <c r="AL101" i="10"/>
  <c r="BQ129" i="10"/>
  <c r="CC116" i="10"/>
  <c r="BQ138" i="10"/>
  <c r="CW124" i="10"/>
  <c r="BV64" i="10"/>
  <c r="BM107" i="10"/>
  <c r="CW131" i="10"/>
  <c r="CO113" i="10"/>
  <c r="AC124" i="10"/>
  <c r="CJ135" i="10"/>
  <c r="CB37" i="10"/>
  <c r="CQ95" i="10"/>
  <c r="BW173" i="10"/>
  <c r="CR109" i="10"/>
  <c r="BZ179" i="10"/>
  <c r="AF50" i="10"/>
  <c r="AL30" i="10"/>
  <c r="BW80" i="10"/>
  <c r="AB158" i="10"/>
  <c r="BQ50" i="10"/>
  <c r="BM92" i="10"/>
  <c r="CA81" i="10"/>
  <c r="AC33" i="10"/>
  <c r="BU186" i="10"/>
  <c r="BP118" i="10"/>
  <c r="CW107" i="10"/>
  <c r="BV179" i="10"/>
  <c r="CC182" i="10"/>
  <c r="CC84" i="10"/>
  <c r="BZ155" i="10"/>
  <c r="BV130" i="10"/>
  <c r="CQ146" i="10"/>
  <c r="CW187" i="10"/>
  <c r="Z184" i="10"/>
  <c r="BZ185" i="10"/>
  <c r="BU106" i="10"/>
  <c r="BP184" i="10"/>
  <c r="AC168" i="10"/>
  <c r="AA127" i="10"/>
  <c r="BQ192" i="10"/>
  <c r="BS69" i="10"/>
  <c r="BP134" i="10"/>
  <c r="L127" i="10"/>
  <c r="CC168" i="10"/>
  <c r="AJ86" i="10"/>
  <c r="L102" i="10"/>
  <c r="CB134" i="10"/>
  <c r="BU153" i="10"/>
  <c r="CB106" i="10"/>
  <c r="CD141" i="10"/>
  <c r="R123" i="10"/>
  <c r="BQ162" i="10"/>
  <c r="AL192" i="10"/>
  <c r="CT174" i="10"/>
  <c r="BX115" i="10"/>
  <c r="AA114" i="10"/>
  <c r="CP188" i="10"/>
  <c r="BU164" i="10"/>
  <c r="AK95" i="10"/>
  <c r="BM97" i="10"/>
  <c r="R183" i="10"/>
  <c r="AJ131" i="10"/>
  <c r="BT143" i="10"/>
  <c r="R167" i="10"/>
  <c r="CJ177" i="10"/>
  <c r="CA70" i="10"/>
  <c r="BU134" i="10"/>
  <c r="BL157" i="10"/>
  <c r="CD181" i="10"/>
  <c r="AA124" i="10"/>
  <c r="CV115" i="10"/>
  <c r="BZ107" i="10"/>
  <c r="AC186" i="10"/>
  <c r="AM115" i="10"/>
  <c r="AJ156" i="10"/>
  <c r="CP166" i="10"/>
  <c r="CW176" i="10"/>
  <c r="R191" i="10"/>
  <c r="BW171" i="10"/>
  <c r="BX151" i="10"/>
  <c r="CD123" i="10"/>
  <c r="BU175" i="10"/>
  <c r="Z154" i="10"/>
  <c r="AA176" i="10"/>
  <c r="BP160" i="10"/>
  <c r="CD31" i="10"/>
  <c r="BW167" i="10"/>
  <c r="CT119" i="10"/>
  <c r="AA157" i="10"/>
  <c r="Z140" i="10"/>
  <c r="CV123" i="10"/>
  <c r="AM102" i="10"/>
  <c r="AK128" i="10"/>
  <c r="CQ162" i="10"/>
  <c r="AJ166" i="10"/>
  <c r="CV103" i="10"/>
  <c r="CW69" i="10"/>
  <c r="BQ176" i="10"/>
  <c r="AF149" i="10"/>
  <c r="BV97" i="10"/>
  <c r="AF112" i="10"/>
  <c r="CC188" i="10"/>
  <c r="CC190" i="10"/>
  <c r="AF170" i="10"/>
  <c r="CW165" i="10"/>
  <c r="BZ90" i="10"/>
  <c r="AE136" i="10"/>
  <c r="AH137" i="10"/>
  <c r="AF153" i="10"/>
  <c r="BZ180" i="10"/>
  <c r="Z122" i="10"/>
  <c r="CV82" i="10"/>
  <c r="AF190" i="10"/>
  <c r="BU145" i="10"/>
  <c r="CT179" i="10"/>
  <c r="CW113" i="10"/>
  <c r="CR117" i="10"/>
  <c r="R174" i="10"/>
  <c r="BL96" i="10"/>
  <c r="CB46" i="10"/>
  <c r="AF175" i="10"/>
  <c r="BT168" i="10"/>
  <c r="AC151" i="10"/>
  <c r="CR173" i="10"/>
  <c r="BW168" i="10"/>
  <c r="CR146" i="10"/>
  <c r="BQ180" i="10"/>
  <c r="CP131" i="10"/>
  <c r="BK188" i="10"/>
  <c r="AM133" i="10"/>
  <c r="CJ146" i="10"/>
  <c r="BM144" i="10"/>
  <c r="CE169" i="10"/>
  <c r="AM148" i="10"/>
  <c r="AM171" i="10"/>
  <c r="CQ188" i="10"/>
  <c r="BZ163" i="10"/>
  <c r="CE84" i="10"/>
  <c r="AK160" i="10"/>
  <c r="CE118" i="10"/>
  <c r="CP191" i="10"/>
  <c r="BL144" i="10"/>
  <c r="BU187" i="10"/>
  <c r="CD57" i="10"/>
  <c r="CV169" i="10"/>
  <c r="CT146" i="10"/>
  <c r="CV157" i="10"/>
  <c r="BQ7" i="10"/>
  <c r="L182" i="10"/>
  <c r="CA184" i="10"/>
  <c r="BT126" i="10"/>
  <c r="AL28" i="10"/>
  <c r="AE148" i="10"/>
  <c r="BU61" i="10"/>
  <c r="BT125" i="10"/>
  <c r="CP185" i="10"/>
  <c r="CB161" i="10"/>
  <c r="AF159" i="10"/>
  <c r="BX172" i="10"/>
  <c r="CE157" i="10"/>
  <c r="CV177" i="10"/>
  <c r="BU112" i="10"/>
  <c r="BL85" i="10"/>
  <c r="BZ169" i="10"/>
  <c r="BT167" i="10"/>
  <c r="CJ103" i="10"/>
  <c r="BP161" i="10"/>
  <c r="AB181" i="10"/>
  <c r="BZ95" i="10"/>
  <c r="BQ142" i="10"/>
  <c r="CP90" i="10"/>
  <c r="BU124" i="10"/>
  <c r="BL122" i="10"/>
  <c r="CC183" i="10"/>
  <c r="BM100" i="10"/>
  <c r="CR105" i="10"/>
  <c r="BS174" i="10"/>
  <c r="AC76" i="10"/>
  <c r="CT190" i="10"/>
  <c r="BM110" i="10"/>
  <c r="AL181" i="10"/>
  <c r="CQ53" i="10"/>
  <c r="CC99" i="10"/>
  <c r="CQ125" i="10"/>
  <c r="BS98" i="10"/>
  <c r="BL181" i="10"/>
  <c r="BZ65" i="10"/>
  <c r="CT168" i="10"/>
  <c r="CW183" i="10"/>
  <c r="AB93" i="10"/>
  <c r="BX169" i="10"/>
  <c r="BW162" i="10"/>
  <c r="CA157" i="10"/>
  <c r="CC125" i="10"/>
  <c r="CT171" i="10"/>
  <c r="AF12" i="10"/>
  <c r="BM26" i="10"/>
  <c r="BU80" i="10"/>
  <c r="CW139" i="10"/>
  <c r="CE187" i="10"/>
  <c r="AB134" i="10"/>
  <c r="BL188" i="10"/>
  <c r="CB138" i="10"/>
  <c r="CR68" i="10"/>
  <c r="BM102" i="10"/>
  <c r="AA136" i="10"/>
  <c r="BV161" i="10"/>
  <c r="BW116" i="10"/>
  <c r="AF152" i="10"/>
  <c r="CJ137" i="10"/>
  <c r="AJ129" i="10"/>
  <c r="AK115" i="10"/>
  <c r="CJ105" i="10"/>
  <c r="BM89" i="10"/>
  <c r="BU122" i="10"/>
  <c r="CC152" i="10"/>
  <c r="AE165" i="10"/>
  <c r="CQ140" i="10"/>
  <c r="AF187" i="10"/>
  <c r="AE170" i="10"/>
  <c r="CT169" i="10"/>
  <c r="CQ115" i="10"/>
  <c r="AC156" i="10"/>
  <c r="BW184" i="10"/>
  <c r="CJ172" i="10"/>
  <c r="BP137" i="10"/>
  <c r="CA123" i="10"/>
  <c r="AK66" i="10"/>
  <c r="L125" i="10"/>
  <c r="BS83" i="10"/>
  <c r="CT110" i="10"/>
  <c r="L163" i="10"/>
  <c r="BX168" i="10"/>
  <c r="AL122" i="10"/>
  <c r="CT70" i="10"/>
  <c r="CD6" i="10"/>
  <c r="CB173" i="10"/>
  <c r="CA179" i="10"/>
  <c r="Z88" i="10"/>
  <c r="AL166" i="10"/>
  <c r="BZ147" i="10"/>
  <c r="BP155" i="10"/>
  <c r="BV134" i="10"/>
  <c r="BX150" i="10"/>
  <c r="CR89" i="10"/>
  <c r="Z171" i="10"/>
  <c r="BZ97" i="10"/>
  <c r="R160" i="10"/>
  <c r="AE167" i="10"/>
  <c r="BS129" i="10"/>
  <c r="CJ159" i="10"/>
  <c r="CV107" i="10"/>
  <c r="CP92" i="10"/>
  <c r="CB149" i="10"/>
  <c r="CC155" i="10"/>
  <c r="AA151" i="10"/>
  <c r="BS144" i="10"/>
  <c r="CT144" i="10"/>
  <c r="AF178" i="10"/>
  <c r="AE175" i="10"/>
  <c r="CD174" i="10"/>
  <c r="AF123" i="10"/>
  <c r="L154" i="10"/>
  <c r="AB176" i="10"/>
  <c r="AM91" i="10"/>
  <c r="CT131" i="10"/>
  <c r="CV187" i="10"/>
  <c r="L152" i="10"/>
  <c r="CT95" i="10"/>
  <c r="AJ160" i="10"/>
  <c r="AJ164" i="10"/>
  <c r="AH191" i="10"/>
  <c r="AA190" i="10"/>
  <c r="CA158" i="10"/>
  <c r="CT121" i="10"/>
  <c r="CB177" i="10"/>
  <c r="AA128" i="10"/>
  <c r="BX109" i="10"/>
  <c r="AA87" i="10"/>
  <c r="AC157" i="10"/>
  <c r="CC136" i="10"/>
  <c r="CC171" i="10"/>
  <c r="AM129" i="10"/>
  <c r="CB189" i="10"/>
  <c r="BV108" i="10"/>
  <c r="BM162" i="10"/>
  <c r="BW148" i="10"/>
  <c r="CE109" i="10"/>
  <c r="BZ131" i="10"/>
  <c r="AA85" i="10"/>
  <c r="BQ171" i="10"/>
  <c r="CQ157" i="10"/>
  <c r="BU105" i="10"/>
  <c r="AK157" i="10"/>
  <c r="BV67" i="10"/>
  <c r="BM163" i="10"/>
  <c r="CR119" i="10"/>
  <c r="BT158" i="10"/>
  <c r="CT150" i="10"/>
  <c r="AM65" i="10"/>
  <c r="CB70" i="10"/>
  <c r="L174" i="10"/>
  <c r="AL128" i="10"/>
  <c r="CA83" i="10"/>
  <c r="CD173" i="10"/>
  <c r="AK63" i="10"/>
  <c r="AH158" i="10"/>
  <c r="AB129" i="10"/>
  <c r="AE139" i="10"/>
  <c r="BT56" i="10"/>
  <c r="AC134" i="10"/>
  <c r="AL182" i="10"/>
  <c r="CJ166" i="10"/>
  <c r="BS46" i="10"/>
  <c r="BM165" i="10"/>
  <c r="BW144" i="10"/>
  <c r="BX159" i="10"/>
  <c r="R143" i="10"/>
  <c r="AM160" i="10"/>
  <c r="CA89" i="10"/>
  <c r="CB104" i="10"/>
  <c r="CA115" i="10"/>
  <c r="BT54" i="10"/>
  <c r="CP101" i="10"/>
  <c r="BV144" i="10"/>
  <c r="BX182" i="10"/>
  <c r="CT54" i="10"/>
  <c r="CA165" i="10"/>
  <c r="CC23" i="10"/>
  <c r="BP191" i="10"/>
  <c r="CD118" i="10"/>
  <c r="BT159" i="10"/>
  <c r="CR115" i="10"/>
  <c r="CB94" i="10"/>
  <c r="AL165" i="10"/>
  <c r="CV160" i="10"/>
  <c r="CC154" i="10"/>
  <c r="BV53" i="10"/>
  <c r="CP169" i="10"/>
  <c r="CD134" i="10"/>
  <c r="CW72" i="10"/>
  <c r="BW158" i="10"/>
  <c r="BI4" i="10"/>
  <c r="CQ186" i="10"/>
  <c r="CC189" i="10"/>
  <c r="CR192" i="10"/>
  <c r="CD170" i="10"/>
  <c r="CB159" i="10"/>
  <c r="CV69" i="10"/>
  <c r="CE63" i="10"/>
  <c r="AH165" i="10"/>
  <c r="BT140" i="10"/>
  <c r="BQ164" i="10"/>
  <c r="BZ150" i="10"/>
  <c r="AF83" i="10"/>
  <c r="BW77" i="10"/>
  <c r="AJ64" i="10"/>
  <c r="CW142" i="10"/>
  <c r="BP144" i="10"/>
  <c r="BQ150" i="10"/>
  <c r="CQ56" i="10"/>
  <c r="AE176" i="10"/>
  <c r="AL171" i="10"/>
  <c r="Z130" i="10"/>
  <c r="CE125" i="10"/>
  <c r="CR118" i="10"/>
  <c r="CQ111" i="10"/>
  <c r="CE183" i="10"/>
  <c r="BP185" i="10"/>
  <c r="CP145" i="10"/>
  <c r="U58" i="10"/>
  <c r="BS167" i="10"/>
  <c r="BZ164" i="10"/>
  <c r="L138" i="10"/>
  <c r="BX164" i="10"/>
  <c r="AL177" i="10"/>
  <c r="BU190" i="10"/>
  <c r="CD114" i="10"/>
  <c r="CA148" i="10"/>
  <c r="AF154" i="10"/>
  <c r="L192" i="10"/>
  <c r="CQ107" i="10"/>
  <c r="BW111" i="10"/>
  <c r="R129" i="10"/>
  <c r="CD184" i="10"/>
  <c r="BT138" i="10"/>
  <c r="AA96" i="10"/>
  <c r="BP169" i="10"/>
  <c r="CT177" i="10"/>
  <c r="L114" i="10"/>
  <c r="Z83" i="10"/>
  <c r="AH90" i="10"/>
  <c r="AH188" i="10"/>
  <c r="BL142" i="10"/>
  <c r="BT76" i="10"/>
  <c r="BM141" i="10"/>
  <c r="BQ79" i="10"/>
  <c r="AM167" i="10"/>
  <c r="CD147" i="10"/>
  <c r="CD130" i="10"/>
  <c r="CB107" i="10"/>
  <c r="BW185" i="10"/>
  <c r="CA53" i="10"/>
  <c r="AC110" i="10"/>
  <c r="AE102" i="10"/>
  <c r="AM161" i="10"/>
  <c r="CP181" i="10"/>
  <c r="BQ191" i="10"/>
  <c r="CP113" i="10"/>
  <c r="CQ150" i="10"/>
  <c r="AE173" i="10"/>
  <c r="AH76" i="10"/>
  <c r="BZ182" i="10"/>
  <c r="BT178" i="10"/>
  <c r="AB58" i="10"/>
  <c r="CT184" i="10"/>
  <c r="AB177" i="10"/>
  <c r="AK121" i="10"/>
  <c r="CT136" i="10"/>
  <c r="Z50" i="10"/>
  <c r="CD99" i="10"/>
  <c r="AJ153" i="10"/>
  <c r="BQ178" i="10"/>
  <c r="CD122" i="10"/>
  <c r="BP133" i="10"/>
  <c r="AB148" i="10"/>
  <c r="AK177" i="10"/>
  <c r="AM179" i="10"/>
  <c r="CT41" i="10"/>
  <c r="CD143" i="10"/>
  <c r="BS179" i="10"/>
  <c r="BH171" i="10"/>
  <c r="BV133" i="10"/>
  <c r="R179" i="10"/>
  <c r="CD159" i="10"/>
  <c r="CB118" i="10"/>
  <c r="BL115" i="10"/>
  <c r="BP149" i="10"/>
  <c r="BQ120" i="10"/>
  <c r="CE175" i="10"/>
  <c r="CJ188" i="10"/>
  <c r="CB120" i="10"/>
  <c r="AH124" i="10"/>
  <c r="Z165" i="10"/>
  <c r="CR178" i="10"/>
  <c r="CC156" i="10"/>
  <c r="CP122" i="10"/>
  <c r="CD127" i="10"/>
  <c r="AH178" i="10"/>
  <c r="CT7" i="10"/>
  <c r="AM192" i="10"/>
  <c r="AJ150" i="10"/>
  <c r="AH62" i="10"/>
  <c r="R185" i="10"/>
  <c r="AK167" i="10"/>
  <c r="CQ62" i="10"/>
  <c r="CC184" i="10"/>
  <c r="AK26" i="10"/>
  <c r="CD92" i="10"/>
  <c r="BP136" i="10"/>
  <c r="CR161" i="10"/>
  <c r="CB176" i="10"/>
  <c r="CC157" i="10"/>
  <c r="CD124" i="10"/>
  <c r="AM168" i="10"/>
  <c r="BV138" i="10"/>
  <c r="CR66" i="10"/>
  <c r="AM59" i="10"/>
  <c r="BW99" i="10"/>
  <c r="L24" i="10"/>
  <c r="AA154" i="10"/>
  <c r="BS158" i="10"/>
  <c r="CV78" i="10"/>
  <c r="CV146" i="10"/>
  <c r="CP132" i="10"/>
  <c r="R190" i="10"/>
  <c r="CQ100" i="10"/>
  <c r="AE41" i="10"/>
  <c r="BQ188" i="10"/>
  <c r="R106" i="10"/>
  <c r="CC180" i="10"/>
  <c r="AL117" i="10"/>
  <c r="AB132" i="10"/>
  <c r="CE133" i="10"/>
  <c r="CP187" i="10"/>
  <c r="AB165" i="10"/>
  <c r="AJ184" i="10"/>
  <c r="CA96" i="10"/>
  <c r="BL163" i="10"/>
  <c r="AL114" i="10"/>
  <c r="AA160" i="10"/>
  <c r="CR176" i="10"/>
  <c r="AL135" i="10"/>
  <c r="BW122" i="10"/>
  <c r="AJ123" i="10"/>
  <c r="AE143" i="10"/>
  <c r="CT165" i="10"/>
  <c r="CA181" i="10"/>
  <c r="AM166" i="10"/>
  <c r="AJ136" i="10"/>
  <c r="BM169" i="10"/>
  <c r="AH101" i="10"/>
  <c r="BM139" i="10"/>
  <c r="CE186" i="10"/>
  <c r="AH176" i="10"/>
  <c r="CA159" i="10"/>
  <c r="CA150" i="10"/>
  <c r="CA186" i="10"/>
  <c r="AL118" i="10"/>
  <c r="R65" i="10"/>
  <c r="AA152" i="10"/>
  <c r="BZ144" i="10"/>
  <c r="AB74" i="10"/>
  <c r="CQ158" i="10"/>
  <c r="CD163" i="10"/>
  <c r="BQ126" i="10"/>
  <c r="CJ89" i="10"/>
  <c r="S4" i="10"/>
  <c r="AC104" i="10"/>
  <c r="CJ118" i="10"/>
  <c r="BS145" i="10"/>
  <c r="CJ91" i="10"/>
  <c r="BQ146" i="10"/>
  <c r="CA188" i="10"/>
  <c r="AJ151" i="10"/>
  <c r="R99" i="10"/>
  <c r="CQ88" i="10"/>
  <c r="BQ177" i="10"/>
  <c r="CQ59" i="10"/>
  <c r="CA156" i="10"/>
  <c r="BW187" i="10"/>
  <c r="N92" i="10"/>
  <c r="BQ145" i="10"/>
  <c r="AJ127" i="10"/>
  <c r="CR98" i="10"/>
  <c r="CA112" i="10"/>
  <c r="CE173" i="10"/>
  <c r="CE87" i="10"/>
  <c r="AF176" i="10"/>
  <c r="R181" i="10"/>
  <c r="CC67" i="10"/>
  <c r="AC122" i="10"/>
  <c r="BT154" i="10"/>
  <c r="BS85" i="10"/>
  <c r="CJ120" i="10"/>
  <c r="CA87" i="10"/>
  <c r="AM158" i="10"/>
  <c r="AC149" i="10"/>
  <c r="BV135" i="10"/>
  <c r="BS132" i="10"/>
  <c r="CV170" i="10"/>
  <c r="BS64" i="10"/>
  <c r="CE136" i="10"/>
  <c r="CW79" i="10"/>
  <c r="BM178" i="10"/>
  <c r="AK122" i="10"/>
  <c r="AC163" i="10"/>
  <c r="CB141" i="10"/>
  <c r="CJ186" i="10"/>
  <c r="BU130" i="10"/>
  <c r="CB178" i="10"/>
  <c r="AL159" i="10"/>
  <c r="CR167" i="10"/>
  <c r="Z127" i="10"/>
  <c r="CA152" i="10"/>
  <c r="AA167" i="10"/>
  <c r="BS152" i="10"/>
  <c r="N110" i="10"/>
  <c r="AK171" i="10"/>
  <c r="BW151" i="10"/>
  <c r="AK143" i="10"/>
  <c r="AC172" i="10"/>
  <c r="CT129" i="10"/>
  <c r="BU155" i="10"/>
  <c r="CW70" i="10"/>
  <c r="CC98" i="10"/>
  <c r="BQ153" i="10"/>
  <c r="CV127" i="10"/>
  <c r="BL178" i="10"/>
  <c r="CB187" i="10"/>
  <c r="AL170" i="10"/>
  <c r="BM108" i="10"/>
  <c r="L130" i="10"/>
  <c r="CW127" i="10"/>
  <c r="L46" i="10"/>
  <c r="CQ138" i="10"/>
  <c r="CT178" i="10"/>
  <c r="AF174" i="10"/>
  <c r="CJ191" i="10"/>
  <c r="BP111" i="10"/>
  <c r="CQ167" i="10"/>
  <c r="CJ43" i="10"/>
  <c r="BU148" i="10"/>
  <c r="BX152" i="10"/>
  <c r="BQ54" i="10"/>
  <c r="CD191" i="10"/>
  <c r="AF150" i="10"/>
  <c r="AF69" i="10"/>
  <c r="CE38" i="10"/>
  <c r="BW133" i="10"/>
  <c r="CD116" i="10"/>
  <c r="AF95" i="10"/>
  <c r="BV104" i="10"/>
  <c r="AA105" i="10"/>
  <c r="BL151" i="10"/>
  <c r="Z151" i="10"/>
  <c r="BZ126" i="10"/>
  <c r="AK131" i="10"/>
  <c r="AM107" i="10"/>
  <c r="AH192" i="10"/>
  <c r="CT66" i="10"/>
  <c r="AK19" i="10"/>
  <c r="CB155" i="10"/>
  <c r="AB127" i="10"/>
  <c r="CD162" i="10"/>
  <c r="CP38" i="10"/>
  <c r="CT125" i="10"/>
  <c r="BL159" i="10"/>
  <c r="BW175" i="10"/>
  <c r="AL162" i="10"/>
  <c r="CA185" i="10"/>
  <c r="BU97" i="10"/>
  <c r="AL16" i="10"/>
  <c r="BW106" i="10"/>
  <c r="BP165" i="10"/>
  <c r="BW60" i="10"/>
  <c r="CD46" i="10"/>
  <c r="AJ170" i="10"/>
  <c r="AC189" i="10"/>
  <c r="BL97" i="10"/>
  <c r="AB156" i="10"/>
  <c r="AM175" i="10"/>
  <c r="BS187" i="10"/>
  <c r="BS183" i="10"/>
  <c r="AA64" i="10"/>
  <c r="BM25" i="10"/>
  <c r="CR149" i="10"/>
  <c r="CQ145" i="10"/>
  <c r="CT167" i="10"/>
  <c r="CW180" i="10"/>
  <c r="CE126" i="10"/>
  <c r="BP89" i="10"/>
  <c r="CQ134" i="10"/>
  <c r="CR124" i="10"/>
  <c r="BX56" i="10"/>
  <c r="AK173" i="10"/>
  <c r="CP192" i="10"/>
  <c r="Z147" i="10"/>
  <c r="L139" i="10"/>
  <c r="AA131" i="10"/>
  <c r="CJ102" i="10"/>
  <c r="CD138" i="10"/>
  <c r="CA131" i="10"/>
  <c r="CJ70" i="10"/>
  <c r="CE154" i="10"/>
  <c r="CC65" i="10"/>
  <c r="AJ117" i="10"/>
  <c r="CC124" i="10"/>
  <c r="BQ123" i="10"/>
  <c r="AB146" i="10"/>
  <c r="BU49" i="10"/>
  <c r="AL119" i="10"/>
  <c r="CA155" i="10"/>
  <c r="AB171" i="10"/>
  <c r="AB112" i="10"/>
  <c r="Z87" i="10"/>
  <c r="AM138" i="10"/>
  <c r="CB175" i="10"/>
  <c r="CW188" i="10"/>
  <c r="AB100" i="10"/>
  <c r="BS121" i="10"/>
  <c r="BS119" i="10"/>
  <c r="AF136" i="10"/>
  <c r="BW68" i="10"/>
  <c r="AL36" i="10"/>
  <c r="CD133" i="10"/>
  <c r="AH181" i="10"/>
  <c r="AF111" i="10"/>
  <c r="CT26" i="10"/>
  <c r="AJ95" i="10"/>
  <c r="AE99" i="10"/>
  <c r="BQ107" i="10"/>
  <c r="CR4" i="10"/>
  <c r="BQ11" i="10"/>
  <c r="AM80" i="10"/>
  <c r="AC170" i="10"/>
  <c r="AF146" i="10"/>
  <c r="CT118" i="10"/>
  <c r="AL70" i="10"/>
  <c r="R162" i="10"/>
  <c r="BT31" i="10"/>
  <c r="BP153" i="10"/>
  <c r="BM125" i="10"/>
  <c r="AA15" i="10"/>
  <c r="AK6" i="10"/>
  <c r="AB15" i="10"/>
  <c r="BX41" i="10"/>
  <c r="BV52" i="10"/>
  <c r="BS38" i="10"/>
  <c r="CD13" i="10"/>
  <c r="AM169" i="10"/>
  <c r="BL82" i="10"/>
  <c r="BV25" i="10"/>
  <c r="BQ128" i="10"/>
  <c r="BX153" i="10"/>
  <c r="AA147" i="10"/>
  <c r="BX78" i="10"/>
  <c r="AL10" i="10"/>
  <c r="AA164" i="10"/>
  <c r="CA19" i="10"/>
  <c r="CJ87" i="10"/>
  <c r="AH187" i="10"/>
  <c r="CE53" i="10"/>
  <c r="BP123" i="10"/>
  <c r="BZ146" i="10"/>
  <c r="CD67" i="10"/>
  <c r="AC166" i="10"/>
  <c r="CW71" i="10"/>
  <c r="AA59" i="10"/>
  <c r="AK90" i="10"/>
  <c r="BZ111" i="10"/>
  <c r="CW161" i="10"/>
  <c r="BL135" i="10"/>
  <c r="AA184" i="10"/>
  <c r="BU27" i="10"/>
  <c r="L171" i="10"/>
  <c r="BS47" i="10"/>
  <c r="CP165" i="10"/>
  <c r="CW111" i="10"/>
  <c r="Z115" i="10"/>
  <c r="CJ49" i="10"/>
  <c r="AC148" i="10"/>
  <c r="CA182" i="10"/>
  <c r="BU116" i="10"/>
  <c r="AB155" i="10"/>
  <c r="Z181" i="10"/>
  <c r="BW139" i="10"/>
  <c r="CD58" i="10"/>
  <c r="AH159" i="10"/>
  <c r="AF135" i="10"/>
  <c r="Z71" i="10"/>
  <c r="AJ39" i="10"/>
  <c r="CC87" i="10"/>
  <c r="BX148" i="10"/>
  <c r="U57" i="10"/>
  <c r="CC179" i="10"/>
  <c r="BL136" i="10"/>
  <c r="CV178" i="10"/>
  <c r="CP104" i="10"/>
  <c r="CW191" i="10"/>
  <c r="AB119" i="10"/>
  <c r="BM62" i="10"/>
  <c r="BZ170" i="10"/>
  <c r="BS44" i="10"/>
  <c r="CC85" i="10"/>
  <c r="BS141" i="10"/>
  <c r="CB192" i="10"/>
  <c r="CC177" i="10"/>
  <c r="CC143" i="10"/>
  <c r="AC114" i="10"/>
  <c r="CQ181" i="10"/>
  <c r="AK108" i="10"/>
  <c r="L129" i="10"/>
  <c r="Z32" i="10"/>
  <c r="AC61" i="10"/>
  <c r="CE81" i="10"/>
  <c r="CD30" i="10"/>
  <c r="BZ136" i="10"/>
  <c r="AC153" i="10"/>
  <c r="CJ154" i="10"/>
  <c r="Z118" i="10"/>
  <c r="BQ137" i="10"/>
  <c r="AH35" i="10"/>
  <c r="BM68" i="10"/>
  <c r="CP66" i="10"/>
  <c r="CT81" i="10"/>
  <c r="CJ185" i="10"/>
  <c r="AH80" i="10"/>
  <c r="BS71" i="10"/>
  <c r="CJ183" i="10"/>
  <c r="BM155" i="10"/>
  <c r="BU129" i="10"/>
  <c r="AF142" i="10"/>
  <c r="Z22" i="10"/>
  <c r="BU178" i="10"/>
  <c r="CC40" i="10"/>
  <c r="CA167" i="10"/>
  <c r="AK7" i="10"/>
  <c r="CB49" i="10"/>
  <c r="AM39" i="10"/>
  <c r="BN4" i="10"/>
  <c r="BX186" i="10"/>
  <c r="R7" i="10"/>
  <c r="CV163" i="10"/>
  <c r="AE111" i="10"/>
  <c r="CD69" i="10"/>
  <c r="BT102" i="10"/>
  <c r="CD166" i="10"/>
  <c r="AC184" i="10"/>
  <c r="CB123" i="10"/>
  <c r="CW64" i="10"/>
  <c r="AM32" i="10"/>
  <c r="R180" i="10"/>
  <c r="CB95" i="10"/>
  <c r="CD119" i="10"/>
  <c r="CB145" i="10"/>
  <c r="L161" i="10"/>
  <c r="BQ86" i="10"/>
  <c r="BS94" i="10"/>
  <c r="BW40" i="10"/>
  <c r="CV41" i="10"/>
  <c r="BU131" i="10"/>
  <c r="BL172" i="10"/>
  <c r="BP152" i="10"/>
  <c r="BM54" i="10"/>
  <c r="AH168" i="10"/>
  <c r="BU166" i="10"/>
  <c r="BQ76" i="10"/>
  <c r="L147" i="10"/>
  <c r="AJ83" i="10"/>
  <c r="CT100" i="10"/>
  <c r="CE150" i="10"/>
  <c r="BX61" i="10"/>
  <c r="CP21" i="10"/>
  <c r="CE22" i="10"/>
  <c r="AH51" i="10"/>
  <c r="CQ70" i="10"/>
  <c r="BZ55" i="10"/>
  <c r="CV148" i="10"/>
  <c r="AA182" i="10"/>
  <c r="CR128" i="10"/>
  <c r="CP52" i="10"/>
  <c r="BM78" i="10"/>
  <c r="CQ171" i="10"/>
  <c r="AE117" i="10"/>
  <c r="CP147" i="10"/>
  <c r="AM189" i="10"/>
  <c r="AE115" i="10"/>
  <c r="CT10" i="10"/>
  <c r="AK127" i="10"/>
  <c r="CP138" i="10"/>
  <c r="CC121" i="10"/>
  <c r="BP177" i="10"/>
  <c r="AK141" i="10"/>
  <c r="AC133" i="10"/>
  <c r="BU151" i="10"/>
  <c r="AB183" i="10"/>
  <c r="BV110" i="10"/>
  <c r="CJ128" i="10"/>
  <c r="CT142" i="10"/>
  <c r="AJ92" i="10"/>
  <c r="BL42" i="10"/>
  <c r="X72" i="10"/>
  <c r="AJ162" i="10"/>
  <c r="BW114" i="10"/>
  <c r="BQ109" i="10"/>
  <c r="AH85" i="10"/>
  <c r="CE158" i="10"/>
  <c r="CR92" i="10"/>
  <c r="AM117" i="10"/>
  <c r="CC56" i="10"/>
  <c r="BM186" i="10"/>
  <c r="CP129" i="10"/>
  <c r="BT44" i="10"/>
  <c r="Z62" i="10"/>
  <c r="Z141" i="10"/>
  <c r="BW81" i="10"/>
  <c r="CP118" i="10"/>
  <c r="BT48" i="10"/>
  <c r="CW182" i="10"/>
  <c r="AK158" i="10"/>
  <c r="AE157" i="10"/>
  <c r="AC111" i="10"/>
  <c r="AC103" i="10"/>
  <c r="AC49" i="10"/>
  <c r="AC152" i="10"/>
  <c r="AL180" i="10"/>
  <c r="AE132" i="10"/>
  <c r="AK191" i="10"/>
  <c r="AE144" i="10"/>
  <c r="BM75" i="10"/>
  <c r="AE106" i="10"/>
  <c r="BQ155" i="10"/>
  <c r="CW116" i="10"/>
  <c r="AK149" i="10"/>
  <c r="AH111" i="10"/>
  <c r="CD76" i="10"/>
  <c r="AA118" i="10"/>
  <c r="L72" i="10"/>
  <c r="CR73" i="10"/>
  <c r="BS76" i="10"/>
  <c r="R62" i="10"/>
  <c r="AL151" i="10"/>
  <c r="AM154" i="10"/>
  <c r="CC153" i="10"/>
  <c r="L56" i="10"/>
  <c r="T58" i="10"/>
  <c r="BU76" i="10"/>
  <c r="CV97" i="10"/>
  <c r="AL127" i="10"/>
  <c r="BM126" i="10"/>
  <c r="CR76" i="10"/>
  <c r="BV30" i="10"/>
  <c r="CA170" i="10"/>
  <c r="BU150" i="10"/>
  <c r="AB163" i="10"/>
  <c r="CT19" i="10"/>
  <c r="CJ26" i="10"/>
  <c r="CQ85" i="10"/>
  <c r="AE131" i="10"/>
  <c r="BT131" i="10"/>
  <c r="BQ73" i="10"/>
  <c r="CD126" i="10"/>
  <c r="BL52" i="10"/>
  <c r="CD94" i="10"/>
  <c r="BW104" i="10"/>
  <c r="CE131" i="10"/>
  <c r="AJ7" i="10"/>
  <c r="N83" i="10"/>
  <c r="CC81" i="10"/>
  <c r="AJ40" i="10"/>
  <c r="AM90" i="10"/>
  <c r="BW89" i="10"/>
  <c r="BM48" i="10"/>
  <c r="CD49" i="10"/>
  <c r="L190" i="10"/>
  <c r="BS74" i="10"/>
  <c r="BV75" i="10"/>
  <c r="CA62" i="10"/>
  <c r="CB82" i="10"/>
  <c r="CJ187" i="10"/>
  <c r="AC159" i="10"/>
  <c r="AB68" i="10"/>
  <c r="BX16" i="10"/>
  <c r="AC21" i="10"/>
  <c r="BU139" i="10"/>
  <c r="AL145" i="10"/>
  <c r="AH113" i="10"/>
  <c r="AJ103" i="10"/>
  <c r="CV65" i="10"/>
  <c r="BT152" i="10"/>
  <c r="CB74" i="10"/>
  <c r="CD161" i="10"/>
  <c r="CJ65" i="10"/>
  <c r="CC133" i="10"/>
  <c r="BM36" i="10"/>
  <c r="CD104" i="10"/>
  <c r="BZ114" i="10"/>
  <c r="AJ140" i="10"/>
  <c r="BQ165" i="10"/>
  <c r="CQ174" i="10"/>
  <c r="CQ49" i="10"/>
  <c r="AL189" i="10"/>
  <c r="CC164" i="10"/>
  <c r="BM81" i="10"/>
  <c r="Z66" i="10"/>
  <c r="CJ44" i="10"/>
  <c r="AH153" i="10"/>
  <c r="BM116" i="10"/>
  <c r="BQ184" i="10"/>
  <c r="AJ114" i="10"/>
  <c r="BM156" i="10"/>
  <c r="BP9" i="10"/>
  <c r="BV93" i="10"/>
  <c r="BQ104" i="10"/>
  <c r="AC185" i="10"/>
  <c r="AJ54" i="10"/>
  <c r="CW18" i="10"/>
  <c r="CA106" i="10"/>
  <c r="AB159" i="10"/>
  <c r="BT93" i="10"/>
  <c r="AJ138" i="10"/>
  <c r="CR157" i="10"/>
  <c r="BL164" i="10"/>
  <c r="BS102" i="10"/>
  <c r="CW174" i="10"/>
  <c r="BX141" i="10"/>
  <c r="CR62" i="10"/>
  <c r="CT137" i="10"/>
  <c r="BP93" i="10"/>
  <c r="BP129" i="10"/>
  <c r="CP157" i="10"/>
  <c r="BL130" i="10"/>
  <c r="BP106" i="10"/>
  <c r="BT172" i="10"/>
  <c r="AK58" i="10"/>
  <c r="AJ185" i="10"/>
  <c r="AL154" i="10"/>
  <c r="CJ169" i="10"/>
  <c r="BT187" i="10"/>
  <c r="AH119" i="10"/>
  <c r="CR84" i="10"/>
  <c r="AM94" i="10"/>
  <c r="AJ105" i="10"/>
  <c r="CV87" i="10"/>
  <c r="BP117" i="10"/>
  <c r="AE189" i="10"/>
  <c r="AB97" i="10"/>
  <c r="CJ121" i="10"/>
  <c r="BP150" i="10"/>
  <c r="BW166" i="10"/>
  <c r="Z189" i="10"/>
  <c r="AC164" i="10"/>
  <c r="BL121" i="10"/>
  <c r="BQ172" i="10"/>
  <c r="CW178" i="10"/>
  <c r="CB88" i="10"/>
  <c r="BS91" i="10"/>
  <c r="BX90" i="10"/>
  <c r="AH156" i="10"/>
  <c r="AC97" i="10"/>
  <c r="BP142" i="10"/>
  <c r="BT113" i="10"/>
  <c r="CV137" i="10"/>
  <c r="CT152" i="10"/>
  <c r="CW133" i="10"/>
  <c r="AH22" i="10"/>
  <c r="AK106" i="10"/>
  <c r="BX72" i="10"/>
  <c r="BP95" i="10"/>
  <c r="BX87" i="10"/>
  <c r="AH84" i="10"/>
  <c r="BX112" i="10"/>
  <c r="AA134" i="10"/>
  <c r="AF177" i="10"/>
  <c r="AJ171" i="10"/>
  <c r="CA171" i="10"/>
  <c r="CD87" i="10"/>
  <c r="AK180" i="10"/>
  <c r="L179" i="10"/>
  <c r="BL189" i="10"/>
  <c r="CQ98" i="10"/>
  <c r="CV152" i="10"/>
  <c r="BU137" i="10"/>
  <c r="BX136" i="10"/>
  <c r="CB72" i="10"/>
  <c r="AH116" i="10"/>
  <c r="AC187" i="10"/>
  <c r="AM127" i="10"/>
  <c r="AB60" i="10"/>
  <c r="BK84" i="10"/>
  <c r="BX187" i="10"/>
  <c r="CT124" i="10"/>
  <c r="BV126" i="10"/>
  <c r="AF168" i="10"/>
  <c r="CB168" i="10"/>
  <c r="BS148" i="10"/>
  <c r="L118" i="10"/>
  <c r="Z131" i="10"/>
  <c r="L98" i="10"/>
  <c r="CQ58" i="10"/>
  <c r="BQ149" i="10"/>
  <c r="L178" i="10"/>
  <c r="BS123" i="10"/>
  <c r="CW151" i="10"/>
  <c r="AH179" i="10"/>
  <c r="CQ180" i="10"/>
  <c r="BW57" i="10"/>
  <c r="BZ183" i="10"/>
  <c r="AB187" i="10"/>
  <c r="BL92" i="10"/>
  <c r="AB66" i="10"/>
  <c r="BW152" i="10"/>
  <c r="AB56" i="10"/>
  <c r="BV146" i="10"/>
  <c r="AH97" i="10"/>
  <c r="L121" i="10"/>
  <c r="AC70" i="10"/>
  <c r="CQ159" i="10"/>
  <c r="BX157" i="10"/>
  <c r="L136" i="10"/>
  <c r="CP102" i="10"/>
  <c r="CV192" i="10"/>
  <c r="CD120" i="10"/>
  <c r="AA145" i="10"/>
  <c r="CE176" i="10"/>
  <c r="AC46" i="10"/>
  <c r="BP131" i="10"/>
  <c r="BX143" i="10"/>
  <c r="AK190" i="10"/>
  <c r="Z63" i="10"/>
  <c r="BL126" i="10"/>
  <c r="CD185" i="10"/>
  <c r="AE138" i="10"/>
  <c r="AM165" i="10"/>
  <c r="BM160" i="10"/>
  <c r="AF188" i="10"/>
  <c r="Z146" i="10"/>
  <c r="AJ178" i="10"/>
  <c r="CC192" i="10"/>
  <c r="AH148" i="10"/>
  <c r="CV100" i="10"/>
  <c r="BQ87" i="10"/>
  <c r="BP86" i="10"/>
  <c r="AF134" i="10"/>
  <c r="CJ95" i="10"/>
  <c r="BL160" i="10"/>
  <c r="R93" i="10"/>
  <c r="CC80" i="10"/>
  <c r="BZ17" i="10"/>
  <c r="BM129" i="10"/>
  <c r="CC89" i="10"/>
  <c r="CA98" i="10"/>
  <c r="AK18" i="10"/>
  <c r="BS175" i="10"/>
  <c r="BZ142" i="10"/>
  <c r="CR95" i="10"/>
  <c r="CD88" i="10"/>
  <c r="AB160" i="10"/>
  <c r="BT90" i="10"/>
  <c r="AJ157" i="10"/>
  <c r="CD108" i="10"/>
  <c r="CD135" i="10"/>
  <c r="Z169" i="10"/>
  <c r="CR103" i="10"/>
  <c r="CE110" i="10"/>
  <c r="Z52" i="10"/>
  <c r="CE89" i="10"/>
  <c r="CQ152" i="10"/>
  <c r="CW49" i="10"/>
  <c r="AJ58" i="10"/>
  <c r="CR175" i="10"/>
  <c r="AC119" i="10"/>
  <c r="BV154" i="10"/>
  <c r="AM78" i="10"/>
  <c r="CW146" i="10"/>
  <c r="CV161" i="10"/>
  <c r="CD144" i="10"/>
  <c r="BX119" i="10"/>
  <c r="AF36" i="10"/>
  <c r="BT11" i="10"/>
  <c r="BZ109" i="10"/>
  <c r="CE113" i="10"/>
  <c r="BW105" i="10"/>
  <c r="CJ147" i="10"/>
  <c r="AJ120" i="10"/>
  <c r="CV155" i="10"/>
  <c r="CQ84" i="10"/>
  <c r="BT184" i="10"/>
  <c r="AA115" i="10"/>
  <c r="CB186" i="10"/>
  <c r="CA138" i="10"/>
  <c r="CR69" i="10"/>
  <c r="BL45" i="10"/>
  <c r="BU20" i="10"/>
  <c r="CP150" i="10"/>
  <c r="L106" i="10"/>
  <c r="AF52" i="10"/>
  <c r="CE165" i="10"/>
  <c r="BU176" i="10"/>
  <c r="AE94" i="10"/>
  <c r="BT182" i="10"/>
  <c r="BS188" i="10"/>
  <c r="BT170" i="10"/>
  <c r="AC139" i="10"/>
  <c r="CR70" i="10"/>
  <c r="Z97" i="10"/>
  <c r="BL192" i="10"/>
  <c r="BV147" i="10"/>
  <c r="AM120" i="10"/>
  <c r="BZ138" i="10"/>
  <c r="BQ119" i="10"/>
  <c r="AL6" i="10"/>
  <c r="L85" i="10"/>
  <c r="CM132" i="10"/>
  <c r="BP109" i="10"/>
  <c r="AH71" i="10"/>
  <c r="BV190" i="10"/>
  <c r="BM118" i="10"/>
  <c r="AJ128" i="10"/>
  <c r="BL131" i="10"/>
  <c r="CJ8" i="10"/>
  <c r="CT134" i="10"/>
  <c r="AM37" i="10"/>
  <c r="CP67" i="10"/>
  <c r="CP130" i="10"/>
  <c r="BL108" i="10"/>
  <c r="AL116" i="10"/>
  <c r="AE83" i="10"/>
  <c r="AH73" i="10"/>
  <c r="BM174" i="10"/>
  <c r="CW119" i="10"/>
  <c r="CC102" i="10"/>
  <c r="Z129" i="10"/>
  <c r="CR45" i="10"/>
  <c r="BZ133" i="10"/>
  <c r="L156" i="10"/>
  <c r="AJ11" i="10"/>
  <c r="L75" i="10"/>
  <c r="BS124" i="10"/>
  <c r="BP58" i="10"/>
  <c r="AE159" i="10"/>
  <c r="CW140" i="10"/>
  <c r="BQ161" i="10"/>
  <c r="CT180" i="10"/>
  <c r="CP155" i="10"/>
  <c r="Z51" i="10"/>
  <c r="CT128" i="10"/>
  <c r="BP99" i="10"/>
  <c r="CV8" i="10"/>
  <c r="CV162" i="10"/>
  <c r="AH60" i="10"/>
  <c r="CT58" i="10"/>
  <c r="CP167" i="10"/>
  <c r="AH143" i="10"/>
  <c r="BW186" i="10"/>
  <c r="AC136" i="10"/>
  <c r="AB143" i="10"/>
  <c r="AH99" i="10"/>
  <c r="AF77" i="10"/>
  <c r="L28" i="10"/>
  <c r="CD16" i="10"/>
  <c r="CA11" i="10"/>
  <c r="CD177" i="10"/>
  <c r="BM53" i="10"/>
  <c r="CE93" i="10"/>
  <c r="CJ112" i="10"/>
  <c r="BZ80" i="10"/>
  <c r="AA54" i="10"/>
  <c r="CR16" i="10"/>
  <c r="CT55" i="10"/>
  <c r="CT97" i="10"/>
  <c r="BU46" i="10"/>
  <c r="CA192" i="10"/>
  <c r="BX113" i="10"/>
  <c r="AA103" i="10"/>
  <c r="CW40" i="10"/>
  <c r="CV28" i="10"/>
  <c r="BV112" i="10"/>
  <c r="BT153" i="10"/>
  <c r="CP174" i="10"/>
  <c r="CR39" i="10"/>
  <c r="AE184" i="10"/>
  <c r="CT87" i="10"/>
  <c r="CP125" i="10"/>
  <c r="Z5" i="10"/>
  <c r="BP166" i="10"/>
  <c r="AE88" i="10"/>
  <c r="L126" i="10"/>
  <c r="BS61" i="10"/>
  <c r="AK92" i="10"/>
  <c r="AJ108" i="10"/>
  <c r="CA140" i="10"/>
  <c r="CW130" i="10"/>
  <c r="CR172" i="10"/>
  <c r="BV19" i="10"/>
  <c r="CP84" i="10"/>
  <c r="CB5" i="10"/>
  <c r="CE177" i="10"/>
  <c r="BS73" i="10"/>
  <c r="AH68" i="10"/>
  <c r="AE128" i="10"/>
  <c r="Z33" i="10"/>
  <c r="BW132" i="10"/>
  <c r="BQ98" i="10"/>
  <c r="AE183" i="10"/>
  <c r="BZ128" i="10"/>
  <c r="BQ189" i="10"/>
  <c r="CD28" i="10"/>
  <c r="AJ9" i="10"/>
  <c r="CR91" i="10"/>
  <c r="R66" i="10"/>
  <c r="BX171" i="10"/>
  <c r="AC173" i="10"/>
  <c r="BM166" i="10"/>
  <c r="BW159" i="10"/>
  <c r="CJ106" i="10"/>
  <c r="CP76" i="10"/>
  <c r="BL27" i="10"/>
  <c r="CA118" i="10"/>
  <c r="BM181" i="10"/>
  <c r="AF166" i="10"/>
  <c r="CJ33" i="10"/>
  <c r="BW154" i="10"/>
  <c r="AL23" i="10"/>
  <c r="BL152" i="10"/>
  <c r="AK117" i="10"/>
  <c r="BM21" i="10"/>
  <c r="AC127" i="10"/>
  <c r="CD68" i="10"/>
  <c r="BZ29" i="10"/>
  <c r="BL16" i="10"/>
  <c r="CC191" i="10"/>
  <c r="BZ118" i="10"/>
  <c r="AB166" i="10"/>
  <c r="CR163" i="10"/>
  <c r="AB162" i="10"/>
  <c r="N18" i="10"/>
  <c r="BV187" i="10"/>
  <c r="CC162" i="10"/>
  <c r="BU8" i="10"/>
  <c r="AC174" i="10"/>
  <c r="AF158" i="10"/>
  <c r="CA183" i="10"/>
  <c r="BW101" i="10"/>
  <c r="CP31" i="10"/>
  <c r="BP145" i="10"/>
  <c r="AB88" i="10"/>
  <c r="BX94" i="10"/>
  <c r="CA82" i="10"/>
  <c r="AL183" i="10"/>
  <c r="BU185" i="10"/>
  <c r="BL183" i="10"/>
  <c r="BT175" i="10"/>
  <c r="AE168" i="10"/>
  <c r="BZ153" i="10"/>
  <c r="CQ156" i="10"/>
  <c r="N164" i="10"/>
  <c r="Z96" i="10"/>
  <c r="CV124" i="10"/>
  <c r="CC163" i="10"/>
  <c r="BM146" i="10"/>
  <c r="AL176" i="10"/>
  <c r="AA156" i="10"/>
  <c r="BX83" i="10"/>
  <c r="AC77" i="10"/>
  <c r="CP127" i="10"/>
  <c r="Z125" i="10"/>
  <c r="AB62" i="10"/>
  <c r="BT83" i="10"/>
  <c r="CE132" i="10"/>
  <c r="CE41" i="10"/>
  <c r="R31" i="10"/>
  <c r="BZ140" i="10"/>
  <c r="BT134" i="10"/>
  <c r="BP176" i="10"/>
  <c r="BU111" i="10"/>
  <c r="CR180" i="10"/>
  <c r="AH65" i="10"/>
  <c r="AJ116" i="10"/>
  <c r="CP156" i="10"/>
  <c r="BQ154" i="10"/>
  <c r="CJ153" i="10"/>
  <c r="Z133" i="10"/>
  <c r="AL158" i="10"/>
  <c r="BW102" i="10"/>
  <c r="AH177" i="10"/>
  <c r="BS32" i="10"/>
  <c r="BM159" i="10"/>
  <c r="BZ12" i="10"/>
  <c r="R133" i="10"/>
  <c r="AL152" i="10"/>
  <c r="BU158" i="10"/>
  <c r="BQ143" i="10"/>
  <c r="AH19" i="10"/>
  <c r="AH184" i="10"/>
  <c r="CB119" i="10"/>
  <c r="BT169" i="10"/>
  <c r="L58" i="10"/>
  <c r="CT30" i="10"/>
  <c r="CA27" i="10"/>
  <c r="CE19" i="10"/>
  <c r="CB66" i="10"/>
  <c r="BQ10" i="10"/>
  <c r="CJ130" i="10"/>
  <c r="AE22" i="10"/>
  <c r="CV43" i="10"/>
  <c r="L34" i="10"/>
  <c r="BW128" i="10"/>
  <c r="CR151" i="10"/>
  <c r="AM159" i="10"/>
  <c r="BL110" i="10"/>
  <c r="AC32" i="10"/>
  <c r="AA185" i="10"/>
  <c r="BZ50" i="10"/>
  <c r="CV180" i="10"/>
  <c r="CB156" i="10"/>
  <c r="BP173" i="10"/>
  <c r="BS77" i="10"/>
  <c r="BZ7" i="10"/>
  <c r="CW186" i="10"/>
  <c r="AM131" i="10"/>
  <c r="BL104" i="10"/>
  <c r="BX161" i="10"/>
  <c r="CJ80" i="10"/>
  <c r="CW85" i="10"/>
  <c r="L115" i="10"/>
  <c r="CV108" i="10"/>
  <c r="AE145" i="10"/>
  <c r="CA191" i="10"/>
  <c r="AC162" i="10"/>
  <c r="CA55" i="10"/>
  <c r="CD171" i="10"/>
  <c r="AE113" i="10"/>
  <c r="BV121" i="10"/>
  <c r="BW153" i="10"/>
  <c r="CP176" i="10"/>
  <c r="BP147" i="10"/>
  <c r="BQ185" i="10"/>
  <c r="AM9" i="10"/>
  <c r="CQ151" i="10"/>
  <c r="BX91" i="10"/>
  <c r="AJ189" i="10"/>
  <c r="AA187" i="10"/>
  <c r="CB60" i="10"/>
  <c r="BX63" i="10"/>
  <c r="CT65" i="10"/>
  <c r="BL180" i="10"/>
  <c r="BU102" i="10"/>
  <c r="AM17" i="10"/>
  <c r="CR143" i="10"/>
  <c r="BP57" i="10"/>
  <c r="AE122" i="10"/>
  <c r="AJ111" i="10"/>
  <c r="CD23" i="10"/>
  <c r="BS169" i="10"/>
  <c r="R187" i="10"/>
  <c r="BQ95" i="10"/>
  <c r="BQ182" i="10"/>
  <c r="CB68" i="10"/>
  <c r="AL80" i="10"/>
  <c r="CV154" i="10"/>
  <c r="CC77" i="10"/>
  <c r="CV47" i="10"/>
  <c r="BW55" i="10"/>
  <c r="BQ122" i="10"/>
  <c r="N95" i="10"/>
  <c r="CC160" i="10"/>
  <c r="N100" i="10"/>
  <c r="CD39" i="10"/>
  <c r="CP182" i="10"/>
  <c r="BP121" i="10"/>
  <c r="CA136" i="10"/>
  <c r="AM30" i="10"/>
  <c r="CQ46" i="10"/>
  <c r="BT174" i="10"/>
  <c r="CP25" i="10"/>
  <c r="BU125" i="10"/>
  <c r="BW103" i="10"/>
  <c r="CR122" i="10"/>
  <c r="BS189" i="10"/>
  <c r="CJ189" i="10"/>
  <c r="T89" i="10"/>
  <c r="L164" i="10"/>
  <c r="BZ191" i="10"/>
  <c r="AM181" i="10"/>
  <c r="AM4" i="10"/>
  <c r="CR159" i="10"/>
  <c r="BP35" i="10"/>
  <c r="CB154" i="10"/>
  <c r="AL56" i="10"/>
  <c r="BV65" i="10"/>
  <c r="AA76" i="10"/>
  <c r="BX120" i="10"/>
  <c r="CT76" i="10"/>
  <c r="BS122" i="10"/>
  <c r="AK174" i="10"/>
  <c r="BH188" i="10"/>
  <c r="AA113" i="10"/>
  <c r="CT161" i="10"/>
  <c r="CB64" i="10"/>
  <c r="AH160" i="10"/>
  <c r="BL87" i="10"/>
  <c r="BU100" i="10"/>
  <c r="BW150" i="10"/>
  <c r="CT181" i="10"/>
  <c r="CC7" i="10"/>
  <c r="CC51" i="10"/>
  <c r="CD149" i="10"/>
  <c r="CV52" i="10"/>
  <c r="CP44" i="10"/>
  <c r="BS136" i="10"/>
  <c r="CC139" i="10"/>
  <c r="AC68" i="10"/>
  <c r="CJ156" i="10"/>
  <c r="AE79" i="10"/>
  <c r="CV126" i="10"/>
  <c r="BS79" i="10"/>
  <c r="BQ148" i="10"/>
  <c r="BU181" i="10"/>
  <c r="BP116" i="10"/>
  <c r="BW26" i="10"/>
  <c r="BV106" i="10"/>
  <c r="CV104" i="10"/>
  <c r="BZ74" i="10"/>
  <c r="BX32" i="10"/>
  <c r="BL77" i="10"/>
  <c r="CQ183" i="10"/>
  <c r="L68" i="10"/>
  <c r="CV99" i="10"/>
  <c r="BM105" i="10"/>
  <c r="CQ182" i="10"/>
  <c r="AF24" i="10"/>
  <c r="CV173" i="10"/>
  <c r="BV46" i="10"/>
  <c r="AB42" i="10"/>
  <c r="CR113" i="10"/>
  <c r="AF172" i="10"/>
  <c r="AA82" i="10"/>
  <c r="BP73" i="10"/>
  <c r="AL12" i="10"/>
  <c r="CD51" i="10"/>
  <c r="CB170" i="10"/>
  <c r="AE13" i="10"/>
  <c r="BQ106" i="10"/>
  <c r="AB47" i="10"/>
  <c r="CT116" i="10"/>
  <c r="CB115" i="10"/>
  <c r="AF44" i="10"/>
  <c r="CV140" i="10"/>
  <c r="CD73" i="10"/>
  <c r="AJ62" i="10"/>
  <c r="CR57" i="10"/>
  <c r="BV100" i="10"/>
  <c r="AL150" i="10"/>
  <c r="CB58" i="10"/>
  <c r="AF132" i="10"/>
  <c r="AM21" i="10"/>
  <c r="BV5" i="10"/>
  <c r="CB151" i="10"/>
  <c r="AK119" i="10"/>
  <c r="CP124" i="10"/>
  <c r="BT130" i="10"/>
  <c r="CT50" i="10"/>
  <c r="CB33" i="10"/>
  <c r="AC43" i="10"/>
  <c r="CA151" i="10"/>
  <c r="R178" i="10"/>
  <c r="CJ75" i="10"/>
  <c r="CQ113" i="10"/>
  <c r="BZ13" i="10"/>
  <c r="CC131" i="10"/>
  <c r="BU29" i="10"/>
  <c r="CV94" i="10"/>
  <c r="BP103" i="10"/>
  <c r="CD167" i="10"/>
  <c r="CE159" i="10"/>
  <c r="CE191" i="10"/>
  <c r="BW125" i="10"/>
  <c r="CB76" i="10"/>
  <c r="AB6" i="10"/>
  <c r="CA160" i="10"/>
  <c r="CV120" i="10"/>
  <c r="CP153" i="10"/>
  <c r="BU85" i="10"/>
  <c r="BM184" i="10"/>
  <c r="AM153" i="10"/>
  <c r="CE95" i="10"/>
  <c r="BU183" i="10"/>
  <c r="CW12" i="10"/>
  <c r="AH127" i="10"/>
  <c r="AF124" i="10"/>
  <c r="AC41" i="10"/>
  <c r="Z172" i="10"/>
  <c r="CW90" i="10"/>
  <c r="N97" i="10"/>
  <c r="CW143" i="10"/>
  <c r="AA33" i="10"/>
  <c r="AC118" i="10"/>
  <c r="Z161" i="10"/>
  <c r="BL35" i="10"/>
  <c r="AK52" i="10"/>
  <c r="CW15" i="10"/>
  <c r="BL48" i="10"/>
  <c r="BT75" i="10"/>
  <c r="BS138" i="10"/>
  <c r="AE34" i="10"/>
  <c r="AJ147" i="10"/>
  <c r="BM177" i="10"/>
  <c r="AC87" i="10"/>
  <c r="BM45" i="10"/>
  <c r="AC17" i="10"/>
  <c r="AF13" i="10"/>
  <c r="CE70" i="10"/>
  <c r="AH167" i="10"/>
  <c r="BZ189" i="10"/>
  <c r="CE101" i="10"/>
  <c r="BL15" i="10"/>
  <c r="CQ154" i="10"/>
  <c r="CB126" i="10"/>
  <c r="AK9" i="10"/>
  <c r="CQ55" i="10"/>
  <c r="CA29" i="10"/>
  <c r="CA147" i="10"/>
  <c r="AK20" i="10"/>
  <c r="AA130" i="10"/>
  <c r="AK126" i="10"/>
  <c r="BV153" i="10"/>
  <c r="Z40" i="10"/>
  <c r="AL74" i="10"/>
  <c r="BW72" i="10"/>
  <c r="AK124" i="10"/>
  <c r="BM49" i="10"/>
  <c r="CE35" i="10"/>
  <c r="CB55" i="10"/>
  <c r="AA81" i="10"/>
  <c r="AM145" i="10"/>
  <c r="CE180" i="10"/>
  <c r="BW43" i="10"/>
  <c r="CD36" i="10"/>
  <c r="AM57" i="10"/>
  <c r="AL100" i="10"/>
  <c r="BW6" i="10"/>
  <c r="CQ99" i="10"/>
  <c r="R6" i="10"/>
  <c r="CW158" i="10"/>
  <c r="CB87" i="10"/>
  <c r="Z8" i="10"/>
  <c r="AE162" i="10"/>
  <c r="BW34" i="10"/>
  <c r="BL105" i="10"/>
  <c r="BL176" i="10"/>
  <c r="AF40" i="10"/>
  <c r="R51" i="10"/>
  <c r="CP114" i="10"/>
  <c r="BS93" i="10"/>
  <c r="AK133" i="10"/>
  <c r="CJ25" i="10"/>
  <c r="BV114" i="10"/>
  <c r="AL57" i="10"/>
  <c r="CW150" i="10"/>
  <c r="BQ130" i="10"/>
  <c r="BS95" i="10"/>
  <c r="BW75" i="10"/>
  <c r="Z11" i="10"/>
  <c r="CD25" i="10"/>
  <c r="CV130" i="10"/>
  <c r="AE69" i="10"/>
  <c r="CE105" i="10"/>
  <c r="AJ152" i="10"/>
  <c r="AK42" i="10"/>
  <c r="AB25" i="10"/>
  <c r="BX47" i="10"/>
  <c r="BT110" i="10"/>
  <c r="AH114" i="10"/>
  <c r="CQ109" i="10"/>
  <c r="CE36" i="10"/>
  <c r="CC9" i="10"/>
  <c r="AA32" i="10"/>
  <c r="CB131" i="10"/>
  <c r="CJ178" i="10"/>
  <c r="AH183" i="10"/>
  <c r="CQ73" i="10"/>
  <c r="BZ73" i="10"/>
  <c r="CW190" i="10"/>
  <c r="BM55" i="10"/>
  <c r="BP113" i="10"/>
  <c r="AF129" i="10"/>
  <c r="AF35" i="10"/>
  <c r="BS128" i="10"/>
  <c r="AH95" i="10"/>
  <c r="CC150" i="10"/>
  <c r="BU99" i="10"/>
  <c r="BU163" i="10"/>
  <c r="CE123" i="10"/>
  <c r="CD82" i="10"/>
  <c r="AC137" i="10"/>
  <c r="Z162" i="10"/>
  <c r="CE190" i="10"/>
  <c r="AF93" i="10"/>
  <c r="AL50" i="10"/>
  <c r="BQ85" i="10"/>
  <c r="BV180" i="10"/>
  <c r="CE117" i="10"/>
  <c r="CE137" i="10"/>
  <c r="BP82" i="10"/>
  <c r="CB136" i="10"/>
  <c r="BP66" i="10"/>
  <c r="BX165" i="10"/>
  <c r="CA127" i="10"/>
  <c r="BL106" i="10"/>
  <c r="BU120" i="10"/>
  <c r="BM66" i="10"/>
  <c r="BL155" i="10"/>
  <c r="BS75" i="10"/>
  <c r="AF59" i="10"/>
  <c r="CJ160" i="10"/>
  <c r="BT112" i="10"/>
  <c r="CQ92" i="10"/>
  <c r="AL186" i="10"/>
  <c r="BZ158" i="10"/>
  <c r="BV41" i="10"/>
  <c r="AK139" i="10"/>
  <c r="CV66" i="10"/>
  <c r="Z167" i="10"/>
  <c r="BW121" i="10"/>
  <c r="CR77" i="10"/>
  <c r="AK80" i="10"/>
  <c r="BL177" i="10"/>
  <c r="BM122" i="10"/>
  <c r="CT109" i="10"/>
  <c r="BM11" i="10"/>
  <c r="BT101" i="10"/>
  <c r="AL98" i="10"/>
  <c r="BS146" i="10"/>
  <c r="AA47" i="10"/>
  <c r="CR10" i="10"/>
  <c r="AJ41" i="10"/>
  <c r="BZ125" i="10"/>
  <c r="AA144" i="10"/>
  <c r="CA56" i="10"/>
  <c r="BT84" i="10"/>
  <c r="AC60" i="10"/>
  <c r="CC12" i="10"/>
  <c r="CV50" i="10"/>
  <c r="CE85" i="10"/>
  <c r="AK105" i="10"/>
  <c r="CV185" i="10"/>
  <c r="BL83" i="10"/>
  <c r="BW38" i="10"/>
  <c r="BU133" i="10"/>
  <c r="CC75" i="10"/>
  <c r="BM119" i="10"/>
  <c r="AK72" i="10"/>
  <c r="CP137" i="10"/>
  <c r="AE84" i="10"/>
  <c r="CM83" i="10"/>
  <c r="CA28" i="10"/>
  <c r="AB186" i="10"/>
  <c r="CW157" i="10"/>
  <c r="BW76" i="10"/>
  <c r="BX42" i="10"/>
  <c r="BW183" i="10"/>
  <c r="AB111" i="10"/>
  <c r="CP161" i="10"/>
  <c r="AF107" i="10"/>
  <c r="BX147" i="10"/>
  <c r="BX175" i="10"/>
  <c r="CD128" i="10"/>
  <c r="BQ170" i="10"/>
  <c r="BX111" i="10"/>
  <c r="BX6" i="10"/>
  <c r="AB189" i="10"/>
  <c r="AE171" i="10"/>
  <c r="BM135" i="10"/>
  <c r="CB77" i="10"/>
  <c r="CQ176" i="10"/>
  <c r="BZ145" i="10"/>
  <c r="BQ152" i="10"/>
  <c r="AK32" i="10"/>
  <c r="BS159" i="10"/>
  <c r="AH150" i="10"/>
  <c r="CW145" i="10"/>
  <c r="AF185" i="10"/>
  <c r="CR108" i="10"/>
  <c r="CP50" i="10"/>
  <c r="BM76" i="10"/>
  <c r="AL136" i="10"/>
  <c r="AB85" i="10"/>
  <c r="CR179" i="10"/>
  <c r="BT43" i="10"/>
  <c r="CT99" i="10"/>
  <c r="CD180" i="10"/>
  <c r="AH172" i="10"/>
  <c r="Z178" i="10"/>
  <c r="CJ117" i="10"/>
  <c r="BQ83" i="10"/>
  <c r="CB160" i="10"/>
  <c r="AC161" i="10"/>
  <c r="BP90" i="10"/>
  <c r="CV59" i="10"/>
  <c r="AK151" i="10"/>
  <c r="CE79" i="10"/>
  <c r="BL9" i="10"/>
  <c r="AL68" i="10"/>
  <c r="CT162" i="10"/>
  <c r="CW134" i="10"/>
  <c r="BV32" i="10"/>
  <c r="AM140" i="10"/>
  <c r="AJ192" i="10"/>
  <c r="CB86" i="10"/>
  <c r="BU159" i="10"/>
  <c r="AE124" i="10"/>
  <c r="BT180" i="10"/>
  <c r="AA16" i="10"/>
  <c r="AF14" i="10"/>
  <c r="BS105" i="10"/>
  <c r="CV166" i="10"/>
  <c r="AL39" i="10"/>
  <c r="AC96" i="10"/>
  <c r="BM52" i="10"/>
  <c r="L151" i="10"/>
  <c r="BZ52" i="10"/>
  <c r="CP70" i="10"/>
  <c r="Z101" i="10"/>
  <c r="AL140" i="10"/>
  <c r="AL82" i="10"/>
  <c r="CB27" i="10"/>
  <c r="CB96" i="10"/>
  <c r="BS153" i="10"/>
  <c r="AK50" i="10"/>
  <c r="CC117" i="10"/>
  <c r="AH87" i="10"/>
  <c r="AK98" i="10"/>
  <c r="AH64" i="10"/>
  <c r="AB31" i="10"/>
  <c r="Z142" i="10"/>
  <c r="BQ6" i="10"/>
  <c r="CD112" i="10"/>
  <c r="CE163" i="10"/>
  <c r="CE83" i="10"/>
  <c r="AC79" i="10"/>
  <c r="L31" i="10"/>
  <c r="CR36" i="10"/>
  <c r="BW146" i="10"/>
  <c r="BS84" i="10"/>
  <c r="AE32" i="10"/>
  <c r="AE182" i="10"/>
  <c r="CR82" i="10"/>
  <c r="BM4" i="10"/>
  <c r="BL167" i="10"/>
  <c r="CA41" i="10"/>
  <c r="BZ63" i="10"/>
  <c r="AE68" i="10"/>
  <c r="AM111" i="10"/>
  <c r="CQ131" i="10"/>
  <c r="Z43" i="10"/>
  <c r="CB127" i="10"/>
  <c r="CW168" i="10"/>
  <c r="AH166" i="10"/>
  <c r="BP170" i="10"/>
  <c r="CR174" i="10"/>
  <c r="BL112" i="10"/>
  <c r="AK43" i="10"/>
  <c r="AJ84" i="10"/>
  <c r="BW28" i="10"/>
  <c r="BU45" i="10"/>
  <c r="CV44" i="10"/>
  <c r="CQ144" i="10"/>
  <c r="CJ78" i="10"/>
  <c r="BM94" i="10"/>
  <c r="BU168" i="10"/>
  <c r="CA42" i="10"/>
  <c r="AA71" i="10"/>
  <c r="AF133" i="10"/>
  <c r="CV85" i="10"/>
  <c r="AM85" i="10"/>
  <c r="BV172" i="10"/>
  <c r="AE98" i="10"/>
  <c r="BQ70" i="10"/>
  <c r="BT9" i="10"/>
  <c r="AH38" i="10"/>
  <c r="AA19" i="10"/>
  <c r="BS36" i="10"/>
  <c r="CD60" i="10"/>
  <c r="BT107" i="10"/>
  <c r="CV101" i="10"/>
  <c r="CC119" i="10"/>
  <c r="BL114" i="10"/>
  <c r="AB51" i="10"/>
  <c r="AM98" i="10"/>
  <c r="AJ168" i="10"/>
  <c r="CT72" i="10"/>
  <c r="CC137" i="10"/>
  <c r="AC51" i="10"/>
  <c r="CD131" i="10"/>
  <c r="CT23" i="10"/>
  <c r="AJ110" i="10"/>
  <c r="AM67" i="10"/>
  <c r="CP94" i="10"/>
  <c r="BU37" i="10"/>
  <c r="CA13" i="10"/>
  <c r="BX24" i="10"/>
  <c r="AB174" i="10"/>
  <c r="CB164" i="10"/>
  <c r="AH115" i="10"/>
  <c r="AC120" i="10"/>
  <c r="BW79" i="10"/>
  <c r="BM106" i="10"/>
  <c r="Z89" i="10"/>
  <c r="BX131" i="10"/>
  <c r="BW129" i="10"/>
  <c r="CQ141" i="10"/>
  <c r="CJ107" i="10"/>
  <c r="L140" i="10"/>
  <c r="AJ81" i="10"/>
  <c r="AE91" i="10"/>
  <c r="BS191" i="10"/>
  <c r="BW156" i="10"/>
  <c r="AE180" i="10"/>
  <c r="L29" i="10"/>
  <c r="AL163" i="10"/>
  <c r="BT141" i="10"/>
  <c r="AH133" i="10"/>
  <c r="BL11" i="10"/>
  <c r="CA141" i="10"/>
  <c r="BM147" i="10"/>
  <c r="BV31" i="10"/>
  <c r="BL90" i="10"/>
  <c r="CT123" i="10"/>
  <c r="AF33" i="10"/>
  <c r="AK93" i="10"/>
  <c r="BL89" i="10"/>
  <c r="Z145" i="10"/>
  <c r="Z120" i="10"/>
  <c r="AF130" i="10"/>
  <c r="BP83" i="10"/>
  <c r="AC84" i="10"/>
  <c r="CD100" i="10"/>
  <c r="AL148" i="10"/>
  <c r="L41" i="10"/>
  <c r="BM39" i="10"/>
  <c r="CC11" i="10"/>
  <c r="CB137" i="10"/>
  <c r="BS173" i="10"/>
  <c r="BS161" i="10"/>
  <c r="AA55" i="10"/>
  <c r="BQ186" i="10"/>
  <c r="BM172" i="10"/>
  <c r="BP88" i="10"/>
  <c r="BU147" i="10"/>
  <c r="CW121" i="10"/>
  <c r="CQ147" i="10"/>
  <c r="AJ66" i="10"/>
  <c r="CP172" i="10"/>
  <c r="AJ93" i="10"/>
  <c r="BX127" i="10"/>
  <c r="AH140" i="10"/>
  <c r="BT30" i="10"/>
  <c r="AB17" i="10"/>
  <c r="CV176" i="10"/>
  <c r="CW96" i="10"/>
  <c r="CC122" i="10"/>
  <c r="AA123" i="10"/>
  <c r="BL140" i="10"/>
  <c r="AC155" i="10"/>
  <c r="CV153" i="10"/>
  <c r="AC147" i="10"/>
  <c r="BT86" i="10"/>
  <c r="CJ51" i="10"/>
  <c r="CV106" i="10"/>
  <c r="CW91" i="10"/>
  <c r="AL47" i="10"/>
  <c r="AK88" i="10"/>
  <c r="AE146" i="10"/>
  <c r="BP119" i="10"/>
  <c r="CV125" i="10"/>
  <c r="BN29" i="10"/>
  <c r="AA77" i="10"/>
  <c r="CW26" i="10"/>
  <c r="L51" i="10"/>
  <c r="CP121" i="10"/>
  <c r="AM74" i="10"/>
  <c r="BQ121" i="10"/>
  <c r="CW159" i="10"/>
  <c r="CP28" i="10"/>
  <c r="CQ129" i="10"/>
  <c r="CJ165" i="10"/>
  <c r="AE20" i="10"/>
  <c r="AJ182" i="10"/>
  <c r="Z49" i="10"/>
  <c r="CV89" i="10"/>
  <c r="CB188" i="10"/>
  <c r="AC94" i="10"/>
  <c r="BU51" i="10"/>
  <c r="BT68" i="10"/>
  <c r="AC19" i="10"/>
  <c r="BQ99" i="10"/>
  <c r="CP180" i="10"/>
  <c r="CR182" i="10"/>
  <c r="Z21" i="10"/>
  <c r="BZ85" i="10"/>
  <c r="AK137" i="10"/>
  <c r="BZ141" i="10"/>
  <c r="BU58" i="10"/>
  <c r="BQ26" i="10"/>
  <c r="CQ155" i="10"/>
  <c r="AL90" i="10"/>
  <c r="CC114" i="10"/>
  <c r="L63" i="10"/>
  <c r="BZ162" i="10"/>
  <c r="Z109" i="10"/>
  <c r="CB43" i="10"/>
  <c r="AA98" i="10"/>
  <c r="AH138" i="10"/>
  <c r="BW78" i="10"/>
  <c r="CW32" i="10"/>
  <c r="CJ52" i="10"/>
  <c r="L83" i="10"/>
  <c r="CO76" i="10"/>
  <c r="AB102" i="10"/>
  <c r="AL71" i="10"/>
  <c r="BT114" i="10"/>
  <c r="Z65" i="10"/>
  <c r="AE133" i="10"/>
  <c r="CJ41" i="10"/>
  <c r="CV136" i="10"/>
  <c r="BQ60" i="10"/>
  <c r="BT142" i="10"/>
  <c r="CC72" i="10"/>
  <c r="L17" i="10"/>
  <c r="CE151" i="10"/>
  <c r="CV88" i="10"/>
  <c r="AH132" i="10"/>
  <c r="BZ54" i="10"/>
  <c r="CE59" i="10"/>
  <c r="BU53" i="10"/>
  <c r="CJ170" i="10"/>
  <c r="CT160" i="10"/>
  <c r="AA148" i="10"/>
  <c r="CP83" i="10"/>
  <c r="CE58" i="10"/>
  <c r="AJ100" i="10"/>
  <c r="AH131" i="10"/>
  <c r="BX170" i="10"/>
  <c r="AE152" i="10"/>
  <c r="CV190" i="10"/>
  <c r="L54" i="10"/>
  <c r="CW189" i="10"/>
  <c r="CD164" i="10"/>
  <c r="BL118" i="10"/>
  <c r="BM161" i="10"/>
  <c r="CT52" i="10"/>
  <c r="AH57" i="10"/>
  <c r="Z177" i="10"/>
  <c r="CB103" i="10"/>
  <c r="AM119" i="10"/>
  <c r="AA153" i="10"/>
  <c r="AL172" i="10"/>
  <c r="BP55" i="10"/>
  <c r="BL190" i="10"/>
  <c r="CB80" i="10"/>
  <c r="BZ91" i="10"/>
  <c r="BU104" i="10"/>
  <c r="AL105" i="10"/>
  <c r="CR26" i="10"/>
  <c r="BT55" i="10"/>
  <c r="AF82" i="10"/>
  <c r="CC174" i="10"/>
  <c r="AH147" i="10"/>
  <c r="CD152" i="10"/>
  <c r="BX138" i="10"/>
  <c r="BL60" i="10"/>
  <c r="CR147" i="10"/>
  <c r="CQ175" i="10"/>
  <c r="BU123" i="10"/>
  <c r="BU128" i="10"/>
  <c r="CQ184" i="10"/>
  <c r="AB72" i="10"/>
  <c r="AF5" i="10"/>
  <c r="U89" i="10"/>
  <c r="AF103" i="10"/>
  <c r="CD136" i="10"/>
  <c r="AK11" i="10"/>
  <c r="CQ80" i="10"/>
  <c r="CC181" i="10"/>
  <c r="AK104" i="10"/>
  <c r="AH18" i="10"/>
  <c r="BU114" i="10"/>
  <c r="BL139" i="10"/>
  <c r="N39" i="10"/>
  <c r="AF162" i="10"/>
  <c r="BQ71" i="10"/>
  <c r="AC178" i="10"/>
  <c r="R149" i="10"/>
  <c r="CB39" i="10"/>
  <c r="CB110" i="10"/>
  <c r="N32" i="10"/>
  <c r="CP93" i="10"/>
  <c r="N130" i="10"/>
  <c r="BT87" i="10"/>
  <c r="BT150" i="10"/>
  <c r="CD85" i="10"/>
  <c r="AA50" i="10"/>
  <c r="CB185" i="10"/>
  <c r="AE140" i="10"/>
  <c r="CP49" i="10"/>
  <c r="AM58" i="10"/>
  <c r="AK112" i="10"/>
  <c r="AC25" i="10"/>
  <c r="BQ124" i="10"/>
  <c r="CD107" i="10"/>
  <c r="BU188" i="10"/>
  <c r="BM182" i="10"/>
  <c r="CE23" i="10"/>
  <c r="AH122" i="10"/>
  <c r="CD137" i="10"/>
  <c r="CW81" i="10"/>
  <c r="L62" i="10"/>
  <c r="CR85" i="10"/>
  <c r="CA178" i="10"/>
  <c r="AM110" i="10"/>
  <c r="CT49" i="10"/>
  <c r="CP120" i="10"/>
  <c r="CC113" i="10"/>
  <c r="CW120" i="10"/>
  <c r="AE116" i="10"/>
  <c r="BV131" i="10"/>
  <c r="CJ157" i="10"/>
  <c r="AK109" i="10"/>
  <c r="AK186" i="10"/>
  <c r="CD150" i="10"/>
  <c r="BU177" i="10"/>
  <c r="CD113" i="10"/>
  <c r="BZ187" i="10"/>
  <c r="CV76" i="10"/>
  <c r="BM136" i="10"/>
  <c r="AL60" i="10"/>
  <c r="CP146" i="10"/>
  <c r="AC102" i="10"/>
  <c r="AF57" i="10"/>
  <c r="CD95" i="10"/>
  <c r="CQ120" i="10"/>
  <c r="BV84" i="10"/>
  <c r="AK103" i="10"/>
  <c r="BU78" i="10"/>
  <c r="CC37" i="10"/>
  <c r="CE141" i="10"/>
  <c r="CJ46" i="10"/>
  <c r="BX7" i="10"/>
  <c r="AA31" i="10"/>
  <c r="CV17" i="10"/>
  <c r="BP4" i="10"/>
  <c r="AE63" i="10"/>
  <c r="N67" i="10"/>
  <c r="BX44" i="10"/>
  <c r="CV135" i="10"/>
  <c r="N104" i="10"/>
  <c r="BM167" i="10"/>
  <c r="BU92" i="10"/>
  <c r="BP12" i="10"/>
  <c r="AB151" i="10"/>
  <c r="BX162" i="10"/>
  <c r="CT91" i="10"/>
  <c r="CP77" i="10"/>
  <c r="L170" i="10"/>
  <c r="CR87" i="10"/>
  <c r="AB54" i="10"/>
  <c r="CA84" i="10"/>
  <c r="BW61" i="10"/>
  <c r="CV109" i="10"/>
  <c r="AC26" i="10"/>
  <c r="BM130" i="10"/>
  <c r="CP85" i="10"/>
  <c r="AF97" i="10"/>
  <c r="R159" i="10"/>
  <c r="BP164" i="10"/>
  <c r="CV142" i="10"/>
  <c r="BW161" i="10"/>
  <c r="R139" i="10"/>
  <c r="BM83" i="10"/>
  <c r="CA139" i="10"/>
  <c r="R177" i="10"/>
  <c r="AJ173" i="10"/>
  <c r="CV93" i="10"/>
  <c r="AM177" i="10"/>
  <c r="AA56" i="10"/>
  <c r="CR8" i="10"/>
  <c r="CT93" i="10"/>
  <c r="BZ106" i="10"/>
  <c r="Z94" i="10"/>
  <c r="BS33" i="10"/>
  <c r="CC50" i="10"/>
  <c r="AM163" i="10"/>
  <c r="BM24" i="10"/>
  <c r="AL188" i="10"/>
  <c r="CR130" i="10"/>
  <c r="BU22" i="10"/>
  <c r="CC27" i="10"/>
  <c r="CA114" i="10"/>
  <c r="CD40" i="10"/>
  <c r="AJ72" i="10"/>
  <c r="AH126" i="10"/>
  <c r="CD35" i="10"/>
  <c r="BX122" i="10"/>
  <c r="CR156" i="10"/>
  <c r="BV85" i="10"/>
  <c r="CR126" i="10"/>
  <c r="CD12" i="10"/>
  <c r="CR169" i="10"/>
  <c r="BS59" i="10"/>
  <c r="CJ63" i="10"/>
  <c r="CE106" i="10"/>
  <c r="AH93" i="10"/>
  <c r="BV173" i="10"/>
  <c r="L131" i="10"/>
  <c r="R189" i="10"/>
  <c r="CP78" i="10"/>
  <c r="AL43" i="10"/>
  <c r="CQ127" i="10"/>
  <c r="Z116" i="10"/>
  <c r="CQ96" i="10"/>
  <c r="CW95" i="10"/>
  <c r="AH164" i="10"/>
  <c r="CA108" i="10"/>
  <c r="CR100" i="10"/>
  <c r="CC104" i="10"/>
  <c r="AB168" i="10"/>
  <c r="CA144" i="10"/>
  <c r="CQ118" i="10"/>
  <c r="BT148" i="10"/>
  <c r="BX185" i="10"/>
  <c r="AB179" i="10"/>
  <c r="AH33" i="10"/>
  <c r="CR111" i="10"/>
  <c r="BP102" i="10"/>
  <c r="AE93" i="10"/>
  <c r="AK81" i="10"/>
  <c r="AF87" i="10"/>
  <c r="BW15" i="10"/>
  <c r="CQ77" i="10"/>
  <c r="N55" i="10"/>
  <c r="AC47" i="10"/>
  <c r="BW136" i="10"/>
  <c r="CC134" i="10"/>
  <c r="BP182" i="10"/>
  <c r="AJ180" i="10"/>
  <c r="CE28" i="10"/>
  <c r="BQ166" i="10"/>
  <c r="AA141" i="10"/>
  <c r="CB90" i="10"/>
  <c r="AL106" i="10"/>
  <c r="BU132" i="10"/>
  <c r="BM138" i="10"/>
  <c r="AF156" i="10"/>
  <c r="AF86" i="10"/>
  <c r="BL49" i="10"/>
  <c r="CE77" i="10"/>
  <c r="CJ100" i="10"/>
  <c r="CC79" i="10"/>
  <c r="CJ50" i="10"/>
  <c r="CB122" i="10"/>
  <c r="BV143" i="10"/>
  <c r="AB82" i="10"/>
  <c r="BT79" i="10"/>
  <c r="CT122" i="10"/>
  <c r="CT154" i="10"/>
  <c r="CJ123" i="10"/>
  <c r="AC8" i="10"/>
  <c r="AC158" i="10"/>
  <c r="AK91" i="10"/>
  <c r="BV125" i="10"/>
  <c r="CB81" i="10"/>
  <c r="CT79" i="10"/>
  <c r="CD72" i="10"/>
  <c r="L76" i="10"/>
  <c r="CB105" i="10"/>
  <c r="AM72" i="10"/>
  <c r="CQ185" i="10"/>
  <c r="AB161" i="10"/>
  <c r="BV62" i="10"/>
  <c r="AC52" i="10"/>
  <c r="CW144" i="10"/>
  <c r="CC111" i="10"/>
  <c r="CJ161" i="10"/>
  <c r="L148" i="10"/>
  <c r="CR190" i="10"/>
  <c r="CQ50" i="10"/>
  <c r="BL50" i="10"/>
  <c r="AA43" i="10"/>
  <c r="CW35" i="10"/>
  <c r="CA122" i="10"/>
  <c r="AC138" i="10"/>
  <c r="BU55" i="10"/>
  <c r="AA18" i="10"/>
  <c r="BT74" i="10"/>
  <c r="AK25" i="10"/>
  <c r="BX140" i="10"/>
  <c r="BT139" i="10"/>
  <c r="BT163" i="10"/>
  <c r="CJ126" i="10"/>
  <c r="AM130" i="10"/>
  <c r="CR160" i="10"/>
  <c r="R186" i="10"/>
  <c r="CT187" i="10"/>
  <c r="BV59" i="10"/>
  <c r="CT88" i="10"/>
  <c r="BP101" i="10"/>
  <c r="AL179" i="10"/>
  <c r="BV181" i="10"/>
  <c r="AL157" i="10"/>
  <c r="N51" i="10"/>
  <c r="BS180" i="10"/>
  <c r="AM24" i="10"/>
  <c r="BV107" i="10"/>
  <c r="AH12" i="10"/>
  <c r="BS114" i="10"/>
  <c r="CE127" i="10"/>
  <c r="AF164" i="10"/>
  <c r="R105" i="10"/>
  <c r="AK89" i="10"/>
  <c r="BT91" i="10"/>
  <c r="AE21" i="10"/>
  <c r="CJ138" i="10"/>
  <c r="BP70" i="10"/>
  <c r="AK33" i="10"/>
  <c r="R166" i="10"/>
  <c r="CA153" i="10"/>
  <c r="CP111" i="10"/>
  <c r="CR166" i="10"/>
  <c r="Z121" i="10"/>
  <c r="CV105" i="10"/>
  <c r="CJ190" i="10"/>
  <c r="AA108" i="10"/>
  <c r="BM113" i="10"/>
  <c r="CC18" i="10"/>
  <c r="AJ59" i="10"/>
  <c r="BX95" i="10"/>
  <c r="CA154" i="10"/>
  <c r="AL83" i="10"/>
  <c r="AK31" i="10"/>
  <c r="AC108" i="10"/>
  <c r="CE124" i="10"/>
  <c r="BL102" i="10"/>
  <c r="BU180" i="10"/>
  <c r="BV129" i="10"/>
  <c r="AF140" i="10"/>
  <c r="AL58" i="10"/>
  <c r="BS155" i="10"/>
  <c r="Z157" i="10"/>
  <c r="CC92" i="10"/>
  <c r="AE100" i="10"/>
  <c r="CM116" i="10"/>
  <c r="BT37" i="10"/>
  <c r="AF165" i="10"/>
  <c r="AL174" i="10"/>
  <c r="BT36" i="10"/>
  <c r="BV11" i="10"/>
  <c r="BT5" i="10"/>
  <c r="AF151" i="10"/>
  <c r="AF51" i="10"/>
  <c r="BP130" i="10"/>
  <c r="AL103" i="10"/>
  <c r="CA90" i="10"/>
  <c r="CP30" i="10"/>
  <c r="BX108" i="10"/>
  <c r="CP45" i="10"/>
  <c r="AE89" i="10"/>
  <c r="BL132" i="10"/>
  <c r="Z44" i="10"/>
  <c r="CQ66" i="10"/>
  <c r="AA101" i="10"/>
  <c r="CC78" i="10"/>
  <c r="AB120" i="10"/>
  <c r="AA150" i="10"/>
  <c r="AE86" i="10"/>
  <c r="Z31" i="10"/>
  <c r="CB61" i="10"/>
  <c r="AF181" i="10"/>
  <c r="CW87" i="10"/>
  <c r="AE119" i="10"/>
  <c r="AE135" i="10"/>
  <c r="CV11" i="10"/>
  <c r="BS10" i="10"/>
  <c r="CC62" i="10"/>
  <c r="BP92" i="10"/>
  <c r="AK129" i="10"/>
  <c r="CB152" i="10"/>
  <c r="CW36" i="10"/>
  <c r="CA8" i="10"/>
  <c r="BU11" i="10"/>
  <c r="AB124" i="10"/>
  <c r="CP179" i="10"/>
  <c r="BQ80" i="10"/>
  <c r="CV133" i="10"/>
  <c r="CV77" i="10"/>
  <c r="R25" i="10"/>
  <c r="N107" i="10"/>
  <c r="BV164" i="10"/>
  <c r="BQ93" i="10"/>
  <c r="BM120" i="10"/>
  <c r="BP49" i="10"/>
  <c r="CP46" i="10"/>
  <c r="BU95" i="10"/>
  <c r="BV12" i="10"/>
  <c r="BZ116" i="10"/>
  <c r="AC169" i="10"/>
  <c r="N57" i="10"/>
  <c r="AE31" i="10"/>
  <c r="CJ11" i="10"/>
  <c r="BU118" i="10"/>
  <c r="BS62" i="10"/>
  <c r="CB148" i="10"/>
  <c r="AH7" i="10"/>
  <c r="AM50" i="10"/>
  <c r="BX101" i="10"/>
  <c r="CP128" i="10"/>
  <c r="CP103" i="10"/>
  <c r="R169" i="10"/>
  <c r="BT151" i="10"/>
  <c r="CV116" i="10"/>
  <c r="AM190" i="10"/>
  <c r="BZ119" i="10"/>
  <c r="Z76" i="10"/>
  <c r="CB71" i="10"/>
  <c r="CV114" i="10"/>
  <c r="BU135" i="10"/>
  <c r="AK8" i="10"/>
  <c r="AA149" i="10"/>
  <c r="AJ167" i="10"/>
  <c r="BS19" i="10"/>
  <c r="BT46" i="10"/>
  <c r="CT82" i="10"/>
  <c r="CT164" i="10"/>
  <c r="AC30" i="10"/>
  <c r="BS22" i="10"/>
  <c r="AK79" i="10"/>
  <c r="AM87" i="10"/>
  <c r="BQ102" i="10"/>
  <c r="BL4" i="10"/>
  <c r="AH118" i="10"/>
  <c r="CR134" i="10"/>
  <c r="AE78" i="10"/>
  <c r="CW98" i="10"/>
  <c r="CT56" i="10"/>
  <c r="CA116" i="10"/>
  <c r="BW87" i="10"/>
  <c r="CR139" i="10"/>
  <c r="AA70" i="10"/>
  <c r="BL145" i="10"/>
  <c r="AJ88" i="10"/>
  <c r="BP78" i="10"/>
  <c r="AC31" i="10"/>
  <c r="AM173" i="10"/>
  <c r="BL187" i="10"/>
  <c r="BP76" i="10"/>
  <c r="BW145" i="10"/>
  <c r="AB41" i="10"/>
  <c r="BP45" i="10"/>
  <c r="BT155" i="10"/>
  <c r="CR186" i="10"/>
  <c r="BM121" i="10"/>
  <c r="CT29" i="10"/>
  <c r="AA58" i="10"/>
  <c r="BM23" i="10"/>
  <c r="AM8" i="10"/>
  <c r="AB39" i="10"/>
  <c r="CD155" i="10"/>
  <c r="CJ158" i="10"/>
  <c r="BQ168" i="10"/>
  <c r="CT163" i="10"/>
  <c r="CW170" i="10"/>
  <c r="BL186" i="10"/>
  <c r="R122" i="10"/>
  <c r="AJ17" i="10"/>
  <c r="CW117" i="10"/>
  <c r="BW17" i="10"/>
  <c r="L49" i="10"/>
  <c r="L81" i="10"/>
  <c r="BT89" i="10"/>
  <c r="L16" i="10"/>
  <c r="Z186" i="10"/>
  <c r="BX48" i="10"/>
  <c r="AH5" i="10"/>
  <c r="CQ149" i="10"/>
  <c r="BX80" i="10"/>
  <c r="CW135" i="10"/>
  <c r="BP39" i="10"/>
  <c r="AB113" i="10"/>
  <c r="AE169" i="10"/>
  <c r="AM124" i="10"/>
  <c r="CQ161" i="10"/>
  <c r="AJ75" i="10"/>
  <c r="AE38" i="10"/>
  <c r="CW37" i="10"/>
  <c r="BQ179" i="10"/>
  <c r="CB99" i="10"/>
  <c r="BT28" i="10"/>
  <c r="CJ19" i="10"/>
  <c r="AB115" i="10"/>
  <c r="CP86" i="10"/>
  <c r="CV61" i="10"/>
  <c r="AB63" i="10"/>
  <c r="AF92" i="10"/>
  <c r="CV19" i="10"/>
  <c r="CP51" i="10"/>
  <c r="AK125" i="10"/>
  <c r="BM40" i="10"/>
  <c r="BV8" i="10"/>
  <c r="CJ34" i="10"/>
  <c r="L9" i="10"/>
  <c r="BV118" i="10"/>
  <c r="BL156" i="10"/>
  <c r="BZ87" i="10"/>
  <c r="CR152" i="10"/>
  <c r="AE33" i="10"/>
  <c r="CE42" i="10"/>
  <c r="BU64" i="10"/>
  <c r="AH39" i="10"/>
  <c r="AJ107" i="10"/>
  <c r="BW112" i="10"/>
  <c r="AF105" i="10"/>
  <c r="AE110" i="10"/>
  <c r="BT52" i="10"/>
  <c r="BX70" i="10"/>
  <c r="CC58" i="10"/>
  <c r="CT18" i="10"/>
  <c r="AE39" i="10"/>
  <c r="Z98" i="10"/>
  <c r="CP42" i="10"/>
  <c r="BW27" i="10"/>
  <c r="BM29" i="10"/>
  <c r="CV80" i="10"/>
  <c r="AH13" i="10"/>
  <c r="CJ110" i="10"/>
  <c r="CC71" i="10"/>
  <c r="BX142" i="10"/>
  <c r="CJ182" i="10"/>
  <c r="AH43" i="10"/>
  <c r="BQ37" i="10"/>
  <c r="AH142" i="10"/>
  <c r="BV81" i="10"/>
  <c r="R14" i="10"/>
  <c r="CB21" i="10"/>
  <c r="AC12" i="10"/>
  <c r="AK78" i="10"/>
  <c r="BP122" i="10"/>
  <c r="BV71" i="10"/>
  <c r="CB180" i="10"/>
  <c r="BL21" i="10"/>
  <c r="CR164" i="10"/>
  <c r="AA140" i="10"/>
  <c r="AL178" i="10"/>
  <c r="AC85" i="10"/>
  <c r="CW51" i="10"/>
  <c r="BQ53" i="10"/>
  <c r="AL173" i="10"/>
  <c r="L79" i="10"/>
  <c r="AC23" i="10"/>
  <c r="BQ38" i="10"/>
  <c r="AK51" i="10"/>
  <c r="L189" i="10"/>
  <c r="CP107" i="10"/>
  <c r="AH141" i="10"/>
  <c r="AJ56" i="10"/>
  <c r="BL103" i="10"/>
  <c r="BU41" i="10"/>
  <c r="AF184" i="10"/>
  <c r="L65" i="10"/>
  <c r="BX59" i="10"/>
  <c r="BX18" i="10"/>
  <c r="CP23" i="10"/>
  <c r="CV37" i="10"/>
  <c r="CQ148" i="10"/>
  <c r="BU24" i="10"/>
  <c r="AB149" i="10"/>
  <c r="BQ62" i="10"/>
  <c r="BL55" i="10"/>
  <c r="CE80" i="10"/>
  <c r="AJ61" i="10"/>
  <c r="CW23" i="10"/>
  <c r="BQ47" i="10"/>
  <c r="CC24" i="10"/>
  <c r="CQ24" i="10"/>
  <c r="AJ60" i="10"/>
  <c r="AM96" i="10"/>
  <c r="BS170" i="10"/>
  <c r="AK132" i="10"/>
  <c r="R140" i="10"/>
  <c r="BW84" i="10"/>
  <c r="CD125" i="10"/>
  <c r="BW70" i="10"/>
  <c r="BL44" i="10"/>
  <c r="CJ17" i="10"/>
  <c r="BT49" i="10"/>
  <c r="L69" i="10"/>
  <c r="BZ47" i="10"/>
  <c r="BV42" i="10"/>
  <c r="BU96" i="10"/>
  <c r="AL169" i="10"/>
  <c r="BM41" i="10"/>
  <c r="AF10" i="10"/>
  <c r="CD148" i="10"/>
  <c r="BI171" i="10"/>
  <c r="CP178" i="10"/>
  <c r="AJ18" i="10"/>
  <c r="AH50" i="10"/>
  <c r="CR81" i="10"/>
  <c r="AF173" i="10"/>
  <c r="AC141" i="10"/>
  <c r="CV110" i="10"/>
  <c r="AH78" i="10"/>
  <c r="BV167" i="10"/>
  <c r="AK85" i="10"/>
  <c r="AJ24" i="10"/>
  <c r="AC144" i="10"/>
  <c r="AL144" i="10"/>
  <c r="BT96" i="10"/>
  <c r="R33" i="10"/>
  <c r="Z38" i="10"/>
  <c r="Z6" i="10"/>
  <c r="CD21" i="10"/>
  <c r="BT57" i="10"/>
  <c r="CD55" i="10"/>
  <c r="CE7" i="10"/>
  <c r="CA78" i="10"/>
  <c r="CR75" i="10"/>
  <c r="AA13" i="10"/>
  <c r="BZ45" i="10"/>
  <c r="BZ6" i="10"/>
  <c r="BU39" i="10"/>
  <c r="BW100" i="10"/>
  <c r="CQ16" i="10"/>
  <c r="Z18" i="10"/>
  <c r="Z79" i="10"/>
  <c r="AC62" i="10"/>
  <c r="BV88" i="10"/>
  <c r="AM184" i="10"/>
  <c r="CD74" i="10"/>
  <c r="CQ31" i="10"/>
  <c r="CQ15" i="10"/>
  <c r="AA60" i="10"/>
  <c r="BV105" i="10"/>
  <c r="BW83" i="10"/>
  <c r="BV78" i="10"/>
  <c r="AB13" i="10"/>
  <c r="CA86" i="10"/>
  <c r="AB20" i="10"/>
  <c r="BQ55" i="10"/>
  <c r="CA47" i="10"/>
  <c r="CC57" i="10"/>
  <c r="AB50" i="10"/>
  <c r="BM63" i="10"/>
  <c r="CD38" i="10"/>
  <c r="L13" i="10"/>
  <c r="AK156" i="10"/>
  <c r="BM19" i="10"/>
  <c r="AM84" i="10"/>
  <c r="BP187" i="10"/>
  <c r="AL75" i="10"/>
  <c r="BM20" i="10"/>
  <c r="CR35" i="10"/>
  <c r="AE27" i="10"/>
  <c r="AL52" i="10"/>
  <c r="BX105" i="10"/>
  <c r="BQ69" i="10"/>
  <c r="BZ175" i="10"/>
  <c r="CT59" i="10"/>
  <c r="BS126" i="10"/>
  <c r="AC180" i="10"/>
  <c r="BV83" i="10"/>
  <c r="Z123" i="10"/>
  <c r="CT69" i="10"/>
  <c r="CV54" i="10"/>
  <c r="AC7" i="10"/>
  <c r="CJ131" i="10"/>
  <c r="CB18" i="10"/>
  <c r="BZ42" i="10"/>
  <c r="CA74" i="10"/>
  <c r="CT80" i="10"/>
  <c r="CB17" i="10"/>
  <c r="CT108" i="10"/>
  <c r="CT67" i="10"/>
  <c r="AH36" i="10"/>
  <c r="CW59" i="10"/>
  <c r="CC123" i="10"/>
  <c r="BH55" i="10"/>
  <c r="BV16" i="10"/>
  <c r="AJ183" i="10"/>
  <c r="AB55" i="10"/>
  <c r="AK75" i="10"/>
  <c r="BU31" i="10"/>
  <c r="BZ127" i="10"/>
  <c r="AL160" i="10"/>
  <c r="BU94" i="10"/>
  <c r="CA111" i="10"/>
  <c r="CA18" i="10"/>
  <c r="CP96" i="10"/>
  <c r="AH105" i="10"/>
  <c r="CP134" i="10"/>
  <c r="BQ42" i="10"/>
  <c r="AL62" i="10"/>
  <c r="AL59" i="10"/>
  <c r="CW185" i="10"/>
  <c r="BT73" i="10"/>
  <c r="CA107" i="10"/>
  <c r="AF73" i="10"/>
  <c r="BQ9" i="10"/>
  <c r="CJ192" i="10"/>
  <c r="BS6" i="10"/>
  <c r="CQ30" i="10"/>
  <c r="AJ122" i="10"/>
  <c r="CM27" i="10"/>
  <c r="CJ155" i="10"/>
  <c r="BQ84" i="10"/>
  <c r="CV34" i="10"/>
  <c r="CW45" i="10"/>
  <c r="AJ142" i="10"/>
  <c r="AK60" i="10"/>
  <c r="AM64" i="10"/>
  <c r="AF167" i="10"/>
  <c r="BU119" i="10"/>
  <c r="CQ22" i="10"/>
  <c r="AB19" i="10"/>
  <c r="CJ56" i="10"/>
  <c r="CJ71" i="10"/>
  <c r="BP151" i="10"/>
  <c r="CD71" i="10"/>
  <c r="BM80" i="10"/>
  <c r="AK172" i="10"/>
  <c r="AK136" i="10"/>
  <c r="CE31" i="10"/>
  <c r="CM67" i="10"/>
  <c r="BT16" i="10"/>
  <c r="AL141" i="10"/>
  <c r="CP158" i="10"/>
  <c r="BS51" i="10"/>
  <c r="AL99" i="10"/>
  <c r="BZ28" i="10"/>
  <c r="BP59" i="10"/>
  <c r="AL67" i="10"/>
  <c r="CC178" i="10"/>
  <c r="BT22" i="10"/>
  <c r="CW77" i="10"/>
  <c r="BQ72" i="10"/>
  <c r="CE6" i="10"/>
  <c r="BN71" i="10"/>
  <c r="CV79" i="10"/>
  <c r="L167" i="10"/>
  <c r="AF20" i="10"/>
  <c r="AJ102" i="10"/>
  <c r="BH4" i="10"/>
  <c r="CT86" i="10"/>
  <c r="CE20" i="10"/>
  <c r="L146" i="10"/>
  <c r="AK83" i="10"/>
  <c r="AE125" i="10"/>
  <c r="CA135" i="10"/>
  <c r="CM29" i="10"/>
  <c r="BW143" i="10"/>
  <c r="AJ80" i="10"/>
  <c r="R151" i="10"/>
  <c r="AF183" i="10"/>
  <c r="AM108" i="10"/>
  <c r="BP17" i="10"/>
  <c r="CA22" i="10"/>
  <c r="CW93" i="10"/>
  <c r="AE150" i="10"/>
  <c r="CT14" i="10"/>
  <c r="AL29" i="10"/>
  <c r="AF138" i="10"/>
  <c r="CQ29" i="10"/>
  <c r="AF22" i="10"/>
  <c r="AA121" i="10"/>
  <c r="CQ6" i="10"/>
  <c r="CE103" i="10"/>
  <c r="CP139" i="10"/>
  <c r="AK53" i="10"/>
  <c r="AB71" i="10"/>
  <c r="CW100" i="10"/>
  <c r="BP8" i="10"/>
  <c r="AC5" i="10"/>
  <c r="N47" i="10"/>
  <c r="CJ58" i="10"/>
  <c r="CE17" i="10"/>
  <c r="BQ92" i="10"/>
  <c r="CJ109" i="10"/>
  <c r="CJ59" i="10"/>
  <c r="CW89" i="10"/>
  <c r="BQ101" i="10"/>
  <c r="CJ55" i="10"/>
  <c r="Z53" i="10"/>
  <c r="BZ21" i="10"/>
  <c r="BZ83" i="10"/>
  <c r="CW54" i="10"/>
  <c r="CV191" i="10"/>
  <c r="BM44" i="10"/>
  <c r="BV168" i="10"/>
  <c r="AJ172" i="10"/>
  <c r="CD78" i="10"/>
  <c r="AH96" i="10"/>
  <c r="AM125" i="10"/>
  <c r="AK40" i="10"/>
  <c r="AC83" i="10"/>
  <c r="BX58" i="10"/>
  <c r="CT127" i="10"/>
  <c r="CE94" i="10"/>
  <c r="CD97" i="10"/>
  <c r="CQ143" i="10"/>
  <c r="CB12" i="10"/>
  <c r="AE174" i="10"/>
  <c r="CA100" i="10"/>
  <c r="BL107" i="10"/>
  <c r="AL18" i="10"/>
  <c r="BW108" i="10"/>
  <c r="CQ83" i="10"/>
  <c r="BT189" i="10"/>
  <c r="CW75" i="10"/>
  <c r="CP27" i="10"/>
  <c r="BV150" i="10"/>
  <c r="BX74" i="10"/>
  <c r="BX76" i="10"/>
  <c r="AJ89" i="10"/>
  <c r="BL95" i="10"/>
  <c r="AC181" i="10"/>
  <c r="AH104" i="10"/>
  <c r="AM114" i="10"/>
  <c r="AJ174" i="10"/>
  <c r="BW149" i="10"/>
  <c r="BV122" i="10"/>
  <c r="BT161" i="10"/>
  <c r="CE122" i="10"/>
  <c r="BZ100" i="10"/>
  <c r="Z160" i="10"/>
  <c r="CA59" i="10"/>
  <c r="CA60" i="10"/>
  <c r="CD183" i="10"/>
  <c r="BX99" i="10"/>
  <c r="CB16" i="10"/>
  <c r="CV86" i="10"/>
  <c r="CW156" i="10"/>
  <c r="BV54" i="10"/>
  <c r="BM61" i="10"/>
  <c r="BZ115" i="10"/>
  <c r="CB165" i="10"/>
  <c r="AJ155" i="10"/>
  <c r="L32" i="10"/>
  <c r="AF116" i="10"/>
  <c r="BP30" i="10"/>
  <c r="AE12" i="10"/>
  <c r="CP34" i="10"/>
  <c r="CE188" i="10"/>
  <c r="BU115" i="10"/>
  <c r="CA76" i="10"/>
  <c r="CW47" i="10"/>
  <c r="BQ13" i="10"/>
  <c r="BT72" i="10"/>
  <c r="AL21" i="10"/>
  <c r="AJ70" i="10"/>
  <c r="BS72" i="10"/>
  <c r="AE9" i="10"/>
  <c r="BP125" i="10"/>
  <c r="R61" i="10"/>
  <c r="CE74" i="10"/>
  <c r="CR42" i="10"/>
  <c r="BX116" i="10"/>
  <c r="R40" i="10"/>
  <c r="AK123" i="10"/>
  <c r="AF16" i="10"/>
  <c r="BT106" i="10"/>
  <c r="BS120" i="10"/>
  <c r="CP108" i="10"/>
  <c r="BQ23" i="10"/>
  <c r="BU68" i="10"/>
  <c r="AH154" i="10"/>
  <c r="CD129" i="10"/>
  <c r="AM46" i="10"/>
  <c r="AE5" i="10"/>
  <c r="AM135" i="10"/>
  <c r="BK171" i="10"/>
  <c r="BQ36" i="10"/>
  <c r="AA165" i="10"/>
  <c r="BT190" i="10"/>
  <c r="AJ23" i="10"/>
  <c r="CV15" i="10"/>
  <c r="BT191" i="10"/>
  <c r="Z35" i="10"/>
  <c r="BX137" i="10"/>
  <c r="CV183" i="10"/>
  <c r="CJ67" i="10"/>
  <c r="CT103" i="10"/>
  <c r="AB32" i="10"/>
  <c r="BQ116" i="10"/>
  <c r="AF53" i="10"/>
  <c r="AB9" i="10"/>
  <c r="CD140" i="10"/>
  <c r="AK187" i="10"/>
  <c r="CE102" i="10"/>
  <c r="CD20" i="10"/>
  <c r="BM93" i="10"/>
  <c r="BM101" i="10"/>
  <c r="CW105" i="10"/>
  <c r="CT153" i="10"/>
  <c r="BX98" i="10"/>
  <c r="BZ14" i="10"/>
  <c r="BM14" i="10"/>
  <c r="L97" i="10"/>
  <c r="BX104" i="10"/>
  <c r="L53" i="10"/>
  <c r="AK148" i="10"/>
  <c r="CA52" i="10"/>
  <c r="BZ20" i="10"/>
  <c r="CA46" i="10"/>
  <c r="S58" i="10"/>
  <c r="BT63" i="10"/>
  <c r="AK35" i="10"/>
  <c r="BL58" i="10"/>
  <c r="CC132" i="10"/>
  <c r="BU167" i="10"/>
  <c r="CT5" i="10"/>
  <c r="BL63" i="10"/>
  <c r="CD91" i="10"/>
  <c r="AH79" i="10"/>
  <c r="BQ90" i="10"/>
  <c r="BZ24" i="10"/>
  <c r="AK142" i="10"/>
  <c r="CR17" i="10"/>
  <c r="AL54" i="10"/>
  <c r="BM179" i="10"/>
  <c r="CD66" i="10"/>
  <c r="CQ65" i="10"/>
  <c r="AM101" i="10"/>
  <c r="BL51" i="10"/>
  <c r="CC33" i="10"/>
  <c r="CP119" i="10"/>
  <c r="L91" i="10"/>
  <c r="CP36" i="10"/>
  <c r="CC20" i="10"/>
  <c r="CQ28" i="10"/>
  <c r="BZ39" i="10"/>
  <c r="L57" i="10"/>
  <c r="CV42" i="10"/>
  <c r="BT27" i="10"/>
  <c r="AE53" i="10"/>
  <c r="Z17" i="10"/>
  <c r="AB118" i="10"/>
  <c r="AE18" i="10"/>
  <c r="BQ20" i="10"/>
  <c r="CQ112" i="10"/>
  <c r="CV90" i="10"/>
  <c r="R173" i="10"/>
  <c r="CP35" i="10"/>
  <c r="AF90" i="10"/>
  <c r="AA4" i="10"/>
  <c r="AA183" i="10"/>
  <c r="L169" i="10"/>
  <c r="BP28" i="10"/>
  <c r="AB117" i="10"/>
  <c r="CJ66" i="10"/>
  <c r="BL31" i="10"/>
  <c r="CB26" i="10"/>
  <c r="CD56" i="10"/>
  <c r="BV7" i="10"/>
  <c r="CW94" i="10"/>
  <c r="BY123" i="10"/>
  <c r="AC72" i="10"/>
  <c r="CB124" i="10"/>
  <c r="BT58" i="10"/>
  <c r="L30" i="10"/>
  <c r="Z158" i="10"/>
  <c r="L77" i="10"/>
  <c r="AJ113" i="10"/>
  <c r="CQ81" i="10"/>
  <c r="CA50" i="10"/>
  <c r="AF30" i="10"/>
  <c r="R16" i="10"/>
  <c r="CJ24" i="10"/>
  <c r="CJ94" i="10"/>
  <c r="BM173" i="10"/>
  <c r="CQ119" i="10"/>
  <c r="BQ108" i="10"/>
  <c r="L19" i="10"/>
  <c r="CW132" i="10"/>
  <c r="BU98" i="10"/>
  <c r="BT7" i="10"/>
  <c r="BQ24" i="10"/>
  <c r="N22" i="10"/>
  <c r="AC45" i="10"/>
  <c r="L38" i="10"/>
  <c r="CE115" i="10"/>
  <c r="CW108" i="10"/>
  <c r="AF169" i="10"/>
  <c r="BT121" i="10"/>
  <c r="AK188" i="10"/>
  <c r="AC143" i="10"/>
  <c r="CQ10" i="10"/>
  <c r="CB8" i="10"/>
  <c r="CJ162" i="10"/>
  <c r="BL70" i="10"/>
  <c r="Z175" i="10"/>
  <c r="BP41" i="10"/>
  <c r="CR59" i="10"/>
  <c r="CV179" i="10"/>
  <c r="Z42" i="10"/>
  <c r="CT94" i="10"/>
  <c r="BT105" i="10"/>
  <c r="CB163" i="10"/>
  <c r="CQ13" i="10"/>
  <c r="BS150" i="10"/>
  <c r="CV75" i="10"/>
  <c r="Z39" i="10"/>
  <c r="BU170" i="10"/>
  <c r="Z56" i="10"/>
  <c r="BZ102" i="10"/>
  <c r="CP175" i="10"/>
  <c r="BP94" i="10"/>
  <c r="BX106" i="10"/>
  <c r="AH117" i="10"/>
  <c r="BU10" i="10"/>
  <c r="AH40" i="10"/>
  <c r="CR43" i="10"/>
  <c r="BQ114" i="10"/>
  <c r="AC132" i="10"/>
  <c r="BM187" i="10"/>
  <c r="CB98" i="10"/>
  <c r="N94" i="10"/>
  <c r="AL22" i="10"/>
  <c r="AF47" i="10"/>
  <c r="BP69" i="10"/>
  <c r="AF122" i="10"/>
  <c r="CD11" i="10"/>
  <c r="AB138" i="10"/>
  <c r="CJ86" i="10"/>
  <c r="BT10" i="10"/>
  <c r="CT90" i="10"/>
  <c r="BZ123" i="10"/>
  <c r="BV76" i="10"/>
  <c r="BQ135" i="10"/>
  <c r="L27" i="10"/>
  <c r="AL34" i="10"/>
  <c r="BL40" i="10"/>
  <c r="AL149" i="10"/>
  <c r="CR74" i="10"/>
  <c r="BP26" i="10"/>
  <c r="BL25" i="10"/>
  <c r="BL137" i="10"/>
  <c r="AE97" i="10"/>
  <c r="AH28" i="10"/>
  <c r="CT170" i="10"/>
  <c r="CD172" i="10"/>
  <c r="BT14" i="10"/>
  <c r="AB64" i="10"/>
  <c r="BW63" i="10"/>
  <c r="AL42" i="10"/>
  <c r="BL141" i="10"/>
  <c r="CJ179" i="10"/>
  <c r="AB21" i="10"/>
  <c r="Z105" i="10"/>
  <c r="BV47" i="10"/>
  <c r="BU6" i="10"/>
  <c r="Z152" i="10"/>
  <c r="L67" i="10"/>
  <c r="BP20" i="10"/>
  <c r="BX49" i="10"/>
  <c r="AF94" i="10"/>
  <c r="R81" i="10"/>
  <c r="BM50" i="10"/>
  <c r="CD42" i="10"/>
  <c r="BP51" i="10"/>
  <c r="BV56" i="10"/>
  <c r="CP43" i="10"/>
  <c r="BM134" i="10"/>
  <c r="L66" i="10"/>
  <c r="BP63" i="10"/>
  <c r="BP87" i="10"/>
  <c r="CT32" i="10"/>
  <c r="AF109" i="10"/>
  <c r="BX29" i="10"/>
  <c r="AM26" i="10"/>
  <c r="AM29" i="10"/>
  <c r="CB78" i="10"/>
  <c r="Z64" i="10"/>
  <c r="CR60" i="10"/>
  <c r="AL190" i="10"/>
  <c r="Z67" i="10"/>
  <c r="AB65" i="10"/>
  <c r="L116" i="10"/>
  <c r="AF21" i="10"/>
  <c r="C84" i="10"/>
  <c r="BZ139" i="10"/>
  <c r="AJ53" i="10"/>
  <c r="BP11" i="10"/>
  <c r="CJ53" i="10"/>
  <c r="AJ10" i="10"/>
  <c r="L71" i="10"/>
  <c r="BV155" i="10"/>
  <c r="R49" i="10"/>
  <c r="CT105" i="10"/>
  <c r="Z106" i="10"/>
  <c r="BL78" i="10"/>
  <c r="CJ84" i="10"/>
  <c r="N126" i="10"/>
  <c r="CJ10" i="10"/>
  <c r="BS80" i="10"/>
  <c r="BL99" i="10"/>
  <c r="AC82" i="10"/>
  <c r="AE58" i="10"/>
  <c r="BV92" i="10"/>
  <c r="BV166" i="10"/>
  <c r="CV143" i="10"/>
  <c r="AK48" i="10"/>
  <c r="L110" i="10"/>
  <c r="R24" i="10"/>
  <c r="BU82" i="10"/>
  <c r="AH94" i="10"/>
  <c r="AH128" i="10"/>
  <c r="BS65" i="10"/>
  <c r="BP74" i="10"/>
  <c r="CJ83" i="10"/>
  <c r="BZ184" i="10"/>
  <c r="AE120" i="10"/>
  <c r="CT132" i="10"/>
  <c r="CQ51" i="10"/>
  <c r="B84" i="10"/>
  <c r="CP170" i="10"/>
  <c r="CJ69" i="10"/>
  <c r="CR93" i="10"/>
  <c r="AK36" i="10"/>
  <c r="AC56" i="10"/>
  <c r="AA6" i="10"/>
  <c r="AK82" i="10"/>
  <c r="BT65" i="10"/>
  <c r="BT157" i="10"/>
  <c r="L133" i="10"/>
  <c r="BZ165" i="10"/>
  <c r="CW152" i="10"/>
  <c r="AB144" i="10"/>
  <c r="CW128" i="10"/>
  <c r="BS133" i="10"/>
  <c r="BW126" i="10"/>
  <c r="BS190" i="10"/>
  <c r="AC44" i="10"/>
  <c r="CT9" i="10"/>
  <c r="BT171" i="10"/>
  <c r="L10" i="10"/>
  <c r="CT75" i="10"/>
  <c r="CD146" i="10"/>
  <c r="CA49" i="10"/>
  <c r="AA95" i="10"/>
  <c r="CA164" i="10"/>
  <c r="AL76" i="10"/>
  <c r="BS14" i="10"/>
  <c r="BQ12" i="10"/>
  <c r="AJ71" i="10"/>
  <c r="AA159" i="10"/>
  <c r="CW84" i="10"/>
  <c r="AE19" i="10"/>
  <c r="L113" i="10"/>
  <c r="AC78" i="10"/>
  <c r="CA32" i="10"/>
  <c r="AJ134" i="10"/>
  <c r="CT37" i="10"/>
  <c r="BZ10" i="10"/>
  <c r="AH103" i="10"/>
  <c r="CA85" i="10"/>
  <c r="AE10" i="10"/>
  <c r="BM59" i="10"/>
  <c r="CV150" i="10"/>
  <c r="BX92" i="10"/>
  <c r="CE34" i="10"/>
  <c r="CW101" i="10"/>
  <c r="BQ163" i="10"/>
  <c r="CE54" i="10"/>
  <c r="AB12" i="10"/>
  <c r="BW7" i="10"/>
  <c r="BQ5" i="10"/>
  <c r="BP46" i="10"/>
  <c r="BV58" i="10"/>
  <c r="Z48" i="10"/>
  <c r="CD89" i="10"/>
  <c r="BP100" i="10"/>
  <c r="BQ112" i="10"/>
  <c r="AK24" i="10"/>
  <c r="CD14" i="10"/>
  <c r="BP47" i="10"/>
  <c r="AL142" i="10"/>
  <c r="AE187" i="10"/>
  <c r="AE54" i="10"/>
  <c r="AA166" i="10"/>
  <c r="BS185" i="10"/>
  <c r="CC60" i="10"/>
  <c r="BU109" i="10"/>
  <c r="AA155" i="10"/>
  <c r="BT80" i="10"/>
  <c r="BU44" i="10"/>
  <c r="CP9" i="10"/>
  <c r="Z7" i="10"/>
  <c r="AH69" i="10"/>
  <c r="AJ49" i="10"/>
  <c r="CW118" i="10"/>
  <c r="BU56" i="10"/>
  <c r="L153" i="10"/>
  <c r="CC130" i="10"/>
  <c r="CW57" i="10"/>
  <c r="AL121" i="10"/>
  <c r="AC74" i="10"/>
  <c r="CW48" i="10"/>
  <c r="CC70" i="10"/>
  <c r="BZ156" i="10"/>
  <c r="CJ77" i="10"/>
  <c r="AJ191" i="10"/>
  <c r="CA20" i="10"/>
  <c r="AL44" i="10"/>
  <c r="BP50" i="10"/>
  <c r="CT78" i="10"/>
  <c r="AA163" i="10"/>
  <c r="L15" i="10"/>
  <c r="CP16" i="10"/>
  <c r="L60" i="10"/>
  <c r="CV92" i="10"/>
  <c r="CC140" i="10"/>
  <c r="CQ7" i="10"/>
  <c r="CR48" i="10"/>
  <c r="CD54" i="10"/>
  <c r="T4" i="10"/>
  <c r="L111" i="10"/>
  <c r="Z16" i="10"/>
  <c r="CR54" i="10"/>
  <c r="R34" i="10"/>
  <c r="CW41" i="10"/>
  <c r="BP56" i="10"/>
  <c r="CV71" i="10"/>
  <c r="BI84" i="10"/>
  <c r="L103" i="10"/>
  <c r="CV68" i="10"/>
  <c r="CJ76" i="10"/>
  <c r="CC59" i="10"/>
  <c r="AH110" i="10"/>
  <c r="CR25" i="10"/>
  <c r="CO4" i="10"/>
  <c r="CC96" i="10"/>
  <c r="Z92" i="10"/>
  <c r="CB24" i="10"/>
  <c r="BV15" i="10"/>
  <c r="AF96" i="10"/>
  <c r="L95" i="10"/>
  <c r="CV83" i="10"/>
  <c r="CJ68" i="10"/>
  <c r="AA52" i="10"/>
  <c r="AE49" i="10"/>
  <c r="CE16" i="10"/>
  <c r="X89" i="10"/>
  <c r="CJ144" i="10"/>
  <c r="CD59" i="10"/>
  <c r="CC45" i="10"/>
  <c r="CJ36" i="10"/>
  <c r="BS88" i="10"/>
  <c r="CM113" i="10"/>
  <c r="CA21" i="10"/>
  <c r="BP32" i="10"/>
  <c r="AM35" i="10"/>
  <c r="CQ64" i="10"/>
  <c r="BW8" i="10"/>
  <c r="CJ35" i="10"/>
  <c r="AC63" i="10"/>
  <c r="CR44" i="10"/>
  <c r="BX20" i="10"/>
  <c r="Z103" i="10"/>
  <c r="CA94" i="10"/>
  <c r="CR58" i="10"/>
  <c r="CQ9" i="10"/>
  <c r="CA69" i="10"/>
  <c r="CD19" i="10"/>
  <c r="CW61" i="10"/>
  <c r="AF4" i="10"/>
  <c r="L59" i="10"/>
  <c r="CC158" i="10"/>
  <c r="BQ88" i="10"/>
  <c r="AK5" i="10"/>
  <c r="W4" i="10"/>
  <c r="AF131" i="10"/>
  <c r="AL37" i="10"/>
  <c r="CE13" i="10"/>
  <c r="CC8" i="10"/>
  <c r="BM42" i="10"/>
  <c r="AJ4" i="10"/>
  <c r="CC15" i="10"/>
  <c r="CQ170" i="10"/>
  <c r="AC15" i="10"/>
  <c r="CT39" i="10"/>
  <c r="BS24" i="10"/>
  <c r="AB59" i="10"/>
  <c r="CB20" i="10"/>
  <c r="BZ72" i="10"/>
  <c r="BX118" i="10"/>
  <c r="AH23" i="10"/>
  <c r="CV58" i="10"/>
  <c r="BX36" i="10"/>
  <c r="BY154" i="10"/>
  <c r="L18" i="10"/>
  <c r="AE103" i="10"/>
  <c r="R9" i="10"/>
  <c r="CE71" i="10"/>
  <c r="BZ101" i="10"/>
  <c r="CT138" i="10"/>
  <c r="AJ181" i="10"/>
  <c r="R176" i="10"/>
  <c r="CR154" i="10"/>
  <c r="BS165" i="10"/>
  <c r="CP162" i="10"/>
  <c r="CJ174" i="10"/>
  <c r="AF75" i="10"/>
  <c r="AB95" i="10"/>
  <c r="AE114" i="10"/>
  <c r="AJ97" i="10"/>
  <c r="AA11" i="10"/>
  <c r="CA177" i="10"/>
  <c r="BU74" i="10"/>
  <c r="AK46" i="10"/>
  <c r="CD117" i="10"/>
  <c r="CB129" i="10"/>
  <c r="CR22" i="10"/>
  <c r="CA149" i="10"/>
  <c r="AL112" i="10"/>
  <c r="BT164" i="10"/>
  <c r="CE92" i="10"/>
  <c r="CE140" i="10"/>
  <c r="CV51" i="10"/>
  <c r="BP178" i="10"/>
  <c r="BQ113" i="10"/>
  <c r="BZ11" i="10"/>
  <c r="AH144" i="10"/>
  <c r="CP154" i="10"/>
  <c r="BM74" i="10"/>
  <c r="BV113" i="10"/>
  <c r="AL104" i="10"/>
  <c r="CP61" i="10"/>
  <c r="AH25" i="10"/>
  <c r="BQ40" i="10"/>
  <c r="L94" i="10"/>
  <c r="AF74" i="10"/>
  <c r="BP112" i="10"/>
  <c r="AB114" i="10"/>
  <c r="BP53" i="10"/>
  <c r="CM51" i="10"/>
  <c r="L12" i="10"/>
  <c r="CW56" i="10"/>
  <c r="BP36" i="10"/>
  <c r="AF25" i="10"/>
  <c r="CP82" i="10"/>
  <c r="BW54" i="10"/>
  <c r="CQ87" i="10"/>
  <c r="AL46" i="10"/>
  <c r="AB5" i="10"/>
  <c r="CA39" i="10"/>
  <c r="BP61" i="10"/>
  <c r="CW63" i="10"/>
  <c r="BT108" i="10"/>
  <c r="BP18" i="10"/>
  <c r="AJ69" i="10"/>
  <c r="BU14" i="10"/>
  <c r="BQ117" i="10"/>
  <c r="BZ76" i="10"/>
  <c r="CQ27" i="10"/>
  <c r="BM183" i="10"/>
  <c r="CD98" i="10"/>
  <c r="BQ19" i="10"/>
  <c r="CE45" i="10"/>
  <c r="AB107" i="10"/>
  <c r="CT15" i="10"/>
  <c r="CE66" i="10"/>
  <c r="CE160" i="10"/>
  <c r="AL77" i="10"/>
  <c r="CR46" i="10"/>
  <c r="CD61" i="10"/>
  <c r="AE92" i="10"/>
  <c r="CE62" i="10"/>
  <c r="CB65" i="10"/>
  <c r="BP14" i="10"/>
  <c r="BT35" i="10"/>
  <c r="CJ140" i="10"/>
  <c r="AL69" i="10"/>
  <c r="BV61" i="10"/>
  <c r="BU40" i="10"/>
  <c r="AC29" i="10"/>
  <c r="CQ5" i="10"/>
  <c r="AL130" i="10"/>
  <c r="AJ94" i="10"/>
  <c r="AK47" i="10"/>
  <c r="CA162" i="10"/>
  <c r="AJ22" i="10"/>
  <c r="CE50" i="10"/>
  <c r="CA35" i="10"/>
  <c r="CP88" i="10"/>
  <c r="CT175" i="10"/>
  <c r="BP72" i="10"/>
  <c r="BW19" i="10"/>
  <c r="BP48" i="10"/>
  <c r="BU108" i="10"/>
  <c r="CP6" i="10"/>
  <c r="BQ66" i="10"/>
  <c r="CD33" i="10"/>
  <c r="CW29" i="10"/>
  <c r="AK163" i="10"/>
  <c r="BW39" i="10"/>
  <c r="CC17" i="10"/>
  <c r="CW7" i="10"/>
  <c r="CB84" i="10"/>
  <c r="CA61" i="10"/>
  <c r="BZ188" i="10"/>
  <c r="BT136" i="10"/>
  <c r="BP104" i="10"/>
  <c r="CB14" i="10"/>
  <c r="BS49" i="10"/>
  <c r="AB34" i="10"/>
  <c r="BT50" i="10"/>
  <c r="CA93" i="10"/>
  <c r="BM46" i="10"/>
  <c r="BQ183" i="10"/>
  <c r="CE162" i="10"/>
  <c r="CT43" i="10"/>
  <c r="BW10" i="10"/>
  <c r="BU79" i="10"/>
  <c r="AB108" i="10"/>
  <c r="BZ18" i="10"/>
  <c r="CE76" i="10"/>
  <c r="CB83" i="10"/>
  <c r="AH125" i="10"/>
  <c r="BV89" i="10"/>
  <c r="AB86" i="10"/>
  <c r="BM91" i="10"/>
  <c r="CB11" i="10"/>
  <c r="L108" i="10"/>
  <c r="AC99" i="10"/>
  <c r="BW13" i="10"/>
  <c r="Z104" i="10"/>
  <c r="BX15" i="10"/>
  <c r="CA40" i="10"/>
  <c r="BZ36" i="10"/>
  <c r="BM154" i="10"/>
  <c r="AB45" i="10"/>
  <c r="R138" i="10"/>
  <c r="AJ163" i="10"/>
  <c r="AE126" i="10"/>
  <c r="BX54" i="10"/>
  <c r="AC146" i="10"/>
  <c r="AM7" i="10"/>
  <c r="AF39" i="10"/>
  <c r="BS40" i="10"/>
  <c r="BL20" i="10"/>
  <c r="BT66" i="10"/>
  <c r="CV20" i="10"/>
  <c r="BM84" i="10"/>
  <c r="BQ61" i="10"/>
  <c r="AM103" i="10"/>
  <c r="CQ14" i="10"/>
  <c r="AC11" i="10"/>
  <c r="CM102" i="10"/>
  <c r="AM151" i="10"/>
  <c r="CQ101" i="10"/>
  <c r="AA117" i="10"/>
  <c r="BU36" i="10"/>
  <c r="X58" i="10"/>
  <c r="AA80" i="10"/>
  <c r="BZ124" i="10"/>
  <c r="BQ91" i="10"/>
  <c r="BL46" i="10"/>
  <c r="BX43" i="10"/>
  <c r="CB29" i="10"/>
  <c r="CW8" i="10"/>
  <c r="BX12" i="10"/>
  <c r="BW20" i="10"/>
  <c r="Z78" i="10"/>
  <c r="CV96" i="10"/>
  <c r="BP10" i="10"/>
  <c r="BS100" i="10"/>
  <c r="BZ56" i="10"/>
  <c r="AA180" i="10"/>
  <c r="AB135" i="10"/>
  <c r="CJ12" i="10"/>
  <c r="BL65" i="10"/>
  <c r="AL38" i="10"/>
  <c r="BS139" i="10"/>
  <c r="CR120" i="10"/>
  <c r="AB125" i="10"/>
  <c r="BQ27" i="10"/>
  <c r="BS147" i="10"/>
  <c r="L80" i="10"/>
  <c r="AL9" i="10"/>
  <c r="BL169" i="10"/>
  <c r="CE142" i="10"/>
  <c r="CP40" i="10"/>
  <c r="Z28" i="10"/>
  <c r="L42" i="10"/>
  <c r="BT32" i="10"/>
  <c r="CW86" i="10"/>
  <c r="AM116" i="10"/>
  <c r="CC120" i="10"/>
  <c r="AE74" i="10"/>
  <c r="BL94" i="10"/>
  <c r="BX26" i="10"/>
  <c r="CR40" i="10"/>
  <c r="CB113" i="10"/>
  <c r="BU67" i="10"/>
  <c r="CC185" i="10"/>
  <c r="BV36" i="10"/>
  <c r="AL8" i="10"/>
  <c r="BM140" i="10"/>
  <c r="BM64" i="10"/>
  <c r="CE14" i="10"/>
  <c r="AK12" i="10"/>
  <c r="AB81" i="10"/>
  <c r="AH8" i="10"/>
  <c r="AL14" i="10"/>
  <c r="CQ26" i="10"/>
  <c r="T72" i="10"/>
  <c r="CV13" i="10"/>
  <c r="BP6" i="10"/>
  <c r="CE172" i="10"/>
  <c r="AJ30" i="10"/>
  <c r="BS192" i="10"/>
  <c r="CR65" i="10"/>
  <c r="BV111" i="10"/>
  <c r="AL110" i="10"/>
  <c r="BT6" i="10"/>
  <c r="BW49" i="10"/>
  <c r="BL39" i="10"/>
  <c r="BQ43" i="10"/>
  <c r="CT83" i="10"/>
  <c r="AM23" i="10"/>
  <c r="AC13" i="10"/>
  <c r="BW45" i="10"/>
  <c r="CR9" i="10"/>
  <c r="BX66" i="10"/>
  <c r="CR56" i="10"/>
  <c r="BW67" i="10"/>
  <c r="BM9" i="10"/>
  <c r="BQ21" i="10"/>
  <c r="AF23" i="10"/>
  <c r="AM70" i="10"/>
  <c r="AE36" i="10"/>
  <c r="BL54" i="10"/>
  <c r="AK4" i="10"/>
  <c r="AH54" i="10"/>
  <c r="AC107" i="10"/>
  <c r="CE5" i="10"/>
  <c r="CC25" i="10"/>
  <c r="BU90" i="10"/>
  <c r="CV46" i="10"/>
  <c r="CQ74" i="10"/>
  <c r="CP15" i="10"/>
  <c r="AM47" i="10"/>
  <c r="BT123" i="10"/>
  <c r="BT19" i="10"/>
  <c r="CJ37" i="10"/>
  <c r="BU7" i="10"/>
  <c r="BY137" i="10"/>
  <c r="CR135" i="10"/>
  <c r="CJ97" i="10"/>
  <c r="AB43" i="10"/>
  <c r="CQ69" i="10"/>
  <c r="CV151" i="10"/>
  <c r="AF100" i="10"/>
  <c r="AL93" i="10"/>
  <c r="BP19" i="10"/>
  <c r="AA189" i="10"/>
  <c r="AM51" i="10"/>
  <c r="BT146" i="10"/>
  <c r="R130" i="10"/>
  <c r="CR28" i="10"/>
  <c r="L6" i="10"/>
  <c r="BU26" i="10"/>
  <c r="AB79" i="10"/>
  <c r="BX189" i="10"/>
  <c r="AM157" i="10"/>
  <c r="CV38" i="10"/>
  <c r="CJ167" i="10"/>
  <c r="AB98" i="10"/>
  <c r="BQ125" i="10"/>
  <c r="Z58" i="10"/>
  <c r="AA99" i="10"/>
  <c r="AK45" i="10"/>
  <c r="CQ130" i="10"/>
  <c r="AL31" i="10"/>
  <c r="AL73" i="10"/>
  <c r="AM93" i="10"/>
  <c r="AA27" i="10"/>
  <c r="AJ148" i="10"/>
  <c r="CB89" i="10"/>
  <c r="AB104" i="10"/>
  <c r="BM72" i="10"/>
  <c r="BT34" i="10"/>
  <c r="BV145" i="10"/>
  <c r="BV70" i="10"/>
  <c r="CJ38" i="10"/>
  <c r="CV164" i="10"/>
  <c r="AE15" i="10"/>
  <c r="AH4" i="10"/>
  <c r="AL134" i="10"/>
  <c r="CD84" i="10"/>
  <c r="AB109" i="10"/>
  <c r="CB109" i="10"/>
  <c r="CC63" i="10"/>
  <c r="CQ164" i="10"/>
  <c r="BP75" i="10"/>
  <c r="CQ48" i="10"/>
  <c r="BL161" i="10"/>
  <c r="BT59" i="10"/>
  <c r="CR14" i="10"/>
  <c r="CE15" i="10"/>
  <c r="AJ125" i="10"/>
  <c r="AM48" i="10"/>
  <c r="CJ163" i="10"/>
  <c r="AA111" i="10"/>
  <c r="AF85" i="10"/>
  <c r="L124" i="10"/>
  <c r="CR133" i="10"/>
  <c r="Z124" i="10"/>
  <c r="BZ53" i="10"/>
  <c r="AL84" i="10"/>
  <c r="BQ157" i="10"/>
  <c r="AA26" i="10"/>
  <c r="CP65" i="10"/>
  <c r="BW71" i="10"/>
  <c r="CT140" i="10"/>
  <c r="BP146" i="10"/>
  <c r="AJ112" i="10"/>
  <c r="BT38" i="10"/>
  <c r="CQ117" i="10"/>
  <c r="CA80" i="10"/>
  <c r="BM6" i="10"/>
  <c r="CA175" i="10"/>
  <c r="AJ52" i="10"/>
  <c r="CR21" i="10"/>
  <c r="AL13" i="10"/>
  <c r="AC126" i="10"/>
  <c r="CD53" i="10"/>
  <c r="AL66" i="10"/>
  <c r="BM51" i="10"/>
  <c r="AA106" i="10"/>
  <c r="CA14" i="10"/>
  <c r="CW112" i="10"/>
  <c r="BP181" i="10"/>
  <c r="BM111" i="10"/>
  <c r="AL65" i="10"/>
  <c r="L37" i="10"/>
  <c r="BQ81" i="10"/>
  <c r="AF61" i="10"/>
  <c r="CB57" i="10"/>
  <c r="CC5" i="10"/>
  <c r="AB18" i="10"/>
  <c r="BZ181" i="10"/>
  <c r="CE164" i="10"/>
  <c r="CQ60" i="10"/>
  <c r="AE108" i="10"/>
  <c r="BU19" i="10"/>
  <c r="AA22" i="10"/>
  <c r="CM76" i="10"/>
  <c r="BM13" i="10"/>
  <c r="R17" i="10"/>
  <c r="CA63" i="10"/>
  <c r="AF41" i="10"/>
  <c r="CC91" i="10"/>
  <c r="AE48" i="10"/>
  <c r="CB42" i="10"/>
  <c r="CT17" i="10"/>
  <c r="BQ57" i="10"/>
  <c r="CD52" i="10"/>
  <c r="BT71" i="10"/>
  <c r="BL26" i="10"/>
  <c r="CT40" i="10"/>
  <c r="BT60" i="10"/>
  <c r="BL56" i="10"/>
  <c r="BP98" i="10"/>
  <c r="AM144" i="10"/>
  <c r="X4" i="10"/>
  <c r="AE156" i="10"/>
  <c r="CQ61" i="10"/>
  <c r="AF34" i="10"/>
  <c r="AM75" i="10"/>
  <c r="AH145" i="10"/>
  <c r="CP32" i="10"/>
  <c r="AK189" i="10"/>
  <c r="BM153" i="10"/>
  <c r="Z91" i="10"/>
  <c r="CQ114" i="10"/>
  <c r="BN163" i="10"/>
  <c r="AK28" i="10"/>
  <c r="CR13" i="10"/>
  <c r="CT6" i="10"/>
  <c r="L39" i="10"/>
  <c r="AF66" i="10"/>
  <c r="CW160" i="10"/>
  <c r="BZ82" i="10"/>
  <c r="AK138" i="10"/>
  <c r="BV60" i="10"/>
  <c r="N90" i="10"/>
  <c r="BW82" i="10"/>
  <c r="CP11" i="10"/>
  <c r="L123" i="10"/>
  <c r="BV39" i="10"/>
  <c r="AM14" i="10"/>
  <c r="CR97" i="10"/>
  <c r="BX73" i="10"/>
  <c r="BX163" i="10"/>
  <c r="BZ34" i="10"/>
  <c r="AB147" i="10"/>
  <c r="BQ41" i="10"/>
  <c r="AK55" i="10"/>
  <c r="BQ18" i="10"/>
  <c r="CB38" i="10"/>
  <c r="CA77" i="10"/>
  <c r="CJ73" i="10"/>
  <c r="BU59" i="10"/>
  <c r="CQ54" i="10"/>
  <c r="BM124" i="10"/>
  <c r="L107" i="10"/>
  <c r="BX31" i="10"/>
  <c r="Z72" i="10"/>
  <c r="AM6" i="10"/>
  <c r="AJ32" i="10"/>
  <c r="R43" i="10"/>
  <c r="BL93" i="10"/>
  <c r="CR83" i="10"/>
  <c r="BQ51" i="10"/>
  <c r="CA17" i="10"/>
  <c r="CV6" i="10"/>
  <c r="BL191" i="10"/>
  <c r="CW67" i="10"/>
  <c r="AH75" i="10"/>
  <c r="AH74" i="10"/>
  <c r="CQ4" i="10"/>
  <c r="CA58" i="10"/>
  <c r="CQ72" i="10"/>
  <c r="Z100" i="10"/>
  <c r="BM171" i="10"/>
  <c r="AA146" i="10"/>
  <c r="BV10" i="10"/>
  <c r="CW109" i="10"/>
  <c r="CQ8" i="10"/>
  <c r="BL13" i="10"/>
  <c r="CA117" i="10"/>
  <c r="BZ25" i="10"/>
  <c r="S55" i="10"/>
  <c r="AM42" i="10"/>
  <c r="CD37" i="10"/>
  <c r="L8" i="10"/>
  <c r="CE65" i="10"/>
  <c r="BX84" i="10"/>
  <c r="BU189" i="10"/>
  <c r="AA25" i="10"/>
  <c r="AL107" i="10"/>
  <c r="CR101" i="10"/>
  <c r="CT107" i="10"/>
  <c r="AK74" i="10"/>
  <c r="AM63" i="10"/>
  <c r="AA34" i="10"/>
  <c r="AF71" i="10"/>
  <c r="AF64" i="10"/>
  <c r="AH108" i="10"/>
  <c r="AC10" i="10"/>
  <c r="CE11" i="10"/>
  <c r="AJ46" i="10"/>
  <c r="CE97" i="10"/>
  <c r="CA168" i="10"/>
  <c r="AF17" i="10"/>
  <c r="AL5" i="10"/>
  <c r="CT112" i="10"/>
  <c r="AL111" i="10"/>
  <c r="BU30" i="10"/>
  <c r="BW58" i="10"/>
  <c r="AM180" i="10"/>
  <c r="L100" i="10"/>
  <c r="L134" i="10"/>
  <c r="BQ63" i="10"/>
  <c r="AF110" i="10"/>
  <c r="AF31" i="10"/>
  <c r="CT36" i="10"/>
  <c r="AH61" i="10"/>
  <c r="AL146" i="10"/>
  <c r="BZ75" i="10"/>
  <c r="CQ33" i="10"/>
  <c r="BU71" i="10"/>
  <c r="AK130" i="10"/>
  <c r="BM104" i="10"/>
  <c r="BQ16" i="10"/>
  <c r="CP33" i="10"/>
  <c r="BP60" i="10"/>
  <c r="CP79" i="10"/>
  <c r="AK59" i="10"/>
  <c r="BT111" i="10"/>
  <c r="CD109" i="10"/>
  <c r="BV72" i="10"/>
  <c r="BX65" i="10"/>
  <c r="CA124" i="10"/>
  <c r="L86" i="10"/>
  <c r="CC110" i="10"/>
  <c r="AJ67" i="10"/>
  <c r="BL116" i="10"/>
  <c r="CQ42" i="10"/>
  <c r="BS5" i="10"/>
  <c r="BT137" i="10"/>
  <c r="AE28" i="10"/>
  <c r="L55" i="10"/>
  <c r="BU110" i="10"/>
  <c r="AE4" i="10"/>
  <c r="R84" i="10"/>
  <c r="Z30" i="10"/>
  <c r="AF88" i="10"/>
  <c r="BW48" i="10"/>
  <c r="BS39" i="10"/>
  <c r="CT106" i="10"/>
  <c r="BU127" i="10"/>
  <c r="AE29" i="10"/>
  <c r="AJ74" i="10"/>
  <c r="AJ176" i="10"/>
  <c r="AH67" i="10"/>
  <c r="BS43" i="10"/>
  <c r="CJ4" i="10"/>
  <c r="BW182" i="10"/>
  <c r="CE72" i="10"/>
  <c r="CD29" i="10"/>
  <c r="BT183" i="10"/>
  <c r="BZ86" i="10"/>
  <c r="CC173" i="10"/>
  <c r="CV134" i="10"/>
  <c r="AL64" i="10"/>
  <c r="CR61" i="10"/>
  <c r="Z37" i="10"/>
  <c r="BS90" i="10"/>
  <c r="BV63" i="10"/>
  <c r="CV122" i="10"/>
  <c r="AM146" i="10"/>
  <c r="CR7" i="10"/>
  <c r="BS101" i="10"/>
  <c r="CR72" i="10"/>
  <c r="BV86" i="10"/>
  <c r="AB122" i="10"/>
  <c r="AM104" i="10"/>
  <c r="CW125" i="10"/>
  <c r="CQ103" i="10"/>
  <c r="BS34" i="10"/>
  <c r="AK29" i="10"/>
  <c r="BV21" i="10"/>
  <c r="AK27" i="10"/>
  <c r="CC135" i="10"/>
  <c r="CC46" i="10"/>
  <c r="L145" i="10"/>
  <c r="AL17" i="10"/>
  <c r="AJ146" i="10"/>
  <c r="BZ98" i="10"/>
  <c r="CP64" i="10"/>
  <c r="CT63" i="10"/>
  <c r="CJ29" i="10"/>
  <c r="BX46" i="10"/>
  <c r="CV18" i="10"/>
  <c r="CE56" i="10"/>
  <c r="BZ15" i="10"/>
  <c r="AJ55" i="10"/>
  <c r="CA54" i="10"/>
  <c r="AF128" i="10"/>
  <c r="AA132" i="10"/>
  <c r="CB35" i="10"/>
  <c r="AH175" i="10"/>
  <c r="BO29" i="10"/>
  <c r="CR27" i="10"/>
  <c r="AL88" i="10"/>
  <c r="AH109" i="10"/>
  <c r="AF43" i="10"/>
  <c r="CP189" i="10"/>
  <c r="BL47" i="10"/>
  <c r="CT44" i="10"/>
  <c r="CR34" i="10"/>
  <c r="AJ38" i="10"/>
  <c r="AE11" i="10"/>
  <c r="Z13" i="10"/>
  <c r="CV56" i="10"/>
  <c r="BQ58" i="10"/>
  <c r="CR18" i="10"/>
  <c r="CA25" i="10"/>
  <c r="AC125" i="10"/>
  <c r="CW6" i="10"/>
  <c r="CW39" i="10"/>
  <c r="CJ127" i="10"/>
  <c r="BM65" i="10"/>
  <c r="CE9" i="10"/>
  <c r="CQ47" i="10"/>
  <c r="AK76" i="10"/>
  <c r="CA68" i="10"/>
  <c r="AE81" i="10"/>
  <c r="AF161" i="10"/>
  <c r="AK107" i="10"/>
  <c r="BX21" i="10"/>
  <c r="CC13" i="10"/>
  <c r="AL124" i="10"/>
  <c r="CA99" i="10"/>
  <c r="CD70" i="10"/>
  <c r="CJ20" i="10"/>
  <c r="Z10" i="10"/>
  <c r="AK181" i="10"/>
  <c r="BP65" i="10"/>
  <c r="BT98" i="10"/>
  <c r="CM86" i="10"/>
  <c r="AH123" i="10"/>
  <c r="CE120" i="10"/>
  <c r="AF108" i="10"/>
  <c r="CT60" i="10"/>
  <c r="AC37" i="10"/>
  <c r="AE181" i="10"/>
  <c r="CP62" i="10"/>
  <c r="BL24" i="10"/>
  <c r="Z25" i="10"/>
  <c r="AA116" i="10"/>
  <c r="BM115" i="10"/>
  <c r="BX133" i="10"/>
  <c r="AK10" i="10"/>
  <c r="Z90" i="10"/>
  <c r="AA37" i="10"/>
  <c r="CT31" i="10"/>
  <c r="AJ28" i="10"/>
  <c r="AH6" i="10"/>
  <c r="BQ39" i="10"/>
  <c r="AJ21" i="10"/>
  <c r="CQ108" i="10"/>
  <c r="BM96" i="10"/>
  <c r="CJ13" i="10"/>
  <c r="AM31" i="10"/>
  <c r="BW21" i="10"/>
  <c r="BS18" i="10"/>
  <c r="BL8" i="10"/>
  <c r="CR125" i="10"/>
  <c r="CR19" i="10"/>
  <c r="CA119" i="10"/>
  <c r="CP74" i="10"/>
  <c r="CC44" i="10"/>
  <c r="L45" i="10"/>
  <c r="AC40" i="10"/>
  <c r="BU65" i="10"/>
  <c r="R135" i="10"/>
  <c r="CP164" i="10"/>
  <c r="AE6" i="10"/>
  <c r="BS54" i="10"/>
  <c r="BV43" i="10"/>
  <c r="AA7" i="10"/>
  <c r="BX34" i="10"/>
  <c r="BQ100" i="10"/>
  <c r="BM60" i="10"/>
  <c r="CM78" i="10"/>
  <c r="BP156" i="10"/>
  <c r="CE26" i="10"/>
  <c r="AA21" i="10"/>
  <c r="BS9" i="10"/>
  <c r="AC109" i="10"/>
  <c r="BM70" i="10"/>
  <c r="CE156" i="10"/>
  <c r="AA68" i="10"/>
  <c r="AH182" i="10"/>
  <c r="AA83" i="10"/>
  <c r="BV13" i="10"/>
  <c r="AH10" i="10"/>
  <c r="CB67" i="10"/>
  <c r="R11" i="10"/>
  <c r="BS184" i="10"/>
  <c r="CT111" i="10"/>
  <c r="CV35" i="10"/>
  <c r="Z113" i="10"/>
  <c r="AK166" i="10"/>
  <c r="CP54" i="10"/>
  <c r="AF45" i="10"/>
  <c r="BV49" i="10"/>
  <c r="L5" i="10"/>
  <c r="AJ104" i="10"/>
  <c r="Z149" i="10"/>
  <c r="AK100" i="10"/>
  <c r="CE60" i="10"/>
  <c r="AM170" i="10"/>
  <c r="BU157" i="10"/>
  <c r="BL119" i="10"/>
  <c r="CJ98" i="10"/>
  <c r="AM68" i="10"/>
  <c r="AH24" i="10"/>
  <c r="CR90" i="10"/>
  <c r="BP135" i="10"/>
  <c r="CW9" i="10"/>
  <c r="BP54" i="10"/>
  <c r="BM86" i="10"/>
  <c r="CQ39" i="10"/>
  <c r="AL53" i="10"/>
  <c r="BW109" i="10"/>
  <c r="AA65" i="10"/>
  <c r="AL102" i="10"/>
  <c r="BL67" i="10"/>
  <c r="BP91" i="10"/>
  <c r="CA5" i="10"/>
  <c r="CD80" i="10"/>
  <c r="AJ35" i="10"/>
  <c r="CC61" i="10"/>
  <c r="AK15" i="10"/>
  <c r="AL89" i="10"/>
  <c r="BP29" i="10"/>
  <c r="AB75" i="10"/>
  <c r="BM188" i="10"/>
  <c r="BU33" i="10"/>
  <c r="CQ172" i="10"/>
  <c r="CB183" i="10"/>
  <c r="AK30" i="10"/>
  <c r="CQ105" i="10"/>
  <c r="CP59" i="10"/>
  <c r="AF160" i="10"/>
  <c r="CT92" i="10"/>
  <c r="CC176" i="10"/>
  <c r="BL101" i="10"/>
  <c r="CR102" i="10"/>
  <c r="BQ111" i="10"/>
  <c r="CJ171" i="10"/>
  <c r="BS27" i="10"/>
  <c r="AA171" i="10"/>
  <c r="AM12" i="10"/>
  <c r="CB34" i="10"/>
  <c r="BU87" i="10"/>
  <c r="AL35" i="10"/>
  <c r="BT147" i="10"/>
  <c r="L40" i="10"/>
  <c r="BW30" i="10"/>
  <c r="AM147" i="10"/>
  <c r="CT8" i="10"/>
  <c r="BU12" i="10"/>
  <c r="AM126" i="10"/>
  <c r="BL81" i="10"/>
  <c r="R152" i="10"/>
  <c r="R134" i="10"/>
  <c r="CA134" i="10"/>
  <c r="BT78" i="10"/>
  <c r="AH130" i="10"/>
  <c r="BU103" i="10"/>
  <c r="Z20" i="10"/>
  <c r="BL41" i="10"/>
  <c r="CD43" i="10"/>
  <c r="AB44" i="10"/>
  <c r="CC41" i="10"/>
  <c r="CP69" i="10"/>
  <c r="CP53" i="10"/>
  <c r="R35" i="10"/>
  <c r="AJ90" i="10"/>
  <c r="L20" i="10"/>
  <c r="Z75" i="10"/>
  <c r="AM20" i="10"/>
  <c r="CC43" i="10"/>
  <c r="AA23" i="10"/>
  <c r="AC18" i="10"/>
  <c r="AF76" i="10"/>
  <c r="AL7" i="10"/>
  <c r="BU16" i="10"/>
  <c r="N70" i="10"/>
  <c r="BW64" i="10"/>
  <c r="BV28" i="10"/>
  <c r="AM106" i="10"/>
  <c r="CP10" i="10"/>
  <c r="BZ103" i="10"/>
  <c r="AM62" i="10"/>
  <c r="AC65" i="10"/>
  <c r="AE52" i="10"/>
  <c r="BW97" i="10"/>
  <c r="CP106" i="10"/>
  <c r="AJ16" i="10"/>
  <c r="BV37" i="10"/>
  <c r="BQ78" i="10"/>
  <c r="BP21" i="10"/>
  <c r="BT41" i="10"/>
  <c r="CP13" i="10"/>
  <c r="Z82" i="10"/>
  <c r="CC69" i="10"/>
  <c r="AC129" i="10"/>
  <c r="AK67" i="10"/>
  <c r="BV35" i="10"/>
  <c r="BT85" i="10"/>
  <c r="R26" i="10"/>
  <c r="BV45" i="10"/>
  <c r="AE50" i="10"/>
  <c r="AL32" i="10"/>
  <c r="AB14" i="10"/>
  <c r="BX19" i="10"/>
  <c r="AF81" i="10"/>
  <c r="AM182" i="10"/>
  <c r="CW22" i="10"/>
  <c r="CP48" i="10"/>
  <c r="BS53" i="10"/>
  <c r="BM18" i="10"/>
  <c r="CP56" i="10"/>
  <c r="BQ118" i="10"/>
  <c r="BV183" i="10"/>
  <c r="CM48" i="10"/>
  <c r="CB114" i="10"/>
  <c r="CW122" i="10"/>
  <c r="CW68" i="10"/>
  <c r="CA105" i="10"/>
  <c r="BU17" i="10"/>
  <c r="AH34" i="10"/>
  <c r="AF67" i="10"/>
  <c r="AH72" i="10"/>
  <c r="CM39" i="10"/>
  <c r="BL30" i="10"/>
  <c r="BX68" i="10"/>
  <c r="AA41" i="10"/>
  <c r="CT51" i="10"/>
  <c r="AM16" i="10"/>
  <c r="BV96" i="10"/>
  <c r="BW41" i="10"/>
  <c r="CW20" i="10"/>
  <c r="BY96" i="10"/>
  <c r="BX5" i="10"/>
  <c r="BT99" i="10"/>
  <c r="N76" i="10"/>
  <c r="AK102" i="10"/>
  <c r="BQ48" i="10"/>
  <c r="CR104" i="10"/>
  <c r="CQ23" i="10"/>
  <c r="BL69" i="10"/>
  <c r="AA104" i="10"/>
  <c r="AC9" i="10"/>
  <c r="L43" i="10"/>
  <c r="CT189" i="10"/>
  <c r="CP26" i="10"/>
  <c r="BM132" i="10"/>
  <c r="R52" i="10"/>
  <c r="BT116" i="10"/>
  <c r="CT48" i="10"/>
  <c r="CA109" i="10"/>
  <c r="L90" i="10"/>
  <c r="AF84" i="10"/>
  <c r="BV48" i="10"/>
  <c r="L99" i="10"/>
  <c r="BP27" i="10"/>
  <c r="CJ5" i="10"/>
  <c r="BX50" i="10"/>
  <c r="BW29" i="10"/>
  <c r="CD9" i="10"/>
  <c r="CJ22" i="10"/>
  <c r="CC90" i="10"/>
  <c r="AA40" i="10"/>
  <c r="CC26" i="10"/>
  <c r="BP23" i="10"/>
  <c r="CV167" i="10"/>
  <c r="CD17" i="10"/>
  <c r="CD75" i="10"/>
  <c r="BL98" i="10"/>
  <c r="N21" i="10"/>
  <c r="Z180" i="10"/>
  <c r="AC75" i="10"/>
  <c r="BM176" i="10"/>
  <c r="BS15" i="10"/>
  <c r="BZ99" i="10"/>
  <c r="Z166" i="10"/>
  <c r="BW33" i="10"/>
  <c r="AH66" i="10"/>
  <c r="AK111" i="10"/>
  <c r="CE44" i="10"/>
  <c r="Z111" i="10"/>
  <c r="AB49" i="10"/>
  <c r="BX33" i="10"/>
  <c r="BV175" i="10"/>
  <c r="CQ137" i="10"/>
  <c r="BT70" i="10"/>
  <c r="CP184" i="10"/>
  <c r="CJ57" i="10"/>
  <c r="BP132" i="10"/>
  <c r="BS127" i="10"/>
  <c r="CR99" i="10"/>
  <c r="BX11" i="10"/>
  <c r="CD101" i="10"/>
  <c r="BT77" i="10"/>
  <c r="CW30" i="10"/>
  <c r="BQ28" i="10"/>
  <c r="BS172" i="10"/>
  <c r="BL88" i="10"/>
  <c r="CB117" i="10"/>
  <c r="CC100" i="10"/>
  <c r="BS58" i="10"/>
  <c r="AB133" i="10"/>
  <c r="AH21" i="10"/>
  <c r="CB69" i="10"/>
  <c r="AL78" i="10"/>
  <c r="B188" i="10"/>
  <c r="CA92" i="10"/>
  <c r="BZ130" i="10"/>
  <c r="CA104" i="10"/>
  <c r="CJ9" i="10"/>
  <c r="F4" i="10"/>
  <c r="BU13" i="10"/>
  <c r="CQ21" i="10"/>
  <c r="BQ74" i="10"/>
  <c r="AB28" i="10"/>
  <c r="L23" i="10"/>
  <c r="CW103" i="10"/>
  <c r="BX52" i="10"/>
  <c r="AB11" i="10"/>
  <c r="BP22" i="10"/>
  <c r="BP79" i="10"/>
  <c r="BX45" i="10"/>
  <c r="AE45" i="10"/>
  <c r="AC54" i="10"/>
  <c r="BV82" i="10"/>
  <c r="CR148" i="10"/>
  <c r="CJ54" i="10"/>
  <c r="CQ68" i="10"/>
  <c r="BT67" i="10"/>
  <c r="U72" i="10"/>
  <c r="BL64" i="10"/>
  <c r="BP15" i="10"/>
  <c r="AL139" i="10"/>
  <c r="CQ86" i="10"/>
  <c r="CJ108" i="10"/>
  <c r="BZ69" i="10"/>
  <c r="CR12" i="10"/>
  <c r="CQ63" i="10"/>
  <c r="BS50" i="10"/>
  <c r="BS96" i="10"/>
  <c r="AB78" i="10"/>
  <c r="AF120" i="10"/>
  <c r="BY169" i="10"/>
  <c r="CE24" i="10"/>
  <c r="BL175" i="10"/>
  <c r="AB121" i="10"/>
  <c r="AM99" i="10"/>
  <c r="AE109" i="10"/>
  <c r="CW184" i="10"/>
  <c r="BS149" i="10"/>
  <c r="CE25" i="10"/>
  <c r="AH56" i="10"/>
  <c r="AA107" i="10"/>
  <c r="BW98" i="10"/>
  <c r="AH30" i="10"/>
  <c r="CQ41" i="10"/>
  <c r="BW22" i="10"/>
  <c r="BZ93" i="10"/>
  <c r="BV102" i="10"/>
  <c r="AF7" i="10"/>
  <c r="CR37" i="10"/>
  <c r="BT53" i="10"/>
  <c r="BP139" i="10"/>
  <c r="AC145" i="10"/>
  <c r="AJ87" i="10"/>
  <c r="CW14" i="10"/>
  <c r="R42" i="10"/>
  <c r="BP107" i="10"/>
  <c r="CC105" i="10"/>
  <c r="BM143" i="10"/>
  <c r="BZ38" i="10"/>
  <c r="L112" i="10"/>
  <c r="N58" i="10"/>
  <c r="CM91" i="10"/>
  <c r="BV139" i="10"/>
  <c r="CA73" i="10"/>
  <c r="CB157" i="10"/>
  <c r="AC101" i="10"/>
  <c r="AC130" i="10"/>
  <c r="CR96" i="10"/>
  <c r="CR112" i="10"/>
  <c r="CQ20" i="10"/>
  <c r="BW12" i="10"/>
  <c r="BT33" i="10"/>
  <c r="BW96" i="10"/>
  <c r="CE8" i="10"/>
  <c r="BL22" i="10"/>
  <c r="CB92" i="10"/>
  <c r="N88" i="10"/>
  <c r="BV33" i="10"/>
  <c r="AB23" i="10"/>
  <c r="CV21" i="10"/>
  <c r="BO71" i="10"/>
  <c r="AM81" i="10"/>
  <c r="BU5" i="10"/>
  <c r="BT94" i="10"/>
  <c r="CP55" i="10"/>
  <c r="CT101" i="10"/>
  <c r="BL12" i="10"/>
  <c r="BW9" i="10"/>
  <c r="BZ33" i="10"/>
  <c r="AE87" i="10"/>
  <c r="CC55" i="10"/>
  <c r="AL115" i="10"/>
  <c r="BP34" i="10"/>
  <c r="BV80" i="10"/>
  <c r="CC35" i="10"/>
  <c r="CP112" i="10"/>
  <c r="Z69" i="10"/>
  <c r="AE66" i="10"/>
  <c r="CA110" i="10"/>
  <c r="BU70" i="10"/>
  <c r="CE148" i="10"/>
  <c r="CT71" i="10"/>
  <c r="Z77" i="10"/>
  <c r="BX8" i="10"/>
  <c r="R45" i="10"/>
  <c r="AF6" i="10"/>
  <c r="BQ96" i="10"/>
  <c r="BV23" i="10"/>
  <c r="AL61" i="10"/>
  <c r="BX9" i="10"/>
  <c r="CD18" i="10"/>
  <c r="AK17" i="10"/>
  <c r="BL7" i="10"/>
  <c r="AM66" i="10"/>
  <c r="AF19" i="10"/>
  <c r="AA9" i="10"/>
  <c r="CW28" i="10"/>
  <c r="L50" i="10"/>
  <c r="CD27" i="10"/>
  <c r="AH107" i="10"/>
  <c r="Z55" i="10"/>
  <c r="CD48" i="10"/>
  <c r="N64" i="10"/>
  <c r="BP40" i="10"/>
  <c r="BW42" i="10"/>
  <c r="BM30" i="10"/>
  <c r="AB94" i="10"/>
  <c r="BW86" i="10"/>
  <c r="AE35" i="10"/>
  <c r="CR38" i="10"/>
  <c r="BQ44" i="10"/>
  <c r="BL6" i="10"/>
  <c r="CM32" i="10"/>
  <c r="AE42" i="10"/>
  <c r="AM152" i="10"/>
  <c r="AH129" i="10"/>
  <c r="BZ122" i="10"/>
  <c r="CR6" i="10"/>
  <c r="AK39" i="10"/>
  <c r="AM10" i="10"/>
  <c r="AH83" i="10"/>
  <c r="CQ52" i="10"/>
  <c r="CR131" i="10"/>
  <c r="CB166" i="10"/>
  <c r="CP80" i="10"/>
  <c r="AK144" i="10"/>
  <c r="CB102" i="10"/>
  <c r="Z86" i="10"/>
  <c r="AE153" i="10"/>
  <c r="AB128" i="10"/>
  <c r="AA75" i="10"/>
  <c r="L47" i="10"/>
  <c r="AJ159" i="10"/>
  <c r="CA44" i="10"/>
  <c r="AA38" i="10"/>
  <c r="CB85" i="10"/>
  <c r="AA51" i="10"/>
  <c r="BS118" i="10"/>
  <c r="AE178" i="10"/>
  <c r="CV188" i="10"/>
  <c r="CP81" i="10"/>
  <c r="CQ94" i="10"/>
  <c r="AC4" i="10"/>
  <c r="CV12" i="10"/>
  <c r="BY4" i="10"/>
  <c r="AL15" i="10"/>
  <c r="CJ48" i="10"/>
  <c r="BL166" i="10"/>
  <c r="BT18" i="10"/>
  <c r="AB152" i="10"/>
  <c r="CR29" i="10"/>
  <c r="BT97" i="10"/>
  <c r="BM47" i="10"/>
  <c r="BS86" i="10"/>
  <c r="BZ19" i="10"/>
  <c r="BT103" i="10"/>
  <c r="AF26" i="10"/>
  <c r="BP64" i="10"/>
  <c r="CV23" i="10"/>
  <c r="CV119" i="10"/>
  <c r="CD110" i="10"/>
  <c r="BL10" i="10"/>
  <c r="T55" i="10"/>
  <c r="BZ23" i="10"/>
  <c r="CB45" i="10"/>
  <c r="BT29" i="10"/>
  <c r="BT15" i="10"/>
  <c r="CM88" i="10"/>
  <c r="BZ16" i="10"/>
  <c r="CV32" i="10"/>
  <c r="AB178" i="10"/>
  <c r="CA6" i="10"/>
  <c r="BP62" i="10"/>
  <c r="CT104" i="10"/>
  <c r="AC50" i="10"/>
  <c r="AL86" i="10"/>
  <c r="BZ31" i="10"/>
  <c r="AF62" i="10"/>
  <c r="AE40" i="10"/>
  <c r="N37" i="10"/>
  <c r="BW31" i="10"/>
  <c r="CR53" i="10"/>
  <c r="BV162" i="10"/>
  <c r="AK44" i="10"/>
  <c r="AJ36" i="10"/>
  <c r="AA8" i="10"/>
  <c r="BR4" i="10"/>
  <c r="AA49" i="10"/>
  <c r="BV26" i="10"/>
  <c r="AK21" i="10"/>
  <c r="CW24" i="10"/>
  <c r="BQ174" i="10"/>
  <c r="CD81" i="10"/>
  <c r="CB116" i="10"/>
  <c r="BM28" i="10"/>
  <c r="AL81" i="10"/>
  <c r="BW180" i="10"/>
  <c r="AM139" i="10"/>
  <c r="CQ102" i="10"/>
  <c r="AL109" i="10"/>
  <c r="BX30" i="10"/>
  <c r="AL51" i="10"/>
  <c r="BQ68" i="10"/>
  <c r="BQ75" i="10"/>
  <c r="BP24" i="10"/>
  <c r="BZ57" i="10"/>
  <c r="BS87" i="10"/>
  <c r="R125" i="10"/>
  <c r="BS103" i="10"/>
  <c r="BM5" i="10"/>
  <c r="L4" i="10"/>
  <c r="CJ32" i="10"/>
  <c r="BX38" i="10"/>
  <c r="CC93" i="10"/>
  <c r="CJ90" i="10"/>
  <c r="CC29" i="10"/>
  <c r="CW177" i="10"/>
  <c r="AB96" i="10"/>
  <c r="CC16" i="10"/>
  <c r="CT96" i="10"/>
  <c r="BV40" i="10"/>
  <c r="AK13" i="10"/>
  <c r="CC109" i="10"/>
  <c r="AB22" i="10"/>
  <c r="CB54" i="10"/>
  <c r="AC80" i="10"/>
  <c r="AJ19" i="10"/>
  <c r="BW90" i="10"/>
  <c r="BX60" i="10"/>
  <c r="AM53" i="10"/>
  <c r="CR78" i="10"/>
  <c r="AE104" i="10"/>
  <c r="CW33" i="10"/>
  <c r="AL40" i="10"/>
  <c r="BZ51" i="10"/>
  <c r="BM98" i="10"/>
  <c r="BZ60" i="10"/>
  <c r="CD32" i="10"/>
  <c r="BV55" i="10"/>
  <c r="CB75" i="10"/>
  <c r="BU89" i="10"/>
  <c r="CJ104" i="10"/>
  <c r="CB31" i="10"/>
  <c r="CD8" i="10"/>
  <c r="CA26" i="10"/>
  <c r="CQ57" i="10"/>
  <c r="BM32" i="10"/>
  <c r="CE153" i="10"/>
  <c r="R18" i="10"/>
  <c r="AL26" i="10"/>
  <c r="CM4" i="10"/>
  <c r="AL48" i="10"/>
  <c r="CE30" i="10"/>
  <c r="BX40" i="10"/>
  <c r="AA45" i="10"/>
  <c r="BX184" i="10"/>
  <c r="CJ47" i="10"/>
  <c r="AF70" i="10"/>
  <c r="AC24" i="10"/>
  <c r="CD64" i="10"/>
  <c r="AH106" i="10"/>
  <c r="BV117" i="10"/>
  <c r="BP52" i="10"/>
  <c r="AM60" i="10"/>
  <c r="AJ15" i="10"/>
  <c r="R41" i="10"/>
  <c r="BV191" i="10"/>
  <c r="CW50" i="10"/>
  <c r="BM67" i="10"/>
  <c r="BV18" i="10"/>
  <c r="BX132" i="10"/>
  <c r="AM61" i="10"/>
  <c r="CC128" i="10"/>
  <c r="AE72" i="10"/>
  <c r="AJ27" i="10"/>
  <c r="CT98" i="10"/>
  <c r="BX97" i="10"/>
  <c r="Z137" i="10"/>
  <c r="BV119" i="10"/>
  <c r="AH45" i="10"/>
  <c r="AA39" i="10"/>
  <c r="BS20" i="10"/>
  <c r="BQ151" i="10"/>
  <c r="AA67" i="10"/>
  <c r="CR50" i="10"/>
  <c r="BU171" i="10"/>
  <c r="CQ37" i="10"/>
  <c r="CT22" i="10"/>
  <c r="BU25" i="10"/>
  <c r="CP60" i="10"/>
  <c r="N46" i="10"/>
  <c r="CQ45" i="10"/>
  <c r="BZ32" i="10"/>
  <c r="AH63" i="10"/>
  <c r="AE25" i="10"/>
  <c r="BL28" i="10"/>
  <c r="AE7" i="10"/>
  <c r="BQ17" i="10"/>
  <c r="CA65" i="10"/>
  <c r="AH89" i="10"/>
  <c r="CC107" i="10"/>
  <c r="BP16" i="10"/>
  <c r="CE138" i="10"/>
  <c r="AB36" i="10"/>
  <c r="CT77" i="10"/>
  <c r="AE172" i="10"/>
  <c r="AC121" i="10"/>
  <c r="BW66" i="10"/>
  <c r="R20" i="10"/>
  <c r="BV73" i="10"/>
  <c r="BY182" i="10"/>
  <c r="CD34" i="10"/>
  <c r="CP8" i="10"/>
  <c r="CT45" i="10"/>
  <c r="CP47" i="10"/>
  <c r="AJ130" i="10"/>
  <c r="Z126" i="10"/>
  <c r="AK70" i="10"/>
  <c r="CW62" i="10"/>
  <c r="CD115" i="10"/>
  <c r="BX149" i="10"/>
  <c r="AH47" i="10"/>
  <c r="Z12" i="10"/>
  <c r="BU184" i="10"/>
  <c r="CV63" i="10"/>
  <c r="BL91" i="10"/>
  <c r="CQ34" i="10"/>
  <c r="CW58" i="10"/>
  <c r="AH48" i="10"/>
  <c r="AM40" i="10"/>
  <c r="BV50" i="10"/>
  <c r="AA5" i="10"/>
  <c r="BM12" i="10"/>
  <c r="CA95" i="10"/>
  <c r="BZ152" i="10"/>
  <c r="AA35" i="10"/>
  <c r="CE170" i="10"/>
  <c r="CA75" i="10"/>
  <c r="CA7" i="10"/>
  <c r="BX14" i="10"/>
  <c r="AF115" i="10"/>
  <c r="AK56" i="10"/>
  <c r="CB53" i="10"/>
  <c r="BQ32" i="10"/>
  <c r="CV138" i="10"/>
  <c r="BV44" i="10"/>
  <c r="R103" i="10"/>
  <c r="BM157" i="10"/>
  <c r="CD139" i="10"/>
  <c r="AL4" i="10"/>
  <c r="CV84" i="10"/>
  <c r="BX39" i="10"/>
  <c r="R80" i="10"/>
  <c r="CP24" i="10"/>
  <c r="CW73" i="10"/>
  <c r="CR11" i="10"/>
  <c r="AF11" i="10"/>
  <c r="R10" i="10"/>
  <c r="AB27" i="10"/>
  <c r="AM56" i="10"/>
  <c r="AF8" i="10"/>
  <c r="AF9" i="10"/>
  <c r="CD79" i="10"/>
  <c r="AF29" i="10"/>
  <c r="CB97" i="10"/>
  <c r="BW147" i="10"/>
  <c r="AF68" i="10"/>
  <c r="BL66" i="10"/>
  <c r="BV17" i="10"/>
  <c r="CB36" i="10"/>
  <c r="BV79" i="10"/>
  <c r="BS17" i="10"/>
  <c r="BV124" i="10"/>
  <c r="CW34" i="10"/>
  <c r="AL11" i="10"/>
  <c r="BW74" i="10"/>
  <c r="CV48" i="10"/>
  <c r="AL33" i="10"/>
  <c r="BT39" i="10"/>
  <c r="AE70" i="10"/>
  <c r="AA12" i="10"/>
  <c r="CE52" i="10"/>
  <c r="AA91" i="10"/>
  <c r="BX53" i="10"/>
  <c r="BY162" i="10"/>
  <c r="N10" i="10"/>
  <c r="CT11" i="10"/>
  <c r="CA24" i="10"/>
  <c r="AF98" i="10"/>
  <c r="CB41" i="10"/>
  <c r="BS89" i="10"/>
  <c r="AA73" i="10"/>
  <c r="CW38" i="10"/>
  <c r="BT17" i="10"/>
  <c r="BQ49" i="10"/>
  <c r="CC32" i="10"/>
  <c r="AE62" i="10"/>
  <c r="BP96" i="10"/>
  <c r="CW52" i="10"/>
  <c r="BL18" i="10"/>
  <c r="BQ190" i="10"/>
  <c r="AB154" i="10"/>
  <c r="CV53" i="10"/>
  <c r="BM10" i="10"/>
  <c r="CV45" i="10"/>
  <c r="Z9" i="10"/>
  <c r="AF28" i="10"/>
  <c r="AA74" i="10"/>
  <c r="CB40" i="10"/>
  <c r="CR191" i="10"/>
  <c r="BL76" i="10"/>
  <c r="CT84" i="10"/>
  <c r="AM97" i="10"/>
  <c r="AC90" i="10"/>
  <c r="BZ68" i="10"/>
  <c r="AE30" i="10"/>
  <c r="BT42" i="10"/>
  <c r="BP126" i="10"/>
  <c r="BM22" i="10"/>
  <c r="L14" i="10"/>
  <c r="CP19" i="10"/>
  <c r="CQ35" i="10"/>
  <c r="BX28" i="10"/>
  <c r="CV9" i="10"/>
  <c r="BU52" i="10"/>
  <c r="CW53" i="10"/>
  <c r="CA36" i="10"/>
  <c r="CC108" i="10"/>
  <c r="AB52" i="10"/>
  <c r="CQ153" i="10"/>
  <c r="CR24" i="10"/>
  <c r="CQ11" i="10"/>
  <c r="AH27" i="10"/>
  <c r="BV51" i="10"/>
  <c r="CR106" i="10"/>
  <c r="BQ31" i="10"/>
  <c r="AB105" i="10"/>
  <c r="BS28" i="10"/>
  <c r="BS8" i="10"/>
  <c r="BX35" i="10"/>
  <c r="CC21" i="10"/>
  <c r="CQ19" i="10"/>
  <c r="AA53" i="10"/>
  <c r="BT117" i="10"/>
  <c r="CJ30" i="10"/>
  <c r="CJ31" i="10"/>
  <c r="CP98" i="10"/>
  <c r="AC115" i="10"/>
  <c r="BP85" i="10"/>
  <c r="AJ133" i="10"/>
  <c r="CJ62" i="10"/>
  <c r="BW178" i="10"/>
  <c r="CD44" i="10"/>
  <c r="BM109" i="10"/>
  <c r="BW59" i="10"/>
  <c r="BZ132" i="10"/>
  <c r="CB50" i="10"/>
  <c r="AE186" i="10"/>
  <c r="BW93" i="10"/>
  <c r="CD24" i="10"/>
  <c r="BZ61" i="10"/>
  <c r="AC59" i="10"/>
  <c r="BX22" i="10"/>
  <c r="CP57" i="10"/>
  <c r="CA174" i="10"/>
  <c r="BZ41" i="10"/>
  <c r="BS104" i="10"/>
  <c r="AJ76" i="10"/>
  <c r="AH92" i="10"/>
  <c r="AK77" i="10"/>
  <c r="AL49" i="10"/>
  <c r="AA10" i="10"/>
  <c r="AE127" i="10"/>
  <c r="AE177" i="10"/>
  <c r="CQ17" i="10"/>
  <c r="AF54" i="10"/>
  <c r="Z112" i="10"/>
  <c r="AH49" i="10"/>
  <c r="AC39" i="10"/>
  <c r="CT35" i="10"/>
  <c r="AJ77" i="10"/>
  <c r="AL41" i="10"/>
  <c r="AK68" i="10"/>
  <c r="BM31" i="10"/>
  <c r="CB25" i="10"/>
  <c r="BV34" i="10"/>
  <c r="CQ38" i="10"/>
  <c r="CC47" i="10"/>
  <c r="AJ118" i="10"/>
  <c r="AA29" i="10"/>
  <c r="Z23" i="10"/>
  <c r="CW97" i="10"/>
  <c r="CQ97" i="10"/>
  <c r="BX107" i="10"/>
  <c r="CR33" i="10"/>
  <c r="BZ129" i="10"/>
  <c r="BV22" i="10"/>
  <c r="AF89" i="10"/>
  <c r="CR79" i="10"/>
  <c r="CV30" i="10"/>
  <c r="AJ26" i="10"/>
  <c r="AE179" i="10"/>
  <c r="CJ64" i="10"/>
  <c r="CA23" i="10"/>
  <c r="BQ30" i="10"/>
  <c r="BW56" i="10"/>
  <c r="BX77" i="10"/>
  <c r="BK4" i="10"/>
  <c r="L143" i="10"/>
  <c r="CC73" i="10"/>
  <c r="AA79" i="10"/>
  <c r="BW73" i="10"/>
  <c r="CW55" i="10"/>
  <c r="CC10" i="10"/>
  <c r="BY191" i="10"/>
  <c r="BT64" i="10"/>
  <c r="CC22" i="10"/>
  <c r="L7" i="10"/>
  <c r="CP109" i="10"/>
  <c r="AJ51" i="10"/>
  <c r="BW94" i="10"/>
  <c r="L122" i="10"/>
  <c r="CP5" i="10"/>
  <c r="AF102" i="10"/>
  <c r="N48" i="10"/>
  <c r="AJ63" i="10"/>
  <c r="CV22" i="10"/>
  <c r="B4" i="10"/>
  <c r="BQ105" i="10"/>
  <c r="CD65" i="10"/>
  <c r="BU146" i="10"/>
  <c r="L93" i="10"/>
  <c r="AL45" i="10"/>
  <c r="CW175" i="10"/>
  <c r="AJ132" i="10"/>
  <c r="AM121" i="10"/>
  <c r="B95" i="10"/>
  <c r="U4" i="10"/>
  <c r="AM109" i="10"/>
  <c r="R5" i="10"/>
  <c r="AM69" i="10"/>
  <c r="AJ98" i="10"/>
  <c r="R12" i="10"/>
  <c r="AM5" i="10"/>
  <c r="BU142" i="10"/>
  <c r="CJ15" i="10"/>
  <c r="AF72" i="10"/>
  <c r="CW44" i="10"/>
  <c r="Z29" i="10"/>
  <c r="N91" i="10"/>
  <c r="CT12" i="10"/>
  <c r="AF155" i="10"/>
  <c r="AM22" i="10"/>
  <c r="BM180" i="10"/>
  <c r="BM8" i="10"/>
  <c r="L61" i="10"/>
  <c r="CT61" i="10"/>
  <c r="AE154" i="10"/>
  <c r="CB48" i="10"/>
  <c r="BZ46" i="10"/>
  <c r="CA9" i="10"/>
  <c r="BW5" i="10"/>
  <c r="CM64" i="10"/>
  <c r="AH44" i="10"/>
  <c r="AJ50" i="10"/>
  <c r="CC38" i="10"/>
  <c r="AM172" i="10"/>
  <c r="L92" i="10"/>
  <c r="CW16" i="10"/>
  <c r="CB73" i="10"/>
  <c r="AF127" i="10"/>
  <c r="CP71" i="10"/>
  <c r="BZ35" i="10"/>
  <c r="BI55" i="10"/>
  <c r="BS31" i="10"/>
  <c r="BS130" i="10"/>
  <c r="CR31" i="10"/>
  <c r="AF60" i="10"/>
  <c r="BL124" i="10"/>
  <c r="BS21" i="10"/>
  <c r="BY149" i="10"/>
  <c r="CR170" i="10"/>
  <c r="BZ30" i="10"/>
  <c r="AF18" i="10"/>
  <c r="CP72" i="10"/>
  <c r="BT21" i="10"/>
  <c r="CJ39" i="10"/>
  <c r="BM103" i="10"/>
  <c r="AE16" i="10"/>
  <c r="BV103" i="10"/>
  <c r="AC16" i="10"/>
  <c r="AC53" i="10"/>
  <c r="BU62" i="10"/>
  <c r="BQ34" i="10"/>
  <c r="CQ18" i="10"/>
  <c r="BL33" i="10"/>
  <c r="BL111" i="10"/>
  <c r="AE43" i="10"/>
  <c r="R155" i="10"/>
  <c r="BZ78" i="10"/>
  <c r="AH121" i="10"/>
  <c r="CR116" i="10"/>
  <c r="CT85" i="10"/>
  <c r="BQ115" i="10"/>
  <c r="CB47" i="10"/>
  <c r="CP29" i="10"/>
  <c r="BS107" i="10"/>
  <c r="CP4" i="10"/>
  <c r="AH81" i="10"/>
  <c r="L73" i="10"/>
  <c r="Z60" i="10"/>
  <c r="BX126" i="10"/>
  <c r="AM100" i="10"/>
  <c r="CR5" i="10"/>
  <c r="CD86" i="10"/>
  <c r="BT81" i="10"/>
  <c r="BS110" i="10"/>
  <c r="AK113" i="10"/>
  <c r="CE69" i="10"/>
  <c r="CJ113" i="10"/>
  <c r="BX37" i="10"/>
  <c r="BQ25" i="10"/>
  <c r="CQ25" i="10"/>
  <c r="L87" i="10"/>
  <c r="CP116" i="10"/>
  <c r="CE12" i="10"/>
  <c r="N73" i="10"/>
  <c r="AK41" i="10"/>
  <c r="BM164" i="10"/>
  <c r="AM25" i="10"/>
  <c r="CE32" i="10"/>
  <c r="CE27" i="10"/>
  <c r="AB46" i="10"/>
  <c r="CJ184" i="10"/>
  <c r="CP17" i="10"/>
  <c r="CD41" i="10"/>
  <c r="R13" i="10"/>
  <c r="BU160" i="10"/>
  <c r="BZ105" i="10"/>
  <c r="R4" i="10"/>
  <c r="AJ34" i="10"/>
  <c r="AB91" i="10"/>
  <c r="BU63" i="10"/>
  <c r="AB48" i="10"/>
  <c r="BL34" i="10"/>
  <c r="BX27" i="10"/>
  <c r="CC42" i="10"/>
  <c r="AL108" i="10"/>
  <c r="BS156" i="10"/>
  <c r="BM34" i="10"/>
  <c r="AF15" i="10"/>
  <c r="CA34" i="10"/>
  <c r="CC118" i="10"/>
  <c r="CT13" i="10"/>
  <c r="N68" i="10"/>
  <c r="CE99" i="10"/>
  <c r="BL74" i="10"/>
  <c r="BP162" i="10"/>
  <c r="AA122" i="10"/>
  <c r="CV16" i="10"/>
  <c r="CW13" i="10"/>
  <c r="CJ119" i="10"/>
  <c r="AF27" i="10"/>
  <c r="CM22" i="10"/>
  <c r="CW137" i="10"/>
  <c r="R98" i="10"/>
  <c r="CT4" i="10"/>
  <c r="BQ35" i="10"/>
  <c r="CW60" i="10"/>
  <c r="AH55" i="10"/>
  <c r="AK147" i="10"/>
  <c r="AH58" i="10"/>
  <c r="BV9" i="10"/>
  <c r="AE118" i="10"/>
  <c r="AB8" i="10"/>
  <c r="AA86" i="10"/>
  <c r="BZ49" i="10"/>
  <c r="Z34" i="10"/>
  <c r="AJ42" i="10"/>
  <c r="AB24" i="10"/>
  <c r="CE88" i="10"/>
  <c r="CW25" i="10"/>
  <c r="AF125" i="10"/>
  <c r="CP22" i="10"/>
  <c r="CE61" i="10"/>
  <c r="R128" i="10"/>
  <c r="AC93" i="10"/>
  <c r="AA78" i="10"/>
  <c r="AA24" i="10"/>
  <c r="AA88" i="10"/>
  <c r="CC31" i="10"/>
  <c r="CC19" i="10"/>
  <c r="AC71" i="10"/>
  <c r="BZ108" i="10"/>
  <c r="CB9" i="10"/>
  <c r="Z164" i="10"/>
  <c r="BZ64" i="10"/>
  <c r="AH17" i="10"/>
  <c r="BS56" i="10"/>
  <c r="BL23" i="10"/>
  <c r="AE47" i="10"/>
  <c r="AH86" i="10"/>
  <c r="BL43" i="10"/>
  <c r="AM34" i="10"/>
  <c r="BP81" i="10"/>
  <c r="Z68" i="10"/>
  <c r="BP5" i="10"/>
  <c r="CR47" i="10"/>
  <c r="CC6" i="10"/>
  <c r="CR129" i="10"/>
  <c r="R119" i="10"/>
  <c r="AM83" i="10"/>
  <c r="BX190" i="10"/>
  <c r="BU43" i="10"/>
  <c r="CC103" i="10"/>
  <c r="L78" i="10"/>
  <c r="AH16" i="10"/>
  <c r="CE51" i="10"/>
  <c r="L35" i="10"/>
  <c r="AK61" i="10"/>
  <c r="AC35" i="10"/>
  <c r="BV20" i="10"/>
  <c r="AK97" i="10"/>
  <c r="BS81" i="10"/>
  <c r="BT45" i="10"/>
  <c r="BZ70" i="10"/>
  <c r="CR88" i="10"/>
  <c r="AM19" i="10"/>
  <c r="BM38" i="10"/>
  <c r="BT24" i="10"/>
  <c r="CA45" i="10"/>
  <c r="BY70" i="10"/>
  <c r="CE10" i="10"/>
  <c r="AJ65" i="10"/>
  <c r="BS92" i="10"/>
  <c r="BL80" i="10"/>
  <c r="BW52" i="10"/>
  <c r="CT27" i="10"/>
  <c r="CA43" i="10"/>
  <c r="AF121" i="10"/>
  <c r="AB29" i="10"/>
  <c r="L11" i="10"/>
  <c r="CE40" i="10"/>
  <c r="Z36" i="10"/>
  <c r="BS109" i="10"/>
  <c r="BP128" i="10"/>
  <c r="CE37" i="10"/>
  <c r="BS78" i="10"/>
  <c r="BV29" i="10"/>
  <c r="AA48" i="10"/>
  <c r="AB70" i="10"/>
  <c r="BV38" i="10"/>
  <c r="CD145" i="10"/>
  <c r="CQ43" i="10"/>
  <c r="CE100" i="10"/>
  <c r="AJ33" i="10"/>
  <c r="BV171" i="10"/>
  <c r="BV66" i="10"/>
  <c r="AF55" i="10"/>
  <c r="BZ43" i="10"/>
  <c r="CB128" i="10"/>
  <c r="BY143" i="10"/>
  <c r="BY147" i="10"/>
  <c r="BY103" i="10"/>
  <c r="BU60" i="10"/>
  <c r="BW69" i="10"/>
  <c r="AL55" i="10"/>
  <c r="CE121" i="10"/>
  <c r="BT115" i="10"/>
  <c r="AH53" i="10"/>
  <c r="AE82" i="10"/>
  <c r="BS67" i="10"/>
  <c r="BS26" i="10"/>
  <c r="BX124" i="10"/>
  <c r="AE23" i="10"/>
  <c r="BY132" i="10"/>
  <c r="AK62" i="10"/>
  <c r="BU35" i="10"/>
  <c r="CJ28" i="10"/>
  <c r="CW42" i="10"/>
  <c r="CJ151" i="10"/>
  <c r="AK96" i="10"/>
  <c r="BT51" i="10"/>
  <c r="BM69" i="10"/>
  <c r="Z46" i="10"/>
  <c r="R114" i="10"/>
  <c r="AH32" i="10"/>
  <c r="BX25" i="10"/>
  <c r="BZ5" i="10"/>
  <c r="AM28" i="10"/>
  <c r="CD26" i="10"/>
  <c r="AA102" i="10"/>
  <c r="BW50" i="10"/>
  <c r="AA69" i="10"/>
  <c r="CP99" i="10"/>
  <c r="BU28" i="10"/>
  <c r="BS162" i="10"/>
  <c r="CP63" i="10"/>
  <c r="BW174" i="10"/>
  <c r="CT102" i="10"/>
  <c r="BS42" i="10"/>
  <c r="BZ67" i="10"/>
  <c r="BL5" i="10"/>
  <c r="CV60" i="10"/>
  <c r="AM82" i="10"/>
  <c r="BL32" i="10"/>
  <c r="CE104" i="10"/>
  <c r="CB56" i="10"/>
  <c r="AJ20" i="10"/>
  <c r="C4" i="10"/>
  <c r="CB62" i="10"/>
  <c r="CJ45" i="10"/>
  <c r="CW66" i="10"/>
  <c r="BQ77" i="10"/>
  <c r="BS25" i="10"/>
  <c r="CP14" i="10"/>
  <c r="CB13" i="10"/>
  <c r="AJ8" i="10"/>
  <c r="CV111" i="10"/>
  <c r="CB52" i="10"/>
  <c r="CJ132" i="10"/>
  <c r="CE67" i="10"/>
  <c r="BL147" i="10"/>
  <c r="BQ29" i="10"/>
  <c r="AE60" i="10"/>
  <c r="CP37" i="10"/>
  <c r="BX55" i="10"/>
  <c r="BL170" i="10"/>
  <c r="AM54" i="10"/>
  <c r="BU21" i="10"/>
  <c r="AB153" i="10"/>
  <c r="CD47" i="10"/>
  <c r="BY176" i="10"/>
  <c r="CA64" i="10"/>
  <c r="CA67" i="10"/>
  <c r="AK101" i="10"/>
  <c r="CA10" i="10"/>
  <c r="BS52" i="10"/>
  <c r="BY160" i="10"/>
  <c r="Z26" i="10"/>
  <c r="N78" i="10"/>
  <c r="L22" i="10"/>
  <c r="BU48" i="10"/>
  <c r="AL96" i="10"/>
  <c r="CW10" i="10"/>
  <c r="AB67" i="10"/>
  <c r="BN18" i="10"/>
  <c r="CP58" i="10"/>
  <c r="BY129" i="10"/>
  <c r="BU32" i="10"/>
  <c r="Z70" i="10"/>
  <c r="BS68" i="10"/>
  <c r="BZ94" i="10"/>
  <c r="AB69" i="10"/>
  <c r="CW19" i="10"/>
  <c r="BX173" i="10"/>
  <c r="BS63" i="10"/>
  <c r="BY35" i="10"/>
  <c r="BS35" i="10"/>
  <c r="CT33" i="10"/>
  <c r="Z61" i="10"/>
  <c r="BK55" i="10"/>
  <c r="AM76" i="10"/>
  <c r="AL85" i="10"/>
  <c r="BV77" i="10"/>
  <c r="R141" i="10"/>
  <c r="AC55" i="10"/>
  <c r="CV5" i="10"/>
  <c r="CB44" i="10"/>
  <c r="CJ23" i="10"/>
  <c r="BZ40" i="10"/>
  <c r="CJ60" i="10"/>
  <c r="Z27" i="10"/>
  <c r="AK49" i="10"/>
  <c r="AM13" i="10"/>
  <c r="BL61" i="10"/>
  <c r="BL14" i="10"/>
  <c r="AJ6" i="10"/>
  <c r="AC58" i="10"/>
  <c r="CJ82" i="10"/>
  <c r="CC52" i="10"/>
  <c r="BM33" i="10"/>
  <c r="CC28" i="10"/>
  <c r="AF114" i="10"/>
  <c r="CT47" i="10"/>
  <c r="BW110" i="10"/>
  <c r="AA17" i="10"/>
  <c r="BV24" i="10"/>
  <c r="CV113" i="10"/>
  <c r="AC20" i="10"/>
  <c r="BS29" i="10"/>
  <c r="L36" i="10"/>
  <c r="AH9" i="10"/>
  <c r="CC82" i="10"/>
  <c r="CQ78" i="10"/>
  <c r="CW4" i="10"/>
  <c r="CJ16" i="10"/>
  <c r="CC30" i="10"/>
  <c r="N89" i="10"/>
  <c r="BL59" i="10"/>
  <c r="AH26" i="10"/>
  <c r="AJ119" i="10"/>
  <c r="Z93" i="10"/>
  <c r="AA28" i="10"/>
  <c r="CC88" i="10"/>
  <c r="BV109" i="10"/>
  <c r="BQ22" i="10"/>
  <c r="CT141" i="10"/>
  <c r="CT53" i="10"/>
  <c r="AM73" i="10"/>
  <c r="BW95" i="10"/>
  <c r="BS82" i="10"/>
  <c r="R56" i="10"/>
  <c r="AJ68" i="10"/>
  <c r="CW110" i="10"/>
  <c r="BY174" i="10"/>
  <c r="CQ71" i="10"/>
  <c r="CP142" i="10"/>
  <c r="CW11" i="10"/>
  <c r="Z14" i="10"/>
  <c r="AJ115" i="10"/>
  <c r="BY127" i="10"/>
  <c r="AC57" i="10"/>
  <c r="BY181" i="10"/>
  <c r="AJ13" i="10"/>
  <c r="CB28" i="10"/>
  <c r="CA66" i="10"/>
  <c r="AB90" i="10"/>
  <c r="R170" i="10"/>
  <c r="AK118" i="10"/>
  <c r="AC14" i="10"/>
  <c r="CV70" i="10"/>
  <c r="AK34" i="10"/>
  <c r="L48" i="10"/>
  <c r="BS55" i="10"/>
  <c r="BL113" i="10"/>
  <c r="CQ116" i="10"/>
  <c r="BS37" i="10"/>
  <c r="AL94" i="10"/>
  <c r="AB4" i="10"/>
  <c r="CP20" i="10"/>
  <c r="BP33" i="10"/>
  <c r="CE64" i="10"/>
  <c r="BY110" i="10"/>
  <c r="BY128" i="10"/>
  <c r="BY92" i="10"/>
  <c r="BS116" i="10"/>
  <c r="BX10" i="10"/>
  <c r="CC68" i="10"/>
  <c r="AB35" i="10"/>
  <c r="CQ67" i="10"/>
  <c r="BS41" i="10"/>
  <c r="AE59" i="10"/>
  <c r="BP44" i="10"/>
  <c r="BP38" i="10"/>
  <c r="CV10" i="10"/>
  <c r="N27" i="10"/>
  <c r="AC73" i="10"/>
  <c r="AJ96" i="10"/>
  <c r="BV69" i="10"/>
  <c r="CW74" i="10"/>
  <c r="BL36" i="10"/>
  <c r="CJ96" i="10"/>
  <c r="CQ132" i="10"/>
  <c r="BW35" i="10"/>
  <c r="CC14" i="10"/>
  <c r="BY14" i="10" s="1"/>
  <c r="AF78" i="10"/>
  <c r="BY179" i="10"/>
  <c r="BM27" i="10"/>
  <c r="AL25" i="10"/>
  <c r="BY155" i="10"/>
  <c r="AJ109" i="10"/>
  <c r="BP179" i="10"/>
  <c r="AB53" i="10"/>
  <c r="L74" i="10"/>
  <c r="BX64" i="10"/>
  <c r="BM85" i="10"/>
  <c r="BX57" i="10"/>
  <c r="CE21" i="10"/>
  <c r="BW23" i="10"/>
  <c r="CE91" i="10"/>
  <c r="BL120" i="10"/>
  <c r="BT20" i="10"/>
  <c r="AB106" i="10"/>
  <c r="CW27" i="10"/>
  <c r="AM41" i="10"/>
  <c r="BY52" i="10"/>
  <c r="BQ173" i="10"/>
  <c r="CD105" i="10"/>
  <c r="CJ74" i="10"/>
  <c r="BQ82" i="10"/>
  <c r="AB33" i="10"/>
  <c r="BX23" i="10"/>
  <c r="CC74" i="10"/>
  <c r="R28" i="10"/>
  <c r="CE48" i="10"/>
  <c r="BY136" i="10"/>
  <c r="Z45" i="10"/>
  <c r="R8" i="10"/>
  <c r="CD7" i="10"/>
  <c r="N4" i="10"/>
  <c r="AF91" i="10"/>
  <c r="BL17" i="10"/>
  <c r="CW17" i="10"/>
  <c r="BW131" i="10"/>
  <c r="Z41" i="10"/>
  <c r="BS11" i="10"/>
  <c r="Z173" i="10"/>
  <c r="BQ33" i="10"/>
  <c r="BQ45" i="10"/>
  <c r="AC28" i="10"/>
  <c r="CB121" i="10"/>
  <c r="BQ14" i="10"/>
  <c r="AK38" i="10"/>
  <c r="CB6" i="10"/>
  <c r="CD63" i="10"/>
  <c r="BV6" i="10"/>
  <c r="BZ77" i="10"/>
  <c r="CD192" i="10"/>
  <c r="CR64" i="10"/>
  <c r="AK16" i="10"/>
  <c r="BQ8" i="10"/>
  <c r="R27" i="10"/>
  <c r="CV57" i="10"/>
  <c r="CJ27" i="10"/>
  <c r="AA63" i="10"/>
  <c r="BU15" i="10"/>
  <c r="AC86" i="10"/>
  <c r="AB92" i="10"/>
  <c r="BU18" i="10"/>
  <c r="BV27" i="10"/>
  <c r="CR32" i="10"/>
  <c r="AC66" i="10"/>
  <c r="BV74" i="10"/>
  <c r="BW92" i="10"/>
  <c r="AJ43" i="10"/>
  <c r="L101" i="10"/>
  <c r="BS30" i="10"/>
  <c r="AF48" i="10"/>
  <c r="AE77" i="10"/>
  <c r="AF42" i="10"/>
  <c r="CC48" i="10"/>
  <c r="CR52" i="10"/>
  <c r="CC49" i="10"/>
  <c r="AL143" i="10"/>
  <c r="BQ46" i="10"/>
  <c r="CV33" i="10"/>
  <c r="CW5" i="10"/>
  <c r="BW18" i="10"/>
  <c r="CW83" i="10"/>
  <c r="AK65" i="10"/>
  <c r="AA30" i="10"/>
  <c r="AE17" i="10"/>
  <c r="BX88" i="10"/>
  <c r="AK69" i="10"/>
  <c r="CJ7" i="10"/>
  <c r="AK14" i="10"/>
  <c r="CB22" i="10"/>
  <c r="CJ111" i="10"/>
  <c r="CD62" i="10"/>
  <c r="CA31" i="10"/>
  <c r="AC22" i="10"/>
  <c r="CQ12" i="10"/>
  <c r="BP42" i="10"/>
  <c r="Z107" i="10"/>
  <c r="BU75" i="10"/>
  <c r="AL92" i="10"/>
  <c r="AL123" i="10"/>
  <c r="AJ31" i="10"/>
  <c r="CQ110" i="10"/>
  <c r="CV74" i="10"/>
  <c r="CV29" i="10"/>
  <c r="BM58" i="10"/>
  <c r="BP43" i="10"/>
  <c r="CB30" i="10"/>
  <c r="BU34" i="10"/>
  <c r="AC36" i="10"/>
  <c r="CC76" i="10"/>
  <c r="CT42" i="10"/>
  <c r="AF46" i="10"/>
  <c r="BW170" i="10"/>
  <c r="CE33" i="10"/>
  <c r="AA42" i="10"/>
  <c r="CT24" i="10"/>
  <c r="AE80" i="10"/>
  <c r="CJ81" i="10"/>
  <c r="CE78" i="10"/>
  <c r="AE61" i="10"/>
  <c r="CT16" i="10"/>
  <c r="AH59" i="10"/>
  <c r="BV159" i="10"/>
  <c r="Z81" i="10"/>
  <c r="BZ66" i="10"/>
  <c r="CJ42" i="10"/>
  <c r="BW85" i="10"/>
  <c r="AH98" i="10"/>
  <c r="CA71" i="10"/>
  <c r="BS48" i="10"/>
  <c r="BZ26" i="10"/>
  <c r="CT57" i="10"/>
  <c r="CJ40" i="10"/>
  <c r="CB63" i="10"/>
  <c r="CD22" i="10"/>
  <c r="CT34" i="10"/>
  <c r="BQ52" i="10"/>
  <c r="CT21" i="10"/>
  <c r="AJ78" i="10"/>
  <c r="CT25" i="10"/>
  <c r="AJ14" i="10"/>
  <c r="BU54" i="10"/>
  <c r="R50" i="10"/>
  <c r="AH70" i="10"/>
  <c r="CV36" i="10"/>
  <c r="BM7" i="10"/>
  <c r="W58" i="10"/>
  <c r="CP39" i="10"/>
  <c r="CA15" i="10"/>
  <c r="BQ56" i="10"/>
  <c r="CT68" i="10"/>
  <c r="BP13" i="10"/>
  <c r="BY17" i="10"/>
  <c r="BY22" i="10"/>
  <c r="BY20" i="10"/>
  <c r="BL38" i="10"/>
  <c r="L82" i="10"/>
  <c r="CB15" i="10"/>
  <c r="CC172" i="10"/>
  <c r="BV98" i="10"/>
  <c r="BU88" i="10"/>
  <c r="AH163" i="10"/>
  <c r="CT114" i="10"/>
  <c r="AM43" i="10"/>
  <c r="C188" i="10"/>
  <c r="CA37" i="10"/>
  <c r="CV24" i="10"/>
  <c r="CQ165" i="10"/>
  <c r="BT12" i="10"/>
  <c r="Z80" i="10"/>
  <c r="CQ75" i="10"/>
  <c r="CT73" i="10"/>
  <c r="BQ144" i="10"/>
  <c r="CJ6" i="10"/>
  <c r="BS60" i="10"/>
  <c r="BX123" i="10"/>
  <c r="CW31" i="10"/>
  <c r="BX62" i="10"/>
  <c r="BW24" i="10"/>
  <c r="CA38" i="10"/>
  <c r="CR20" i="10"/>
  <c r="BZ81" i="10"/>
  <c r="CB91" i="10"/>
  <c r="AL87" i="10"/>
  <c r="AE95" i="10"/>
  <c r="CE55" i="10"/>
  <c r="BM17" i="10"/>
  <c r="AH173" i="10"/>
  <c r="AC81" i="10"/>
  <c r="BP7" i="10"/>
  <c r="CC126" i="10"/>
  <c r="CB135" i="10"/>
  <c r="BL19" i="10"/>
  <c r="CT38" i="10"/>
  <c r="CB59" i="10"/>
  <c r="AL27" i="10"/>
  <c r="CP73" i="10"/>
  <c r="CW141" i="10"/>
  <c r="BQ97" i="10"/>
  <c r="BW16" i="10"/>
  <c r="CB10" i="10"/>
  <c r="BU91" i="10"/>
  <c r="CQ40" i="10"/>
  <c r="BS57" i="10"/>
  <c r="BL100" i="10"/>
  <c r="AM49" i="10"/>
  <c r="BZ8" i="10"/>
  <c r="L26" i="10"/>
  <c r="BZ104" i="10"/>
  <c r="CJ85" i="10"/>
  <c r="BY125" i="10"/>
  <c r="CJ14" i="10"/>
  <c r="CT64" i="10"/>
  <c r="CC53" i="10"/>
  <c r="BM16" i="10"/>
  <c r="AF119" i="10"/>
  <c r="AM45" i="10"/>
  <c r="AK23" i="10"/>
  <c r="BX102" i="10"/>
  <c r="BQ65" i="10"/>
  <c r="BP25" i="10"/>
  <c r="AA61" i="10"/>
  <c r="AA20" i="10"/>
  <c r="CT28" i="10"/>
  <c r="BU9" i="10"/>
  <c r="L117" i="10"/>
  <c r="AH82" i="10"/>
  <c r="CQ93" i="10"/>
  <c r="BU42" i="10"/>
  <c r="CC86" i="10"/>
  <c r="CD15" i="10"/>
  <c r="CJ114" i="10"/>
  <c r="Z24" i="10"/>
  <c r="BY121" i="10"/>
  <c r="AF32" i="10"/>
  <c r="CR80" i="10"/>
  <c r="CV14" i="10"/>
  <c r="BZ88" i="10"/>
  <c r="CV55" i="10"/>
  <c r="BX114" i="10"/>
  <c r="AK110" i="10"/>
  <c r="CQ36" i="10"/>
  <c r="BQ103" i="10"/>
  <c r="AJ44" i="10"/>
  <c r="AH52" i="10"/>
  <c r="BZ27" i="10"/>
  <c r="L25" i="10"/>
  <c r="BZ89" i="10"/>
  <c r="R38" i="10"/>
  <c r="AB30" i="10"/>
  <c r="AE55" i="10"/>
  <c r="CW99" i="10"/>
  <c r="CJ125" i="10"/>
  <c r="AH31" i="10"/>
  <c r="BY156" i="10"/>
  <c r="CA101" i="10"/>
  <c r="R79" i="10"/>
  <c r="BW124" i="10"/>
  <c r="CV26" i="10"/>
  <c r="CE68" i="10"/>
  <c r="BY68" i="10" s="1"/>
  <c r="AJ91" i="10"/>
  <c r="AE24" i="10"/>
  <c r="BQ15" i="10"/>
  <c r="AL19" i="10"/>
  <c r="AM36" i="10"/>
  <c r="BS106" i="10"/>
  <c r="AE107" i="10"/>
  <c r="CA48" i="10"/>
  <c r="BS12" i="10"/>
  <c r="CD50" i="10"/>
  <c r="BY50" i="10" s="1"/>
  <c r="CP12" i="10"/>
  <c r="Z4" i="10"/>
  <c r="N74" i="10"/>
  <c r="AK145" i="10"/>
  <c r="BY62" i="10"/>
  <c r="Z59" i="10"/>
  <c r="AC38" i="10"/>
  <c r="BW47" i="10"/>
  <c r="CE46" i="10"/>
  <c r="BY46" i="10" s="1"/>
  <c r="AB26" i="10"/>
  <c r="U73" i="10"/>
  <c r="CP115" i="10"/>
  <c r="AF104" i="10"/>
  <c r="CB51" i="10"/>
  <c r="CR41" i="10"/>
  <c r="BT26" i="10"/>
  <c r="AH41" i="10"/>
  <c r="Z47" i="10"/>
  <c r="AH11" i="10"/>
  <c r="BP68" i="10"/>
  <c r="Z163" i="10"/>
  <c r="BT25" i="10"/>
  <c r="CT139" i="10"/>
  <c r="CB7" i="10"/>
  <c r="BY159" i="10"/>
  <c r="BY48" i="10"/>
  <c r="CT46" i="10"/>
  <c r="BY187" i="10"/>
  <c r="AM86" i="10"/>
  <c r="AM27" i="10"/>
  <c r="CV40" i="10"/>
  <c r="AK22" i="10"/>
  <c r="CR30" i="10"/>
  <c r="AB40" i="10"/>
  <c r="CC97" i="10"/>
  <c r="CB171" i="10"/>
  <c r="AA14" i="10"/>
  <c r="Z57" i="10"/>
  <c r="AM33" i="10"/>
  <c r="AC91" i="10"/>
  <c r="AF49" i="10"/>
  <c r="AB38" i="10"/>
  <c r="CB19" i="10"/>
  <c r="CQ32" i="10"/>
  <c r="Z15" i="10"/>
  <c r="CA16" i="10"/>
  <c r="BT23" i="10"/>
  <c r="BL29" i="10"/>
  <c r="BZ9" i="10"/>
  <c r="BY141" i="10"/>
  <c r="BX81" i="10"/>
  <c r="AB110" i="10"/>
  <c r="CD77" i="10"/>
  <c r="BY77" i="10" s="1"/>
  <c r="CE90" i="10"/>
  <c r="CV73" i="10"/>
  <c r="AJ29" i="10"/>
  <c r="Z54" i="10"/>
  <c r="CV39" i="10"/>
  <c r="BV14" i="10"/>
  <c r="CQ76" i="10"/>
  <c r="CP18" i="10"/>
  <c r="CJ21" i="10"/>
  <c r="AF139" i="10"/>
  <c r="CE18" i="10"/>
  <c r="CQ136" i="10"/>
  <c r="CC34" i="10"/>
  <c r="CW21" i="10"/>
  <c r="AC123" i="10"/>
  <c r="CA30" i="10"/>
  <c r="AE8" i="10"/>
  <c r="CV102" i="10"/>
  <c r="CT74" i="10"/>
  <c r="BL84" i="10"/>
  <c r="BX17" i="10"/>
  <c r="AC175" i="10"/>
  <c r="AE26" i="10"/>
  <c r="AC27" i="10"/>
  <c r="BV101" i="10"/>
  <c r="BT160" i="10"/>
  <c r="BM15" i="10"/>
  <c r="CC39" i="10"/>
  <c r="CV7" i="10"/>
  <c r="BX134" i="10"/>
  <c r="BU84" i="10"/>
  <c r="AE44" i="10"/>
  <c r="L105" i="10"/>
  <c r="CR110" i="10"/>
  <c r="R165" i="10"/>
  <c r="AM11" i="10"/>
  <c r="CQ90" i="10"/>
  <c r="AH20" i="10"/>
  <c r="BL62" i="10"/>
  <c r="BX125" i="10"/>
  <c r="BW46" i="10"/>
  <c r="CE39" i="10"/>
  <c r="BP97" i="10"/>
  <c r="BQ158" i="10"/>
  <c r="BQ131" i="10"/>
  <c r="Z119" i="10"/>
  <c r="BY113" i="10"/>
  <c r="BY86" i="10"/>
  <c r="BY47" i="10"/>
  <c r="BS13" i="10"/>
  <c r="CW78" i="10"/>
  <c r="BW25" i="10"/>
  <c r="AL24" i="10"/>
  <c r="CR67" i="10"/>
  <c r="CP75" i="10"/>
  <c r="CE134" i="10"/>
  <c r="BY134" i="10" s="1"/>
  <c r="CD93" i="10"/>
  <c r="BU23" i="10"/>
  <c r="AM44" i="10"/>
  <c r="BT61" i="10"/>
  <c r="R111" i="10"/>
  <c r="BQ4" i="10"/>
  <c r="CB23" i="10"/>
  <c r="BQ67" i="10"/>
  <c r="L33" i="10"/>
  <c r="CC36" i="10"/>
  <c r="BU47" i="10"/>
  <c r="AJ5" i="10"/>
  <c r="BS108" i="10"/>
  <c r="BV68" i="10"/>
  <c r="AK134" i="10"/>
  <c r="AH88" i="10"/>
  <c r="CA51" i="10"/>
  <c r="BY102" i="10"/>
  <c r="BP71" i="10"/>
  <c r="BS7" i="10"/>
  <c r="AF65" i="10"/>
  <c r="AL91" i="10"/>
  <c r="CV139" i="10"/>
  <c r="CQ89" i="10"/>
  <c r="AE64" i="10"/>
  <c r="AC6" i="10"/>
  <c r="CV27" i="10"/>
  <c r="AK87" i="10"/>
  <c r="L132" i="10"/>
  <c r="CR63" i="10"/>
  <c r="CW65" i="10"/>
  <c r="Z19" i="10"/>
  <c r="BW44" i="10"/>
  <c r="CQ91" i="10"/>
  <c r="CA189" i="10"/>
  <c r="BX79" i="10"/>
  <c r="AE121" i="10"/>
  <c r="AH14" i="10"/>
  <c r="AA93" i="10"/>
  <c r="CR15" i="10"/>
  <c r="BY89" i="10"/>
  <c r="AE71" i="10"/>
  <c r="CR123" i="10"/>
  <c r="CR51" i="10"/>
  <c r="CQ44" i="10"/>
  <c r="CR107" i="10"/>
  <c r="BL138" i="10"/>
  <c r="AM55" i="10"/>
  <c r="CD10" i="10"/>
  <c r="BW14" i="10"/>
  <c r="BU86" i="10"/>
  <c r="AL185" i="10"/>
  <c r="CD45" i="10"/>
  <c r="CA12" i="10"/>
  <c r="CA57" i="10"/>
  <c r="BV136" i="10"/>
  <c r="BV137" i="10"/>
  <c r="BO4" i="10"/>
  <c r="CE49" i="10"/>
  <c r="CR23" i="10"/>
  <c r="BU83" i="10"/>
  <c r="BM82" i="10"/>
  <c r="CV25" i="10"/>
  <c r="AF63" i="10"/>
  <c r="BQ140" i="10"/>
  <c r="AF137" i="10"/>
  <c r="BT13" i="10"/>
  <c r="BZ37" i="10"/>
  <c r="BZ22" i="10"/>
  <c r="AM18" i="10"/>
  <c r="CV31" i="10"/>
  <c r="L21" i="10"/>
  <c r="AC117" i="10"/>
  <c r="AM15" i="10"/>
  <c r="BW36" i="10"/>
  <c r="CB158" i="10"/>
  <c r="AJ82" i="10"/>
  <c r="AH46" i="10"/>
  <c r="CP148" i="10"/>
  <c r="BW62" i="10"/>
  <c r="CA33" i="10"/>
  <c r="AJ12" i="10"/>
  <c r="AH29" i="10"/>
  <c r="BP31" i="10"/>
  <c r="AF101" i="10"/>
  <c r="AB7" i="10"/>
  <c r="BY106" i="10"/>
  <c r="BP110" i="10"/>
  <c r="AL20" i="10"/>
  <c r="N44" i="10"/>
  <c r="BY83" i="10"/>
  <c r="AK84" i="10"/>
  <c r="S72" i="10"/>
  <c r="BY190" i="10"/>
  <c r="BM112" i="10"/>
  <c r="AB16" i="10"/>
  <c r="CP7" i="10"/>
  <c r="BY157" i="10"/>
  <c r="BS117" i="10"/>
  <c r="BS45" i="10"/>
  <c r="BW11" i="10"/>
  <c r="AE46" i="10"/>
  <c r="BT82" i="10"/>
  <c r="BS16" i="10"/>
  <c r="CE29" i="10"/>
  <c r="L52" i="10"/>
  <c r="BZ58" i="10"/>
  <c r="BM123" i="10"/>
  <c r="BW88" i="10"/>
  <c r="AC88" i="10"/>
  <c r="BS66" i="10"/>
  <c r="CA72" i="10"/>
  <c r="BU93" i="10"/>
  <c r="CV67" i="10"/>
  <c r="CE75" i="10"/>
  <c r="BQ94" i="10"/>
  <c r="BY66" i="10"/>
  <c r="BY9" i="10"/>
  <c r="BY172" i="10"/>
  <c r="BY5" i="10"/>
  <c r="BY177" i="10"/>
  <c r="BY116" i="10"/>
  <c r="BY61" i="10"/>
  <c r="BY44" i="10"/>
  <c r="BY158" i="10"/>
  <c r="BY10" i="10"/>
  <c r="BY114" i="10"/>
  <c r="BY43" i="10"/>
  <c r="BY53" i="10"/>
  <c r="BY97" i="10"/>
  <c r="BY75" i="10"/>
  <c r="BY115" i="10"/>
  <c r="BY60" i="10"/>
  <c r="BY138" i="10"/>
  <c r="BY133" i="10"/>
  <c r="BY67" i="10"/>
  <c r="BY40" i="10"/>
  <c r="BY111" i="10"/>
  <c r="BY108" i="10"/>
  <c r="BY122" i="10"/>
  <c r="BY163" i="10"/>
  <c r="BY69" i="10"/>
  <c r="BY189" i="10"/>
  <c r="BY42" i="10"/>
  <c r="BY170" i="10"/>
  <c r="BY41" i="10"/>
  <c r="BY175" i="10"/>
  <c r="BY87" i="10"/>
  <c r="BY145" i="10"/>
  <c r="BY36" i="10"/>
  <c r="BY167" i="10"/>
  <c r="BY168" i="10"/>
  <c r="BY101" i="10"/>
  <c r="BY23" i="10"/>
  <c r="BY88" i="10"/>
  <c r="BY28" i="10"/>
  <c r="BY64" i="10"/>
  <c r="BY192" i="10"/>
  <c r="BY98" i="10"/>
  <c r="BY55" i="10"/>
  <c r="BY150" i="10"/>
  <c r="BY183" i="10"/>
  <c r="BY109" i="10"/>
  <c r="BR66" i="10" l="1"/>
  <c r="AD88" i="10"/>
  <c r="AQ88" i="10"/>
  <c r="BR16" i="10"/>
  <c r="AR46" i="10"/>
  <c r="BR45" i="10"/>
  <c r="BR117" i="10"/>
  <c r="AP16" i="10"/>
  <c r="O44" i="10"/>
  <c r="CF110" i="10"/>
  <c r="AP7" i="10"/>
  <c r="AG101" i="10"/>
  <c r="AS101" i="10"/>
  <c r="CF31" i="10"/>
  <c r="AI29" i="10"/>
  <c r="AT29" i="10"/>
  <c r="AI46" i="10"/>
  <c r="AT46" i="10"/>
  <c r="AD117" i="10"/>
  <c r="AQ117" i="10"/>
  <c r="AG137" i="10"/>
  <c r="AS137" i="10"/>
  <c r="AG63" i="10"/>
  <c r="AS63" i="10"/>
  <c r="CS23" i="10"/>
  <c r="CS107" i="10"/>
  <c r="CS51" i="10"/>
  <c r="CS123" i="10"/>
  <c r="AR71" i="10"/>
  <c r="CS15" i="10"/>
  <c r="AT14" i="10"/>
  <c r="AI14" i="10"/>
  <c r="AR121" i="10"/>
  <c r="AN19" i="10"/>
  <c r="CX65" i="10"/>
  <c r="CS63" i="10"/>
  <c r="AD6" i="10"/>
  <c r="AQ6" i="10"/>
  <c r="AR64" i="10"/>
  <c r="AG65" i="10"/>
  <c r="AS65" i="10"/>
  <c r="BR7" i="10"/>
  <c r="CF71" i="10"/>
  <c r="AI88" i="10"/>
  <c r="AT88" i="10"/>
  <c r="BR108" i="10"/>
  <c r="P111" i="10"/>
  <c r="CS67" i="10"/>
  <c r="CX78" i="10"/>
  <c r="BR13" i="10"/>
  <c r="AN119" i="10"/>
  <c r="CF97" i="10"/>
  <c r="AT20" i="10"/>
  <c r="AI20" i="10"/>
  <c r="P165" i="10"/>
  <c r="CS110" i="10"/>
  <c r="AR44" i="10"/>
  <c r="AD27" i="10"/>
  <c r="AQ27" i="10"/>
  <c r="AR26" i="10"/>
  <c r="AQ175" i="10"/>
  <c r="AD175" i="10"/>
  <c r="CU74" i="10"/>
  <c r="AR8" i="10"/>
  <c r="AD123" i="10"/>
  <c r="AQ123" i="10"/>
  <c r="CX21" i="10"/>
  <c r="AG139" i="10"/>
  <c r="AS139" i="10"/>
  <c r="AN54" i="10"/>
  <c r="AP110" i="10"/>
  <c r="P110" i="10"/>
  <c r="AN15" i="10"/>
  <c r="AP38" i="10"/>
  <c r="AG49" i="10"/>
  <c r="AS49" i="10"/>
  <c r="AD91" i="10"/>
  <c r="AQ91" i="10"/>
  <c r="AN57" i="10"/>
  <c r="AP40" i="10"/>
  <c r="CS30" i="10"/>
  <c r="CU46" i="10"/>
  <c r="CU139" i="10"/>
  <c r="AN163" i="10"/>
  <c r="CF68" i="10"/>
  <c r="AT11" i="10"/>
  <c r="AI11" i="10"/>
  <c r="AN47" i="10"/>
  <c r="AI41" i="10"/>
  <c r="AT41" i="10"/>
  <c r="CS41" i="10"/>
  <c r="AG104" i="10"/>
  <c r="AS104" i="10"/>
  <c r="AP26" i="10"/>
  <c r="AD38" i="10"/>
  <c r="AQ38" i="10"/>
  <c r="AN59" i="10"/>
  <c r="O74" i="10"/>
  <c r="AN4" i="10"/>
  <c r="BR12" i="10"/>
  <c r="AR107" i="10"/>
  <c r="BR106" i="10"/>
  <c r="AR24" i="10"/>
  <c r="P79" i="10"/>
  <c r="AT31" i="10"/>
  <c r="AI31" i="10"/>
  <c r="CX99" i="10"/>
  <c r="AR55" i="10"/>
  <c r="P30" i="10"/>
  <c r="AP30" i="10"/>
  <c r="P38" i="10"/>
  <c r="AI52" i="10"/>
  <c r="AT52" i="10"/>
  <c r="CS80" i="10"/>
  <c r="AS32" i="10"/>
  <c r="AG32" i="10"/>
  <c r="AN24" i="10"/>
  <c r="AI82" i="10"/>
  <c r="AT82" i="10"/>
  <c r="CU28" i="10"/>
  <c r="CF25" i="10"/>
  <c r="AS119" i="10"/>
  <c r="AG119" i="10"/>
  <c r="CU64" i="10"/>
  <c r="BR57" i="10"/>
  <c r="CX141" i="10"/>
  <c r="CU38" i="10"/>
  <c r="CF7" i="10"/>
  <c r="AD81" i="10"/>
  <c r="AQ81" i="10"/>
  <c r="AI173" i="10"/>
  <c r="AT173" i="10"/>
  <c r="AR95" i="10"/>
  <c r="CS20" i="10"/>
  <c r="CX31" i="10"/>
  <c r="BR60" i="10"/>
  <c r="CU73" i="10"/>
  <c r="AN80" i="10"/>
  <c r="CU114" i="10"/>
  <c r="AI163" i="10"/>
  <c r="AT163" i="10"/>
  <c r="CF13" i="10"/>
  <c r="CU68" i="10"/>
  <c r="AI70" i="10"/>
  <c r="AT70" i="10"/>
  <c r="P50" i="10"/>
  <c r="CU25" i="10"/>
  <c r="CU21" i="10"/>
  <c r="CU34" i="10"/>
  <c r="CU57" i="10"/>
  <c r="BR48" i="10"/>
  <c r="AT98" i="10"/>
  <c r="AI98" i="10"/>
  <c r="AN81" i="10"/>
  <c r="AI59" i="10"/>
  <c r="AT59" i="10"/>
  <c r="CU16" i="10"/>
  <c r="AR61" i="10"/>
  <c r="AR80" i="10"/>
  <c r="CU24" i="10"/>
  <c r="AS46" i="10"/>
  <c r="AG46" i="10"/>
  <c r="CU42" i="10"/>
  <c r="AQ36" i="10"/>
  <c r="AD36" i="10"/>
  <c r="AN107" i="10"/>
  <c r="AD22" i="10"/>
  <c r="AQ22" i="10"/>
  <c r="AR17" i="10"/>
  <c r="CX83" i="10"/>
  <c r="CX199" i="10"/>
  <c r="CX197" i="10"/>
  <c r="CX198" i="10"/>
  <c r="CX194" i="10"/>
  <c r="CX195" i="10"/>
  <c r="CX196" i="10"/>
  <c r="CX5" i="10"/>
  <c r="CS52" i="10"/>
  <c r="AS42" i="10"/>
  <c r="AG42" i="10"/>
  <c r="AR77" i="10"/>
  <c r="AG48" i="10"/>
  <c r="AS48" i="10"/>
  <c r="BR30" i="10"/>
  <c r="AQ66" i="10"/>
  <c r="AD66" i="10"/>
  <c r="CS32" i="10"/>
  <c r="P92" i="10"/>
  <c r="AP92" i="10"/>
  <c r="AD86" i="10"/>
  <c r="AQ86" i="10"/>
  <c r="P27" i="10"/>
  <c r="CS64" i="10"/>
  <c r="AD28" i="10"/>
  <c r="AQ28" i="10"/>
  <c r="AN173" i="10"/>
  <c r="BR11" i="10"/>
  <c r="AN41" i="10"/>
  <c r="CX17" i="10"/>
  <c r="AS91" i="10"/>
  <c r="AG91" i="10"/>
  <c r="O4" i="10"/>
  <c r="P8" i="10"/>
  <c r="AN45" i="10"/>
  <c r="P28" i="10"/>
  <c r="AP33" i="10"/>
  <c r="CX27" i="10"/>
  <c r="AP106" i="10"/>
  <c r="AP53" i="10"/>
  <c r="P53" i="10"/>
  <c r="AG78" i="10"/>
  <c r="AS78" i="10"/>
  <c r="CX74" i="10"/>
  <c r="AD73" i="10"/>
  <c r="AQ73" i="10"/>
  <c r="O27" i="10"/>
  <c r="CF38" i="10"/>
  <c r="CF44" i="10"/>
  <c r="AR59" i="10"/>
  <c r="BR41" i="10"/>
  <c r="AP35" i="10"/>
  <c r="BR116" i="10"/>
  <c r="CF33" i="10"/>
  <c r="AP4" i="10"/>
  <c r="BR37" i="10"/>
  <c r="BR55" i="10"/>
  <c r="AD14" i="10"/>
  <c r="AQ14" i="10"/>
  <c r="P170" i="10"/>
  <c r="AP90" i="10"/>
  <c r="P90" i="10"/>
  <c r="AD57" i="10"/>
  <c r="AQ57" i="10"/>
  <c r="AN14" i="10"/>
  <c r="CX11" i="10"/>
  <c r="CX110" i="10"/>
  <c r="P56" i="10"/>
  <c r="BR82" i="10"/>
  <c r="CU53" i="10"/>
  <c r="CU141" i="10"/>
  <c r="AN93" i="10"/>
  <c r="AT26" i="10"/>
  <c r="AI26" i="10"/>
  <c r="O89" i="10"/>
  <c r="CX4" i="10"/>
  <c r="AI9" i="10"/>
  <c r="AT9" i="10"/>
  <c r="BR29" i="10"/>
  <c r="AQ20" i="10"/>
  <c r="AD20" i="10"/>
  <c r="CU47" i="10"/>
  <c r="AS114" i="10"/>
  <c r="AG114" i="10"/>
  <c r="AQ58" i="10"/>
  <c r="AD58" i="10"/>
  <c r="AN27" i="10"/>
  <c r="AQ55" i="10"/>
  <c r="AD55" i="10"/>
  <c r="P141" i="10"/>
  <c r="AN61" i="10"/>
  <c r="CU33" i="10"/>
  <c r="BR35" i="10"/>
  <c r="BR63" i="10"/>
  <c r="CX19" i="10"/>
  <c r="P69" i="10"/>
  <c r="AP69" i="10"/>
  <c r="BR68" i="10"/>
  <c r="AN70" i="10"/>
  <c r="P67" i="10"/>
  <c r="AP67" i="10"/>
  <c r="CX10" i="10"/>
  <c r="O78" i="10"/>
  <c r="AN26" i="10"/>
  <c r="BR52" i="10"/>
  <c r="AP153" i="10"/>
  <c r="AR60" i="10"/>
  <c r="BR25" i="10"/>
  <c r="CX66" i="10"/>
  <c r="BR42" i="10"/>
  <c r="CU102" i="10"/>
  <c r="BR162" i="10"/>
  <c r="AT32" i="10"/>
  <c r="AI32" i="10"/>
  <c r="P114" i="10"/>
  <c r="AN46" i="10"/>
  <c r="CX42" i="10"/>
  <c r="AR23" i="10"/>
  <c r="BR26" i="10"/>
  <c r="BR67" i="10"/>
  <c r="AR82" i="10"/>
  <c r="AI53" i="10"/>
  <c r="AT53" i="10"/>
  <c r="AS55" i="10"/>
  <c r="AG55" i="10"/>
  <c r="AP70" i="10"/>
  <c r="P70" i="10"/>
  <c r="BR78" i="10"/>
  <c r="CF128" i="10"/>
  <c r="BR109" i="10"/>
  <c r="AN36" i="10"/>
  <c r="AP29" i="10"/>
  <c r="P29" i="10"/>
  <c r="AG121" i="10"/>
  <c r="AS121" i="10"/>
  <c r="CU27" i="10"/>
  <c r="BR92" i="10"/>
  <c r="CS88" i="10"/>
  <c r="BR81" i="10"/>
  <c r="AD35" i="10"/>
  <c r="AQ35" i="10"/>
  <c r="AT16" i="10"/>
  <c r="AI16" i="10"/>
  <c r="P119" i="10"/>
  <c r="CS129" i="10"/>
  <c r="CS47" i="10"/>
  <c r="AN68" i="10"/>
  <c r="CF81" i="10"/>
  <c r="AI86" i="10"/>
  <c r="AT86" i="10"/>
  <c r="AR47" i="10"/>
  <c r="BR56" i="10"/>
  <c r="AT17" i="10"/>
  <c r="AI17" i="10"/>
  <c r="AN164" i="10"/>
  <c r="AQ71" i="10"/>
  <c r="AD71" i="10"/>
  <c r="AD93" i="10"/>
  <c r="AQ93" i="10"/>
  <c r="P128" i="10"/>
  <c r="AG125" i="10"/>
  <c r="AS125" i="10"/>
  <c r="CX25" i="10"/>
  <c r="AP24" i="10"/>
  <c r="AN34" i="10"/>
  <c r="AP8" i="10"/>
  <c r="AR118" i="10"/>
  <c r="AT58" i="10"/>
  <c r="AI58" i="10"/>
  <c r="AT55" i="10"/>
  <c r="AI55" i="10"/>
  <c r="CX60" i="10"/>
  <c r="CU4" i="10"/>
  <c r="P98" i="10"/>
  <c r="CX137" i="10"/>
  <c r="AS27" i="10"/>
  <c r="AG27" i="10"/>
  <c r="CX13" i="10"/>
  <c r="CF162" i="10"/>
  <c r="O68" i="10"/>
  <c r="CU13" i="10"/>
  <c r="AS15" i="10"/>
  <c r="AG15" i="10"/>
  <c r="BR156" i="10"/>
  <c r="AP48" i="10"/>
  <c r="P48" i="10"/>
  <c r="P91" i="10"/>
  <c r="AP91" i="10"/>
  <c r="P4" i="10"/>
  <c r="P13" i="10"/>
  <c r="P46" i="10"/>
  <c r="AP46" i="10"/>
  <c r="O73" i="10"/>
  <c r="BR110" i="10"/>
  <c r="CS5" i="10"/>
  <c r="AN60" i="10"/>
  <c r="AT81" i="10"/>
  <c r="AI81" i="10"/>
  <c r="BR107" i="10"/>
  <c r="CU85" i="10"/>
  <c r="CS116" i="10"/>
  <c r="AI121" i="10"/>
  <c r="AT121" i="10"/>
  <c r="P155" i="10"/>
  <c r="AR43" i="10"/>
  <c r="AQ53" i="10"/>
  <c r="AD53" i="10"/>
  <c r="AQ16" i="10"/>
  <c r="AD16" i="10"/>
  <c r="AR16" i="10"/>
  <c r="AS18" i="10"/>
  <c r="AG18" i="10"/>
  <c r="CS170" i="10"/>
  <c r="BR21" i="10"/>
  <c r="AG60" i="10"/>
  <c r="AS60" i="10"/>
  <c r="CS31" i="10"/>
  <c r="BR130" i="10"/>
  <c r="BR31" i="10"/>
  <c r="AG127" i="10"/>
  <c r="AS127" i="10"/>
  <c r="CX16" i="10"/>
  <c r="AT44" i="10"/>
  <c r="AI44" i="10"/>
  <c r="AR154" i="10"/>
  <c r="CU61" i="10"/>
  <c r="AS155" i="10"/>
  <c r="AG155" i="10"/>
  <c r="CU12" i="10"/>
  <c r="O91" i="10"/>
  <c r="AN29" i="10"/>
  <c r="CX44" i="10"/>
  <c r="AG72" i="10"/>
  <c r="AS72" i="10"/>
  <c r="P12" i="10"/>
  <c r="P5" i="10"/>
  <c r="J95" i="10"/>
  <c r="CX175" i="10"/>
  <c r="G4" i="10"/>
  <c r="BJ4" i="10"/>
  <c r="O48" i="10"/>
  <c r="AS102" i="10"/>
  <c r="AG102" i="10"/>
  <c r="CX55" i="10"/>
  <c r="AR179" i="10"/>
  <c r="CS79" i="10"/>
  <c r="AG89" i="10"/>
  <c r="AS89" i="10"/>
  <c r="CS33" i="10"/>
  <c r="CX97" i="10"/>
  <c r="AN23" i="10"/>
  <c r="CU35" i="10"/>
  <c r="AQ39" i="10"/>
  <c r="AD39" i="10"/>
  <c r="AT49" i="10"/>
  <c r="AI49" i="10"/>
  <c r="AN112" i="10"/>
  <c r="AS54" i="10"/>
  <c r="AG54" i="10"/>
  <c r="AR177" i="10"/>
  <c r="AR127" i="10"/>
  <c r="AT92" i="10"/>
  <c r="AI92" i="10"/>
  <c r="BR104" i="10"/>
  <c r="AQ59" i="10"/>
  <c r="AD59" i="10"/>
  <c r="AR186" i="10"/>
  <c r="AQ115" i="10"/>
  <c r="AD115" i="10"/>
  <c r="BR8" i="10"/>
  <c r="BR28" i="10"/>
  <c r="AP105" i="10"/>
  <c r="CS106" i="10"/>
  <c r="AT27" i="10"/>
  <c r="AI27" i="10"/>
  <c r="CS24" i="10"/>
  <c r="AP52" i="10"/>
  <c r="CX53" i="10"/>
  <c r="CF126" i="10"/>
  <c r="AR30" i="10"/>
  <c r="AD90" i="10"/>
  <c r="AQ90" i="10"/>
  <c r="CU84" i="10"/>
  <c r="CS191" i="10"/>
  <c r="AS28" i="10"/>
  <c r="AG28" i="10"/>
  <c r="AN9" i="10"/>
  <c r="AP154" i="10"/>
  <c r="P154" i="10"/>
  <c r="CX52" i="10"/>
  <c r="CF96" i="10"/>
  <c r="AR62" i="10"/>
  <c r="CX38" i="10"/>
  <c r="BR89" i="10"/>
  <c r="AS98" i="10"/>
  <c r="AG98" i="10"/>
  <c r="CU11" i="10"/>
  <c r="O159" i="10"/>
  <c r="O162" i="10"/>
  <c r="O150" i="10"/>
  <c r="O148" i="10"/>
  <c r="O147" i="10"/>
  <c r="O156" i="10"/>
  <c r="O63" i="10"/>
  <c r="O53" i="10"/>
  <c r="O10" i="10"/>
  <c r="O50" i="10"/>
  <c r="O25" i="10"/>
  <c r="O105" i="10"/>
  <c r="O49" i="10"/>
  <c r="O151" i="10"/>
  <c r="O161" i="10"/>
  <c r="O144" i="10"/>
  <c r="O146" i="10"/>
  <c r="O145" i="10"/>
  <c r="O20" i="10"/>
  <c r="O16" i="10"/>
  <c r="O138" i="10"/>
  <c r="O143" i="10"/>
  <c r="O171" i="10"/>
  <c r="O14" i="10"/>
  <c r="O134" i="10"/>
  <c r="O154" i="10"/>
  <c r="O121" i="10"/>
  <c r="O135" i="10"/>
  <c r="O127" i="10"/>
  <c r="O118" i="10"/>
  <c r="O183" i="10"/>
  <c r="O172" i="10"/>
  <c r="O79" i="10"/>
  <c r="O157" i="10"/>
  <c r="O66" i="10"/>
  <c r="O175" i="10"/>
  <c r="O36" i="10"/>
  <c r="O128" i="10"/>
  <c r="O120" i="10"/>
  <c r="O111" i="10"/>
  <c r="O112" i="10"/>
  <c r="O106" i="10"/>
  <c r="O165" i="10"/>
  <c r="O155" i="10"/>
  <c r="O184" i="10"/>
  <c r="O28" i="10"/>
  <c r="O115" i="10"/>
  <c r="O24" i="10"/>
  <c r="O41" i="10"/>
  <c r="O82" i="10"/>
  <c r="O71" i="10"/>
  <c r="O81" i="10"/>
  <c r="O69" i="10"/>
  <c r="O62" i="10"/>
  <c r="O101" i="10"/>
  <c r="O84" i="10"/>
  <c r="O170" i="10"/>
  <c r="O131" i="10"/>
  <c r="O99" i="10"/>
  <c r="O167" i="10"/>
  <c r="O136" i="10"/>
  <c r="O34" i="10"/>
  <c r="O15" i="10"/>
  <c r="O13" i="10"/>
  <c r="O11" i="10"/>
  <c r="O9" i="10"/>
  <c r="O5" i="10"/>
  <c r="O30" i="10"/>
  <c r="O180" i="10"/>
  <c r="O190" i="10"/>
  <c r="O142" i="10"/>
  <c r="O54" i="10"/>
  <c r="O56" i="10"/>
  <c r="O61" i="10"/>
  <c r="O8" i="10"/>
  <c r="O181" i="10"/>
  <c r="O23" i="10"/>
  <c r="O43" i="10"/>
  <c r="O42" i="10"/>
  <c r="O65" i="10"/>
  <c r="O7" i="10"/>
  <c r="O192" i="10"/>
  <c r="O12" i="10"/>
  <c r="O35" i="10"/>
  <c r="O77" i="10"/>
  <c r="O33" i="10"/>
  <c r="O169" i="10"/>
  <c r="O173" i="10"/>
  <c r="O174" i="10"/>
  <c r="O168" i="10"/>
  <c r="O60" i="10"/>
  <c r="O114" i="10"/>
  <c r="O125" i="10"/>
  <c r="O108" i="10"/>
  <c r="O6" i="10"/>
  <c r="O52" i="10"/>
  <c r="O45" i="10"/>
  <c r="O179" i="10"/>
  <c r="O178" i="10"/>
  <c r="O17" i="10"/>
  <c r="O133" i="10"/>
  <c r="O185" i="10"/>
  <c r="O188" i="10"/>
  <c r="O31" i="10"/>
  <c r="O140" i="10"/>
  <c r="O59" i="10"/>
  <c r="O87" i="10"/>
  <c r="O124" i="10"/>
  <c r="O153" i="10"/>
  <c r="O166" i="10"/>
  <c r="O160" i="10"/>
  <c r="O75" i="10"/>
  <c r="O182" i="10"/>
  <c r="O26" i="10"/>
  <c r="O123" i="10"/>
  <c r="O163" i="10"/>
  <c r="O187" i="10"/>
  <c r="O96" i="10"/>
  <c r="O98" i="10"/>
  <c r="O122" i="10"/>
  <c r="O158" i="10"/>
  <c r="O177" i="10"/>
  <c r="O176" i="10"/>
  <c r="O103" i="10"/>
  <c r="O137" i="10"/>
  <c r="O19" i="10"/>
  <c r="O119" i="10"/>
  <c r="O152" i="10"/>
  <c r="O109" i="10"/>
  <c r="O40" i="10"/>
  <c r="O38" i="10"/>
  <c r="O149" i="10"/>
  <c r="O141" i="10"/>
  <c r="O139" i="10"/>
  <c r="O85" i="10"/>
  <c r="O191" i="10"/>
  <c r="O93" i="10"/>
  <c r="O189" i="10"/>
  <c r="O80" i="10"/>
  <c r="O186" i="10"/>
  <c r="AR70" i="10"/>
  <c r="CX34" i="10"/>
  <c r="BR17" i="10"/>
  <c r="AS68" i="10"/>
  <c r="AG68" i="10"/>
  <c r="AS29" i="10"/>
  <c r="AG29" i="10"/>
  <c r="AS9" i="10"/>
  <c r="AG9" i="10"/>
  <c r="AG8" i="10"/>
  <c r="AS8" i="10"/>
  <c r="AP27" i="10"/>
  <c r="P10" i="10"/>
  <c r="AS11" i="10"/>
  <c r="AG11" i="10"/>
  <c r="CS11" i="10"/>
  <c r="CX73" i="10"/>
  <c r="P80" i="10"/>
  <c r="P103" i="10"/>
  <c r="AS115" i="10"/>
  <c r="AG115" i="10"/>
  <c r="AT48" i="10"/>
  <c r="AI48" i="10"/>
  <c r="CX58" i="10"/>
  <c r="AN12" i="10"/>
  <c r="AT47" i="10"/>
  <c r="AI47" i="10"/>
  <c r="CX62" i="10"/>
  <c r="AN126" i="10"/>
  <c r="CU45" i="10"/>
  <c r="P20" i="10"/>
  <c r="AQ121" i="10"/>
  <c r="AD121" i="10"/>
  <c r="AR172" i="10"/>
  <c r="CU77" i="10"/>
  <c r="AP36" i="10"/>
  <c r="P36" i="10"/>
  <c r="AT89" i="10"/>
  <c r="AI89" i="10"/>
  <c r="AR7" i="10"/>
  <c r="AR25" i="10"/>
  <c r="AI63" i="10"/>
  <c r="AT63" i="10"/>
  <c r="O46" i="10"/>
  <c r="CU22" i="10"/>
  <c r="CS50" i="10"/>
  <c r="BR20" i="10"/>
  <c r="AT45" i="10"/>
  <c r="AI45" i="10"/>
  <c r="AN137" i="10"/>
  <c r="CU98" i="10"/>
  <c r="AR72" i="10"/>
  <c r="CX50" i="10"/>
  <c r="P41" i="10"/>
  <c r="CH41" i="10" s="1"/>
  <c r="CF52" i="10"/>
  <c r="AT106" i="10"/>
  <c r="AI106" i="10"/>
  <c r="AD24" i="10"/>
  <c r="AQ24" i="10"/>
  <c r="AG70" i="10"/>
  <c r="AS70" i="10"/>
  <c r="P18" i="10"/>
  <c r="CX33" i="10"/>
  <c r="AR104" i="10"/>
  <c r="CS78" i="10"/>
  <c r="AD80" i="10"/>
  <c r="AQ80" i="10"/>
  <c r="AP22" i="10"/>
  <c r="P22" i="10"/>
  <c r="CU96" i="10"/>
  <c r="P96" i="10"/>
  <c r="AP96" i="10"/>
  <c r="CX177" i="10"/>
  <c r="BR103" i="10"/>
  <c r="P125" i="10"/>
  <c r="BR87" i="10"/>
  <c r="CF24" i="10"/>
  <c r="CX24" i="10"/>
  <c r="CS53" i="10"/>
  <c r="O37" i="10"/>
  <c r="AR40" i="10"/>
  <c r="AS62" i="10"/>
  <c r="AG62" i="10"/>
  <c r="AD50" i="10"/>
  <c r="AQ50" i="10"/>
  <c r="CU104" i="10"/>
  <c r="AP178" i="10"/>
  <c r="CF64" i="10"/>
  <c r="AS26" i="10"/>
  <c r="AG26" i="10"/>
  <c r="BR86" i="10"/>
  <c r="CS29" i="10"/>
  <c r="AP152" i="10"/>
  <c r="AD4" i="10"/>
  <c r="AQ4" i="10"/>
  <c r="AR178" i="10"/>
  <c r="BR118" i="10"/>
  <c r="AP128" i="10"/>
  <c r="AR153" i="10"/>
  <c r="AN86" i="10"/>
  <c r="CS131" i="10"/>
  <c r="AI83" i="10"/>
  <c r="AT83" i="10"/>
  <c r="CS6" i="10"/>
  <c r="AI129" i="10"/>
  <c r="AT129" i="10"/>
  <c r="AR42" i="10"/>
  <c r="CS38" i="10"/>
  <c r="AR35" i="10"/>
  <c r="AP94" i="10"/>
  <c r="P94" i="10"/>
  <c r="CF40" i="10"/>
  <c r="O64" i="10"/>
  <c r="AN55" i="10"/>
  <c r="AI107" i="10"/>
  <c r="AT107" i="10"/>
  <c r="CX28" i="10"/>
  <c r="AG19" i="10"/>
  <c r="AS19" i="10"/>
  <c r="AS6" i="10"/>
  <c r="AG6" i="10"/>
  <c r="P45" i="10"/>
  <c r="AN77" i="10"/>
  <c r="CU71" i="10"/>
  <c r="AR66" i="10"/>
  <c r="AN69" i="10"/>
  <c r="AR87" i="10"/>
  <c r="CU101" i="10"/>
  <c r="AP23" i="10"/>
  <c r="O88" i="10"/>
  <c r="CS112" i="10"/>
  <c r="CS96" i="10"/>
  <c r="AQ130" i="10"/>
  <c r="AD130" i="10"/>
  <c r="AD101" i="10"/>
  <c r="AQ101" i="10"/>
  <c r="O58" i="10"/>
  <c r="CF107" i="10"/>
  <c r="CH107" i="10" s="1"/>
  <c r="P42" i="10"/>
  <c r="CX14" i="10"/>
  <c r="AQ145" i="10"/>
  <c r="AD145" i="10"/>
  <c r="CS37" i="10"/>
  <c r="AS7" i="10"/>
  <c r="AG7" i="10"/>
  <c r="AT30" i="10"/>
  <c r="AI30" i="10"/>
  <c r="AI56" i="10"/>
  <c r="AT56" i="10"/>
  <c r="BR149" i="10"/>
  <c r="CX184" i="10"/>
  <c r="AR109" i="10"/>
  <c r="AP121" i="10"/>
  <c r="P121" i="10"/>
  <c r="AS120" i="10"/>
  <c r="AG120" i="10"/>
  <c r="P78" i="10"/>
  <c r="AP78" i="10"/>
  <c r="BR96" i="10"/>
  <c r="BR50" i="10"/>
  <c r="CS12" i="10"/>
  <c r="CF15" i="10"/>
  <c r="CS148" i="10"/>
  <c r="AQ54" i="10"/>
  <c r="AD54" i="10"/>
  <c r="AR45" i="10"/>
  <c r="CF79" i="10"/>
  <c r="CF22" i="10"/>
  <c r="AP11" i="10"/>
  <c r="CX103" i="10"/>
  <c r="AP28" i="10"/>
  <c r="J188" i="10"/>
  <c r="BJ188" i="10"/>
  <c r="AT21" i="10"/>
  <c r="AI21" i="10"/>
  <c r="AP133" i="10"/>
  <c r="BR58" i="10"/>
  <c r="BR172" i="10"/>
  <c r="CX30" i="10"/>
  <c r="CS99" i="10"/>
  <c r="BR127" i="10"/>
  <c r="CF132" i="10"/>
  <c r="AP49" i="10"/>
  <c r="AN111" i="10"/>
  <c r="AI66" i="10"/>
  <c r="AT66" i="10"/>
  <c r="AN166" i="10"/>
  <c r="BR15" i="10"/>
  <c r="AD75" i="10"/>
  <c r="AQ75" i="10"/>
  <c r="AN180" i="10"/>
  <c r="O21" i="10"/>
  <c r="CF27" i="10"/>
  <c r="AS84" i="10"/>
  <c r="AG84" i="10"/>
  <c r="CU48" i="10"/>
  <c r="P52" i="10"/>
  <c r="CU189" i="10"/>
  <c r="AD9" i="10"/>
  <c r="AQ9" i="10"/>
  <c r="CS104" i="10"/>
  <c r="O76" i="10"/>
  <c r="CX20" i="10"/>
  <c r="CU51" i="10"/>
  <c r="AI72" i="10"/>
  <c r="AT72" i="10"/>
  <c r="AS67" i="10"/>
  <c r="AG67" i="10"/>
  <c r="AI34" i="10"/>
  <c r="AT34" i="10"/>
  <c r="CX68" i="10"/>
  <c r="CX122" i="10"/>
  <c r="BR53" i="10"/>
  <c r="CX22" i="10"/>
  <c r="AG81" i="10"/>
  <c r="AS81" i="10"/>
  <c r="AP14" i="10"/>
  <c r="AR50" i="10"/>
  <c r="P26" i="10"/>
  <c r="AQ129" i="10"/>
  <c r="AD129" i="10"/>
  <c r="AN82" i="10"/>
  <c r="CF21" i="10"/>
  <c r="AR52" i="10"/>
  <c r="AQ65" i="10"/>
  <c r="AD65" i="10"/>
  <c r="O70" i="10"/>
  <c r="AG76" i="10"/>
  <c r="AS76" i="10"/>
  <c r="AD18" i="10"/>
  <c r="AQ18" i="10"/>
  <c r="AN75" i="10"/>
  <c r="P35" i="10"/>
  <c r="AP44" i="10"/>
  <c r="P44" i="10"/>
  <c r="AN20" i="10"/>
  <c r="AI130" i="10"/>
  <c r="AT130" i="10"/>
  <c r="P134" i="10"/>
  <c r="P152" i="10"/>
  <c r="CU8" i="10"/>
  <c r="BR27" i="10"/>
  <c r="CS102" i="10"/>
  <c r="CU92" i="10"/>
  <c r="AG160" i="10"/>
  <c r="AS160" i="10"/>
  <c r="AP75" i="10"/>
  <c r="P75" i="10"/>
  <c r="CF29" i="10"/>
  <c r="CH29" i="10" s="1"/>
  <c r="CF91" i="10"/>
  <c r="CF54" i="10"/>
  <c r="CX9" i="10"/>
  <c r="CS90" i="10"/>
  <c r="AT24" i="10"/>
  <c r="AI24" i="10"/>
  <c r="AN149" i="10"/>
  <c r="AS45" i="10"/>
  <c r="AG45" i="10"/>
  <c r="AN113" i="10"/>
  <c r="CU111" i="10"/>
  <c r="BR184" i="10"/>
  <c r="P11" i="10"/>
  <c r="AI10" i="10"/>
  <c r="AT10" i="10"/>
  <c r="AI182" i="10"/>
  <c r="AT182" i="10"/>
  <c r="AD109" i="10"/>
  <c r="AQ109" i="10"/>
  <c r="BR9" i="10"/>
  <c r="CF156" i="10"/>
  <c r="BR54" i="10"/>
  <c r="AR6" i="10"/>
  <c r="P135" i="10"/>
  <c r="AD40" i="10"/>
  <c r="AQ40" i="10"/>
  <c r="CS19" i="10"/>
  <c r="CS125" i="10"/>
  <c r="BR18" i="10"/>
  <c r="AT6" i="10"/>
  <c r="AI6" i="10"/>
  <c r="CU31" i="10"/>
  <c r="AN90" i="10"/>
  <c r="AN25" i="10"/>
  <c r="AR181" i="10"/>
  <c r="AD37" i="10"/>
  <c r="AQ37" i="10"/>
  <c r="CU60" i="10"/>
  <c r="AG108" i="10"/>
  <c r="AS108" i="10"/>
  <c r="AI123" i="10"/>
  <c r="AT123" i="10"/>
  <c r="CF65" i="10"/>
  <c r="AN10" i="10"/>
  <c r="AG161" i="10"/>
  <c r="AS161" i="10"/>
  <c r="AR81" i="10"/>
  <c r="CX39" i="10"/>
  <c r="CX6" i="10"/>
  <c r="AD125" i="10"/>
  <c r="AQ125" i="10"/>
  <c r="CS18" i="10"/>
  <c r="AN13" i="10"/>
  <c r="AR11" i="10"/>
  <c r="CS34" i="10"/>
  <c r="CU44" i="10"/>
  <c r="AG43" i="10"/>
  <c r="AS43" i="10"/>
  <c r="AI109" i="10"/>
  <c r="AT109" i="10"/>
  <c r="CS27" i="10"/>
  <c r="AT175" i="10"/>
  <c r="AI175" i="10"/>
  <c r="AG128" i="10"/>
  <c r="AS128" i="10"/>
  <c r="CU63" i="10"/>
  <c r="BR34" i="10"/>
  <c r="CX125" i="10"/>
  <c r="AP122" i="10"/>
  <c r="CS72" i="10"/>
  <c r="BR101" i="10"/>
  <c r="CS7" i="10"/>
  <c r="BR90" i="10"/>
  <c r="AN37" i="10"/>
  <c r="U37" i="10"/>
  <c r="CS61" i="10"/>
  <c r="BR43" i="10"/>
  <c r="AI67" i="10"/>
  <c r="AT67" i="10"/>
  <c r="AR29" i="10"/>
  <c r="CU106" i="10"/>
  <c r="BR39" i="10"/>
  <c r="AS88" i="10"/>
  <c r="AG88" i="10"/>
  <c r="AN30" i="10"/>
  <c r="P84" i="10"/>
  <c r="AR4" i="10"/>
  <c r="AR28" i="10"/>
  <c r="BR5" i="10"/>
  <c r="AI61" i="10"/>
  <c r="AT61" i="10"/>
  <c r="CU36" i="10"/>
  <c r="AS31" i="10"/>
  <c r="AG31" i="10"/>
  <c r="AS110" i="10"/>
  <c r="AG110" i="10"/>
  <c r="CU112" i="10"/>
  <c r="AG17" i="10"/>
  <c r="AS17" i="10"/>
  <c r="AQ10" i="10"/>
  <c r="AD10" i="10"/>
  <c r="AI108" i="10"/>
  <c r="AT108" i="10"/>
  <c r="AG64" i="10"/>
  <c r="AS64" i="10"/>
  <c r="AS71" i="10"/>
  <c r="AG71" i="10"/>
  <c r="CU107" i="10"/>
  <c r="CS101" i="10"/>
  <c r="CX109" i="10"/>
  <c r="AN100" i="10"/>
  <c r="AI74" i="10"/>
  <c r="AT74" i="10"/>
  <c r="AI75" i="10"/>
  <c r="AT75" i="10"/>
  <c r="CX67" i="10"/>
  <c r="CS83" i="10"/>
  <c r="P43" i="10"/>
  <c r="AN72" i="10"/>
  <c r="AP147" i="10"/>
  <c r="P147" i="10"/>
  <c r="CS97" i="10"/>
  <c r="O90" i="10"/>
  <c r="CX160" i="10"/>
  <c r="AS66" i="10"/>
  <c r="AG66" i="10"/>
  <c r="CU6" i="10"/>
  <c r="CS13" i="10"/>
  <c r="AN91" i="10"/>
  <c r="AT145" i="10"/>
  <c r="AI145" i="10"/>
  <c r="AS34" i="10"/>
  <c r="AG34" i="10"/>
  <c r="AR156" i="10"/>
  <c r="CF98" i="10"/>
  <c r="CU40" i="10"/>
  <c r="CU17" i="10"/>
  <c r="AR48" i="10"/>
  <c r="AS41" i="10"/>
  <c r="AG41" i="10"/>
  <c r="P17" i="10"/>
  <c r="AR108" i="10"/>
  <c r="AP18" i="10"/>
  <c r="AG61" i="10"/>
  <c r="AS61" i="10"/>
  <c r="CX112" i="10"/>
  <c r="AD126" i="10"/>
  <c r="AQ126" i="10"/>
  <c r="CS21" i="10"/>
  <c r="CF146" i="10"/>
  <c r="CU140" i="10"/>
  <c r="AN124" i="10"/>
  <c r="CS133" i="10"/>
  <c r="AG85" i="10"/>
  <c r="AS85" i="10"/>
  <c r="CS14" i="10"/>
  <c r="CF75" i="10"/>
  <c r="P109" i="10"/>
  <c r="AP109" i="10"/>
  <c r="AT4" i="10"/>
  <c r="AI4" i="10"/>
  <c r="AR15" i="10"/>
  <c r="AP104" i="10"/>
  <c r="P104" i="10"/>
  <c r="AN58" i="10"/>
  <c r="AP98" i="10"/>
  <c r="AP79" i="10"/>
  <c r="CS28" i="10"/>
  <c r="P130" i="10"/>
  <c r="AG100" i="10"/>
  <c r="AS100" i="10"/>
  <c r="AP43" i="10"/>
  <c r="CS135" i="10"/>
  <c r="AQ107" i="10"/>
  <c r="AD107" i="10"/>
  <c r="AT54" i="10"/>
  <c r="AI54" i="10"/>
  <c r="AR36" i="10"/>
  <c r="AS23" i="10"/>
  <c r="AG23" i="10"/>
  <c r="CS56" i="10"/>
  <c r="CS9" i="10"/>
  <c r="AD13" i="10"/>
  <c r="AQ13" i="10"/>
  <c r="CU83" i="10"/>
  <c r="CS65" i="10"/>
  <c r="BR192" i="10"/>
  <c r="AT8" i="10"/>
  <c r="AI8" i="10"/>
  <c r="AP81" i="10"/>
  <c r="CS40" i="10"/>
  <c r="AR74" i="10"/>
  <c r="CX86" i="10"/>
  <c r="AN28" i="10"/>
  <c r="BR147" i="10"/>
  <c r="AP125" i="10"/>
  <c r="CS120" i="10"/>
  <c r="BR139" i="10"/>
  <c r="AP135" i="10"/>
  <c r="BR100" i="10"/>
  <c r="AN78" i="10"/>
  <c r="CX8" i="10"/>
  <c r="AD11" i="10"/>
  <c r="AQ11" i="10"/>
  <c r="BR40" i="10"/>
  <c r="AG39" i="10"/>
  <c r="AS39" i="10"/>
  <c r="AQ146" i="10"/>
  <c r="AD146" i="10"/>
  <c r="AR126" i="10"/>
  <c r="P138" i="10"/>
  <c r="AP45" i="10"/>
  <c r="AN104" i="10"/>
  <c r="AQ99" i="10"/>
  <c r="AD99" i="10"/>
  <c r="AP86" i="10"/>
  <c r="P86" i="10"/>
  <c r="AT125" i="10"/>
  <c r="AI125" i="10"/>
  <c r="P108" i="10"/>
  <c r="AP108" i="10"/>
  <c r="CU43" i="10"/>
  <c r="AP34" i="10"/>
  <c r="BR49" i="10"/>
  <c r="CF104" i="10"/>
  <c r="CH104" i="10" s="1"/>
  <c r="CX7" i="10"/>
  <c r="CX29" i="10"/>
  <c r="CF48" i="10"/>
  <c r="CF72" i="10"/>
  <c r="CU175" i="10"/>
  <c r="AQ29" i="10"/>
  <c r="AD29" i="10"/>
  <c r="CF14" i="10"/>
  <c r="AR92" i="10"/>
  <c r="CS46" i="10"/>
  <c r="CU15" i="10"/>
  <c r="AP107" i="10"/>
  <c r="P107" i="10"/>
  <c r="CF18" i="10"/>
  <c r="CX63" i="10"/>
  <c r="CF61" i="10"/>
  <c r="AP5" i="10"/>
  <c r="AS25" i="10"/>
  <c r="AG25" i="10"/>
  <c r="CF36" i="10"/>
  <c r="CX56" i="10"/>
  <c r="CF53" i="10"/>
  <c r="CH53" i="10" s="1"/>
  <c r="AP114" i="10"/>
  <c r="CF112" i="10"/>
  <c r="CH112" i="10" s="1"/>
  <c r="AS74" i="10"/>
  <c r="AG74" i="10"/>
  <c r="AT25" i="10"/>
  <c r="AI25" i="10"/>
  <c r="AI144" i="10"/>
  <c r="AT144" i="10"/>
  <c r="CS22" i="10"/>
  <c r="AR114" i="10"/>
  <c r="P95" i="10"/>
  <c r="AP95" i="10"/>
  <c r="AS75" i="10"/>
  <c r="AG75" i="10"/>
  <c r="BR165" i="10"/>
  <c r="CS154" i="10"/>
  <c r="P176" i="10"/>
  <c r="CU138" i="10"/>
  <c r="P9" i="10"/>
  <c r="AR103" i="10"/>
  <c r="AI23" i="10"/>
  <c r="AT23" i="10"/>
  <c r="P59" i="10"/>
  <c r="AP59" i="10"/>
  <c r="BR24" i="10"/>
  <c r="CU39" i="10"/>
  <c r="AD15" i="10"/>
  <c r="AQ15" i="10"/>
  <c r="AG131" i="10"/>
  <c r="AS131" i="10"/>
  <c r="AG4" i="10"/>
  <c r="AS4" i="10"/>
  <c r="CX61" i="10"/>
  <c r="CS58" i="10"/>
  <c r="AN103" i="10"/>
  <c r="CS44" i="10"/>
  <c r="AQ63" i="10"/>
  <c r="AD63" i="10"/>
  <c r="CF32" i="10"/>
  <c r="BR88" i="10"/>
  <c r="AR49" i="10"/>
  <c r="AS96" i="10"/>
  <c r="AG96" i="10"/>
  <c r="AN92" i="10"/>
  <c r="CS25" i="10"/>
  <c r="AI110" i="10"/>
  <c r="AT110" i="10"/>
  <c r="CX41" i="10"/>
  <c r="P34" i="10"/>
  <c r="CS54" i="10"/>
  <c r="AN16" i="10"/>
  <c r="CS48" i="10"/>
  <c r="CU78" i="10"/>
  <c r="CF50" i="10"/>
  <c r="CH50" i="10" s="1"/>
  <c r="CX48" i="10"/>
  <c r="AQ74" i="10"/>
  <c r="AD74" i="10"/>
  <c r="CX57" i="10"/>
  <c r="CX118" i="10"/>
  <c r="AT69" i="10"/>
  <c r="AI69" i="10"/>
  <c r="AN7" i="10"/>
  <c r="BR185" i="10"/>
  <c r="AR54" i="10"/>
  <c r="AR187" i="10"/>
  <c r="CF100" i="10"/>
  <c r="AN48" i="10"/>
  <c r="CF46" i="10"/>
  <c r="AP12" i="10"/>
  <c r="CX101" i="10"/>
  <c r="AR10" i="10"/>
  <c r="AI103" i="10"/>
  <c r="AT103" i="10"/>
  <c r="CU37" i="10"/>
  <c r="AD78" i="10"/>
  <c r="AQ78" i="10"/>
  <c r="AR19" i="10"/>
  <c r="CX84" i="10"/>
  <c r="BR14" i="10"/>
  <c r="CU75" i="10"/>
  <c r="CU9" i="10"/>
  <c r="AD44" i="10"/>
  <c r="AQ44" i="10"/>
  <c r="BR190" i="10"/>
  <c r="BR133" i="10"/>
  <c r="CX128" i="10"/>
  <c r="P144" i="10"/>
  <c r="AP144" i="10"/>
  <c r="CX152" i="10"/>
  <c r="AQ56" i="10"/>
  <c r="AD56" i="10"/>
  <c r="CS93" i="10"/>
  <c r="BJ84" i="10"/>
  <c r="J84" i="10"/>
  <c r="CU132" i="10"/>
  <c r="AR120" i="10"/>
  <c r="CF74" i="10"/>
  <c r="BR65" i="10"/>
  <c r="AI128" i="10"/>
  <c r="AT128" i="10"/>
  <c r="AT94" i="10"/>
  <c r="AI94" i="10"/>
  <c r="P24" i="10"/>
  <c r="AR58" i="10"/>
  <c r="AQ82" i="10"/>
  <c r="AD82" i="10"/>
  <c r="BR80" i="10"/>
  <c r="O126" i="10"/>
  <c r="AN106" i="10"/>
  <c r="CU105" i="10"/>
  <c r="P49" i="10"/>
  <c r="CF11" i="10"/>
  <c r="AS21" i="10"/>
  <c r="AG21" i="10"/>
  <c r="AP65" i="10"/>
  <c r="AN67" i="10"/>
  <c r="CS60" i="10"/>
  <c r="AN64" i="10"/>
  <c r="AS109" i="10"/>
  <c r="AG109" i="10"/>
  <c r="CU32" i="10"/>
  <c r="CF87" i="10"/>
  <c r="CH87" i="10" s="1"/>
  <c r="CF63" i="10"/>
  <c r="CF51" i="10"/>
  <c r="P81" i="10"/>
  <c r="AG94" i="10"/>
  <c r="AS94" i="10"/>
  <c r="CF20" i="10"/>
  <c r="CH20" i="10" s="1"/>
  <c r="AN152" i="10"/>
  <c r="AN105" i="10"/>
  <c r="AP21" i="10"/>
  <c r="P21" i="10"/>
  <c r="AP64" i="10"/>
  <c r="P64" i="10"/>
  <c r="CH64" i="10" s="1"/>
  <c r="CU170" i="10"/>
  <c r="AI28" i="10"/>
  <c r="AT28" i="10"/>
  <c r="AR97" i="10"/>
  <c r="CF26" i="10"/>
  <c r="CS74" i="10"/>
  <c r="CU90" i="10"/>
  <c r="AP138" i="10"/>
  <c r="AS122" i="10"/>
  <c r="AG122" i="10"/>
  <c r="AS47" i="10"/>
  <c r="AG47" i="10"/>
  <c r="O94" i="10"/>
  <c r="AQ132" i="10"/>
  <c r="AD132" i="10"/>
  <c r="CS43" i="10"/>
  <c r="AT40" i="10"/>
  <c r="AI40" i="10"/>
  <c r="AI117" i="10"/>
  <c r="AT117" i="10"/>
  <c r="CF94" i="10"/>
  <c r="AN56" i="10"/>
  <c r="AN39" i="10"/>
  <c r="BR150" i="10"/>
  <c r="CU94" i="10"/>
  <c r="AN42" i="10"/>
  <c r="CS59" i="10"/>
  <c r="CF41" i="10"/>
  <c r="AN175" i="10"/>
  <c r="AD143" i="10"/>
  <c r="AQ143" i="10"/>
  <c r="AS169" i="10"/>
  <c r="AG169" i="10"/>
  <c r="CX108" i="10"/>
  <c r="AQ45" i="10"/>
  <c r="AD45" i="10"/>
  <c r="O22" i="10"/>
  <c r="CX132" i="10"/>
  <c r="P16" i="10"/>
  <c r="AG30" i="10"/>
  <c r="AS30" i="10"/>
  <c r="AN158" i="10"/>
  <c r="AD72" i="10"/>
  <c r="AQ72" i="10"/>
  <c r="CX94" i="10"/>
  <c r="AP117" i="10"/>
  <c r="P117" i="10"/>
  <c r="CF28" i="10"/>
  <c r="CH28" i="10" s="1"/>
  <c r="AG90" i="10"/>
  <c r="AS90" i="10"/>
  <c r="P173" i="10"/>
  <c r="AR18" i="10"/>
  <c r="P118" i="10"/>
  <c r="AP118" i="10"/>
  <c r="AN17" i="10"/>
  <c r="AR53" i="10"/>
  <c r="CS17" i="10"/>
  <c r="AT79" i="10"/>
  <c r="AI79" i="10"/>
  <c r="CU5" i="10"/>
  <c r="CU153" i="10"/>
  <c r="CX105" i="10"/>
  <c r="AP9" i="10"/>
  <c r="AG53" i="10"/>
  <c r="AS53" i="10"/>
  <c r="AP32" i="10"/>
  <c r="P32" i="10"/>
  <c r="CU103" i="10"/>
  <c r="AN35" i="10"/>
  <c r="AR5" i="10"/>
  <c r="AI154" i="10"/>
  <c r="AT154" i="10"/>
  <c r="BR120" i="10"/>
  <c r="AG16" i="10"/>
  <c r="AS16" i="10"/>
  <c r="P40" i="10"/>
  <c r="CS42" i="10"/>
  <c r="P61" i="10"/>
  <c r="CF125" i="10"/>
  <c r="AR9" i="10"/>
  <c r="BR72" i="10"/>
  <c r="CX47" i="10"/>
  <c r="AR12" i="10"/>
  <c r="CF30" i="10"/>
  <c r="CH30" i="10" s="1"/>
  <c r="AG116" i="10"/>
  <c r="AS116" i="10"/>
  <c r="CX156" i="10"/>
  <c r="AN160" i="10"/>
  <c r="AI104" i="10"/>
  <c r="AT104" i="10"/>
  <c r="AD181" i="10"/>
  <c r="AQ181" i="10"/>
  <c r="CX75" i="10"/>
  <c r="AR174" i="10"/>
  <c r="CU127" i="10"/>
  <c r="AQ83" i="10"/>
  <c r="AD83" i="10"/>
  <c r="AT96" i="10"/>
  <c r="AI96" i="10"/>
  <c r="CX54" i="10"/>
  <c r="AN53" i="10"/>
  <c r="CX89" i="10"/>
  <c r="O47" i="10"/>
  <c r="AD191" i="10"/>
  <c r="AC196" i="10"/>
  <c r="AD5" i="10"/>
  <c r="AC199" i="10"/>
  <c r="AC195" i="10"/>
  <c r="AC197" i="10"/>
  <c r="AQ5" i="10"/>
  <c r="AC198" i="10"/>
  <c r="AC194" i="10"/>
  <c r="AD192" i="10"/>
  <c r="CX100" i="10"/>
  <c r="P71" i="10"/>
  <c r="AP71" i="10"/>
  <c r="AG22" i="10"/>
  <c r="AS22" i="10"/>
  <c r="AS138" i="10"/>
  <c r="AG138" i="10"/>
  <c r="CU14" i="10"/>
  <c r="AR150" i="10"/>
  <c r="CX93" i="10"/>
  <c r="AS183" i="10"/>
  <c r="AG183" i="10"/>
  <c r="P151" i="10"/>
  <c r="AR125" i="10"/>
  <c r="CU86" i="10"/>
  <c r="AG20" i="10"/>
  <c r="AS20" i="10"/>
  <c r="CX77" i="10"/>
  <c r="CF59" i="10"/>
  <c r="CH59" i="10" s="1"/>
  <c r="BR51" i="10"/>
  <c r="P19" i="10"/>
  <c r="AP19" i="10"/>
  <c r="AG167" i="10"/>
  <c r="AS167" i="10"/>
  <c r="CX45" i="10"/>
  <c r="BR6" i="10"/>
  <c r="AS73" i="10"/>
  <c r="AG73" i="10"/>
  <c r="CX185" i="10"/>
  <c r="AI105" i="10"/>
  <c r="AT105" i="10"/>
  <c r="AP55" i="10"/>
  <c r="CX59" i="10"/>
  <c r="AT36" i="10"/>
  <c r="AI36" i="10"/>
  <c r="CU67" i="10"/>
  <c r="CU108" i="10"/>
  <c r="CU80" i="10"/>
  <c r="AD7" i="10"/>
  <c r="AQ7" i="10"/>
  <c r="CU69" i="10"/>
  <c r="AN123" i="10"/>
  <c r="AD180" i="10"/>
  <c r="AQ180" i="10"/>
  <c r="BR126" i="10"/>
  <c r="CU59" i="10"/>
  <c r="AR27" i="10"/>
  <c r="CS35" i="10"/>
  <c r="CF187" i="10"/>
  <c r="AP50" i="10"/>
  <c r="AP20" i="10"/>
  <c r="AP13" i="10"/>
  <c r="AQ62" i="10"/>
  <c r="AD62" i="10"/>
  <c r="AN79" i="10"/>
  <c r="AN18" i="10"/>
  <c r="CS75" i="10"/>
  <c r="AN6" i="10"/>
  <c r="AN38" i="10"/>
  <c r="P33" i="10"/>
  <c r="AQ144" i="10"/>
  <c r="AD144" i="10"/>
  <c r="AT78" i="10"/>
  <c r="AI78" i="10"/>
  <c r="AD141" i="10"/>
  <c r="AQ141" i="10"/>
  <c r="AS173" i="10"/>
  <c r="AG173" i="10"/>
  <c r="CS81" i="10"/>
  <c r="AI50" i="10"/>
  <c r="AT50" i="10"/>
  <c r="AG10" i="10"/>
  <c r="AS10" i="10"/>
  <c r="P140" i="10"/>
  <c r="BR170" i="10"/>
  <c r="CX23" i="10"/>
  <c r="AP149" i="10"/>
  <c r="AG184" i="10"/>
  <c r="AS184" i="10"/>
  <c r="AT141" i="10"/>
  <c r="AI141" i="10"/>
  <c r="AQ23" i="10"/>
  <c r="AD23" i="10"/>
  <c r="CX51" i="10"/>
  <c r="AD85" i="10"/>
  <c r="AQ85" i="10"/>
  <c r="CS164" i="10"/>
  <c r="AQ12" i="10"/>
  <c r="AD12" i="10"/>
  <c r="P14" i="10"/>
  <c r="AT142" i="10"/>
  <c r="AI142" i="10"/>
  <c r="AT43" i="10"/>
  <c r="AI43" i="10"/>
  <c r="AT13" i="10"/>
  <c r="AI13" i="10"/>
  <c r="AN98" i="10"/>
  <c r="AR39" i="10"/>
  <c r="CU18" i="10"/>
  <c r="AR110" i="10"/>
  <c r="AS105" i="10"/>
  <c r="AG105" i="10"/>
  <c r="AT39" i="10"/>
  <c r="AI39" i="10"/>
  <c r="AR33" i="10"/>
  <c r="CS152" i="10"/>
  <c r="AS92" i="10"/>
  <c r="AG92" i="10"/>
  <c r="AP63" i="10"/>
  <c r="P63" i="10"/>
  <c r="AP115" i="10"/>
  <c r="P115" i="10"/>
  <c r="CX37" i="10"/>
  <c r="AR38" i="10"/>
  <c r="AR169" i="10"/>
  <c r="AP113" i="10"/>
  <c r="P113" i="10"/>
  <c r="CF39" i="10"/>
  <c r="CX135" i="10"/>
  <c r="AT5" i="10"/>
  <c r="AI5" i="10"/>
  <c r="AN186" i="10"/>
  <c r="CX117" i="10"/>
  <c r="P122" i="10"/>
  <c r="CX170" i="10"/>
  <c r="CU163" i="10"/>
  <c r="AP39" i="10"/>
  <c r="P39" i="10"/>
  <c r="CU29" i="10"/>
  <c r="CS186" i="10"/>
  <c r="CF45" i="10"/>
  <c r="AP41" i="10"/>
  <c r="CF76" i="10"/>
  <c r="AQ31" i="10"/>
  <c r="AD31" i="10"/>
  <c r="CF78" i="10"/>
  <c r="CS139" i="10"/>
  <c r="CU56" i="10"/>
  <c r="CX98" i="10"/>
  <c r="AR78" i="10"/>
  <c r="CS134" i="10"/>
  <c r="AI118" i="10"/>
  <c r="AT118" i="10"/>
  <c r="BR22" i="10"/>
  <c r="AQ30" i="10"/>
  <c r="AD30" i="10"/>
  <c r="CU164" i="10"/>
  <c r="CU82" i="10"/>
  <c r="BR19" i="10"/>
  <c r="AN76" i="10"/>
  <c r="P169" i="10"/>
  <c r="AI7" i="10"/>
  <c r="AT7" i="10"/>
  <c r="BR62" i="10"/>
  <c r="AR31" i="10"/>
  <c r="O57" i="10"/>
  <c r="AQ169" i="10"/>
  <c r="AD169" i="10"/>
  <c r="O107" i="10"/>
  <c r="P25" i="10"/>
  <c r="CH25" i="10" s="1"/>
  <c r="P124" i="10"/>
  <c r="AP124" i="10"/>
  <c r="CX36" i="10"/>
  <c r="CF92" i="10"/>
  <c r="BR10" i="10"/>
  <c r="AR135" i="10"/>
  <c r="AR119" i="10"/>
  <c r="CX87" i="10"/>
  <c r="AG181" i="10"/>
  <c r="AS181" i="10"/>
  <c r="AN31" i="10"/>
  <c r="AR86" i="10"/>
  <c r="P120" i="10"/>
  <c r="AP120" i="10"/>
  <c r="AN44" i="10"/>
  <c r="AR89" i="10"/>
  <c r="AS51" i="10"/>
  <c r="AG51" i="10"/>
  <c r="AS151" i="10"/>
  <c r="AG151" i="10"/>
  <c r="AG165" i="10"/>
  <c r="AS165" i="10"/>
  <c r="AR100" i="10"/>
  <c r="AN157" i="10"/>
  <c r="BR155" i="10"/>
  <c r="AG140" i="10"/>
  <c r="AS140" i="10"/>
  <c r="AQ108" i="10"/>
  <c r="AD108" i="10"/>
  <c r="AN121" i="10"/>
  <c r="CS166" i="10"/>
  <c r="P166" i="10"/>
  <c r="CF70" i="10"/>
  <c r="AR21" i="10"/>
  <c r="P105" i="10"/>
  <c r="AS164" i="10"/>
  <c r="AG164" i="10"/>
  <c r="BR114" i="10"/>
  <c r="AT12" i="10"/>
  <c r="AI12" i="10"/>
  <c r="BR180" i="10"/>
  <c r="O51" i="10"/>
  <c r="CU88" i="10"/>
  <c r="CU187" i="10"/>
  <c r="P186" i="10"/>
  <c r="CS160" i="10"/>
  <c r="AD138" i="10"/>
  <c r="AQ138" i="10"/>
  <c r="CX35" i="10"/>
  <c r="CS190" i="10"/>
  <c r="CX144" i="10"/>
  <c r="AD52" i="10"/>
  <c r="AQ52" i="10"/>
  <c r="P161" i="10"/>
  <c r="AP161" i="10"/>
  <c r="CU79" i="10"/>
  <c r="AD158" i="10"/>
  <c r="AQ158" i="10"/>
  <c r="AQ8" i="10"/>
  <c r="AD8" i="10"/>
  <c r="CU154" i="10"/>
  <c r="CU122" i="10"/>
  <c r="AP82" i="10"/>
  <c r="AS86" i="10"/>
  <c r="AG86" i="10"/>
  <c r="AS156" i="10"/>
  <c r="AG156" i="10"/>
  <c r="AD47" i="10"/>
  <c r="AQ47" i="10"/>
  <c r="O55" i="10"/>
  <c r="AS87" i="10"/>
  <c r="AG87" i="10"/>
  <c r="AR93" i="10"/>
  <c r="CF102" i="10"/>
  <c r="CS111" i="10"/>
  <c r="AT33" i="10"/>
  <c r="AI33" i="10"/>
  <c r="AP179" i="10"/>
  <c r="AP168" i="10"/>
  <c r="CS100" i="10"/>
  <c r="AI164" i="10"/>
  <c r="AT164" i="10"/>
  <c r="CX95" i="10"/>
  <c r="AN116" i="10"/>
  <c r="P189" i="10"/>
  <c r="AI93" i="10"/>
  <c r="AT93" i="10"/>
  <c r="BR59" i="10"/>
  <c r="CS169" i="10"/>
  <c r="CS126" i="10"/>
  <c r="CS156" i="10"/>
  <c r="AI126" i="10"/>
  <c r="AT126" i="10"/>
  <c r="CS130" i="10"/>
  <c r="BR33" i="10"/>
  <c r="AN94" i="10"/>
  <c r="CU93" i="10"/>
  <c r="CS8" i="10"/>
  <c r="P177" i="10"/>
  <c r="P139" i="10"/>
  <c r="CF164" i="10"/>
  <c r="P159" i="10"/>
  <c r="AG97" i="10"/>
  <c r="AS97" i="10"/>
  <c r="AD26" i="10"/>
  <c r="AQ26" i="10"/>
  <c r="AP54" i="10"/>
  <c r="CS87" i="10"/>
  <c r="CU91" i="10"/>
  <c r="AP151" i="10"/>
  <c r="CF12" i="10"/>
  <c r="CH12" i="10" s="1"/>
  <c r="O104" i="10"/>
  <c r="O67" i="10"/>
  <c r="AR63" i="10"/>
  <c r="AS57" i="10"/>
  <c r="AG57" i="10"/>
  <c r="AD102" i="10"/>
  <c r="AQ102" i="10"/>
  <c r="AR116" i="10"/>
  <c r="CX120" i="10"/>
  <c r="CU49" i="10"/>
  <c r="CS85" i="10"/>
  <c r="CX81" i="10"/>
  <c r="AT122" i="10"/>
  <c r="AI122" i="10"/>
  <c r="AQ25" i="10"/>
  <c r="AD25" i="10"/>
  <c r="AR140" i="10"/>
  <c r="O130" i="10"/>
  <c r="O32" i="10"/>
  <c r="P149" i="10"/>
  <c r="AQ178" i="10"/>
  <c r="AD178" i="10"/>
  <c r="AS162" i="10"/>
  <c r="AG162" i="10"/>
  <c r="O39" i="10"/>
  <c r="AT18" i="10"/>
  <c r="AI18" i="10"/>
  <c r="AG103" i="10"/>
  <c r="AS103" i="10"/>
  <c r="AG191" i="10"/>
  <c r="AG192" i="10"/>
  <c r="AG5" i="10"/>
  <c r="AS5" i="10"/>
  <c r="P72" i="10"/>
  <c r="AP72" i="10"/>
  <c r="CS147" i="10"/>
  <c r="AI147" i="10"/>
  <c r="AT147" i="10"/>
  <c r="AG82" i="10"/>
  <c r="AS82" i="10"/>
  <c r="CS26" i="10"/>
  <c r="CF55" i="10"/>
  <c r="AN177" i="10"/>
  <c r="AI57" i="10"/>
  <c r="AT57" i="10"/>
  <c r="CU52" i="10"/>
  <c r="CX189" i="10"/>
  <c r="AR152" i="10"/>
  <c r="AT131" i="10"/>
  <c r="AI131" i="10"/>
  <c r="CU160" i="10"/>
  <c r="AT132" i="10"/>
  <c r="AI132" i="10"/>
  <c r="AR133" i="10"/>
  <c r="AN65" i="10"/>
  <c r="AP102" i="10"/>
  <c r="P102" i="10"/>
  <c r="CX32" i="10"/>
  <c r="AT138" i="10"/>
  <c r="AI138" i="10"/>
  <c r="AN109" i="10"/>
  <c r="AN21" i="10"/>
  <c r="CS182" i="10"/>
  <c r="AD19" i="10"/>
  <c r="AQ19" i="10"/>
  <c r="AQ94" i="10"/>
  <c r="AD94" i="10"/>
  <c r="AN49" i="10"/>
  <c r="AR20" i="10"/>
  <c r="CX159" i="10"/>
  <c r="CX26" i="10"/>
  <c r="CF119" i="10"/>
  <c r="CH119" i="10" s="1"/>
  <c r="AR146" i="10"/>
  <c r="CX91" i="10"/>
  <c r="AD147" i="10"/>
  <c r="AQ147" i="10"/>
  <c r="AD155" i="10"/>
  <c r="AQ155" i="10"/>
  <c r="CX96" i="10"/>
  <c r="AP17" i="10"/>
  <c r="AT140" i="10"/>
  <c r="AI140" i="10"/>
  <c r="CX121" i="10"/>
  <c r="CF88" i="10"/>
  <c r="CH88" i="10" s="1"/>
  <c r="BR161" i="10"/>
  <c r="BR173" i="10"/>
  <c r="AQ84" i="10"/>
  <c r="AD84" i="10"/>
  <c r="CF83" i="10"/>
  <c r="AS130" i="10"/>
  <c r="AG130" i="10"/>
  <c r="AN120" i="10"/>
  <c r="AN145" i="10"/>
  <c r="AS33" i="10"/>
  <c r="AG33" i="10"/>
  <c r="CU123" i="10"/>
  <c r="AI133" i="10"/>
  <c r="AT133" i="10"/>
  <c r="AR180" i="10"/>
  <c r="BR191" i="10"/>
  <c r="AR91" i="10"/>
  <c r="AN89" i="10"/>
  <c r="AQ120" i="10"/>
  <c r="AD120" i="10"/>
  <c r="AI115" i="10"/>
  <c r="AT115" i="10"/>
  <c r="AP174" i="10"/>
  <c r="CU23" i="10"/>
  <c r="AD51" i="10"/>
  <c r="AQ51" i="10"/>
  <c r="CU72" i="10"/>
  <c r="AP51" i="10"/>
  <c r="BR36" i="10"/>
  <c r="AT38" i="10"/>
  <c r="AI38" i="10"/>
  <c r="AR98" i="10"/>
  <c r="AG133" i="10"/>
  <c r="AS133" i="10"/>
  <c r="CS174" i="10"/>
  <c r="AT166" i="10"/>
  <c r="AI166" i="10"/>
  <c r="CX168" i="10"/>
  <c r="AN43" i="10"/>
  <c r="AR68" i="10"/>
  <c r="CS82" i="10"/>
  <c r="AR182" i="10"/>
  <c r="AR32" i="10"/>
  <c r="BR84" i="10"/>
  <c r="CS36" i="10"/>
  <c r="AD79" i="10"/>
  <c r="AQ79" i="10"/>
  <c r="AN142" i="10"/>
  <c r="AP31" i="10"/>
  <c r="AI64" i="10"/>
  <c r="AT64" i="10"/>
  <c r="AI87" i="10"/>
  <c r="AT87" i="10"/>
  <c r="BR153" i="10"/>
  <c r="AN101" i="10"/>
  <c r="AQ96" i="10"/>
  <c r="AD96" i="10"/>
  <c r="BR105" i="10"/>
  <c r="AS14" i="10"/>
  <c r="AG14" i="10"/>
  <c r="AR124" i="10"/>
  <c r="CX134" i="10"/>
  <c r="CU162" i="10"/>
  <c r="CF90" i="10"/>
  <c r="CH90" i="10" s="1"/>
  <c r="AD161" i="10"/>
  <c r="AQ161" i="10"/>
  <c r="AN178" i="10"/>
  <c r="AI172" i="10"/>
  <c r="AT172" i="10"/>
  <c r="CU99" i="10"/>
  <c r="CS179" i="10"/>
  <c r="AP85" i="10"/>
  <c r="CS108" i="10"/>
  <c r="AG185" i="10"/>
  <c r="AS185" i="10"/>
  <c r="CX145" i="10"/>
  <c r="AI150" i="10"/>
  <c r="AT150" i="10"/>
  <c r="BR159" i="10"/>
  <c r="AR171" i="10"/>
  <c r="AP189" i="10"/>
  <c r="AG107" i="10"/>
  <c r="AS107" i="10"/>
  <c r="AP111" i="10"/>
  <c r="CX157" i="10"/>
  <c r="AP186" i="10"/>
  <c r="AR84" i="10"/>
  <c r="AD60" i="10"/>
  <c r="AQ60" i="10"/>
  <c r="CS10" i="10"/>
  <c r="BR146" i="10"/>
  <c r="CU109" i="10"/>
  <c r="CS77" i="10"/>
  <c r="AN167" i="10"/>
  <c r="AS59" i="10"/>
  <c r="AG59" i="10"/>
  <c r="BR75" i="10"/>
  <c r="AG93" i="10"/>
  <c r="AS93" i="10"/>
  <c r="AN162" i="10"/>
  <c r="AD137" i="10"/>
  <c r="AQ137" i="10"/>
  <c r="AT95" i="10"/>
  <c r="AI95" i="10"/>
  <c r="BR128" i="10"/>
  <c r="AG35" i="10"/>
  <c r="AS35" i="10"/>
  <c r="AS129" i="10"/>
  <c r="AG129" i="10"/>
  <c r="CF113" i="10"/>
  <c r="CX190" i="10"/>
  <c r="AI183" i="10"/>
  <c r="AT183" i="10"/>
  <c r="AI114" i="10"/>
  <c r="AT114" i="10"/>
  <c r="AP25" i="10"/>
  <c r="AR69" i="10"/>
  <c r="AN11" i="10"/>
  <c r="BR95" i="10"/>
  <c r="CX150" i="10"/>
  <c r="BR93" i="10"/>
  <c r="P51" i="10"/>
  <c r="AS40" i="10"/>
  <c r="AG40" i="10"/>
  <c r="AR162" i="10"/>
  <c r="AN8" i="10"/>
  <c r="CX158" i="10"/>
  <c r="P6" i="10"/>
  <c r="AN40" i="10"/>
  <c r="AT167" i="10"/>
  <c r="AI167" i="10"/>
  <c r="AG13" i="10"/>
  <c r="AS13" i="10"/>
  <c r="AD17" i="10"/>
  <c r="AQ17" i="10"/>
  <c r="AD87" i="10"/>
  <c r="AQ87" i="10"/>
  <c r="AR34" i="10"/>
  <c r="BR138" i="10"/>
  <c r="CX15" i="10"/>
  <c r="AN161" i="10"/>
  <c r="AQ118" i="10"/>
  <c r="AD118" i="10"/>
  <c r="CX143" i="10"/>
  <c r="O97" i="10"/>
  <c r="CX90" i="10"/>
  <c r="AN172" i="10"/>
  <c r="AQ41" i="10"/>
  <c r="AD41" i="10"/>
  <c r="AS124" i="10"/>
  <c r="AG124" i="10"/>
  <c r="AT127" i="10"/>
  <c r="AI127" i="10"/>
  <c r="CX12" i="10"/>
  <c r="AP6" i="10"/>
  <c r="P178" i="10"/>
  <c r="AD43" i="10"/>
  <c r="AQ43" i="10"/>
  <c r="CU50" i="10"/>
  <c r="AG132" i="10"/>
  <c r="AS132" i="10"/>
  <c r="CS57" i="10"/>
  <c r="AS44" i="10"/>
  <c r="AG44" i="10"/>
  <c r="CU116" i="10"/>
  <c r="P47" i="10"/>
  <c r="AP47" i="10"/>
  <c r="AR13" i="10"/>
  <c r="CF73" i="10"/>
  <c r="CH73" i="10" s="1"/>
  <c r="AG172" i="10"/>
  <c r="AS172" i="10"/>
  <c r="CS113" i="10"/>
  <c r="AP42" i="10"/>
  <c r="AS24" i="10"/>
  <c r="AG24" i="10"/>
  <c r="CF116" i="10"/>
  <c r="BR79" i="10"/>
  <c r="AR79" i="10"/>
  <c r="AQ68" i="10"/>
  <c r="AD68" i="10"/>
  <c r="BR136" i="10"/>
  <c r="CU181" i="10"/>
  <c r="AT160" i="10"/>
  <c r="AI160" i="10"/>
  <c r="CU161" i="10"/>
  <c r="BR122" i="10"/>
  <c r="CU76" i="10"/>
  <c r="CS159" i="10"/>
  <c r="BR189" i="10"/>
  <c r="CS122" i="10"/>
  <c r="CF121" i="10"/>
  <c r="CH121" i="10" s="1"/>
  <c r="O100" i="10"/>
  <c r="O95" i="10"/>
  <c r="P187" i="10"/>
  <c r="BR169" i="10"/>
  <c r="AR122" i="10"/>
  <c r="CS143" i="10"/>
  <c r="CU65" i="10"/>
  <c r="CF147" i="10"/>
  <c r="AR113" i="10"/>
  <c r="AD162" i="10"/>
  <c r="AQ162" i="10"/>
  <c r="AR145" i="10"/>
  <c r="CX85" i="10"/>
  <c r="CX186" i="10"/>
  <c r="BR77" i="10"/>
  <c r="AD32" i="10"/>
  <c r="AQ32" i="10"/>
  <c r="CS151" i="10"/>
  <c r="AR22" i="10"/>
  <c r="CU30" i="10"/>
  <c r="AI184" i="10"/>
  <c r="AT184" i="10"/>
  <c r="AT19" i="10"/>
  <c r="AI19" i="10"/>
  <c r="P133" i="10"/>
  <c r="BR32" i="10"/>
  <c r="AT177" i="10"/>
  <c r="AI177" i="10"/>
  <c r="AN133" i="10"/>
  <c r="AI65" i="10"/>
  <c r="AT65" i="10"/>
  <c r="CS180" i="10"/>
  <c r="P31" i="10"/>
  <c r="CH31" i="10" s="1"/>
  <c r="AP62" i="10"/>
  <c r="AN125" i="10"/>
  <c r="AD77" i="10"/>
  <c r="AQ77" i="10"/>
  <c r="AN96" i="10"/>
  <c r="O164" i="10"/>
  <c r="AR168" i="10"/>
  <c r="P88" i="10"/>
  <c r="AP88" i="10"/>
  <c r="AS158" i="10"/>
  <c r="AG158" i="10"/>
  <c r="AQ174" i="10"/>
  <c r="AD174" i="10"/>
  <c r="O18" i="10"/>
  <c r="AP162" i="10"/>
  <c r="CS163" i="10"/>
  <c r="AP166" i="10"/>
  <c r="AD127" i="10"/>
  <c r="AQ127" i="10"/>
  <c r="AG166" i="10"/>
  <c r="AS166" i="10"/>
  <c r="AQ173" i="10"/>
  <c r="AD173" i="10"/>
  <c r="P66" i="10"/>
  <c r="CS91" i="10"/>
  <c r="AR183" i="10"/>
  <c r="AN33" i="10"/>
  <c r="AR128" i="10"/>
  <c r="AI68" i="10"/>
  <c r="AT68" i="10"/>
  <c r="BR73" i="10"/>
  <c r="CS172" i="10"/>
  <c r="CX130" i="10"/>
  <c r="BR61" i="10"/>
  <c r="AR88" i="10"/>
  <c r="AN5" i="10"/>
  <c r="CU87" i="10"/>
  <c r="AR184" i="10"/>
  <c r="CS39" i="10"/>
  <c r="CX40" i="10"/>
  <c r="CU97" i="10"/>
  <c r="CU55" i="10"/>
  <c r="CS16" i="10"/>
  <c r="AS77" i="10"/>
  <c r="AG77" i="10"/>
  <c r="AT99" i="10"/>
  <c r="AI99" i="10"/>
  <c r="AP143" i="10"/>
  <c r="AQ136" i="10"/>
  <c r="AD136" i="10"/>
  <c r="AI143" i="10"/>
  <c r="AT143" i="10"/>
  <c r="CU58" i="10"/>
  <c r="AT60" i="10"/>
  <c r="AI60" i="10"/>
  <c r="CF99" i="10"/>
  <c r="CU128" i="10"/>
  <c r="AN51" i="10"/>
  <c r="CU180" i="10"/>
  <c r="CX140" i="10"/>
  <c r="AR159" i="10"/>
  <c r="CF58" i="10"/>
  <c r="BR124" i="10"/>
  <c r="CS45" i="10"/>
  <c r="AN129" i="10"/>
  <c r="CX119" i="10"/>
  <c r="AT73" i="10"/>
  <c r="AI73" i="10"/>
  <c r="AR83" i="10"/>
  <c r="CU134" i="10"/>
  <c r="AI71" i="10"/>
  <c r="AT71" i="10"/>
  <c r="AN97" i="10"/>
  <c r="CS70" i="10"/>
  <c r="AD139" i="10"/>
  <c r="AQ139" i="10"/>
  <c r="BR188" i="10"/>
  <c r="AR94" i="10"/>
  <c r="AG52" i="10"/>
  <c r="AS52" i="10"/>
  <c r="CS69" i="10"/>
  <c r="AG36" i="10"/>
  <c r="AS36" i="10"/>
  <c r="CX146" i="10"/>
  <c r="AQ119" i="10"/>
  <c r="AD119" i="10"/>
  <c r="CS175" i="10"/>
  <c r="CX49" i="10"/>
  <c r="AN52" i="10"/>
  <c r="CS103" i="10"/>
  <c r="AN169" i="10"/>
  <c r="AP160" i="10"/>
  <c r="CS95" i="10"/>
  <c r="BR175" i="10"/>
  <c r="P93" i="10"/>
  <c r="AS134" i="10"/>
  <c r="AG134" i="10"/>
  <c r="CF86" i="10"/>
  <c r="CH86" i="10" s="1"/>
  <c r="AI148" i="10"/>
  <c r="AT148" i="10"/>
  <c r="AN146" i="10"/>
  <c r="AG188" i="10"/>
  <c r="AS188" i="10"/>
  <c r="AR138" i="10"/>
  <c r="AN63" i="10"/>
  <c r="CF131" i="10"/>
  <c r="AD46" i="10"/>
  <c r="AQ46" i="10"/>
  <c r="AQ70" i="10"/>
  <c r="AD70" i="10"/>
  <c r="AT97" i="10"/>
  <c r="AI97" i="10"/>
  <c r="AP56" i="10"/>
  <c r="AP66" i="10"/>
  <c r="AP187" i="10"/>
  <c r="AT179" i="10"/>
  <c r="AI179" i="10"/>
  <c r="CX151" i="10"/>
  <c r="BR123" i="10"/>
  <c r="AN131" i="10"/>
  <c r="BR148" i="10"/>
  <c r="AG168" i="10"/>
  <c r="AS168" i="10"/>
  <c r="CU124" i="10"/>
  <c r="AP60" i="10"/>
  <c r="P60" i="10"/>
  <c r="AD187" i="10"/>
  <c r="AQ187" i="10"/>
  <c r="AT116" i="10"/>
  <c r="AI116" i="10"/>
  <c r="AS177" i="10"/>
  <c r="AG177" i="10"/>
  <c r="AI84" i="10"/>
  <c r="AT84" i="10"/>
  <c r="CF95" i="10"/>
  <c r="CH95" i="10" s="1"/>
  <c r="AI22" i="10"/>
  <c r="AT22" i="10"/>
  <c r="CX133" i="10"/>
  <c r="CU152" i="10"/>
  <c r="AD97" i="10"/>
  <c r="AQ97" i="10"/>
  <c r="AT156" i="10"/>
  <c r="AI156" i="10"/>
  <c r="BR91" i="10"/>
  <c r="CX178" i="10"/>
  <c r="AD164" i="10"/>
  <c r="AQ164" i="10"/>
  <c r="AN189" i="10"/>
  <c r="CF150" i="10"/>
  <c r="P97" i="10"/>
  <c r="CH97" i="10" s="1"/>
  <c r="AP97" i="10"/>
  <c r="AR189" i="10"/>
  <c r="CF117" i="10"/>
  <c r="CS84" i="10"/>
  <c r="AI119" i="10"/>
  <c r="AT119" i="10"/>
  <c r="CF106" i="10"/>
  <c r="CU137" i="10"/>
  <c r="CS62" i="10"/>
  <c r="CX174" i="10"/>
  <c r="BR102" i="10"/>
  <c r="CS157" i="10"/>
  <c r="AP159" i="10"/>
  <c r="CX18" i="10"/>
  <c r="AD185" i="10"/>
  <c r="AQ185" i="10"/>
  <c r="AT153" i="10"/>
  <c r="AI153" i="10"/>
  <c r="AN66" i="10"/>
  <c r="AI113" i="10"/>
  <c r="AT113" i="10"/>
  <c r="AD21" i="10"/>
  <c r="AQ21" i="10"/>
  <c r="AP68" i="10"/>
  <c r="P68" i="10"/>
  <c r="CH68" i="10" s="1"/>
  <c r="AQ159" i="10"/>
  <c r="AD159" i="10"/>
  <c r="BR74" i="10"/>
  <c r="O83" i="10"/>
  <c r="AR131" i="10"/>
  <c r="CU19" i="10"/>
  <c r="P163" i="10"/>
  <c r="AP163" i="10"/>
  <c r="CS76" i="10"/>
  <c r="P62" i="10"/>
  <c r="BR76" i="10"/>
  <c r="CS73" i="10"/>
  <c r="AI111" i="10"/>
  <c r="AT111" i="10"/>
  <c r="CX116" i="10"/>
  <c r="AR106" i="10"/>
  <c r="AR144" i="10"/>
  <c r="AR132" i="10"/>
  <c r="AD152" i="10"/>
  <c r="AQ152" i="10"/>
  <c r="AD49" i="10"/>
  <c r="AQ49" i="10"/>
  <c r="AQ103" i="10"/>
  <c r="AD103" i="10"/>
  <c r="AQ111" i="10"/>
  <c r="AD111" i="10"/>
  <c r="AR157" i="10"/>
  <c r="CX182" i="10"/>
  <c r="AN141" i="10"/>
  <c r="AN62" i="10"/>
  <c r="CS92" i="10"/>
  <c r="AT85" i="10"/>
  <c r="AI85" i="10"/>
  <c r="CU142" i="10"/>
  <c r="AP183" i="10"/>
  <c r="AQ133" i="10"/>
  <c r="AD133" i="10"/>
  <c r="CU10" i="10"/>
  <c r="AR115" i="10"/>
  <c r="AR117" i="10"/>
  <c r="CS128" i="10"/>
  <c r="AT51" i="10"/>
  <c r="AI51" i="10"/>
  <c r="CU100" i="10"/>
  <c r="AI168" i="10"/>
  <c r="AT168" i="10"/>
  <c r="CF152" i="10"/>
  <c r="BR94" i="10"/>
  <c r="P180" i="10"/>
  <c r="CX64" i="10"/>
  <c r="AQ184" i="10"/>
  <c r="AD184" i="10"/>
  <c r="AR111" i="10"/>
  <c r="P7" i="10"/>
  <c r="AN22" i="10"/>
  <c r="AG142" i="10"/>
  <c r="AS142" i="10"/>
  <c r="BR71" i="10"/>
  <c r="AT80" i="10"/>
  <c r="AI80" i="10"/>
  <c r="CU81" i="10"/>
  <c r="AT35" i="10"/>
  <c r="AI35" i="10"/>
  <c r="AN118" i="10"/>
  <c r="AQ153" i="10"/>
  <c r="AD153" i="10"/>
  <c r="AD61" i="10"/>
  <c r="AQ61" i="10"/>
  <c r="AN32" i="10"/>
  <c r="AD114" i="10"/>
  <c r="AQ114" i="10"/>
  <c r="BR141" i="10"/>
  <c r="BR44" i="10"/>
  <c r="AP119" i="10"/>
  <c r="CX191" i="10"/>
  <c r="AN71" i="10"/>
  <c r="AG135" i="10"/>
  <c r="AS135" i="10"/>
  <c r="AI159" i="10"/>
  <c r="AT159" i="10"/>
  <c r="AN181" i="10"/>
  <c r="AP155" i="10"/>
  <c r="AD148" i="10"/>
  <c r="AQ148" i="10"/>
  <c r="AN115" i="10"/>
  <c r="CX111" i="10"/>
  <c r="BR47" i="10"/>
  <c r="CX161" i="10"/>
  <c r="CX71" i="10"/>
  <c r="AQ166" i="10"/>
  <c r="AD166" i="10"/>
  <c r="AI187" i="10"/>
  <c r="AT187" i="10"/>
  <c r="BR38" i="10"/>
  <c r="AP15" i="10"/>
  <c r="CF153" i="10"/>
  <c r="P162" i="10"/>
  <c r="CU118" i="10"/>
  <c r="AG146" i="10"/>
  <c r="AS146" i="10"/>
  <c r="AQ170" i="10"/>
  <c r="AD170" i="10"/>
  <c r="CS4" i="10"/>
  <c r="AR99" i="10"/>
  <c r="CU26" i="10"/>
  <c r="AS111" i="10"/>
  <c r="AG111" i="10"/>
  <c r="AT181" i="10"/>
  <c r="AI181" i="10"/>
  <c r="AS136" i="10"/>
  <c r="AG136" i="10"/>
  <c r="BR119" i="10"/>
  <c r="BR121" i="10"/>
  <c r="AP100" i="10"/>
  <c r="P100" i="10"/>
  <c r="CH100" i="10" s="1"/>
  <c r="CX188" i="10"/>
  <c r="AN87" i="10"/>
  <c r="P112" i="10"/>
  <c r="AP112" i="10"/>
  <c r="AP171" i="10"/>
  <c r="AP146" i="10"/>
  <c r="P146" i="10"/>
  <c r="AN147" i="10"/>
  <c r="CS124" i="10"/>
  <c r="CF89" i="10"/>
  <c r="CX180" i="10"/>
  <c r="CU167" i="10"/>
  <c r="CS149" i="10"/>
  <c r="BR183" i="10"/>
  <c r="BR187" i="10"/>
  <c r="AP156" i="10"/>
  <c r="P156" i="10"/>
  <c r="AQ189" i="10"/>
  <c r="AD189" i="10"/>
  <c r="CF165" i="10"/>
  <c r="CU125" i="10"/>
  <c r="AP127" i="10"/>
  <c r="P127" i="10"/>
  <c r="CU66" i="10"/>
  <c r="AI192" i="10"/>
  <c r="AN151" i="10"/>
  <c r="AG95" i="10"/>
  <c r="AS95" i="10"/>
  <c r="AG69" i="10"/>
  <c r="AS69" i="10"/>
  <c r="AG150" i="10"/>
  <c r="AS150" i="10"/>
  <c r="CF111" i="10"/>
  <c r="CH111" i="10" s="1"/>
  <c r="AG174" i="10"/>
  <c r="AS174" i="10"/>
  <c r="CU178" i="10"/>
  <c r="CX127" i="10"/>
  <c r="CX70" i="10"/>
  <c r="CU129" i="10"/>
  <c r="AD172" i="10"/>
  <c r="AQ172" i="10"/>
  <c r="O110" i="10"/>
  <c r="BR152" i="10"/>
  <c r="AN127" i="10"/>
  <c r="CS167" i="10"/>
  <c r="AQ163" i="10"/>
  <c r="AD163" i="10"/>
  <c r="CX79" i="10"/>
  <c r="BR64" i="10"/>
  <c r="BR132" i="10"/>
  <c r="AD149" i="10"/>
  <c r="AQ149" i="10"/>
  <c r="BR85" i="10"/>
  <c r="AQ122" i="10"/>
  <c r="AD122" i="10"/>
  <c r="P181" i="10"/>
  <c r="AS176" i="10"/>
  <c r="AG176" i="10"/>
  <c r="CS98" i="10"/>
  <c r="O92" i="10"/>
  <c r="P99" i="10"/>
  <c r="BR145" i="10"/>
  <c r="AD104" i="10"/>
  <c r="AQ104" i="10"/>
  <c r="AP74" i="10"/>
  <c r="P74" i="10"/>
  <c r="P65" i="10"/>
  <c r="AI176" i="10"/>
  <c r="AT176" i="10"/>
  <c r="AI101" i="10"/>
  <c r="AT101" i="10"/>
  <c r="CU165" i="10"/>
  <c r="AR143" i="10"/>
  <c r="CS176" i="10"/>
  <c r="AP165" i="10"/>
  <c r="AP132" i="10"/>
  <c r="P132" i="10"/>
  <c r="P106" i="10"/>
  <c r="AR41" i="10"/>
  <c r="P190" i="10"/>
  <c r="BR158" i="10"/>
  <c r="CS66" i="10"/>
  <c r="CS161" i="10"/>
  <c r="P185" i="10"/>
  <c r="AI62" i="10"/>
  <c r="AT62" i="10"/>
  <c r="CU7" i="10"/>
  <c r="AI178" i="10"/>
  <c r="AT178" i="10"/>
  <c r="CS178" i="10"/>
  <c r="AN165" i="10"/>
  <c r="AT124" i="10"/>
  <c r="AI124" i="10"/>
  <c r="P179" i="10"/>
  <c r="BR179" i="10"/>
  <c r="CU41" i="10"/>
  <c r="P148" i="10"/>
  <c r="AP148" i="10"/>
  <c r="AN50" i="10"/>
  <c r="CU136" i="10"/>
  <c r="AP177" i="10"/>
  <c r="CU184" i="10"/>
  <c r="P58" i="10"/>
  <c r="AP58" i="10"/>
  <c r="AI76" i="10"/>
  <c r="AT76" i="10"/>
  <c r="AR173" i="10"/>
  <c r="AR102" i="10"/>
  <c r="AQ110" i="10"/>
  <c r="AD110" i="10"/>
  <c r="AT188" i="10"/>
  <c r="AI188" i="10"/>
  <c r="AI90" i="10"/>
  <c r="AT90" i="10"/>
  <c r="AN83" i="10"/>
  <c r="CU177" i="10"/>
  <c r="CF169" i="10"/>
  <c r="P129" i="10"/>
  <c r="AG154" i="10"/>
  <c r="AS154" i="10"/>
  <c r="BR167" i="10"/>
  <c r="CS118" i="10"/>
  <c r="AN130" i="10"/>
  <c r="AR176" i="10"/>
  <c r="CF144" i="10"/>
  <c r="CX142" i="10"/>
  <c r="AS83" i="10"/>
  <c r="AG83" i="10"/>
  <c r="AI165" i="10"/>
  <c r="AT165" i="10"/>
  <c r="CS192" i="10"/>
  <c r="CX72" i="10"/>
  <c r="CS115" i="10"/>
  <c r="CU54" i="10"/>
  <c r="P143" i="10"/>
  <c r="BR46" i="10"/>
  <c r="AD134" i="10"/>
  <c r="AQ134" i="10"/>
  <c r="AR139" i="10"/>
  <c r="AP129" i="10"/>
  <c r="AT158" i="10"/>
  <c r="AI158" i="10"/>
  <c r="CU150" i="10"/>
  <c r="CS119" i="10"/>
  <c r="AQ157" i="10"/>
  <c r="AD157" i="10"/>
  <c r="CU121" i="10"/>
  <c r="AT191" i="10"/>
  <c r="AI191" i="10"/>
  <c r="CU95" i="10"/>
  <c r="CU131" i="10"/>
  <c r="AP176" i="10"/>
  <c r="AG123" i="10"/>
  <c r="AS123" i="10"/>
  <c r="AR175" i="10"/>
  <c r="AG178" i="10"/>
  <c r="AS178" i="10"/>
  <c r="CU144" i="10"/>
  <c r="BR144" i="10"/>
  <c r="BR129" i="10"/>
  <c r="AR167" i="10"/>
  <c r="P160" i="10"/>
  <c r="AN171" i="10"/>
  <c r="CS89" i="10"/>
  <c r="CF155" i="10"/>
  <c r="CH155" i="10" s="1"/>
  <c r="AN88" i="10"/>
  <c r="CU70" i="10"/>
  <c r="CU110" i="10"/>
  <c r="BR83" i="10"/>
  <c r="CF137" i="10"/>
  <c r="AQ156" i="10"/>
  <c r="AD156" i="10"/>
  <c r="CU169" i="10"/>
  <c r="AR170" i="10"/>
  <c r="AS187" i="10"/>
  <c r="AG187" i="10"/>
  <c r="AR165" i="10"/>
  <c r="AG152" i="10"/>
  <c r="AS152" i="10"/>
  <c r="CS68" i="10"/>
  <c r="AP134" i="10"/>
  <c r="CX139" i="10"/>
  <c r="AG12" i="10"/>
  <c r="AS12" i="10"/>
  <c r="CU171" i="10"/>
  <c r="AP93" i="10"/>
  <c r="CX183" i="10"/>
  <c r="CU168" i="10"/>
  <c r="BR98" i="10"/>
  <c r="CU190" i="10"/>
  <c r="AD76" i="10"/>
  <c r="AQ76" i="10"/>
  <c r="BR174" i="10"/>
  <c r="CS105" i="10"/>
  <c r="AP181" i="10"/>
  <c r="CF161" i="10"/>
  <c r="AS159" i="10"/>
  <c r="AG159" i="10"/>
  <c r="AR148" i="10"/>
  <c r="CU146" i="10"/>
  <c r="CS146" i="10"/>
  <c r="CS173" i="10"/>
  <c r="AQ151" i="10"/>
  <c r="AD151" i="10"/>
  <c r="AG175" i="10"/>
  <c r="AS175" i="10"/>
  <c r="P174" i="10"/>
  <c r="CS117" i="10"/>
  <c r="CX113" i="10"/>
  <c r="CU179" i="10"/>
  <c r="AG190" i="10"/>
  <c r="AS190" i="10"/>
  <c r="AN122" i="10"/>
  <c r="AS153" i="10"/>
  <c r="AG153" i="10"/>
  <c r="AI137" i="10"/>
  <c r="AT137" i="10"/>
  <c r="AR136" i="10"/>
  <c r="CX165" i="10"/>
  <c r="AG170" i="10"/>
  <c r="AS170" i="10"/>
  <c r="AS112" i="10"/>
  <c r="AG112" i="10"/>
  <c r="AS149" i="10"/>
  <c r="AG149" i="10"/>
  <c r="CX69" i="10"/>
  <c r="AN140" i="10"/>
  <c r="CU119" i="10"/>
  <c r="AN154" i="10"/>
  <c r="P191" i="10"/>
  <c r="CX176" i="10"/>
  <c r="AD186" i="10"/>
  <c r="AQ186" i="10"/>
  <c r="P167" i="10"/>
  <c r="P183" i="10"/>
  <c r="CU174" i="10"/>
  <c r="P123" i="10"/>
  <c r="BR69" i="10"/>
  <c r="AQ168" i="10"/>
  <c r="AD168" i="10"/>
  <c r="CF184" i="10"/>
  <c r="AN184" i="10"/>
  <c r="CX187" i="10"/>
  <c r="CX107" i="10"/>
  <c r="CF118" i="10"/>
  <c r="CH118" i="10" s="1"/>
  <c r="AD33" i="10"/>
  <c r="AQ33" i="10"/>
  <c r="AP158" i="10"/>
  <c r="P158" i="10"/>
  <c r="AS50" i="10"/>
  <c r="AG50" i="10"/>
  <c r="CS109" i="10"/>
  <c r="AQ124" i="10"/>
  <c r="AD124" i="10"/>
  <c r="CX131" i="10"/>
  <c r="CX124" i="10"/>
  <c r="BR140" i="10"/>
  <c r="CX136" i="10"/>
  <c r="CS49" i="10"/>
  <c r="P175" i="10"/>
  <c r="AD64" i="10"/>
  <c r="AQ64" i="10"/>
  <c r="AQ100" i="10"/>
  <c r="AD100" i="10"/>
  <c r="AQ176" i="10"/>
  <c r="AD176" i="10"/>
  <c r="BR143" i="10"/>
  <c r="AR134" i="10"/>
  <c r="CF84" i="10"/>
  <c r="CH84" i="10" s="1"/>
  <c r="AI100" i="10"/>
  <c r="AT100" i="10"/>
  <c r="CS114" i="10"/>
  <c r="AI151" i="10"/>
  <c r="AT151" i="10"/>
  <c r="P164" i="10"/>
  <c r="AP164" i="10"/>
  <c r="AR101" i="10"/>
  <c r="CX92" i="10"/>
  <c r="CX163" i="10"/>
  <c r="CX154" i="10"/>
  <c r="CS144" i="10"/>
  <c r="AN190" i="10"/>
  <c r="CX171" i="10"/>
  <c r="AP182" i="10"/>
  <c r="CU130" i="10"/>
  <c r="AT189" i="10"/>
  <c r="AI189" i="10"/>
  <c r="CS94" i="10"/>
  <c r="AR137" i="10"/>
  <c r="CF127" i="10"/>
  <c r="CH127" i="10" s="1"/>
  <c r="P87" i="10"/>
  <c r="AP87" i="10"/>
  <c r="AR149" i="10"/>
  <c r="AN117" i="10"/>
  <c r="CU143" i="10"/>
  <c r="CF80" i="10"/>
  <c r="AQ89" i="10"/>
  <c r="AD89" i="10"/>
  <c r="CX149" i="10"/>
  <c r="CS185" i="10"/>
  <c r="AR85" i="10"/>
  <c r="AS106" i="10"/>
  <c r="AG106" i="10"/>
  <c r="AN150" i="10"/>
  <c r="AP145" i="10"/>
  <c r="AQ69" i="10"/>
  <c r="AD69" i="10"/>
  <c r="P116" i="10"/>
  <c r="AP116" i="10"/>
  <c r="AD67" i="10"/>
  <c r="AQ67" i="10"/>
  <c r="BR181" i="10"/>
  <c r="CF120" i="10"/>
  <c r="AG163" i="10"/>
  <c r="AS163" i="10"/>
  <c r="CS127" i="10"/>
  <c r="AN144" i="10"/>
  <c r="AR163" i="10"/>
  <c r="CF154" i="10"/>
  <c r="BR125" i="10"/>
  <c r="AR96" i="10"/>
  <c r="AN128" i="10"/>
  <c r="AQ160" i="10"/>
  <c r="AD160" i="10"/>
  <c r="CX46" i="10"/>
  <c r="CS150" i="10"/>
  <c r="AN187" i="10"/>
  <c r="CF158" i="10"/>
  <c r="P171" i="10"/>
  <c r="AT102" i="10"/>
  <c r="AI102" i="10"/>
  <c r="AG186" i="10"/>
  <c r="AS186" i="10"/>
  <c r="BR23" i="10"/>
  <c r="CF108" i="10"/>
  <c r="AP185" i="10"/>
  <c r="O29" i="10"/>
  <c r="AP190" i="10"/>
  <c r="BR163" i="10"/>
  <c r="AN179" i="10"/>
  <c r="CX104" i="10"/>
  <c r="AR67" i="10"/>
  <c r="P15" i="10"/>
  <c r="AN153" i="10"/>
  <c r="BR160" i="10"/>
  <c r="AR142" i="10"/>
  <c r="AR166" i="10"/>
  <c r="AR158" i="10"/>
  <c r="P188" i="10"/>
  <c r="BR70" i="10"/>
  <c r="AG144" i="10"/>
  <c r="AS144" i="10"/>
  <c r="AG143" i="10"/>
  <c r="AS143" i="10"/>
  <c r="AQ113" i="10"/>
  <c r="AD113" i="10"/>
  <c r="BR171" i="10"/>
  <c r="CS86" i="10"/>
  <c r="P83" i="10"/>
  <c r="CH83" i="10" s="1"/>
  <c r="AP83" i="10"/>
  <c r="AQ34" i="10"/>
  <c r="AD34" i="10"/>
  <c r="BR97" i="10"/>
  <c r="P157" i="10"/>
  <c r="AP157" i="10"/>
  <c r="CU191" i="10"/>
  <c r="CF163" i="10"/>
  <c r="P76" i="10"/>
  <c r="AP76" i="10"/>
  <c r="AD95" i="10"/>
  <c r="AQ95" i="10"/>
  <c r="CX43" i="10"/>
  <c r="AP80" i="10"/>
  <c r="AS182" i="10"/>
  <c r="AG182" i="10"/>
  <c r="CS162" i="10"/>
  <c r="AR123" i="10"/>
  <c r="CU173" i="10"/>
  <c r="AG118" i="10"/>
  <c r="AS118" i="10"/>
  <c r="AD92" i="10"/>
  <c r="AQ92" i="10"/>
  <c r="CU89" i="10"/>
  <c r="CF37" i="10"/>
  <c r="CH37" i="10" s="1"/>
  <c r="AR185" i="10"/>
  <c r="AT15" i="10"/>
  <c r="AI15" i="10"/>
  <c r="AG147" i="10"/>
  <c r="AS147" i="10"/>
  <c r="CS187" i="10"/>
  <c r="AQ142" i="10"/>
  <c r="AD142" i="10"/>
  <c r="AG171" i="10"/>
  <c r="AS171" i="10"/>
  <c r="AP136" i="10"/>
  <c r="CX164" i="10"/>
  <c r="BR182" i="10"/>
  <c r="AP130" i="10"/>
  <c r="BR164" i="10"/>
  <c r="AR151" i="10"/>
  <c r="AS180" i="10"/>
  <c r="AG180" i="10"/>
  <c r="CF148" i="10"/>
  <c r="CX115" i="10"/>
  <c r="CU176" i="10"/>
  <c r="AR51" i="10"/>
  <c r="AP77" i="10"/>
  <c r="P77" i="10"/>
  <c r="CF115" i="10"/>
  <c r="AN135" i="10"/>
  <c r="CU20" i="10"/>
  <c r="AR76" i="10"/>
  <c r="P137" i="10"/>
  <c r="AP137" i="10"/>
  <c r="AD171" i="10"/>
  <c r="AQ171" i="10"/>
  <c r="CS153" i="10"/>
  <c r="P172" i="10"/>
  <c r="CH172" i="10" s="1"/>
  <c r="P192" i="10"/>
  <c r="CS188" i="10"/>
  <c r="AD112" i="10"/>
  <c r="AQ112" i="10"/>
  <c r="BR142" i="10"/>
  <c r="CS71" i="10"/>
  <c r="CS145" i="10"/>
  <c r="AI155" i="10"/>
  <c r="AT155" i="10"/>
  <c r="AR112" i="10"/>
  <c r="P55" i="10"/>
  <c r="CF114" i="10"/>
  <c r="CH114" i="10" s="1"/>
  <c r="CX126" i="10"/>
  <c r="AQ116" i="10"/>
  <c r="AD116" i="10"/>
  <c r="CX173" i="10"/>
  <c r="AD167" i="10"/>
  <c r="AQ167" i="10"/>
  <c r="AG189" i="10"/>
  <c r="AS189" i="10"/>
  <c r="AN185" i="10"/>
  <c r="O113" i="10"/>
  <c r="O132" i="10"/>
  <c r="AQ190" i="10"/>
  <c r="AD190" i="10"/>
  <c r="BR134" i="10"/>
  <c r="AN134" i="10"/>
  <c r="AP142" i="10"/>
  <c r="P142" i="10"/>
  <c r="AG79" i="10"/>
  <c r="AS79" i="10"/>
  <c r="AG38" i="10"/>
  <c r="AS38" i="10"/>
  <c r="BR154" i="10"/>
  <c r="BR176" i="10"/>
  <c r="AI139" i="10"/>
  <c r="AT139" i="10"/>
  <c r="BR99" i="10"/>
  <c r="AS56" i="10"/>
  <c r="AG56" i="10"/>
  <c r="CU148" i="10"/>
  <c r="P82" i="10"/>
  <c r="BR178" i="10"/>
  <c r="BR115" i="10"/>
  <c r="CX167" i="10"/>
  <c r="AN114" i="10"/>
  <c r="CU182" i="10"/>
  <c r="CF138" i="10"/>
  <c r="CX82" i="10"/>
  <c r="AI169" i="10"/>
  <c r="AT169" i="10"/>
  <c r="AT170" i="10"/>
  <c r="AI170" i="10"/>
  <c r="P168" i="10"/>
  <c r="AQ179" i="10"/>
  <c r="AD179" i="10"/>
  <c r="AQ154" i="10"/>
  <c r="AD154" i="10"/>
  <c r="CS177" i="10"/>
  <c r="AN168" i="10"/>
  <c r="AI77" i="10"/>
  <c r="AT77" i="10"/>
  <c r="AP101" i="10"/>
  <c r="AN108" i="10"/>
  <c r="AP103" i="10"/>
  <c r="O129" i="10"/>
  <c r="AP99" i="10"/>
  <c r="AS58" i="10"/>
  <c r="AG58" i="10"/>
  <c r="CU172" i="10"/>
  <c r="AN85" i="10"/>
  <c r="CF190" i="10"/>
  <c r="AI152" i="10"/>
  <c r="AT152" i="10"/>
  <c r="CU147" i="10"/>
  <c r="CU186" i="10"/>
  <c r="AQ150" i="10"/>
  <c r="AD150" i="10"/>
  <c r="AD48" i="10"/>
  <c r="AQ48" i="10"/>
  <c r="AN110" i="10"/>
  <c r="BR177" i="10"/>
  <c r="AN136" i="10"/>
  <c r="CS181" i="10"/>
  <c r="CU156" i="10"/>
  <c r="CS189" i="10"/>
  <c r="AD177" i="10"/>
  <c r="AQ177" i="10"/>
  <c r="AG99" i="10"/>
  <c r="AS99" i="10"/>
  <c r="P101" i="10"/>
  <c r="AI136" i="10"/>
  <c r="AT136" i="10"/>
  <c r="CF159" i="10"/>
  <c r="CF157" i="10"/>
  <c r="AP61" i="10"/>
  <c r="CU151" i="10"/>
  <c r="BR186" i="10"/>
  <c r="AS37" i="10"/>
  <c r="AG37" i="10"/>
  <c r="CF167" i="10"/>
  <c r="P23" i="10"/>
  <c r="P145" i="10"/>
  <c r="CS142" i="10"/>
  <c r="AP188" i="10"/>
  <c r="AI171" i="10"/>
  <c r="AT171" i="10"/>
  <c r="AT190" i="10"/>
  <c r="AI190" i="10"/>
  <c r="CU126" i="10"/>
  <c r="CX153" i="10"/>
  <c r="AS148" i="10"/>
  <c r="AG148" i="10"/>
  <c r="O102" i="10"/>
  <c r="P182" i="10"/>
  <c r="CU62" i="10"/>
  <c r="AN176" i="10"/>
  <c r="CS155" i="10"/>
  <c r="AN74" i="10"/>
  <c r="AD140" i="10"/>
  <c r="AQ140" i="10"/>
  <c r="CX172" i="10"/>
  <c r="AD106" i="10"/>
  <c r="AQ106" i="10"/>
  <c r="CU192" i="10"/>
  <c r="AQ165" i="10"/>
  <c r="AD165" i="10"/>
  <c r="P54" i="10"/>
  <c r="CH54" i="10" s="1"/>
  <c r="AS179" i="10"/>
  <c r="AG179" i="10"/>
  <c r="O116" i="10"/>
  <c r="CF105" i="10"/>
  <c r="CH105" i="10" s="1"/>
  <c r="AS157" i="10"/>
  <c r="AG157" i="10"/>
  <c r="CU117" i="10"/>
  <c r="O72" i="10"/>
  <c r="AR129" i="10"/>
  <c r="AN170" i="10"/>
  <c r="CU159" i="10"/>
  <c r="P89" i="10"/>
  <c r="AP89" i="10"/>
  <c r="AI42" i="10"/>
  <c r="AT42" i="10"/>
  <c r="AI135" i="10"/>
  <c r="AT135" i="10"/>
  <c r="AP131" i="10"/>
  <c r="P131" i="10"/>
  <c r="CF67" i="10"/>
  <c r="CH67" i="10" s="1"/>
  <c r="BR168" i="10"/>
  <c r="AI180" i="10"/>
  <c r="AT180" i="10"/>
  <c r="AN156" i="10"/>
  <c r="AG141" i="10"/>
  <c r="AS141" i="10"/>
  <c r="AN139" i="10"/>
  <c r="BR113" i="10"/>
  <c r="AD131" i="10"/>
  <c r="AQ131" i="10"/>
  <c r="CF143" i="10"/>
  <c r="AT185" i="10"/>
  <c r="AI185" i="10"/>
  <c r="AN143" i="10"/>
  <c r="CU166" i="10"/>
  <c r="AP140" i="10"/>
  <c r="P136" i="10"/>
  <c r="CU113" i="10"/>
  <c r="AN138" i="10"/>
  <c r="CX181" i="10"/>
  <c r="O86" i="10"/>
  <c r="AN188" i="10"/>
  <c r="AI161" i="10"/>
  <c r="AT161" i="10"/>
  <c r="AD188" i="10"/>
  <c r="AQ188" i="10"/>
  <c r="CU133" i="10"/>
  <c r="CU158" i="10"/>
  <c r="AT162" i="10"/>
  <c r="AI162" i="10"/>
  <c r="CU120" i="10"/>
  <c r="BR112" i="10"/>
  <c r="BR166" i="10"/>
  <c r="CX162" i="10"/>
  <c r="AT37" i="10"/>
  <c r="AI37" i="10"/>
  <c r="AP150" i="10"/>
  <c r="P150" i="10"/>
  <c r="BR157" i="10"/>
  <c r="BR137" i="10"/>
  <c r="AR65" i="10"/>
  <c r="AN155" i="10"/>
  <c r="AS117" i="10"/>
  <c r="AG117" i="10"/>
  <c r="CU157" i="10"/>
  <c r="CX88" i="10"/>
  <c r="CS183" i="10"/>
  <c r="AR188" i="10"/>
  <c r="AS126" i="10"/>
  <c r="AG126" i="10"/>
  <c r="AN148" i="10"/>
  <c r="AS113" i="10"/>
  <c r="AG113" i="10"/>
  <c r="AN95" i="10"/>
  <c r="CS132" i="10"/>
  <c r="AP167" i="10"/>
  <c r="AR164" i="10"/>
  <c r="CX129" i="10"/>
  <c r="AI134" i="10"/>
  <c r="AT134" i="10"/>
  <c r="P153" i="10"/>
  <c r="CU155" i="10"/>
  <c r="AN182" i="10"/>
  <c r="AP173" i="10"/>
  <c r="AR160" i="10"/>
  <c r="CS141" i="10"/>
  <c r="CS168" i="10"/>
  <c r="AP84" i="10"/>
  <c r="AN73" i="10"/>
  <c r="CU149" i="10"/>
  <c r="CS55" i="10"/>
  <c r="AQ98" i="10"/>
  <c r="AD98" i="10"/>
  <c r="CU188" i="10"/>
  <c r="CX192" i="10"/>
  <c r="AD42" i="10"/>
  <c r="AQ42" i="10"/>
  <c r="O117" i="10"/>
  <c r="CS137" i="10"/>
  <c r="AP139" i="10"/>
  <c r="AT186" i="10"/>
  <c r="AI186" i="10"/>
  <c r="AI91" i="10"/>
  <c r="AT91" i="10"/>
  <c r="AR141" i="10"/>
  <c r="CU135" i="10"/>
  <c r="AP175" i="10"/>
  <c r="AP180" i="10"/>
  <c r="CX114" i="10"/>
  <c r="AR190" i="10"/>
  <c r="AR14" i="10"/>
  <c r="CS136" i="10"/>
  <c r="AN84" i="10"/>
  <c r="AT174" i="10"/>
  <c r="AI174" i="10"/>
  <c r="AQ128" i="10"/>
  <c r="AD128" i="10"/>
  <c r="BR131" i="10"/>
  <c r="CX166" i="10"/>
  <c r="AR90" i="10"/>
  <c r="CX155" i="10"/>
  <c r="CS184" i="10"/>
  <c r="AN183" i="10"/>
  <c r="AR130" i="10"/>
  <c r="CS121" i="10"/>
  <c r="CX148" i="10"/>
  <c r="AR105" i="10"/>
  <c r="CF124" i="10"/>
  <c r="CH124" i="10" s="1"/>
  <c r="AD135" i="10"/>
  <c r="AQ135" i="10"/>
  <c r="CS165" i="10"/>
  <c r="BR151" i="10"/>
  <c r="CS171" i="10"/>
  <c r="CX102" i="10"/>
  <c r="AI120" i="10"/>
  <c r="AT120" i="10"/>
  <c r="AT112" i="10"/>
  <c r="AI112" i="10"/>
  <c r="CF172" i="10"/>
  <c r="AP126" i="10"/>
  <c r="P126" i="10"/>
  <c r="AT157" i="10"/>
  <c r="AI157" i="10"/>
  <c r="AD183" i="10"/>
  <c r="AQ183" i="10"/>
  <c r="CU183" i="10"/>
  <c r="AN102" i="10"/>
  <c r="AR75" i="10"/>
  <c r="BR135" i="10"/>
  <c r="CF140" i="10"/>
  <c r="AN132" i="10"/>
  <c r="CU145" i="10"/>
  <c r="CX138" i="10"/>
  <c r="AR147" i="10"/>
  <c r="AN159" i="10"/>
  <c r="CS140" i="10"/>
  <c r="AP123" i="10"/>
  <c r="CX169" i="10"/>
  <c r="AG80" i="10"/>
  <c r="AS80" i="10"/>
  <c r="AD182" i="10"/>
  <c r="AQ182" i="10"/>
  <c r="CX106" i="10"/>
  <c r="AR56" i="10"/>
  <c r="CF77" i="10"/>
  <c r="CU115" i="10"/>
  <c r="AG145" i="10"/>
  <c r="AS145" i="10"/>
  <c r="AP169" i="10"/>
  <c r="BR111" i="10"/>
  <c r="P85" i="10"/>
  <c r="CX147" i="10"/>
  <c r="CX179" i="10"/>
  <c r="AR161" i="10"/>
  <c r="AI149" i="10"/>
  <c r="AT149" i="10"/>
  <c r="P184" i="10"/>
  <c r="AR155" i="10"/>
  <c r="CX80" i="10"/>
  <c r="CU185" i="10"/>
  <c r="CX76" i="10"/>
  <c r="AP172" i="10"/>
  <c r="CX123" i="10"/>
  <c r="AD105" i="10"/>
  <c r="AQ105" i="10"/>
  <c r="AP141" i="10"/>
  <c r="AI146" i="10"/>
  <c r="AT146" i="10"/>
  <c r="AP170" i="10"/>
  <c r="AN174" i="10"/>
  <c r="AN99" i="10"/>
  <c r="CS138" i="10"/>
  <c r="CS158" i="10"/>
  <c r="AP184" i="10"/>
  <c r="CH74" i="10"/>
  <c r="CH116" i="10"/>
  <c r="CH92" i="10"/>
  <c r="CH91" i="10"/>
  <c r="CH81" i="10"/>
  <c r="CH113" i="10"/>
  <c r="CH75" i="10"/>
  <c r="CH24" i="10"/>
  <c r="CH132" i="10"/>
  <c r="AO13" i="10"/>
  <c r="AO24" i="10"/>
  <c r="AO39" i="10"/>
  <c r="AO49" i="10"/>
  <c r="AO46" i="10"/>
  <c r="AO64" i="10"/>
  <c r="AO53" i="10"/>
  <c r="AO74" i="10"/>
  <c r="AO72" i="10"/>
  <c r="AO92" i="10"/>
  <c r="AO112" i="10"/>
  <c r="AO126" i="10"/>
  <c r="AO118" i="10"/>
  <c r="AO140" i="10"/>
  <c r="AO157" i="10"/>
  <c r="AO179" i="10"/>
  <c r="AO168" i="10"/>
  <c r="AO181" i="10"/>
  <c r="AO173" i="10"/>
  <c r="AO16" i="10"/>
  <c r="AO25" i="10"/>
  <c r="AO36" i="10"/>
  <c r="AO80" i="10"/>
  <c r="AO71" i="10"/>
  <c r="AO101" i="10"/>
  <c r="AO116" i="10"/>
  <c r="AO106" i="10"/>
  <c r="AO135" i="10"/>
  <c r="AO146" i="10"/>
  <c r="AO155" i="10"/>
  <c r="AO160" i="10"/>
  <c r="AO178" i="10"/>
  <c r="AO169" i="10"/>
  <c r="AO183" i="10"/>
  <c r="AO187" i="10"/>
  <c r="AO186" i="10"/>
  <c r="AO172" i="10"/>
  <c r="AO23" i="10"/>
  <c r="AO10" i="10"/>
  <c r="AO18" i="10"/>
  <c r="AO58" i="10"/>
  <c r="AO47" i="10"/>
  <c r="AO51" i="10"/>
  <c r="AO42" i="10"/>
  <c r="AO79" i="10"/>
  <c r="AO83" i="10"/>
  <c r="AO94" i="10"/>
  <c r="AO107" i="10"/>
  <c r="AO117" i="10"/>
  <c r="AO131" i="10"/>
  <c r="AO125" i="10"/>
  <c r="AO158" i="10"/>
  <c r="AO189" i="10"/>
  <c r="AO11" i="10"/>
  <c r="AO38" i="10"/>
  <c r="AO43" i="10"/>
  <c r="AO97" i="10"/>
  <c r="AO108" i="10"/>
  <c r="AO121" i="10"/>
  <c r="AO138" i="10"/>
  <c r="AO145" i="10"/>
  <c r="AO147" i="10"/>
  <c r="AO163" i="10"/>
  <c r="AO176" i="10"/>
  <c r="AO174" i="10"/>
  <c r="AO33" i="10"/>
  <c r="AO35" i="10"/>
  <c r="AO50" i="10"/>
  <c r="AO59" i="10"/>
  <c r="AO54" i="10"/>
  <c r="AO98" i="10"/>
  <c r="AO122" i="10"/>
  <c r="AO119" i="10"/>
  <c r="AO114" i="10"/>
  <c r="AO128" i="10"/>
  <c r="AO175" i="10"/>
  <c r="AO185" i="10"/>
  <c r="AO9" i="10"/>
  <c r="AO19" i="10"/>
  <c r="AO40" i="10"/>
  <c r="AO34" i="10"/>
  <c r="AO63" i="10"/>
  <c r="AO70" i="10"/>
  <c r="AO60" i="10"/>
  <c r="AO81" i="10"/>
  <c r="AO84" i="10"/>
  <c r="AO109" i="10"/>
  <c r="AO120" i="10"/>
  <c r="AO130" i="10"/>
  <c r="AO153" i="10"/>
  <c r="AO152" i="10"/>
  <c r="AO144" i="10"/>
  <c r="AO148" i="10"/>
  <c r="AO159" i="10"/>
  <c r="AO30" i="10"/>
  <c r="AO5" i="10"/>
  <c r="AO15" i="10"/>
  <c r="AO65" i="10"/>
  <c r="AO41" i="10"/>
  <c r="AO78" i="10"/>
  <c r="AO82" i="10"/>
  <c r="AO93" i="10"/>
  <c r="AO96" i="10"/>
  <c r="AO132" i="10"/>
  <c r="AO124" i="10"/>
  <c r="AO129" i="10"/>
  <c r="AO134" i="10"/>
  <c r="AO164" i="10"/>
  <c r="AO149" i="10"/>
  <c r="AO7" i="10"/>
  <c r="AO20" i="10"/>
  <c r="AO22" i="10"/>
  <c r="AO69" i="10"/>
  <c r="AO62" i="10"/>
  <c r="AO55" i="10"/>
  <c r="AO95" i="10"/>
  <c r="AO99" i="10"/>
  <c r="AO76" i="10"/>
  <c r="AO123" i="10"/>
  <c r="AO137" i="10"/>
  <c r="AO156" i="10"/>
  <c r="AO167" i="10"/>
  <c r="AO180" i="10"/>
  <c r="AO190" i="10"/>
  <c r="AO188" i="10"/>
  <c r="AO21" i="10"/>
  <c r="AO31" i="10"/>
  <c r="AO45" i="10"/>
  <c r="AO48" i="10"/>
  <c r="AO56" i="10"/>
  <c r="AO61" i="10"/>
  <c r="AO85" i="10"/>
  <c r="AO68" i="10"/>
  <c r="AO52" i="10"/>
  <c r="AO87" i="10"/>
  <c r="AO88" i="10"/>
  <c r="AO100" i="10"/>
  <c r="AO89" i="10"/>
  <c r="AO127" i="10"/>
  <c r="AO136" i="10"/>
  <c r="AO139" i="10"/>
  <c r="AO141" i="10"/>
  <c r="AO142" i="10"/>
  <c r="AO165" i="10"/>
  <c r="AO150" i="10"/>
  <c r="AO177" i="10"/>
  <c r="AO170" i="10"/>
  <c r="AO28" i="10"/>
  <c r="AO4" i="10"/>
  <c r="AO8" i="10"/>
  <c r="AO32" i="10"/>
  <c r="AO27" i="10"/>
  <c r="AO66" i="10"/>
  <c r="AO75" i="10"/>
  <c r="AO91" i="10"/>
  <c r="AO113" i="10"/>
  <c r="AO133" i="10"/>
  <c r="AO143" i="10"/>
  <c r="AO166" i="10"/>
  <c r="AO151" i="10"/>
  <c r="AO154" i="10"/>
  <c r="AO161" i="10"/>
  <c r="AO171" i="10"/>
  <c r="AO162" i="10"/>
  <c r="AO6" i="10"/>
  <c r="AO44" i="10"/>
  <c r="AO77" i="10"/>
  <c r="AO90" i="10"/>
  <c r="AO103" i="10"/>
  <c r="AO184" i="10"/>
  <c r="AO17" i="10"/>
  <c r="AO12" i="10"/>
  <c r="AO26" i="10"/>
  <c r="AO29" i="10"/>
  <c r="AO14" i="10"/>
  <c r="AO37" i="10"/>
  <c r="AO73" i="10"/>
  <c r="AO86" i="10"/>
  <c r="AO67" i="10"/>
  <c r="AO115" i="10"/>
  <c r="AO105" i="10"/>
  <c r="AO104" i="10"/>
  <c r="AO111" i="10"/>
  <c r="AO102" i="10"/>
  <c r="AO110" i="10"/>
  <c r="AO182" i="10"/>
  <c r="AO57" i="10"/>
  <c r="AO191" i="10"/>
  <c r="CF16" i="10"/>
  <c r="CF139" i="10"/>
  <c r="CF6" i="10"/>
  <c r="CF17" i="10"/>
  <c r="CF177" i="10"/>
  <c r="CF133" i="10"/>
  <c r="CF185" i="10"/>
  <c r="CF160" i="10"/>
  <c r="CF174" i="10"/>
  <c r="CF188" i="10"/>
  <c r="CF130" i="10"/>
  <c r="CF57" i="10"/>
  <c r="CF141" i="10"/>
  <c r="CF149" i="10"/>
  <c r="CF8" i="10"/>
  <c r="CF173" i="10"/>
  <c r="CF9" i="10"/>
  <c r="CF129" i="10"/>
  <c r="CF62" i="10"/>
  <c r="CF10" i="10"/>
  <c r="CF56" i="10"/>
  <c r="CF135" i="10"/>
  <c r="CF181" i="10"/>
  <c r="CF170" i="10"/>
  <c r="CF35" i="10"/>
  <c r="CF171" i="10"/>
  <c r="CF189" i="10"/>
  <c r="CF19" i="10"/>
  <c r="CF69" i="10"/>
  <c r="CF101" i="10"/>
  <c r="CF5" i="10"/>
  <c r="CF180" i="10"/>
  <c r="CF34" i="10"/>
  <c r="CF60" i="10"/>
  <c r="CF122" i="10"/>
  <c r="CF49" i="10"/>
  <c r="CF182" i="10"/>
  <c r="CF4" i="10"/>
  <c r="CF66" i="10"/>
  <c r="CF103" i="10"/>
  <c r="CF176" i="10"/>
  <c r="CF142" i="10"/>
  <c r="CF123" i="10"/>
  <c r="CF136" i="10"/>
  <c r="CF186" i="10"/>
  <c r="CF175" i="10"/>
  <c r="CF179" i="10"/>
  <c r="CF85" i="10"/>
  <c r="CF82" i="10"/>
  <c r="CF93" i="10"/>
  <c r="CF43" i="10"/>
  <c r="CF47" i="10"/>
  <c r="CF166" i="10"/>
  <c r="CF183" i="10"/>
  <c r="CF151" i="10"/>
  <c r="CF109" i="10"/>
  <c r="CF168" i="10"/>
  <c r="CF178" i="10"/>
  <c r="CF134" i="10"/>
  <c r="CF42" i="10"/>
  <c r="CF23" i="10"/>
  <c r="CF145" i="10"/>
  <c r="BY72" i="10"/>
  <c r="BY15" i="10"/>
  <c r="BY71" i="10"/>
  <c r="BY91" i="10"/>
  <c r="BY76" i="10"/>
  <c r="BY107" i="10"/>
  <c r="BY119" i="10"/>
  <c r="BY16" i="10"/>
  <c r="BY178" i="10"/>
  <c r="BY124" i="10"/>
  <c r="CF191" i="10"/>
  <c r="BY32" i="10"/>
  <c r="BY173" i="10"/>
  <c r="BY45" i="10"/>
  <c r="BY85" i="10"/>
  <c r="BY56" i="10"/>
  <c r="BY65" i="10"/>
  <c r="BY166" i="10"/>
  <c r="BY146" i="10"/>
  <c r="BY39" i="10"/>
  <c r="BY38" i="10"/>
  <c r="BY31" i="10"/>
  <c r="BY29" i="10"/>
  <c r="BY57" i="10"/>
  <c r="BY93" i="10"/>
  <c r="BY118" i="10"/>
  <c r="BY8" i="10"/>
  <c r="BY140" i="10"/>
  <c r="BY59" i="10"/>
  <c r="BY12" i="10"/>
  <c r="BY34" i="10"/>
  <c r="BY120" i="10"/>
  <c r="BY18" i="10"/>
  <c r="BY58" i="10"/>
  <c r="BY153" i="10"/>
  <c r="BY100" i="10"/>
  <c r="BY152" i="10"/>
  <c r="BY33" i="10"/>
  <c r="BY90" i="10"/>
  <c r="BY135" i="10"/>
  <c r="BY6" i="10"/>
  <c r="BY117" i="10"/>
  <c r="BY105" i="10"/>
  <c r="BY25" i="10"/>
  <c r="BY180" i="10"/>
  <c r="BY161" i="10"/>
  <c r="BY21" i="10"/>
  <c r="BY94" i="10"/>
  <c r="BY185" i="10"/>
  <c r="BY82" i="10"/>
  <c r="BY73" i="10"/>
  <c r="BY63" i="10"/>
  <c r="BY51" i="10"/>
  <c r="BY54" i="10"/>
  <c r="BY186" i="10"/>
  <c r="BY7" i="10"/>
  <c r="BY37" i="10"/>
  <c r="BY95" i="10"/>
  <c r="BY84" i="10"/>
  <c r="BY24" i="10"/>
  <c r="BY78" i="10"/>
  <c r="BY11" i="10"/>
  <c r="BY104" i="10"/>
  <c r="BY151" i="10"/>
  <c r="BY164" i="10"/>
  <c r="BY165" i="10"/>
  <c r="BY188" i="10"/>
  <c r="CF192" i="10"/>
  <c r="BY112" i="10"/>
  <c r="BY49" i="10"/>
  <c r="BY184" i="10"/>
  <c r="BY19" i="10"/>
  <c r="BY13" i="10"/>
  <c r="BY148" i="10"/>
  <c r="BY80" i="10"/>
  <c r="BY99" i="10"/>
  <c r="BY79" i="10"/>
  <c r="BY74" i="10"/>
  <c r="BY131" i="10"/>
  <c r="BY139" i="10"/>
  <c r="BY130" i="10"/>
  <c r="BY171" i="10"/>
  <c r="BY30" i="10"/>
  <c r="BY26" i="10"/>
  <c r="BY142" i="10"/>
  <c r="BY126" i="10"/>
  <c r="BY81" i="10"/>
  <c r="BY144" i="10"/>
  <c r="BY27" i="10"/>
  <c r="O2" i="7"/>
  <c r="AU30" i="10" l="1"/>
  <c r="BC30" i="10" s="1"/>
  <c r="BD30" i="10" s="1"/>
  <c r="CH125" i="10"/>
  <c r="CH40" i="10"/>
  <c r="AU94" i="10"/>
  <c r="BC94" i="10" s="1"/>
  <c r="BD94" i="10" s="1"/>
  <c r="AU70" i="10"/>
  <c r="BC70" i="10" s="1"/>
  <c r="BD70" i="10" s="1"/>
  <c r="CH165" i="10"/>
  <c r="CH98" i="10"/>
  <c r="CH33" i="10"/>
  <c r="AU4" i="10"/>
  <c r="BC4" i="10" s="1"/>
  <c r="BD4" i="10" s="1"/>
  <c r="CH36" i="10"/>
  <c r="AU60" i="10"/>
  <c r="BC60" i="10" s="1"/>
  <c r="BD60" i="10" s="1"/>
  <c r="CH27" i="10"/>
  <c r="CH46" i="10"/>
  <c r="AU121" i="10"/>
  <c r="BC121" i="10" s="1"/>
  <c r="BD121" i="10" s="1"/>
  <c r="CH162" i="10"/>
  <c r="CH48" i="10"/>
  <c r="CH187" i="10"/>
  <c r="AU26" i="10"/>
  <c r="BC26" i="10" s="1"/>
  <c r="BD26" i="10" s="1"/>
  <c r="AU5" i="10"/>
  <c r="BC5" i="10" s="1"/>
  <c r="BD5" i="10" s="1"/>
  <c r="CH120" i="10"/>
  <c r="CH148" i="10"/>
  <c r="CH106" i="10"/>
  <c r="CH14" i="10"/>
  <c r="Q164" i="10"/>
  <c r="CH153" i="10"/>
  <c r="CH115" i="10"/>
  <c r="AU59" i="10"/>
  <c r="BC59" i="10" s="1"/>
  <c r="BD59" i="10" s="1"/>
  <c r="AU61" i="10"/>
  <c r="BC61" i="10" s="1"/>
  <c r="BD61" i="10" s="1"/>
  <c r="AU112" i="10"/>
  <c r="BC112" i="10" s="1"/>
  <c r="BD112" i="10" s="1"/>
  <c r="Q98" i="10"/>
  <c r="AU80" i="10"/>
  <c r="BC80" i="10" s="1"/>
  <c r="BD80" i="10" s="1"/>
  <c r="Q85" i="10"/>
  <c r="AU57" i="10"/>
  <c r="BC57" i="10" s="1"/>
  <c r="BD57" i="10" s="1"/>
  <c r="AU96" i="10"/>
  <c r="BC96" i="10" s="1"/>
  <c r="BD96" i="10" s="1"/>
  <c r="AU19" i="10"/>
  <c r="BC19" i="10" s="1"/>
  <c r="BD19" i="10" s="1"/>
  <c r="AU38" i="10"/>
  <c r="BC38" i="10" s="1"/>
  <c r="BD38" i="10" s="1"/>
  <c r="CH80" i="10"/>
  <c r="Q190" i="10"/>
  <c r="CH70" i="10"/>
  <c r="CH152" i="10"/>
  <c r="BR194" i="10"/>
  <c r="CH15" i="10"/>
  <c r="CH65" i="10"/>
  <c r="CH79" i="10"/>
  <c r="CH45" i="10"/>
  <c r="AU91" i="10"/>
  <c r="BC91" i="10" s="1"/>
  <c r="BD91" i="10" s="1"/>
  <c r="AU98" i="10"/>
  <c r="BC98" i="10" s="1"/>
  <c r="BD98" i="10" s="1"/>
  <c r="Q163" i="10"/>
  <c r="CH138" i="10"/>
  <c r="AU28" i="10"/>
  <c r="BC28" i="10" s="1"/>
  <c r="BD28" i="10" s="1"/>
  <c r="CH156" i="10"/>
  <c r="Q151" i="10"/>
  <c r="CH158" i="10"/>
  <c r="CH161" i="10"/>
  <c r="CH164" i="10"/>
  <c r="Q154" i="10"/>
  <c r="Q142" i="10"/>
  <c r="CH52" i="10"/>
  <c r="CH38" i="10"/>
  <c r="CH134" i="10"/>
  <c r="CH178" i="10"/>
  <c r="CH168" i="10"/>
  <c r="CH151" i="10"/>
  <c r="CH47" i="10"/>
  <c r="CH43" i="10"/>
  <c r="CH175" i="10"/>
  <c r="CH186" i="10"/>
  <c r="CH123" i="10"/>
  <c r="CH176" i="10"/>
  <c r="CH103" i="10"/>
  <c r="CH66" i="10"/>
  <c r="CH4" i="10"/>
  <c r="CH182" i="10"/>
  <c r="CH49" i="10"/>
  <c r="CH122" i="10"/>
  <c r="CH60" i="10"/>
  <c r="CH34" i="10"/>
  <c r="CH180" i="10"/>
  <c r="CH101" i="10"/>
  <c r="CH69" i="10"/>
  <c r="CH19" i="10"/>
  <c r="CH171" i="10"/>
  <c r="CH35" i="10"/>
  <c r="CH170" i="10"/>
  <c r="CH135" i="10"/>
  <c r="CH56" i="10"/>
  <c r="CH9" i="10"/>
  <c r="CH173" i="10"/>
  <c r="CH8" i="10"/>
  <c r="CH149" i="10"/>
  <c r="CH141" i="10"/>
  <c r="CH57" i="10"/>
  <c r="CH130" i="10"/>
  <c r="CH160" i="10"/>
  <c r="CH185" i="10"/>
  <c r="CH177" i="10"/>
  <c r="CH17" i="10"/>
  <c r="CH6" i="10"/>
  <c r="CH16" i="10"/>
  <c r="Q126" i="10"/>
  <c r="AU31" i="10"/>
  <c r="BC31" i="10" s="1"/>
  <c r="BD31" i="10" s="1"/>
  <c r="AU55" i="10"/>
  <c r="BC55" i="10" s="1"/>
  <c r="BD55" i="10" s="1"/>
  <c r="AU53" i="10"/>
  <c r="BC53" i="10" s="1"/>
  <c r="BD53" i="10" s="1"/>
  <c r="Q162" i="10"/>
  <c r="Q40" i="10"/>
  <c r="CH26" i="10"/>
  <c r="Q24" i="10"/>
  <c r="AU21" i="10"/>
  <c r="BC21" i="10" s="1"/>
  <c r="BD21" i="10" s="1"/>
  <c r="AU155" i="10"/>
  <c r="BC155" i="10" s="1"/>
  <c r="BD155" i="10" s="1"/>
  <c r="CH89" i="10"/>
  <c r="CH163" i="10"/>
  <c r="Q116" i="10"/>
  <c r="Q158" i="10"/>
  <c r="CH93" i="10"/>
  <c r="Q173" i="10"/>
  <c r="Q16" i="10"/>
  <c r="CH21" i="10"/>
  <c r="CH96" i="10"/>
  <c r="Q136" i="10"/>
  <c r="AU69" i="10"/>
  <c r="BC69" i="10" s="1"/>
  <c r="BD69" i="10" s="1"/>
  <c r="AU82" i="10"/>
  <c r="BC82" i="10" s="1"/>
  <c r="BD82" i="10" s="1"/>
  <c r="AU58" i="10"/>
  <c r="BC58" i="10" s="1"/>
  <c r="BD58" i="10" s="1"/>
  <c r="AU46" i="10"/>
  <c r="BC46" i="10" s="1"/>
  <c r="BD46" i="10" s="1"/>
  <c r="Q115" i="10"/>
  <c r="CH154" i="10"/>
  <c r="Q123" i="10"/>
  <c r="CH117" i="10"/>
  <c r="CH131" i="10"/>
  <c r="Q51" i="10"/>
  <c r="Q9" i="10"/>
  <c r="CH146" i="10"/>
  <c r="CH110" i="10"/>
  <c r="CH166" i="10"/>
  <c r="AU22" i="10"/>
  <c r="BC22" i="10" s="1"/>
  <c r="BD22" i="10" s="1"/>
  <c r="AU78" i="10"/>
  <c r="BC78" i="10" s="1"/>
  <c r="BD78" i="10" s="1"/>
  <c r="Q32" i="10"/>
  <c r="CH85" i="10"/>
  <c r="Q153" i="10"/>
  <c r="CH62" i="10"/>
  <c r="CH78" i="10"/>
  <c r="Q122" i="10"/>
  <c r="CH42" i="10"/>
  <c r="Q150" i="10"/>
  <c r="Q182" i="10"/>
  <c r="CH145" i="10"/>
  <c r="Q137" i="10"/>
  <c r="Q129" i="10"/>
  <c r="Q185" i="10"/>
  <c r="CH99" i="10"/>
  <c r="CH23" i="10"/>
  <c r="Q168" i="10"/>
  <c r="CH82" i="10"/>
  <c r="CH169" i="10"/>
  <c r="CH179" i="10"/>
  <c r="CH63" i="10"/>
  <c r="Q144" i="10"/>
  <c r="Q176" i="10"/>
  <c r="Q159" i="10"/>
  <c r="AU103" i="10"/>
  <c r="BC103" i="10" s="1"/>
  <c r="BD103" i="10" s="1"/>
  <c r="AU117" i="10"/>
  <c r="BC117" i="10" s="1"/>
  <c r="BD117" i="10" s="1"/>
  <c r="Q172" i="10"/>
  <c r="Q12" i="10"/>
  <c r="Q140" i="10"/>
  <c r="BR197" i="10"/>
  <c r="Q64" i="10"/>
  <c r="AU115" i="10"/>
  <c r="BC115" i="10" s="1"/>
  <c r="BD115" i="10" s="1"/>
  <c r="AU90" i="10"/>
  <c r="BC90" i="10" s="1"/>
  <c r="BD90" i="10" s="1"/>
  <c r="AU113" i="10"/>
  <c r="BC113" i="10" s="1"/>
  <c r="BD113" i="10" s="1"/>
  <c r="AU165" i="10"/>
  <c r="BC165" i="10" s="1"/>
  <c r="BD165" i="10" s="1"/>
  <c r="AU85" i="10"/>
  <c r="BC85" i="10" s="1"/>
  <c r="BD85" i="10" s="1"/>
  <c r="AU137" i="10"/>
  <c r="BC137" i="10" s="1"/>
  <c r="BD137" i="10" s="1"/>
  <c r="AU164" i="10"/>
  <c r="BC164" i="10" s="1"/>
  <c r="BD164" i="10" s="1"/>
  <c r="AU122" i="10"/>
  <c r="BC122" i="10" s="1"/>
  <c r="BD122" i="10" s="1"/>
  <c r="AU138" i="10"/>
  <c r="BC138" i="10" s="1"/>
  <c r="BD138" i="10" s="1"/>
  <c r="AU107" i="10"/>
  <c r="BC107" i="10" s="1"/>
  <c r="BD107" i="10" s="1"/>
  <c r="AU186" i="10"/>
  <c r="BC186" i="10" s="1"/>
  <c r="BD186" i="10" s="1"/>
  <c r="AU71" i="10"/>
  <c r="BC71" i="10" s="1"/>
  <c r="BD71" i="10" s="1"/>
  <c r="AU126" i="10"/>
  <c r="BC126" i="10" s="1"/>
  <c r="BD126" i="10" s="1"/>
  <c r="P198" i="10"/>
  <c r="CH139" i="10"/>
  <c r="Q34" i="10"/>
  <c r="Q107" i="10"/>
  <c r="CH44" i="10"/>
  <c r="CH11" i="10"/>
  <c r="AU77" i="10"/>
  <c r="BC77" i="10" s="1"/>
  <c r="BD77" i="10" s="1"/>
  <c r="AU134" i="10"/>
  <c r="BC134" i="10" s="1"/>
  <c r="BD134" i="10" s="1"/>
  <c r="AU187" i="10"/>
  <c r="BC187" i="10" s="1"/>
  <c r="BD187" i="10" s="1"/>
  <c r="Q181" i="10"/>
  <c r="Q78" i="10"/>
  <c r="Q191" i="10"/>
  <c r="Q146" i="10"/>
  <c r="Q72" i="10"/>
  <c r="AU73" i="10"/>
  <c r="BC73" i="10" s="1"/>
  <c r="BD73" i="10" s="1"/>
  <c r="AU6" i="10"/>
  <c r="BC6" i="10" s="1"/>
  <c r="BD6" i="10" s="1"/>
  <c r="AU66" i="10"/>
  <c r="BC66" i="10" s="1"/>
  <c r="BD66" i="10" s="1"/>
  <c r="AU139" i="10"/>
  <c r="BC139" i="10" s="1"/>
  <c r="BD139" i="10" s="1"/>
  <c r="AU48" i="10"/>
  <c r="BC48" i="10" s="1"/>
  <c r="BD48" i="10" s="1"/>
  <c r="AU99" i="10"/>
  <c r="BC99" i="10" s="1"/>
  <c r="BD99" i="10" s="1"/>
  <c r="AU124" i="10"/>
  <c r="BC124" i="10" s="1"/>
  <c r="BD124" i="10" s="1"/>
  <c r="AU148" i="10"/>
  <c r="BC148" i="10" s="1"/>
  <c r="BD148" i="10" s="1"/>
  <c r="AU34" i="10"/>
  <c r="BC34" i="10" s="1"/>
  <c r="BD34" i="10" s="1"/>
  <c r="AU97" i="10"/>
  <c r="BC97" i="10" s="1"/>
  <c r="BD97" i="10" s="1"/>
  <c r="AU79" i="10"/>
  <c r="BC79" i="10" s="1"/>
  <c r="BD79" i="10" s="1"/>
  <c r="AU169" i="10"/>
  <c r="BC169" i="10" s="1"/>
  <c r="BD169" i="10" s="1"/>
  <c r="AU72" i="10"/>
  <c r="BC72" i="10" s="1"/>
  <c r="BD72" i="10" s="1"/>
  <c r="Q29" i="10"/>
  <c r="BR199" i="10"/>
  <c r="CH137" i="10"/>
  <c r="Q102" i="10"/>
  <c r="Q18" i="10"/>
  <c r="BR198" i="10"/>
  <c r="Q47" i="10"/>
  <c r="Q177" i="10"/>
  <c r="Q113" i="10"/>
  <c r="CH77" i="10"/>
  <c r="CH184" i="10"/>
  <c r="Q174" i="10"/>
  <c r="Q143" i="10"/>
  <c r="P194" i="10"/>
  <c r="Q145" i="10"/>
  <c r="AU191" i="10"/>
  <c r="AU27" i="10"/>
  <c r="BC27" i="10" s="1"/>
  <c r="BD27" i="10" s="1"/>
  <c r="AU50" i="10"/>
  <c r="BC50" i="10" s="1"/>
  <c r="BD50" i="10" s="1"/>
  <c r="AU42" i="10"/>
  <c r="BC42" i="10" s="1"/>
  <c r="BD42" i="10" s="1"/>
  <c r="AU178" i="10"/>
  <c r="BC178" i="10" s="1"/>
  <c r="BD178" i="10" s="1"/>
  <c r="AU16" i="10"/>
  <c r="BC16" i="10" s="1"/>
  <c r="BD16" i="10" s="1"/>
  <c r="Q55" i="10"/>
  <c r="Q132" i="10"/>
  <c r="Q180" i="10"/>
  <c r="CH58" i="10"/>
  <c r="Q43" i="10"/>
  <c r="CH5" i="10"/>
  <c r="CH128" i="10"/>
  <c r="CG192" i="10"/>
  <c r="CH192" i="10"/>
  <c r="BY197" i="10"/>
  <c r="BY196" i="10"/>
  <c r="BY195" i="10"/>
  <c r="BY199" i="10"/>
  <c r="BY194" i="10"/>
  <c r="BY198" i="10"/>
  <c r="CH191" i="10"/>
  <c r="CG184" i="10"/>
  <c r="CG96" i="10"/>
  <c r="CG191" i="10"/>
  <c r="CG64" i="10"/>
  <c r="CG169" i="10"/>
  <c r="CG22" i="10"/>
  <c r="CG121" i="10"/>
  <c r="CG15" i="10"/>
  <c r="CG160" i="10"/>
  <c r="CG18" i="10"/>
  <c r="CG112" i="10"/>
  <c r="CG134" i="10"/>
  <c r="CG171" i="10"/>
  <c r="CG114" i="10"/>
  <c r="CG140" i="10"/>
  <c r="CG41" i="10"/>
  <c r="CG152" i="10"/>
  <c r="CG100" i="10"/>
  <c r="CG166" i="10"/>
  <c r="CG113" i="10"/>
  <c r="CG59" i="10"/>
  <c r="CG72" i="10"/>
  <c r="CG34" i="10"/>
  <c r="CG176" i="10"/>
  <c r="CG136" i="10"/>
  <c r="CG61" i="10"/>
  <c r="CG99" i="10"/>
  <c r="CG48" i="10"/>
  <c r="CG150" i="10"/>
  <c r="CG189" i="10"/>
  <c r="CG187" i="10"/>
  <c r="CG84" i="10"/>
  <c r="CG76" i="10"/>
  <c r="CG97" i="10"/>
  <c r="CG125" i="10"/>
  <c r="CG54" i="10"/>
  <c r="CG106" i="10"/>
  <c r="CG173" i="10"/>
  <c r="CG157" i="10"/>
  <c r="CG174" i="10"/>
  <c r="CG185" i="10"/>
  <c r="CG153" i="10"/>
  <c r="CG98" i="10"/>
  <c r="Q59" i="10"/>
  <c r="Q81" i="10"/>
  <c r="Q39" i="10"/>
  <c r="CG111" i="10"/>
  <c r="Q88" i="10"/>
  <c r="CG159" i="10"/>
  <c r="CG32" i="10"/>
  <c r="Q186" i="10"/>
  <c r="Q189" i="10"/>
  <c r="CH195" i="10"/>
  <c r="CG175" i="10"/>
  <c r="Q131" i="10"/>
  <c r="AU14" i="10"/>
  <c r="BC14" i="10" s="1"/>
  <c r="BD14" i="10" s="1"/>
  <c r="AU171" i="10"/>
  <c r="BC171" i="10" s="1"/>
  <c r="BD171" i="10" s="1"/>
  <c r="AU32" i="10"/>
  <c r="BC32" i="10" s="1"/>
  <c r="BD32" i="10" s="1"/>
  <c r="AU127" i="10"/>
  <c r="BC127" i="10" s="1"/>
  <c r="BD127" i="10" s="1"/>
  <c r="AU152" i="10"/>
  <c r="BC152" i="10" s="1"/>
  <c r="BD152" i="10" s="1"/>
  <c r="AU51" i="10"/>
  <c r="BC51" i="10" s="1"/>
  <c r="BD51" i="10" s="1"/>
  <c r="AU160" i="10"/>
  <c r="BC160" i="10" s="1"/>
  <c r="BD160" i="10" s="1"/>
  <c r="AU173" i="10"/>
  <c r="BC173" i="10" s="1"/>
  <c r="BD173" i="10" s="1"/>
  <c r="Q165" i="10"/>
  <c r="Q5" i="10"/>
  <c r="Q61" i="10"/>
  <c r="Q19" i="10"/>
  <c r="CG52" i="10"/>
  <c r="Q83" i="10"/>
  <c r="Q70" i="10"/>
  <c r="Q167" i="10"/>
  <c r="Q95" i="10"/>
  <c r="Q38" i="10"/>
  <c r="Q94" i="10"/>
  <c r="CG182" i="10"/>
  <c r="CG155" i="10"/>
  <c r="CG122" i="10"/>
  <c r="Q188" i="10"/>
  <c r="CG102" i="10"/>
  <c r="Q60" i="10"/>
  <c r="CG139" i="10"/>
  <c r="CG90" i="10"/>
  <c r="CG86" i="10"/>
  <c r="CG39" i="10"/>
  <c r="CG11" i="10"/>
  <c r="CG164" i="10"/>
  <c r="CG148" i="10"/>
  <c r="CH102" i="10"/>
  <c r="BR195" i="10"/>
  <c r="CH71" i="10"/>
  <c r="AU142" i="10"/>
  <c r="BC142" i="10" s="1"/>
  <c r="BD142" i="10" s="1"/>
  <c r="CG151" i="10"/>
  <c r="Q28" i="10"/>
  <c r="CG163" i="10"/>
  <c r="AU162" i="10"/>
  <c r="BC162" i="10" s="1"/>
  <c r="BD162" i="10" s="1"/>
  <c r="Q49" i="10"/>
  <c r="CG91" i="10"/>
  <c r="Q86" i="10"/>
  <c r="Q184" i="10"/>
  <c r="CG20" i="10"/>
  <c r="CG190" i="10"/>
  <c r="CH32" i="10"/>
  <c r="CG89" i="10"/>
  <c r="CH196" i="10"/>
  <c r="Q65" i="10"/>
  <c r="Q100" i="10"/>
  <c r="CG83" i="10"/>
  <c r="CG53" i="10"/>
  <c r="Q156" i="10"/>
  <c r="CH174" i="10"/>
  <c r="CH157" i="10"/>
  <c r="CH159" i="10"/>
  <c r="AU182" i="10"/>
  <c r="BC182" i="10" s="1"/>
  <c r="BD182" i="10" s="1"/>
  <c r="AU29" i="10"/>
  <c r="BC29" i="10" s="1"/>
  <c r="BD29" i="10" s="1"/>
  <c r="AU161" i="10"/>
  <c r="BC161" i="10" s="1"/>
  <c r="BD161" i="10" s="1"/>
  <c r="AU8" i="10"/>
  <c r="BC8" i="10" s="1"/>
  <c r="BD8" i="10" s="1"/>
  <c r="AU89" i="10"/>
  <c r="BC89" i="10" s="1"/>
  <c r="BD89" i="10" s="1"/>
  <c r="AU62" i="10"/>
  <c r="BC62" i="10" s="1"/>
  <c r="BD62" i="10" s="1"/>
  <c r="AU93" i="10"/>
  <c r="BC93" i="10" s="1"/>
  <c r="BD93" i="10" s="1"/>
  <c r="AU153" i="10"/>
  <c r="BC153" i="10" s="1"/>
  <c r="BD153" i="10" s="1"/>
  <c r="AU9" i="10"/>
  <c r="BC9" i="10" s="1"/>
  <c r="BD9" i="10" s="1"/>
  <c r="AU33" i="10"/>
  <c r="BC33" i="10" s="1"/>
  <c r="BD33" i="10" s="1"/>
  <c r="AU11" i="10"/>
  <c r="BC11" i="10" s="1"/>
  <c r="BD11" i="10" s="1"/>
  <c r="AU47" i="10"/>
  <c r="BC47" i="10" s="1"/>
  <c r="BD47" i="10" s="1"/>
  <c r="AU181" i="10"/>
  <c r="BC181" i="10" s="1"/>
  <c r="BD181" i="10" s="1"/>
  <c r="AU64" i="10"/>
  <c r="BC64" i="10" s="1"/>
  <c r="BD64" i="10" s="1"/>
  <c r="Q6" i="10"/>
  <c r="P196" i="10"/>
  <c r="Q67" i="10"/>
  <c r="Q26" i="10"/>
  <c r="CG46" i="10"/>
  <c r="Q101" i="10"/>
  <c r="CG115" i="10"/>
  <c r="CG129" i="10"/>
  <c r="Q21" i="10"/>
  <c r="CG12" i="10"/>
  <c r="CF197" i="10"/>
  <c r="CG126" i="10"/>
  <c r="CG108" i="10"/>
  <c r="CG92" i="10"/>
  <c r="CG165" i="10"/>
  <c r="CG109" i="10"/>
  <c r="CG68" i="10"/>
  <c r="CG49" i="10"/>
  <c r="Q120" i="10"/>
  <c r="CG28" i="10"/>
  <c r="CG6" i="10"/>
  <c r="CG188" i="10"/>
  <c r="CG25" i="10"/>
  <c r="Q15" i="10"/>
  <c r="BR196" i="10"/>
  <c r="CH143" i="10"/>
  <c r="CH167" i="10"/>
  <c r="CH142" i="10"/>
  <c r="CH39" i="10"/>
  <c r="CH18" i="10"/>
  <c r="Q36" i="10"/>
  <c r="AU25" i="10"/>
  <c r="BC25" i="10" s="1"/>
  <c r="BD25" i="10" s="1"/>
  <c r="Q175" i="10"/>
  <c r="CG55" i="10"/>
  <c r="CG135" i="10"/>
  <c r="CG10" i="10"/>
  <c r="CG13" i="10"/>
  <c r="Q187" i="10"/>
  <c r="AU45" i="10"/>
  <c r="BC45" i="10" s="1"/>
  <c r="BD45" i="10" s="1"/>
  <c r="AU132" i="10"/>
  <c r="BC132" i="10" s="1"/>
  <c r="BD132" i="10" s="1"/>
  <c r="AU144" i="10"/>
  <c r="BC144" i="10" s="1"/>
  <c r="BD144" i="10" s="1"/>
  <c r="AU43" i="10"/>
  <c r="BC43" i="10" s="1"/>
  <c r="BD43" i="10" s="1"/>
  <c r="AU74" i="10"/>
  <c r="BC74" i="10" s="1"/>
  <c r="BD74" i="10" s="1"/>
  <c r="Q69" i="10"/>
  <c r="Q30" i="10"/>
  <c r="Q56" i="10"/>
  <c r="Q183" i="10"/>
  <c r="Q77" i="10"/>
  <c r="Q135" i="10"/>
  <c r="Q117" i="10"/>
  <c r="CG167" i="10"/>
  <c r="CH7" i="10"/>
  <c r="CG119" i="10"/>
  <c r="AU130" i="10"/>
  <c r="BC130" i="10" s="1"/>
  <c r="BD130" i="10" s="1"/>
  <c r="AU174" i="10"/>
  <c r="BC174" i="10" s="1"/>
  <c r="BD174" i="10" s="1"/>
  <c r="AU189" i="10"/>
  <c r="BC189" i="10" s="1"/>
  <c r="BD189" i="10" s="1"/>
  <c r="AU146" i="10"/>
  <c r="BC146" i="10" s="1"/>
  <c r="BD146" i="10" s="1"/>
  <c r="Q50" i="10"/>
  <c r="CG130" i="10"/>
  <c r="Q92" i="10"/>
  <c r="CF196" i="10"/>
  <c r="CG21" i="10"/>
  <c r="Q106" i="10"/>
  <c r="CH199" i="10"/>
  <c r="Q42" i="10"/>
  <c r="CH55" i="10"/>
  <c r="CH22" i="10"/>
  <c r="Q76" i="10"/>
  <c r="Q148" i="10"/>
  <c r="Q82" i="10"/>
  <c r="CG16" i="10"/>
  <c r="CG19" i="10"/>
  <c r="CG77" i="10"/>
  <c r="AU37" i="10"/>
  <c r="BC37" i="10" s="1"/>
  <c r="BD37" i="10" s="1"/>
  <c r="AU136" i="10"/>
  <c r="BC136" i="10" s="1"/>
  <c r="BD136" i="10" s="1"/>
  <c r="AU95" i="10"/>
  <c r="BC95" i="10" s="1"/>
  <c r="BD95" i="10" s="1"/>
  <c r="AU40" i="10"/>
  <c r="BC40" i="10" s="1"/>
  <c r="BD40" i="10" s="1"/>
  <c r="CG103" i="10"/>
  <c r="Q127" i="10"/>
  <c r="CG138" i="10"/>
  <c r="Q48" i="10"/>
  <c r="Q62" i="10"/>
  <c r="Q20" i="10"/>
  <c r="CG67" i="10"/>
  <c r="CG95" i="10"/>
  <c r="AU100" i="10"/>
  <c r="BC100" i="10" s="1"/>
  <c r="BD100" i="10" s="1"/>
  <c r="AU188" i="10"/>
  <c r="BC188" i="10" s="1"/>
  <c r="BD188" i="10" s="1"/>
  <c r="AU168" i="10"/>
  <c r="BC168" i="10" s="1"/>
  <c r="BD168" i="10" s="1"/>
  <c r="Q108" i="10"/>
  <c r="CH198" i="10"/>
  <c r="CG158" i="10"/>
  <c r="CG137" i="10"/>
  <c r="CG42" i="10"/>
  <c r="CG65" i="10"/>
  <c r="CH150" i="10"/>
  <c r="Q118" i="10"/>
  <c r="CH190" i="10"/>
  <c r="AU123" i="10"/>
  <c r="BC123" i="10" s="1"/>
  <c r="BD123" i="10" s="1"/>
  <c r="Q27" i="10"/>
  <c r="Q11" i="10"/>
  <c r="CG178" i="10"/>
  <c r="CG183" i="10"/>
  <c r="CG60" i="10"/>
  <c r="Q91" i="10"/>
  <c r="Q63" i="10"/>
  <c r="CH133" i="10"/>
  <c r="CF199" i="10"/>
  <c r="CG70" i="10"/>
  <c r="CG142" i="10"/>
  <c r="Q75" i="10"/>
  <c r="AU35" i="10"/>
  <c r="BC35" i="10" s="1"/>
  <c r="BD35" i="10" s="1"/>
  <c r="AU110" i="10"/>
  <c r="BC110" i="10" s="1"/>
  <c r="BD110" i="10" s="1"/>
  <c r="AU154" i="10"/>
  <c r="BC154" i="10" s="1"/>
  <c r="BD154" i="10" s="1"/>
  <c r="AU185" i="10"/>
  <c r="BC185" i="10" s="1"/>
  <c r="BD185" i="10" s="1"/>
  <c r="Q112" i="10"/>
  <c r="CG118" i="10"/>
  <c r="Q155" i="10"/>
  <c r="CG123" i="10"/>
  <c r="Q31" i="10"/>
  <c r="CG162" i="10"/>
  <c r="CG29" i="10"/>
  <c r="CH136" i="10"/>
  <c r="P199" i="10"/>
  <c r="Q13" i="10"/>
  <c r="Q109" i="10"/>
  <c r="Q192" i="10"/>
  <c r="Q139" i="10"/>
  <c r="Q138" i="10"/>
  <c r="Q23" i="10"/>
  <c r="Q128" i="10"/>
  <c r="CG105" i="10"/>
  <c r="Q166" i="10"/>
  <c r="CG80" i="10"/>
  <c r="CG30" i="10"/>
  <c r="Q96" i="10"/>
  <c r="CG145" i="10"/>
  <c r="CG87" i="10"/>
  <c r="CG168" i="10"/>
  <c r="CG5" i="10"/>
  <c r="Q171" i="10"/>
  <c r="CH126" i="10"/>
  <c r="CH51" i="10"/>
  <c r="CH197" i="10"/>
  <c r="CG57" i="10"/>
  <c r="CG40" i="10"/>
  <c r="CG62" i="10"/>
  <c r="CG147" i="10"/>
  <c r="CG27" i="10"/>
  <c r="Q93" i="10"/>
  <c r="CH181" i="10"/>
  <c r="CH189" i="10"/>
  <c r="CH144" i="10"/>
  <c r="AU143" i="10"/>
  <c r="BC143" i="10" s="1"/>
  <c r="BD143" i="10" s="1"/>
  <c r="AU7" i="10"/>
  <c r="BC7" i="10" s="1"/>
  <c r="BD7" i="10" s="1"/>
  <c r="AU84" i="10"/>
  <c r="BC84" i="10" s="1"/>
  <c r="BD84" i="10" s="1"/>
  <c r="AU147" i="10"/>
  <c r="BC147" i="10" s="1"/>
  <c r="BD147" i="10" s="1"/>
  <c r="AU116" i="10"/>
  <c r="BC116" i="10" s="1"/>
  <c r="BD116" i="10" s="1"/>
  <c r="Q169" i="10"/>
  <c r="Q141" i="10"/>
  <c r="Q52" i="10"/>
  <c r="CG177" i="10"/>
  <c r="CG9" i="10"/>
  <c r="CF195" i="10"/>
  <c r="CG117" i="10"/>
  <c r="Q74" i="10"/>
  <c r="CG33" i="10"/>
  <c r="Q71" i="10"/>
  <c r="CF198" i="10"/>
  <c r="CG110" i="10"/>
  <c r="Q41" i="10"/>
  <c r="CH72" i="10"/>
  <c r="CH94" i="10"/>
  <c r="CH10" i="10"/>
  <c r="CH147" i="10"/>
  <c r="AU67" i="10"/>
  <c r="BC67" i="10" s="1"/>
  <c r="BD67" i="10" s="1"/>
  <c r="P195" i="10"/>
  <c r="Q110" i="10"/>
  <c r="CG94" i="10"/>
  <c r="Q35" i="10"/>
  <c r="CG186" i="10"/>
  <c r="Q99" i="10"/>
  <c r="CG81" i="10"/>
  <c r="P197" i="10"/>
  <c r="Q105" i="10"/>
  <c r="CG56" i="10"/>
  <c r="Q178" i="10"/>
  <c r="AU102" i="10"/>
  <c r="BC102" i="10" s="1"/>
  <c r="BD102" i="10" s="1"/>
  <c r="AU12" i="10"/>
  <c r="BC12" i="10" s="1"/>
  <c r="BD12" i="10" s="1"/>
  <c r="AU151" i="10"/>
  <c r="BC151" i="10" s="1"/>
  <c r="BD151" i="10" s="1"/>
  <c r="AU88" i="10"/>
  <c r="BC88" i="10" s="1"/>
  <c r="BD88" i="10" s="1"/>
  <c r="AU190" i="10"/>
  <c r="BC190" i="10" s="1"/>
  <c r="BD190" i="10" s="1"/>
  <c r="AU120" i="10"/>
  <c r="BC120" i="10" s="1"/>
  <c r="BD120" i="10" s="1"/>
  <c r="AU175" i="10"/>
  <c r="BC175" i="10" s="1"/>
  <c r="BD175" i="10" s="1"/>
  <c r="AU176" i="10"/>
  <c r="BC176" i="10" s="1"/>
  <c r="BD176" i="10" s="1"/>
  <c r="AU158" i="10"/>
  <c r="BC158" i="10" s="1"/>
  <c r="BD158" i="10" s="1"/>
  <c r="AU18" i="10"/>
  <c r="BC18" i="10" s="1"/>
  <c r="BD18" i="10" s="1"/>
  <c r="AU135" i="10"/>
  <c r="BC135" i="10" s="1"/>
  <c r="BD135" i="10" s="1"/>
  <c r="AU179" i="10"/>
  <c r="BC179" i="10" s="1"/>
  <c r="BD179" i="10" s="1"/>
  <c r="AU49" i="10"/>
  <c r="BC49" i="10" s="1"/>
  <c r="BD49" i="10" s="1"/>
  <c r="Q90" i="10"/>
  <c r="Q134" i="10"/>
  <c r="CF194" i="10"/>
  <c r="CG172" i="10"/>
  <c r="CG75" i="10"/>
  <c r="AU111" i="10"/>
  <c r="BC111" i="10" s="1"/>
  <c r="BD111" i="10" s="1"/>
  <c r="AU17" i="10"/>
  <c r="BC17" i="10" s="1"/>
  <c r="BD17" i="10" s="1"/>
  <c r="AU166" i="10"/>
  <c r="BC166" i="10" s="1"/>
  <c r="BD166" i="10" s="1"/>
  <c r="AU170" i="10"/>
  <c r="BC170" i="10" s="1"/>
  <c r="BD170" i="10" s="1"/>
  <c r="AU87" i="10"/>
  <c r="BC87" i="10" s="1"/>
  <c r="BD87" i="10" s="1"/>
  <c r="AU180" i="10"/>
  <c r="BC180" i="10" s="1"/>
  <c r="BD180" i="10" s="1"/>
  <c r="AU20" i="10"/>
  <c r="BC20" i="10" s="1"/>
  <c r="BD20" i="10" s="1"/>
  <c r="AU41" i="10"/>
  <c r="BC41" i="10" s="1"/>
  <c r="BD41" i="10" s="1"/>
  <c r="AU109" i="10"/>
  <c r="BC109" i="10" s="1"/>
  <c r="BD109" i="10" s="1"/>
  <c r="AU128" i="10"/>
  <c r="BC128" i="10" s="1"/>
  <c r="BD128" i="10" s="1"/>
  <c r="AU163" i="10"/>
  <c r="BC163" i="10" s="1"/>
  <c r="BD163" i="10" s="1"/>
  <c r="AU125" i="10"/>
  <c r="BC125" i="10" s="1"/>
  <c r="BD125" i="10" s="1"/>
  <c r="AU10" i="10"/>
  <c r="BC10" i="10" s="1"/>
  <c r="BD10" i="10" s="1"/>
  <c r="AU106" i="10"/>
  <c r="BC106" i="10" s="1"/>
  <c r="BD106" i="10" s="1"/>
  <c r="AU157" i="10"/>
  <c r="BC157" i="10" s="1"/>
  <c r="BD157" i="10" s="1"/>
  <c r="AU39" i="10"/>
  <c r="BC39" i="10" s="1"/>
  <c r="BD39" i="10" s="1"/>
  <c r="Q89" i="10"/>
  <c r="Q147" i="10"/>
  <c r="Q103" i="10"/>
  <c r="Q114" i="10"/>
  <c r="Q57" i="10"/>
  <c r="Q73" i="10"/>
  <c r="CG161" i="10"/>
  <c r="CG127" i="10"/>
  <c r="Q80" i="10"/>
  <c r="CG88" i="10"/>
  <c r="CG47" i="10"/>
  <c r="CG50" i="10"/>
  <c r="CG8" i="10"/>
  <c r="CG107" i="10"/>
  <c r="CG4" i="10"/>
  <c r="Q14" i="10"/>
  <c r="Q97" i="10"/>
  <c r="AU104" i="10"/>
  <c r="BC104" i="10" s="1"/>
  <c r="BD104" i="10" s="1"/>
  <c r="AU184" i="10"/>
  <c r="BC184" i="10" s="1"/>
  <c r="BD184" i="10" s="1"/>
  <c r="AU177" i="10"/>
  <c r="BC177" i="10" s="1"/>
  <c r="BD177" i="10" s="1"/>
  <c r="AU52" i="10"/>
  <c r="BC52" i="10" s="1"/>
  <c r="BD52" i="10" s="1"/>
  <c r="AU167" i="10"/>
  <c r="BC167" i="10" s="1"/>
  <c r="BD167" i="10" s="1"/>
  <c r="AU65" i="10"/>
  <c r="BC65" i="10" s="1"/>
  <c r="BD65" i="10" s="1"/>
  <c r="AU114" i="10"/>
  <c r="BC114" i="10" s="1"/>
  <c r="BD114" i="10" s="1"/>
  <c r="AU131" i="10"/>
  <c r="BC131" i="10" s="1"/>
  <c r="BD131" i="10" s="1"/>
  <c r="AU23" i="10"/>
  <c r="BC23" i="10" s="1"/>
  <c r="BD23" i="10" s="1"/>
  <c r="AU140" i="10"/>
  <c r="BC140" i="10" s="1"/>
  <c r="BD140" i="10" s="1"/>
  <c r="AU24" i="10"/>
  <c r="BC24" i="10" s="1"/>
  <c r="BD24" i="10" s="1"/>
  <c r="Q124" i="10"/>
  <c r="Q7" i="10"/>
  <c r="CG104" i="10"/>
  <c r="CG146" i="10"/>
  <c r="CG179" i="10"/>
  <c r="Q22" i="10"/>
  <c r="CG26" i="10"/>
  <c r="CG71" i="10"/>
  <c r="CG23" i="10"/>
  <c r="CG156" i="10"/>
  <c r="CG79" i="10"/>
  <c r="AU105" i="10"/>
  <c r="BC105" i="10" s="1"/>
  <c r="BD105" i="10" s="1"/>
  <c r="AU133" i="10"/>
  <c r="BC133" i="10" s="1"/>
  <c r="BD133" i="10" s="1"/>
  <c r="AU150" i="10"/>
  <c r="BC150" i="10" s="1"/>
  <c r="BD150" i="10" s="1"/>
  <c r="AU68" i="10"/>
  <c r="BC68" i="10" s="1"/>
  <c r="BD68" i="10" s="1"/>
  <c r="AU156" i="10"/>
  <c r="BC156" i="10" s="1"/>
  <c r="BD156" i="10" s="1"/>
  <c r="AU149" i="10"/>
  <c r="BC149" i="10" s="1"/>
  <c r="BD149" i="10" s="1"/>
  <c r="AU15" i="10"/>
  <c r="BC15" i="10" s="1"/>
  <c r="BD15" i="10" s="1"/>
  <c r="AU81" i="10"/>
  <c r="BC81" i="10" s="1"/>
  <c r="BD81" i="10" s="1"/>
  <c r="AU119" i="10"/>
  <c r="BC119" i="10" s="1"/>
  <c r="BD119" i="10" s="1"/>
  <c r="AU145" i="10"/>
  <c r="BC145" i="10" s="1"/>
  <c r="BD145" i="10" s="1"/>
  <c r="AU172" i="10"/>
  <c r="BC172" i="10" s="1"/>
  <c r="BD172" i="10" s="1"/>
  <c r="AU101" i="10"/>
  <c r="BC101" i="10" s="1"/>
  <c r="BD101" i="10" s="1"/>
  <c r="AU118" i="10"/>
  <c r="BC118" i="10" s="1"/>
  <c r="BD118" i="10" s="1"/>
  <c r="AU13" i="10"/>
  <c r="BC13" i="10" s="1"/>
  <c r="BD13" i="10" s="1"/>
  <c r="Q53" i="10"/>
  <c r="Q152" i="10"/>
  <c r="Q161" i="10"/>
  <c r="Q33" i="10"/>
  <c r="Q111" i="10"/>
  <c r="CG44" i="10"/>
  <c r="Q4" i="10"/>
  <c r="CG37" i="10"/>
  <c r="CG143" i="10"/>
  <c r="CG149" i="10"/>
  <c r="Q87" i="10"/>
  <c r="CG31" i="10"/>
  <c r="CG144" i="10"/>
  <c r="CG36" i="10"/>
  <c r="CH194" i="10"/>
  <c r="CG14" i="10"/>
  <c r="CG93" i="10"/>
  <c r="CG73" i="10"/>
  <c r="CG116" i="10"/>
  <c r="Q149" i="10"/>
  <c r="CG43" i="10"/>
  <c r="CG35" i="10"/>
  <c r="CG85" i="10"/>
  <c r="Q133" i="10"/>
  <c r="Q54" i="10"/>
  <c r="CH188" i="10"/>
  <c r="CH129" i="10"/>
  <c r="Q121" i="10"/>
  <c r="Q119" i="10"/>
  <c r="Q58" i="10"/>
  <c r="Q44" i="10"/>
  <c r="Q25" i="10"/>
  <c r="Q46" i="10"/>
  <c r="CG82" i="10"/>
  <c r="CG181" i="10"/>
  <c r="Q10" i="10"/>
  <c r="Q125" i="10"/>
  <c r="Q66" i="10"/>
  <c r="CG66" i="10"/>
  <c r="CG38" i="10"/>
  <c r="CG78" i="10"/>
  <c r="CG133" i="10"/>
  <c r="CG74" i="10"/>
  <c r="CG180" i="10"/>
  <c r="CG45" i="10"/>
  <c r="CG51" i="10"/>
  <c r="Q68" i="10"/>
  <c r="Q79" i="10"/>
  <c r="Q17" i="10"/>
  <c r="CG154" i="10"/>
  <c r="Q8" i="10"/>
  <c r="CG17" i="10"/>
  <c r="CG131" i="10"/>
  <c r="CH61" i="10"/>
  <c r="AU86" i="10"/>
  <c r="BC86" i="10" s="1"/>
  <c r="BD86" i="10" s="1"/>
  <c r="AU44" i="10"/>
  <c r="BC44" i="10" s="1"/>
  <c r="BD44" i="10" s="1"/>
  <c r="AU75" i="10"/>
  <c r="BC75" i="10" s="1"/>
  <c r="BD75" i="10" s="1"/>
  <c r="AU141" i="10"/>
  <c r="BC141" i="10" s="1"/>
  <c r="BD141" i="10" s="1"/>
  <c r="AU56" i="10"/>
  <c r="BC56" i="10" s="1"/>
  <c r="BD56" i="10" s="1"/>
  <c r="AU76" i="10"/>
  <c r="BC76" i="10" s="1"/>
  <c r="BD76" i="10" s="1"/>
  <c r="AU129" i="10"/>
  <c r="BC129" i="10" s="1"/>
  <c r="BD129" i="10" s="1"/>
  <c r="AU159" i="10"/>
  <c r="BC159" i="10" s="1"/>
  <c r="BD159" i="10" s="1"/>
  <c r="AU63" i="10"/>
  <c r="BC63" i="10" s="1"/>
  <c r="BD63" i="10" s="1"/>
  <c r="AU54" i="10"/>
  <c r="BC54" i="10" s="1"/>
  <c r="BD54" i="10" s="1"/>
  <c r="AU108" i="10"/>
  <c r="BC108" i="10" s="1"/>
  <c r="BD108" i="10" s="1"/>
  <c r="AU83" i="10"/>
  <c r="BC83" i="10" s="1"/>
  <c r="BD83" i="10" s="1"/>
  <c r="AU183" i="10"/>
  <c r="BC183" i="10" s="1"/>
  <c r="BD183" i="10" s="1"/>
  <c r="AU36" i="10"/>
  <c r="BC36" i="10" s="1"/>
  <c r="BD36" i="10" s="1"/>
  <c r="AU92" i="10"/>
  <c r="BC92" i="10" s="1"/>
  <c r="BD92" i="10" s="1"/>
  <c r="Q37" i="10"/>
  <c r="Q170" i="10"/>
  <c r="Q104" i="10"/>
  <c r="CG170" i="10"/>
  <c r="Q157" i="10"/>
  <c r="Q45" i="10"/>
  <c r="CG69" i="10"/>
  <c r="CG132" i="10"/>
  <c r="CG63" i="10"/>
  <c r="CG120" i="10"/>
  <c r="Q84" i="10"/>
  <c r="CG141" i="10"/>
  <c r="CG24" i="10"/>
  <c r="CG128" i="10"/>
  <c r="CG7" i="10"/>
  <c r="CG101" i="10"/>
  <c r="CG58" i="10"/>
  <c r="Q160" i="10"/>
  <c r="Q130" i="10"/>
  <c r="CG124" i="10"/>
  <c r="Q179" i="10"/>
  <c r="CH140" i="10"/>
  <c r="CH183" i="10"/>
  <c r="CH76" i="10"/>
  <c r="CH109" i="10"/>
  <c r="CH108" i="10"/>
  <c r="CH13" i="10"/>
  <c r="G2" i="7"/>
  <c r="CI48" i="10" l="1"/>
  <c r="CI100" i="10"/>
  <c r="CI24" i="10"/>
  <c r="CI129" i="10"/>
  <c r="CI7" i="10"/>
  <c r="CI81" i="10"/>
  <c r="CI72" i="10"/>
  <c r="CI136" i="10"/>
  <c r="CI143" i="10"/>
  <c r="CI160" i="10"/>
  <c r="CI34" i="10"/>
  <c r="CI190" i="10"/>
  <c r="CI110" i="10"/>
  <c r="CI60" i="10"/>
  <c r="CI65" i="10"/>
  <c r="CI189" i="10"/>
  <c r="CI139" i="10"/>
  <c r="CI92" i="10"/>
  <c r="CI109" i="10"/>
  <c r="CI19" i="10"/>
  <c r="CI76" i="10"/>
  <c r="CI180" i="10"/>
  <c r="CI83" i="10"/>
  <c r="CI188" i="10"/>
  <c r="CI105" i="10"/>
  <c r="CI124" i="10"/>
  <c r="CI173" i="10"/>
  <c r="CI63" i="10"/>
  <c r="CI87" i="10"/>
  <c r="CI70" i="10"/>
  <c r="CI146" i="10"/>
  <c r="CI132" i="10"/>
  <c r="CI22" i="10"/>
  <c r="CI125" i="10"/>
  <c r="CI4" i="10"/>
  <c r="CI165" i="10"/>
  <c r="CI112" i="10"/>
  <c r="CI144" i="10"/>
  <c r="CI49" i="10"/>
  <c r="CI5" i="10"/>
  <c r="CI90" i="10"/>
  <c r="CI86" i="10"/>
  <c r="CI154" i="10"/>
  <c r="CI67" i="10"/>
  <c r="CI147" i="10"/>
  <c r="CI58" i="10"/>
  <c r="CI142" i="10"/>
  <c r="CI62" i="10"/>
  <c r="CI107" i="10"/>
  <c r="CI141" i="10"/>
  <c r="CI71" i="10"/>
  <c r="CI94" i="10"/>
  <c r="CI59" i="10"/>
  <c r="CI159" i="10"/>
  <c r="CI148" i="10"/>
  <c r="CI172" i="10"/>
  <c r="CI121" i="10"/>
  <c r="CI64" i="10"/>
  <c r="CI130" i="10"/>
  <c r="CI131" i="10"/>
  <c r="CI101" i="10"/>
  <c r="CI6" i="10"/>
  <c r="CI84" i="10"/>
  <c r="CI39" i="10"/>
  <c r="CI91" i="10"/>
  <c r="CI169" i="10"/>
  <c r="CI97" i="10"/>
  <c r="CI40" i="10"/>
  <c r="CI116" i="10"/>
  <c r="CI66" i="10"/>
  <c r="CI134" i="10"/>
  <c r="CI155" i="10"/>
  <c r="CI54" i="10"/>
  <c r="CI176" i="10"/>
  <c r="CI46" i="10"/>
  <c r="CI18" i="10"/>
  <c r="CI14" i="10"/>
  <c r="CI185" i="10"/>
  <c r="CI111" i="10"/>
  <c r="CI99" i="10"/>
  <c r="CI35" i="10"/>
  <c r="CI47" i="10"/>
  <c r="CI182" i="10"/>
  <c r="CI149" i="10"/>
  <c r="CI119" i="10"/>
  <c r="CI31" i="10"/>
  <c r="CI106" i="10"/>
  <c r="CI179" i="10"/>
  <c r="CI9" i="10"/>
  <c r="CI102" i="10"/>
  <c r="CI170" i="10"/>
  <c r="CI120" i="10"/>
  <c r="CI186" i="10"/>
  <c r="CI168" i="10"/>
  <c r="CI138" i="10"/>
  <c r="CI117" i="10"/>
  <c r="CI187" i="10"/>
  <c r="CI164" i="10"/>
  <c r="CI68" i="10"/>
  <c r="CI156" i="10"/>
  <c r="CI43" i="10"/>
  <c r="CI32" i="10"/>
  <c r="CI77" i="10"/>
  <c r="CI104" i="10"/>
  <c r="CI55" i="10"/>
  <c r="CI113" i="10"/>
  <c r="CI30" i="10"/>
  <c r="CI52" i="10"/>
  <c r="CI98" i="10"/>
  <c r="CI50" i="10"/>
  <c r="CI96" i="10"/>
  <c r="CI37" i="10"/>
  <c r="CI80" i="10"/>
  <c r="CI21" i="10"/>
  <c r="CI137" i="10"/>
  <c r="CI20" i="10"/>
  <c r="CI10" i="10"/>
  <c r="CI17" i="10"/>
  <c r="CI15" i="10"/>
  <c r="CI73" i="10"/>
  <c r="CI161" i="10"/>
  <c r="CI23" i="10"/>
  <c r="CI74" i="10"/>
  <c r="CI41" i="10"/>
  <c r="CI183" i="10"/>
  <c r="CI75" i="10"/>
  <c r="CI25" i="10"/>
  <c r="CI122" i="10"/>
  <c r="CI151" i="10"/>
  <c r="CI11" i="10"/>
  <c r="CI123" i="10"/>
  <c r="CI51" i="10"/>
  <c r="CI95" i="10"/>
  <c r="CI12" i="10"/>
  <c r="CI145" i="10"/>
  <c r="CI38" i="10"/>
  <c r="CI27" i="10"/>
  <c r="CI89" i="10"/>
  <c r="CI157" i="10"/>
  <c r="CI108" i="10"/>
  <c r="CI53" i="10"/>
  <c r="CI42" i="10"/>
  <c r="CI69" i="10"/>
  <c r="CI135" i="10"/>
  <c r="CI181" i="10"/>
  <c r="CI133" i="10"/>
  <c r="CI167" i="10"/>
  <c r="CI171" i="10"/>
  <c r="CI163" i="10"/>
  <c r="CI93" i="10"/>
  <c r="CI57" i="10"/>
  <c r="CI79" i="10"/>
  <c r="CI28" i="10"/>
  <c r="CI174" i="10"/>
  <c r="CI16" i="10"/>
  <c r="CI192" i="10"/>
  <c r="CI118" i="10"/>
  <c r="CI56" i="10"/>
  <c r="CI29" i="10"/>
  <c r="CI61" i="10"/>
  <c r="CI150" i="10"/>
  <c r="CI162" i="10"/>
  <c r="CI85" i="10"/>
  <c r="CI177" i="10"/>
  <c r="CI82" i="10"/>
  <c r="CI178" i="10"/>
  <c r="CI26" i="10"/>
  <c r="CI45" i="10"/>
  <c r="CI127" i="10"/>
  <c r="CI166" i="10"/>
  <c r="CI153" i="10"/>
  <c r="CI128" i="10"/>
  <c r="CI175" i="10"/>
  <c r="CI158" i="10"/>
  <c r="CI140" i="10"/>
  <c r="CI126" i="10"/>
  <c r="CI103" i="10"/>
  <c r="CI88" i="10"/>
  <c r="CI33" i="10"/>
  <c r="CI191" i="10"/>
  <c r="CI13" i="10"/>
  <c r="CI8" i="10"/>
  <c r="CI44" i="10"/>
  <c r="CI114" i="10"/>
  <c r="CI152" i="10"/>
  <c r="CI78" i="10"/>
  <c r="CI184" i="10"/>
  <c r="CI115" i="10"/>
  <c r="CI36"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X1" authorId="0" shapeId="0" xr:uid="{00000000-0006-0000-0000-000001000000}">
      <text>
        <r>
          <rPr>
            <b/>
            <sz val="9"/>
            <rFont val="宋体"/>
            <family val="3"/>
            <charset val="134"/>
          </rPr>
          <t>hp:</t>
        </r>
        <r>
          <rPr>
            <sz val="9"/>
            <rFont val="宋体"/>
            <family val="3"/>
            <charset val="134"/>
          </rPr>
          <t xml:space="preserve">
单一最大客户贷款余额/资本净额，监管上限10%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hp</author>
    <author>魏梦谯</author>
    <author>王梓合</author>
  </authors>
  <commentList>
    <comment ref="BL2" authorId="0" shapeId="0" xr:uid="{00000000-0006-0000-0200-000001000000}">
      <text>
        <r>
          <rPr>
            <b/>
            <sz val="9"/>
            <rFont val="宋体"/>
            <family val="3"/>
            <charset val="134"/>
          </rPr>
          <t>hp:</t>
        </r>
        <r>
          <rPr>
            <sz val="9"/>
            <rFont val="宋体"/>
            <family val="3"/>
            <charset val="134"/>
          </rPr>
          <t xml:space="preserve">
单一最大客户贷款余额/资本净额，监管上限10%</t>
        </r>
      </text>
    </comment>
    <comment ref="BL91" authorId="0" shapeId="0" xr:uid="{00000000-0006-0000-0200-000002000000}">
      <text>
        <r>
          <rPr>
            <b/>
            <sz val="9"/>
            <rFont val="宋体"/>
            <family val="3"/>
            <charset val="134"/>
          </rPr>
          <t>hp:</t>
        </r>
        <r>
          <rPr>
            <sz val="9"/>
            <rFont val="宋体"/>
            <family val="3"/>
            <charset val="134"/>
          </rPr>
          <t xml:space="preserve">
特殊：经银监会批准对中国铁路总公司的授信</t>
        </r>
      </text>
    </comment>
    <comment ref="BH97" authorId="1" shapeId="0" xr:uid="{00000000-0006-0000-0200-000003000000}">
      <text>
        <r>
          <rPr>
            <b/>
            <sz val="9"/>
            <rFont val="宋体"/>
            <family val="3"/>
            <charset val="134"/>
          </rPr>
          <t>魏梦谯:</t>
        </r>
        <r>
          <rPr>
            <sz val="9"/>
            <rFont val="宋体"/>
            <family val="3"/>
            <charset val="134"/>
          </rPr>
          <t xml:space="preserve">
实控人：杭州市财政局</t>
        </r>
      </text>
    </comment>
    <comment ref="AW111" authorId="2" shapeId="0" xr:uid="{00000000-0006-0000-0200-000004000000}">
      <text>
        <r>
          <rPr>
            <b/>
            <sz val="9"/>
            <rFont val="宋体"/>
            <family val="3"/>
            <charset val="134"/>
          </rPr>
          <t>王梓合:</t>
        </r>
        <r>
          <rPr>
            <sz val="9"/>
            <rFont val="宋体"/>
            <family val="3"/>
            <charset val="134"/>
          </rPr>
          <t xml:space="preserve">
前十大客户贷款占比44.45%，其中较多投向房地产业</t>
        </r>
      </text>
    </comment>
    <comment ref="AX111" authorId="2" shapeId="0" xr:uid="{00000000-0006-0000-0200-000005000000}">
      <text>
        <r>
          <rPr>
            <b/>
            <sz val="9"/>
            <rFont val="宋体"/>
            <family val="3"/>
            <charset val="134"/>
          </rPr>
          <t>王梓合:</t>
        </r>
        <r>
          <rPr>
            <sz val="9"/>
            <rFont val="宋体"/>
            <family val="3"/>
            <charset val="134"/>
          </rPr>
          <t xml:space="preserve">
信托和资产管理计划合计 118.40 亿元，占比9.64%。该行有 3 笔信
托及资管项目划分为不良，余额合计 3.42 亿元，共计提减值准备 1.03 亿元，划分为关注类的信托及资管计划投资增至 4 笔，金额合计 3.52 亿元，共计提减值准备 1.08 亿元。</t>
        </r>
      </text>
    </comment>
    <comment ref="BH111" authorId="1" shapeId="0" xr:uid="{00000000-0006-0000-0200-000006000000}">
      <text>
        <r>
          <rPr>
            <b/>
            <sz val="9"/>
            <rFont val="宋体"/>
            <family val="3"/>
            <charset val="134"/>
          </rPr>
          <t>魏梦谯:</t>
        </r>
        <r>
          <rPr>
            <sz val="9"/>
            <rFont val="宋体"/>
            <family val="3"/>
            <charset val="134"/>
          </rPr>
          <t xml:space="preserve">
明天系</t>
        </r>
      </text>
    </comment>
    <comment ref="AW132" authorId="2" shapeId="0" xr:uid="{00000000-0006-0000-0200-000007000000}">
      <text>
        <r>
          <rPr>
            <b/>
            <sz val="9"/>
            <rFont val="宋体"/>
            <family val="3"/>
            <charset val="134"/>
          </rPr>
          <t>王梓合:</t>
        </r>
        <r>
          <rPr>
            <sz val="9"/>
            <rFont val="宋体"/>
            <family val="3"/>
            <charset val="134"/>
          </rPr>
          <t xml:space="preserve">
前十大客户集中度50.57%，集中在制造业、租赁和商业服务业</t>
        </r>
      </text>
    </comment>
    <comment ref="AX132" authorId="2" shapeId="0" xr:uid="{00000000-0006-0000-0200-000008000000}">
      <text>
        <r>
          <rPr>
            <b/>
            <sz val="9"/>
            <rFont val="宋体"/>
            <family val="3"/>
            <charset val="134"/>
          </rPr>
          <t>王梓合:</t>
        </r>
        <r>
          <rPr>
            <sz val="9"/>
            <rFont val="宋体"/>
            <family val="3"/>
            <charset val="134"/>
          </rPr>
          <t xml:space="preserve">
资产管理计划占比33.84%</t>
        </r>
      </text>
    </comment>
    <comment ref="AW135" authorId="2" shapeId="0" xr:uid="{00000000-0006-0000-0200-000009000000}">
      <text>
        <r>
          <rPr>
            <b/>
            <sz val="9"/>
            <rFont val="宋体"/>
            <family val="3"/>
            <charset val="134"/>
          </rPr>
          <t>王梓合:</t>
        </r>
        <r>
          <rPr>
            <sz val="9"/>
            <rFont val="宋体"/>
            <family val="3"/>
            <charset val="134"/>
          </rPr>
          <t xml:space="preserve">
2018-2020年关注类贷款占比2.32%、2.46%、1.94%</t>
        </r>
      </text>
    </comment>
    <comment ref="AX135" authorId="2" shapeId="0" xr:uid="{00000000-0006-0000-0200-00000A000000}">
      <text>
        <r>
          <rPr>
            <b/>
            <sz val="9"/>
            <rFont val="宋体"/>
            <family val="3"/>
            <charset val="134"/>
          </rPr>
          <t>王梓合:</t>
        </r>
        <r>
          <rPr>
            <sz val="9"/>
            <rFont val="宋体"/>
            <family val="3"/>
            <charset val="134"/>
          </rPr>
          <t xml:space="preserve">
非标占比20%，其中信托7.22%，资管计划13.46%</t>
        </r>
      </text>
    </comment>
    <comment ref="AW141" authorId="2" shapeId="0" xr:uid="{00000000-0006-0000-0200-00000B000000}">
      <text>
        <r>
          <rPr>
            <b/>
            <sz val="9"/>
            <rFont val="宋体"/>
            <family val="3"/>
            <charset val="134"/>
          </rPr>
          <t>王梓合:</t>
        </r>
        <r>
          <rPr>
            <sz val="9"/>
            <rFont val="宋体"/>
            <family val="3"/>
            <charset val="134"/>
          </rPr>
          <t xml:space="preserve">
个人业务少，大额贷款客户以大中型房地产企业为主，截至 2020 年末，该行最大单一客户贷款和最大十家客户贷款合计占资本净额的比重分别为8.96%和 54.03%。
</t>
        </r>
      </text>
    </comment>
    <comment ref="AX141" authorId="2" shapeId="0" xr:uid="{00000000-0006-0000-0200-00000C000000}">
      <text>
        <r>
          <rPr>
            <b/>
            <sz val="9"/>
            <rFont val="宋体"/>
            <family val="3"/>
            <charset val="134"/>
          </rPr>
          <t>王梓合:</t>
        </r>
        <r>
          <rPr>
            <sz val="9"/>
            <rFont val="宋体"/>
            <family val="3"/>
            <charset val="134"/>
          </rPr>
          <t xml:space="preserve">
证券投资资产中安全性较高的国债、政策性金融债、地方政府债和 AAA级金融机构债合计占比 94.37%；AA+级及以上企业债占比 4.03%，发行方主要为国有企业。截至 2020年末，该行同业及投资资产五级分类均为正常类。
</t>
        </r>
      </text>
    </comment>
    <comment ref="AW142" authorId="2" shapeId="0" xr:uid="{00000000-0006-0000-0200-00000D000000}">
      <text>
        <r>
          <rPr>
            <b/>
            <sz val="9"/>
            <rFont val="宋体"/>
            <family val="3"/>
            <charset val="134"/>
          </rPr>
          <t>王梓合:</t>
        </r>
        <r>
          <rPr>
            <sz val="9"/>
            <rFont val="宋体"/>
            <family val="3"/>
            <charset val="134"/>
          </rPr>
          <t xml:space="preserve">
关注类贷款占比8.78%</t>
        </r>
      </text>
    </comment>
    <comment ref="AX142" authorId="2" shapeId="0" xr:uid="{00000000-0006-0000-0200-00000E000000}">
      <text>
        <r>
          <rPr>
            <b/>
            <sz val="9"/>
            <rFont val="宋体"/>
            <family val="3"/>
            <charset val="134"/>
          </rPr>
          <t>王梓合:</t>
        </r>
        <r>
          <rPr>
            <sz val="9"/>
            <rFont val="宋体"/>
            <family val="3"/>
            <charset val="134"/>
          </rPr>
          <t xml:space="preserve">
信托和资管占比20%左右，底层资产主要投向房地产、基建和热力等行业</t>
        </r>
      </text>
    </comment>
    <comment ref="BH144" authorId="0" shapeId="0" xr:uid="{00000000-0006-0000-0200-00000F000000}">
      <text>
        <r>
          <rPr>
            <b/>
            <sz val="9"/>
            <rFont val="宋体"/>
            <family val="3"/>
            <charset val="134"/>
          </rPr>
          <t>hp:</t>
        </r>
        <r>
          <rPr>
            <sz val="9"/>
            <rFont val="宋体"/>
            <family val="3"/>
            <charset val="134"/>
          </rPr>
          <t xml:space="preserve">
恒大已注资</t>
        </r>
      </text>
    </comment>
    <comment ref="BH147" authorId="1" shapeId="0" xr:uid="{00000000-0006-0000-0200-000010000000}">
      <text>
        <r>
          <rPr>
            <b/>
            <sz val="9"/>
            <rFont val="宋体"/>
            <family val="3"/>
            <charset val="134"/>
          </rPr>
          <t>魏梦谯:</t>
        </r>
        <r>
          <rPr>
            <sz val="9"/>
            <rFont val="宋体"/>
            <family val="3"/>
            <charset val="134"/>
          </rPr>
          <t xml:space="preserve">
第二大股东：包商银行</t>
        </r>
      </text>
    </comment>
    <comment ref="AW154" authorId="2" shapeId="0" xr:uid="{00000000-0006-0000-0200-000011000000}">
      <text>
        <r>
          <rPr>
            <b/>
            <sz val="9"/>
            <rFont val="宋体"/>
            <family val="3"/>
            <charset val="134"/>
          </rPr>
          <t>王梓合:</t>
        </r>
        <r>
          <rPr>
            <sz val="9"/>
            <rFont val="宋体"/>
            <family val="3"/>
            <charset val="134"/>
          </rPr>
          <t xml:space="preserve">
前十大客户贷款占比29.47%，其中有一家关注类，贷款余额17.97亿</t>
        </r>
      </text>
    </comment>
    <comment ref="AX154" authorId="2" shapeId="0" xr:uid="{00000000-0006-0000-0200-000012000000}">
      <text>
        <r>
          <rPr>
            <b/>
            <sz val="9"/>
            <rFont val="宋体"/>
            <family val="3"/>
            <charset val="134"/>
          </rPr>
          <t>王梓合:</t>
        </r>
        <r>
          <rPr>
            <sz val="9"/>
            <rFont val="宋体"/>
            <family val="3"/>
            <charset val="134"/>
          </rPr>
          <t xml:space="preserve">
信托和资管计划合计占比27%，规模较大</t>
        </r>
      </text>
    </comment>
    <comment ref="AW161" authorId="2" shapeId="0" xr:uid="{00000000-0006-0000-0200-000013000000}">
      <text>
        <r>
          <rPr>
            <b/>
            <sz val="9"/>
            <rFont val="宋体"/>
            <family val="3"/>
            <charset val="134"/>
          </rPr>
          <t>王梓合:</t>
        </r>
        <r>
          <rPr>
            <sz val="9"/>
            <rFont val="宋体"/>
            <family val="3"/>
            <charset val="134"/>
          </rPr>
          <t xml:space="preserve">
2018-2020年关注类贷款占比分别为4.99%、4.91%、2.08%。</t>
        </r>
      </text>
    </comment>
    <comment ref="AX161" authorId="2" shapeId="0" xr:uid="{00000000-0006-0000-0200-000014000000}">
      <text>
        <r>
          <rPr>
            <b/>
            <sz val="9"/>
            <rFont val="宋体"/>
            <family val="3"/>
            <charset val="134"/>
          </rPr>
          <t>王梓合:</t>
        </r>
        <r>
          <rPr>
            <sz val="9"/>
            <rFont val="宋体"/>
            <family val="3"/>
            <charset val="134"/>
          </rPr>
          <t xml:space="preserve">
信托计划占比41.52%，占比很高，底层资产主要投向政府类项目、房地产、基础设施建设以及产业基金等项目</t>
        </r>
      </text>
    </comment>
    <comment ref="BH163" authorId="1" shapeId="0" xr:uid="{00000000-0006-0000-0200-000015000000}">
      <text>
        <r>
          <rPr>
            <b/>
            <sz val="9"/>
            <rFont val="宋体"/>
            <family val="3"/>
            <charset val="134"/>
          </rPr>
          <t>魏梦谯：明天系</t>
        </r>
      </text>
    </comment>
    <comment ref="BH172" authorId="1" shapeId="0" xr:uid="{00000000-0006-0000-0200-000016000000}">
      <text>
        <r>
          <rPr>
            <b/>
            <sz val="9"/>
            <rFont val="宋体"/>
            <family val="3"/>
            <charset val="134"/>
          </rPr>
          <t>魏梦谯:</t>
        </r>
        <r>
          <rPr>
            <sz val="9"/>
            <rFont val="宋体"/>
            <family val="3"/>
            <charset val="134"/>
          </rPr>
          <t xml:space="preserve">
基于长城和信达注资</t>
        </r>
      </text>
    </comment>
  </commentList>
</comments>
</file>

<file path=xl/sharedStrings.xml><?xml version="1.0" encoding="utf-8"?>
<sst xmlns="http://schemas.openxmlformats.org/spreadsheetml/2006/main" count="3846" uniqueCount="1677">
  <si>
    <t>20211231</t>
  </si>
  <si>
    <t>简称</t>
  </si>
  <si>
    <t>是否有额度</t>
  </si>
  <si>
    <t>最新外评</t>
  </si>
  <si>
    <t>原内评</t>
  </si>
  <si>
    <t>金融债或存单市场表现对应内评(优先金融债，无存续金融债则取存单表现）</t>
  </si>
  <si>
    <t>新内评</t>
  </si>
  <si>
    <t>简评</t>
  </si>
  <si>
    <t>现金/存款</t>
  </si>
  <si>
    <t>贷款资产质量</t>
  </si>
  <si>
    <t>非信贷资产质量</t>
  </si>
  <si>
    <t>定量指标</t>
  </si>
  <si>
    <t>地产+建筑贷款/总贷款</t>
  </si>
  <si>
    <t>对公活期存款/总存款</t>
  </si>
  <si>
    <t>同业资金/总负债</t>
  </si>
  <si>
    <t>对公活期存款+同业资金/总负债</t>
  </si>
  <si>
    <t>定量打分</t>
  </si>
  <si>
    <t>定性指标</t>
  </si>
  <si>
    <t>定性打分</t>
  </si>
  <si>
    <t>总计分</t>
  </si>
  <si>
    <t>模型评级</t>
  </si>
  <si>
    <t>外部支持</t>
  </si>
  <si>
    <t>其他调整</t>
  </si>
  <si>
    <t>备注</t>
  </si>
  <si>
    <t>业务运营</t>
  </si>
  <si>
    <t>集中度</t>
  </si>
  <si>
    <t>证券代码</t>
  </si>
  <si>
    <t>发行人中文名称</t>
  </si>
  <si>
    <t>不良资产处置（核销+转让+现金清收+证券化+抵债等方式）</t>
  </si>
  <si>
    <t>不良生成率</t>
  </si>
  <si>
    <t>不良+关注</t>
  </si>
  <si>
    <t>关注类占比</t>
  </si>
  <si>
    <t>二阶段占比</t>
  </si>
  <si>
    <t>三阶段占比</t>
  </si>
  <si>
    <t>非标/总资产</t>
  </si>
  <si>
    <t>非标逾期占比</t>
  </si>
  <si>
    <t>二阶段/(金融投资+特殊报表科目）</t>
  </si>
  <si>
    <t>三阶段/(金融投资+特殊报表科目）</t>
  </si>
  <si>
    <t>三阶段减值准备/三阶段</t>
  </si>
  <si>
    <t>资产规模</t>
  </si>
  <si>
    <t>吸收存款</t>
  </si>
  <si>
    <t>不良贷款率</t>
  </si>
  <si>
    <t>拨备覆盖率</t>
  </si>
  <si>
    <t>资本充足率</t>
  </si>
  <si>
    <t>核心一级资本充足率</t>
  </si>
  <si>
    <t>ROE(3年移动平均）</t>
  </si>
  <si>
    <t>不良率</t>
  </si>
  <si>
    <t>区域环境及增长潜力</t>
  </si>
  <si>
    <t>信贷资产五级分类偏离度</t>
  </si>
  <si>
    <t>定性总分</t>
  </si>
  <si>
    <t>第一大股东</t>
  </si>
  <si>
    <t>第一大股东持股比例</t>
  </si>
  <si>
    <t>所在省</t>
  </si>
  <si>
    <t>所在地</t>
  </si>
  <si>
    <t>单一最大贷客户款占资本净额比例</t>
  </si>
  <si>
    <t>最大十家客户贷款占资本净额比例</t>
  </si>
  <si>
    <t>生息资产收益率</t>
  </si>
  <si>
    <t>计息负债平均成本</t>
  </si>
  <si>
    <t>参数行，勿删</t>
  </si>
  <si>
    <t>公式行，勿删</t>
  </si>
  <si>
    <t>强</t>
  </si>
  <si>
    <t>较低</t>
  </si>
  <si>
    <t>好</t>
  </si>
  <si>
    <t>112196816.IB</t>
  </si>
  <si>
    <t>西藏银行股份有限公司</t>
  </si>
  <si>
    <t>西藏银行</t>
  </si>
  <si>
    <t>AA+</t>
  </si>
  <si>
    <t/>
  </si>
  <si>
    <t>差</t>
  </si>
  <si>
    <t>低</t>
  </si>
  <si>
    <t>交通银行股份有限公司</t>
  </si>
  <si>
    <t>全国</t>
  </si>
  <si>
    <t>-</t>
  </si>
  <si>
    <t>111885082.IB</t>
  </si>
  <si>
    <t>大连农村商业银行股份有限公司</t>
  </si>
  <si>
    <t>大连农商行</t>
  </si>
  <si>
    <t>AA-</t>
  </si>
  <si>
    <t>大连德泰控股有限公司</t>
  </si>
  <si>
    <t>辽宁</t>
  </si>
  <si>
    <t>大连市</t>
  </si>
  <si>
    <t>111770095</t>
  </si>
  <si>
    <t>龙江银行股份有限公司</t>
  </si>
  <si>
    <t>龙江银行</t>
  </si>
  <si>
    <t>B</t>
  </si>
  <si>
    <t>黑龙江省大正投资集团有限责任公司</t>
  </si>
  <si>
    <t>黑龙江</t>
  </si>
  <si>
    <t>哈尔滨市</t>
  </si>
  <si>
    <t>1621056.IB</t>
  </si>
  <si>
    <t>江苏南通农村商业银行股份有限公司</t>
  </si>
  <si>
    <t>江苏南通农商行</t>
  </si>
  <si>
    <t>AA</t>
  </si>
  <si>
    <t>江苏资产管理有限公司</t>
  </si>
  <si>
    <t>江苏</t>
  </si>
  <si>
    <t>南通市</t>
  </si>
  <si>
    <t>111982271.IB</t>
  </si>
  <si>
    <t>南昌农村商业银行股份有限公司</t>
  </si>
  <si>
    <t>南昌农商银行</t>
  </si>
  <si>
    <t>江西省铁路航空投资集团有限公司</t>
  </si>
  <si>
    <t>江西</t>
  </si>
  <si>
    <t>南昌市</t>
  </si>
  <si>
    <t>1520029.IB</t>
  </si>
  <si>
    <t>莱商银行股份有限公司</t>
  </si>
  <si>
    <t>莱商银行</t>
  </si>
  <si>
    <t>B+</t>
  </si>
  <si>
    <t>山东高速集团有限公司</t>
  </si>
  <si>
    <t>山东</t>
  </si>
  <si>
    <t>济南市</t>
  </si>
  <si>
    <t>1821007.IB</t>
  </si>
  <si>
    <t>浙江临海农村商业银行股份有限公司</t>
  </si>
  <si>
    <t>浙江临海农商行</t>
  </si>
  <si>
    <t>浙江临亚股份有限公司</t>
  </si>
  <si>
    <t>浙江</t>
  </si>
  <si>
    <t>台州市</t>
  </si>
  <si>
    <t>111990034.IB</t>
  </si>
  <si>
    <t>宁波余姚农村商业银行股份有限公司</t>
  </si>
  <si>
    <t>宁波余姚农商行</t>
  </si>
  <si>
    <t>BB</t>
  </si>
  <si>
    <t>宁波更大集团有限公司</t>
  </si>
  <si>
    <t>宁波市</t>
  </si>
  <si>
    <t>111985972.IB</t>
  </si>
  <si>
    <t>111994503.IB</t>
  </si>
  <si>
    <t>浙江乐清农村商业银行股份有限公司</t>
  </si>
  <si>
    <t>浙江乐清农商行</t>
  </si>
  <si>
    <t>上海上丰集团有限公司</t>
  </si>
  <si>
    <t>乐清市</t>
  </si>
  <si>
    <t>111870245.IB</t>
  </si>
  <si>
    <t>鄂尔多斯银行股份有限公司</t>
  </si>
  <si>
    <t>鄂尔多斯银行</t>
  </si>
  <si>
    <t>鄂尔多斯市转型发展投资有限责任公司</t>
  </si>
  <si>
    <t>鄂尔多斯市</t>
  </si>
  <si>
    <t>1821045.IB</t>
  </si>
  <si>
    <t>浙江德清农村商业银行股份有限公司</t>
  </si>
  <si>
    <t>浙江德清农商行</t>
  </si>
  <si>
    <t>华盛达控股集团有限公司</t>
  </si>
  <si>
    <t>湖州市</t>
  </si>
  <si>
    <t>111770097</t>
  </si>
  <si>
    <t>厦门农村商业银行股份有限公司</t>
  </si>
  <si>
    <t>厦门农村商业银行</t>
  </si>
  <si>
    <t>有普通</t>
  </si>
  <si>
    <t>BB+</t>
  </si>
  <si>
    <t>主要观点： 1、 该行前身为为厦门市农村信用合作社，2011年股改引入了4家厦门市国企作为股东，主要股东包括厦门象屿（持股8.01%）、厦门港务（6.96%）等，股权较为分散，无实际控制人。该行在厦门地区存、贷款市场份额分别为8.02%、4.89%，排名第6和第9，具有一定的区域影响力。 2、 该行主要业务分部包括公司银行业务、零售银行业务和资金业务三大板块。公司银行业务主要服务小微企业，零售银行以个人经营贷款为主，受区域经济环境影响较大。2018-21Q3，该行加权平均ROE分别为12.49%、12.34%、8.31%、8.22%（年化），在同业中属于较低水平，净息差下行和坏账增加导致ROE降幅较大。 3、 2018-20年，客户存款/总负债分别为71.0%、82.3%和86.3%，该行吸收存款能力强，流动性风险较低。 主要关注： 1、 该行股权较为分散，无实际控制人，第5-8大股东股权质押比率较高。该行对关联方授信较多，截至21Q3，全部关联方授信余额54.2亿，占资本净额的47%。不过关联方授信以厦门当地国企为主，整体风险可控。 2、 贷款以小微企业和个人经营贷为主，受区域整体经济环境影响大，20年以来坏账有所增加，需关注后续资产质量情况。 3、 20年末，该行非标规模约86.6亿，占证券投资总额的22.1%，占比高于同业，且每年都有2-3亿的减值计提情况，后续仍面临一定的规模压降和减值压力。</t>
  </si>
  <si>
    <t>中</t>
  </si>
  <si>
    <t>内控-1</t>
  </si>
  <si>
    <t>厦门象屿资产管理运营有限公司</t>
  </si>
  <si>
    <t>福建</t>
  </si>
  <si>
    <t>厦门市</t>
  </si>
  <si>
    <t>111983740.IB</t>
  </si>
  <si>
    <t>临商银行股份有限公司</t>
  </si>
  <si>
    <t>临商银行</t>
  </si>
  <si>
    <t>临沂市财政局</t>
  </si>
  <si>
    <t xml:space="preserve">山东 </t>
  </si>
  <si>
    <t>临沂市</t>
  </si>
  <si>
    <t>111981054.IB</t>
  </si>
  <si>
    <t>邯郸银行股份有限公司</t>
  </si>
  <si>
    <t>邯郸银行</t>
  </si>
  <si>
    <t>河北新武安钢铁集团东山冶金有限公司</t>
  </si>
  <si>
    <t>河北</t>
  </si>
  <si>
    <t>邯郸市</t>
  </si>
  <si>
    <t>1721036.IB</t>
  </si>
  <si>
    <t>浙江东阳农村商业银行股份有限公司</t>
  </si>
  <si>
    <t>浙江东阳农商行</t>
  </si>
  <si>
    <t>高</t>
  </si>
  <si>
    <t>东阳市金融控股有限公司</t>
  </si>
  <si>
    <t>金华市</t>
  </si>
  <si>
    <t>111771353</t>
  </si>
  <si>
    <t>宁波鄞州农村商业银行股份有限公司</t>
  </si>
  <si>
    <t>宁波鄞州农村商业银行</t>
  </si>
  <si>
    <t>有次级+普通</t>
  </si>
  <si>
    <t>主要观点： 1. 该行业务主要集中在宁波市内，当地活跃的经济环境为该行提供了良好的外部发展环境。 2. 该行为全国首家农村合作银行，对宁波鄞州区城乡范围全面覆盖, 本部的存款和贷款规模在鄞州区的市场份额为12.81%和9.08%，在区内分别排名第二和第三。 3. 该行存款稳定性较好。负债端，该行吸收存款1592.79亿，是最主要的负债来源，占比81.83%，其中定期存款占总存款的70.4%，同业负债占比11.38%。 主要关注： 1.该行近年净息差处于同业较低水平。2019-2021年该行净息差分别为2.72%、2.43%、2.35%，生息资产平均收益率约为4.76%（其中近三年贷款平均收益率分别为6.6%、6.7%、6.9%）负债平均利率2.6%（主要系21年该行同业资产和投资资产规模扩张导致成本增加），略高于同业；近3年该行ROE为13.35%、11.14%、10.64%。 2.该行21年不良资产生成率2.05% 处于同业较高位置。考虑到该行整体市场较为下沉，在今年宏观背景下资产质量仍有下行压力（尚未考虑账面有85亿展期/借新还旧贷款），需持续关注未来消化不良资产对其利润和资本的侵蚀。 3. 新并表的村镇银行不良较高。21年该行桂林村行增资扩股后对其进行并表管理，并出资1亿元剥离其不良资产，致使并表村镇银行不良贷款余额大幅上升至15.82亿元（较20年末+9.42亿元），该行下属村镇银行24家，合计投资5.1亿元，处于江浙农商行中高水平 ，目前处于关注类需关注村镇银行的风险暴露情况。 4. 随着业务扩张资本，充足率呈下降态势。近3年该行资本充足率分别为17.32%/16.24%/15.72%，持续下行，但距离监管红线仍较高，且该行21年和22年均发行了15亿元永续债补充资本。</t>
  </si>
  <si>
    <t>内控负面-1</t>
  </si>
  <si>
    <t>宁波华龙投资建设开发有限公司</t>
  </si>
  <si>
    <t>111996374.IB</t>
  </si>
  <si>
    <t>江苏启东农村商业银行股份有限公司</t>
  </si>
  <si>
    <t>江苏启东农商行</t>
  </si>
  <si>
    <t>江苏苏州农村商业银行股份有限公司</t>
  </si>
  <si>
    <t>111883440.IB</t>
  </si>
  <si>
    <t>吉林银行股份有限公司</t>
  </si>
  <si>
    <t>吉林银行</t>
  </si>
  <si>
    <t>AAA</t>
  </si>
  <si>
    <t>BB-</t>
  </si>
  <si>
    <t>韩国韩亚银行股份有限公司</t>
  </si>
  <si>
    <t>吉林</t>
  </si>
  <si>
    <t>长春市</t>
  </si>
  <si>
    <t>1720087.IB</t>
  </si>
  <si>
    <t>烟台银行股份有限公司</t>
  </si>
  <si>
    <t>烟台银行</t>
  </si>
  <si>
    <t>南山集团有限公司</t>
  </si>
  <si>
    <t>烟台市</t>
  </si>
  <si>
    <t>111871545.IB</t>
  </si>
  <si>
    <t>泰安银行股份有限公司</t>
  </si>
  <si>
    <t>泰安银行</t>
  </si>
  <si>
    <t>泰安泰山控股有限公司</t>
  </si>
  <si>
    <t>泰安市</t>
  </si>
  <si>
    <t>111870278.IB</t>
  </si>
  <si>
    <t>济宁银行股份有限公司</t>
  </si>
  <si>
    <t>济宁银行</t>
  </si>
  <si>
    <t>济宁市财政局</t>
  </si>
  <si>
    <t>济宁市</t>
  </si>
  <si>
    <t>111871275.IB</t>
  </si>
  <si>
    <t>东营银行股份有限公司</t>
  </si>
  <si>
    <t>东营银行</t>
  </si>
  <si>
    <t>东营市财政局</t>
  </si>
  <si>
    <t>东营市</t>
  </si>
  <si>
    <t>2221036.IB</t>
  </si>
  <si>
    <t>江苏江阴农村商业银行股份有限公司</t>
  </si>
  <si>
    <t>江苏江阴农商行</t>
  </si>
  <si>
    <t>BBB-</t>
  </si>
  <si>
    <t>111771467</t>
  </si>
  <si>
    <t>贵州银行股份有限公司</t>
  </si>
  <si>
    <t>贵州银行</t>
  </si>
  <si>
    <t>贵州省财政厅</t>
  </si>
  <si>
    <t>贵州</t>
  </si>
  <si>
    <t>贵阳市</t>
  </si>
  <si>
    <t>111984541.IB</t>
  </si>
  <si>
    <t>浙江杭州余杭农村商业银行股份有限公司</t>
  </si>
  <si>
    <t>浙江杭州余杭农商行</t>
  </si>
  <si>
    <t>杭州杰丰服装有限公司</t>
  </si>
  <si>
    <t>杭州市</t>
  </si>
  <si>
    <t>111780028</t>
  </si>
  <si>
    <t>温州银行股份有限公司</t>
  </si>
  <si>
    <t>温州银行</t>
  </si>
  <si>
    <t>温州市国有金融资本管理有限公司</t>
  </si>
  <si>
    <t>温州市</t>
  </si>
  <si>
    <t>112174958.IB</t>
  </si>
  <si>
    <t>长安银行股份有限公司</t>
  </si>
  <si>
    <t>长安银行</t>
  </si>
  <si>
    <t>资产扩张快，大力发展消金，但逾期率迅速上升；自身对陕西的城投和地产都有较大敞口，资产质量偏差；核心一级资本不足</t>
  </si>
  <si>
    <t>较高</t>
  </si>
  <si>
    <t>腐败及内控负面-1</t>
  </si>
  <si>
    <t>陕西煤业化工集团有限责任公司</t>
  </si>
  <si>
    <t>111984490.IB</t>
  </si>
  <si>
    <t>安徽马鞍山农村商业银行股份有限公司</t>
  </si>
  <si>
    <t>马鞍山行</t>
  </si>
  <si>
    <t>盛世达投资有限公司</t>
  </si>
  <si>
    <t>安徽</t>
  </si>
  <si>
    <t>马鞍山市</t>
  </si>
  <si>
    <t>111771551</t>
  </si>
  <si>
    <t>天津滨海农村商业银行股份有限公司</t>
  </si>
  <si>
    <t>天津滨海农商行</t>
  </si>
  <si>
    <t>天津能源投资集团有限公司</t>
  </si>
  <si>
    <t>天津</t>
  </si>
  <si>
    <t>天津市</t>
  </si>
  <si>
    <t>111980243.IB</t>
  </si>
  <si>
    <t>深圳前海微众银行股份有限公司</t>
  </si>
  <si>
    <t>深圳前海微众银行</t>
  </si>
  <si>
    <t>BBB+</t>
  </si>
  <si>
    <t>小额分散标杆银行</t>
  </si>
  <si>
    <t>信息披露，存贷比偏高</t>
  </si>
  <si>
    <t>深圳市腾讯网域计算机网络有限公司</t>
  </si>
  <si>
    <t>深圳</t>
  </si>
  <si>
    <t>深圳市</t>
  </si>
  <si>
    <t>111888440.IB</t>
  </si>
  <si>
    <t>齐商银行股份有限公司</t>
  </si>
  <si>
    <t>齐商银行</t>
  </si>
  <si>
    <t>淄博市城市资产运营集团有限公司</t>
  </si>
  <si>
    <t>淄博市</t>
  </si>
  <si>
    <t>111981400.IB</t>
  </si>
  <si>
    <t>深圳农村商业银行股份有限公司</t>
  </si>
  <si>
    <t>深圳农商行</t>
  </si>
  <si>
    <t>A-</t>
  </si>
  <si>
    <t>主要观点： 1、 该行是在原深圳市农村信用合作社联合社及其辖属18家农村信用社的基础上发起设立的股份制农村商业银行，主要经营区域集中于深圳市 2、 星展银行计划持有该行13%股份，成为第一大股东。入股后或在零售、科技业务等方面给与提升支持。 3、 盈利能力良好，ROE长期处于同业高位。 4、 拨备和资本安全垫相对充足。 5、 储蓄基础良好，揽储成本低，负债稳定性较好 主要关注： 1、 区域金融资源丰富，该行在深圳市本地市场占有率较低，竞争力偏弱。 2、 21年末公司不良率0.84%，关注类占比2.71%，均较上年下降，且处于同业较低水平。 动态来看，19-20年公司不良贷款出现较快生成，经过两年核销压降后，进入21年增速明显放缓。 需关注两点：（1）公司有27.33亿元展期贷款划入正常类，若23年小微续期优惠政策取消，该行可能面临较大不良生成压力；（2）对公房地产贷款占比偏高，具体投向不明，22年地产行业信用事件或对该行指标造成负面影响。 3. 内控存在改善空间。</t>
  </si>
  <si>
    <t>较好</t>
  </si>
  <si>
    <t>地产敞口-1</t>
  </si>
  <si>
    <t>星展银行有限公司</t>
  </si>
  <si>
    <t>111770237</t>
  </si>
  <si>
    <t>晋商银行股份有限公司</t>
  </si>
  <si>
    <t>晋商银行</t>
  </si>
  <si>
    <t>山西省财政厅</t>
  </si>
  <si>
    <t>山西</t>
  </si>
  <si>
    <t>太原市</t>
  </si>
  <si>
    <t>111770796</t>
  </si>
  <si>
    <t>杭州联合农村商业银行股份有限公司</t>
  </si>
  <si>
    <t>杭州联合农村商业银行</t>
  </si>
  <si>
    <t>主要观点： 1. 该行前身为杭州联合农村合作银行，业务主要集中在杭州市以及长三角等经济较发达地区，外部环境良好。 2. 21年末存款余额为2320.13亿元，其中储蓄存款占比46.57%、定期存款占比55.8%；同业负债比10.84%，占比较20年有所上升。但整体来看，该行对同业依赖度较低，存款稳定性较好。 主要关注： 1. 息差收窄和拨备计提增加对盈利能力产生不利影响。2019-2021年该行息差分别为3.19%、2.78%、2.64%，呈现逐年收窄态势；从息差结构来看，该行平均生息资产收益率约为4.69%，负债平均利率2.33%，处于同业平均水平；该行近三年加权平均ROE分别为11.58%、11.21%、10.75%, 呈现小幅下滑趋势。 2. 业务规模扩张导致资本充足率有所下滑。2019-2021年资本充足率分别为14%、13.92%、13.69%；核心一级资本充足率分别为11.14%、10.43%、10.2%。该行目前主要通过利润留存以及发行资本补充债等方式补充资本。2021年该行通过发行20亿元无固定期限资本债券补充资本。 3. 房地产相关敞口较大。该行贷款中房地产和建筑业合计占比 16.08%，个人住房按揭贷款占总贷款 11.47%，需要关注在房地产行业宏观调控政策持续出台下的相关风险。</t>
  </si>
  <si>
    <t>规模扩张过快、资本补充压力-1</t>
  </si>
  <si>
    <t>杭州市金融投资集团有限公司</t>
  </si>
  <si>
    <t>1721004.IB</t>
  </si>
  <si>
    <t>珠海农村商业银行股份有限公司</t>
  </si>
  <si>
    <t>珠海农商行</t>
  </si>
  <si>
    <t>广东能源集团财务有限公司</t>
  </si>
  <si>
    <t>广东</t>
  </si>
  <si>
    <t>珠海市</t>
  </si>
  <si>
    <t>111771114</t>
  </si>
  <si>
    <t>张家口银行股份有限公司</t>
  </si>
  <si>
    <t>张家口银行</t>
  </si>
  <si>
    <t>张家口金融控股集团有限公司</t>
  </si>
  <si>
    <t>张家口市</t>
  </si>
  <si>
    <t>111770066</t>
  </si>
  <si>
    <t>河北银行股份有限公司</t>
  </si>
  <si>
    <t>河北银行</t>
  </si>
  <si>
    <t>国家能源集团资本控股有限公司</t>
  </si>
  <si>
    <t>石家庄市</t>
  </si>
  <si>
    <t>111870329.IB</t>
  </si>
  <si>
    <t>潍坊银行股份有限公司</t>
  </si>
  <si>
    <t>潍坊银行</t>
  </si>
  <si>
    <t>潍坊市城市建设发展投资集团有限公司</t>
  </si>
  <si>
    <t>潍坊市</t>
  </si>
  <si>
    <t>111771219</t>
  </si>
  <si>
    <t>日照银行股份有限公司</t>
  </si>
  <si>
    <t>日照银行</t>
  </si>
  <si>
    <t>南京银行股份有限公司</t>
  </si>
  <si>
    <t>日照市</t>
  </si>
  <si>
    <t>111770083</t>
  </si>
  <si>
    <t>浙江民泰商业银行股份有限公司</t>
  </si>
  <si>
    <t>浙江民泰商业银行</t>
  </si>
  <si>
    <t>温岭市国有资产经营有限公司</t>
  </si>
  <si>
    <t>温岭市</t>
  </si>
  <si>
    <t>111891301</t>
  </si>
  <si>
    <t>台州银行股份有限公司</t>
  </si>
  <si>
    <t>台州银行</t>
  </si>
  <si>
    <t>主要观点： 1、公司是中小行中以小微业务闻名的特色行之一（另一家是泰隆银行），依托浙江发达的民营经济，成立20年以来专注小微业务，探索出了一套特色经营模式，细分领域竞争力很强且内控管理较为规范，受到市场的认可，2021年招行收购后将成为第一大股东，收购定位为服务招行的普惠金融和小微客户战略。 2、客户以制造、批发零售业的小微企业主以及社区、农村个体户为主，专注存贷款息差业务，存款占负债的80%以上，其中个人存款占比70%；贷款投放占总资产的60%以上，其他投资以高等级流动性储备为主，同业业务开展很少。 3、业务非常分散，单户500万以下贷款户数占比99.42%，贷款余额占比81.25%；单户100万元以下贷款户数占比92.34%，贷款余额占比47.87%；全行户均余额为46.25万元。 4、小微及村镇业务盈利能力很强，但高增长难以维持。2018-2021ROE分别为30.07%、22.85%、17.91%、17.16%，净息差分别为3.95%、3.58%、3.59%。2019年小微市场竞争激烈以及公司主动计提较多拨备储备，导致盈利效率下降，ROE从30%高位跌至20%出头；2020年因为疫情不良上升ROE继续下降，2021年不良已恢复正常，净利润恢复增长，但竞争激烈下贷款投放放缓导致ROE仍有小幅下降。 5、适应小微业务的实用风控机制，2020年员工数突破1万人，21年保持稳定，依靠一线员工的“人缘、地缘”优势了解周边居民、市场的情况，获取客户软信息、进行交叉验证，从源头上保证调查信息质量。内控严格，统一总分行风控框架，强化员工稽核，不定期考察防范员工风险，关联交易控制严格。从结果来看，近年关注+不良+核销保持在2%以下，关注保持在0.3%以下，不良在2021年降至0.96%，历史多在1%以下；关联方授信仅占资本净额的1.72%。 6、安全垫保持优异水平。资本非常充足2019-2021年年资本充足率分别为15.75%、15.48%和16.38%，核心一级资本充足率分别为11.52%、11.58%和11.7%；拨备水平恢复，2019-2021年拨备覆盖率分别为386%、220.91%和312.49%。 主要关注： 1、公司近年频繁被罚款，主要都指向了小微业务的真实资金流向问题，一方面与小微贷的投向难以管理有关，另一方面也反映出公司小微业务的潜在风险可能被低估。 2、随着小微市场竞争激烈化，以及疫情对小微企业主的冲击，公司在2020年以来贷款投放明显放缓，资金利用效率降低，影响了盈利效率和增长速度。由于盈利的增长慢于净资产的增长，公司2021年ROE水平继续下滑（从17.91%到17.16%），未来仍存在继续下滑的风险。</t>
  </si>
  <si>
    <t>现金不足-1，小微管理负面-1,地产敞口-1</t>
  </si>
  <si>
    <t>招商银行股份有限公司</t>
  </si>
  <si>
    <t>111997326.IB</t>
  </si>
  <si>
    <t>成都农村商业银行股份有限公司</t>
  </si>
  <si>
    <t>成都农商行</t>
  </si>
  <si>
    <t>1. 该行在20年由成都国资入股，目前实际控制人为成都市国资委，在成都市网点分布下沉，存贷款规模在当地有很高的占有率，截至21年末，成都农商银行存款业务和贷款业务在成都市的市场占有率分别为10.16%和6.33%，在同业中分别排名第 5 和第 7。 2. 该行在股东安邦退出后，对公存款占比有所下降，目前对公及零售存款比例为3:7，其中零售存款85%均为定期存款，负债稳定性较好。 3. 该行2019-2021年息差水平为1.76%、2.40%、2.18%，随着利率较高的安邦保险集团存放在成都农商银行的保险资金协议存款持续减少，该行目前净息差已上行至行业的中游水平。 4. 该行21年不良贷款增速显著下降，不良贷款率小幅下降至1.65%，公司的资产质量边际改善。 主要关注： 1. 该行投资资产规模逾期规模大，但资产减值损失计提相对充分，成都农商银行投资资产逾期及违约资产主要集中在债券、信托及资管计划， 2021年划入第三阶段的债权投资余额144亿元，相应计提减值准备130亿元。在信托及资管计划投资中，包含 90 亿元通过多层资管计划最终投入原安邦保险集团实际控制人控制实体，目前正在诉讼阶段。计提减值准备的余额为74.63亿元。 2. 安邦事件对该行的展业及同业业务开展可能仍存在一定的负面影响。</t>
  </si>
  <si>
    <t>地产敞口-1，内控及治理负面-1</t>
  </si>
  <si>
    <t>成都兴城投资集团有限公司</t>
  </si>
  <si>
    <t>四川</t>
  </si>
  <si>
    <t>成都市</t>
  </si>
  <si>
    <t>111870695.IB</t>
  </si>
  <si>
    <t>内蒙古呼和浩特金谷农村商业银行股份有限公司</t>
  </si>
  <si>
    <t>内蒙古呼和浩特金谷农商行</t>
  </si>
  <si>
    <t>内蒙古</t>
  </si>
  <si>
    <t>呼和浩特市</t>
  </si>
  <si>
    <t>111770698</t>
  </si>
  <si>
    <t>合肥科技农村商业银行股份有限公司</t>
  </si>
  <si>
    <t>合肥科技农商行</t>
  </si>
  <si>
    <t>重庆国际信托股份有限公司</t>
  </si>
  <si>
    <t>合肥市</t>
  </si>
  <si>
    <t>111770139</t>
  </si>
  <si>
    <t>四川天府银行股份有限公司</t>
  </si>
  <si>
    <t>四川天府银行</t>
  </si>
  <si>
    <t>南充联银实业有限责任公司</t>
  </si>
  <si>
    <t>南充市</t>
  </si>
  <si>
    <t>111771527</t>
  </si>
  <si>
    <t>无锡农村商业银行股份有限公司</t>
  </si>
  <si>
    <t>无锡农村商业银行</t>
  </si>
  <si>
    <t>主要观点： 1、 该行前身为无锡市城郊农村信用合作联社，主要机构及业务分布在经济较为发达的无锡地区，股权结构分散，截至2021年末，其中第1和第4大股东均由无锡国资委实控，合计持股13.07%，无锡国资控股企业在董事会5人中派驻2名，影响力尚可。 2、 2021年，该行资产总额为2017.7亿元，其中，其中，发放贷款及垫款为1127.42亿元，占比55.88%，贷款增速17.51%，保持增长；2019-2021年，无锡农商行银行分别实现营业收入35.4亿、38.96亿、43.49亿，同比增速分别为10.89%、10.07%、11.63%；22H1营业收入23.36亿，同比增长6.7%；中间业务收入主要来自代理业务和银行卡业务，19-21年末占比分别为2.60%、4.52%、4.21%，2021年手续费及佣金净收入1.83亿，由于银行卡手续费收入下降增速放缓；2021年实现投资收益5.59亿，对收入贡献较大。 3、 公司信贷资产质量处于同业较好水平，21年末该行不良贷款率0.93%，拨备覆盖率477%，贷款拨备充足。 4、 负债端吸收存款1618.11亿，是最主要的负债来源，占比87%，同业负债占比7.43%；吸收存款中储蓄存款占比44.6%，定期存款占比64.41%，存款稳定性较好。 主要关注： 1、无锡市经济发展水平高，主要竞争对手国有大行在抢夺存量市场份额和优质客户存在定价等方面优势，公司区域竞争力偏弱，市场份额不高，存在一定同业竞争压力。截至2021年末，无锡农商银行在无锡市（含江阴市和宜兴市）存贷款市场份额分别为6.88%和5.14%，占比较低，竞争力偏弱，存贷款市场份额在无锡市银行业金融机构排名均为第6名。 2、该行盈利能力偏弱，主要由于生息资产平均收益偏低，负债成本略高于同业，21年有小幅改善。2019-2021年该行息差：1.79%、1.72%、1.73%，处于行业中等水平，在城商行中相对偏低，从息差结构来看，该行生息资产平均收益率约4.17%，相对偏低，负债平均利率2.44%，略高于同业；近3年该行ROE为11.22%、10.84%、11.41%，2021年有所提升。 3、2019-2021年资本充足率15.85%、15.21%、14.35%，趋于下行，目前仍处于合意水平；核心一级资本充足率10.20%、9.03%、8.74%，持续下降，存在一定资本补充压力；公司正在推进非公开发行A股，拟募资20亿，目前正待发行批复，如发行成功预计将带来核心一级资本充足率1.5%的提升，需关注后续资本补充效果。</t>
  </si>
  <si>
    <t>现金不足</t>
  </si>
  <si>
    <t>无锡市太湖新城资产经营管理有限公司</t>
  </si>
  <si>
    <t>无锡市</t>
  </si>
  <si>
    <t>112173062.IB</t>
  </si>
  <si>
    <t>嘉兴银行股份有限公司</t>
  </si>
  <si>
    <t>嘉兴银行</t>
  </si>
  <si>
    <t>BBB</t>
  </si>
  <si>
    <t>主要观点： 1、 该行业务集中在浙江嘉兴地区，在嘉兴总资产占比87%。存、贷款市场份额占据嘉兴的5.7%、4.0%，排名第5，在嘉兴当地有一定区域影响力。该行是嘉兴唯一的城商行，对于区域融资较为重要且国资持股比例较高，能够获得一定的外部支持。 2、 该行业务包括公司银行、个人银行和资金业务三大板块。贷款类业务主要投放小微企业，净息差较高，不良率保持较低水平。资金业务以利率债和江浙地区城投债投资为主，投资风险可控。总体来看，该行盈利能力较强。 3、 2018-20年，客户存款/总负债分别为75.1%、72.8%和75.4%，该行吸收存款能力强，负债稳定性良好，流动性风险低。 主要关注： 1、 该行股权较为分散，由国资和民企共同持股，无实际控制人。不过主要股东在董事会中均有席位，内部治理尚可。 2、 贷款主要投向嘉兴当地的小微企业和个人经营性贷款，风险高于同业，不过资产质量历史表现尚可，后续需关注区域经济情况和资产质量变化。 3、 2018-2020年核心一级资本充足率分别为9.7%、10.1%和8.6%，面临一定的核心资本补充压力。 4、 2018-20年，该行净息差2.96%、2.81%、2.01%，20年受疫情影响，该行下调贷款利率、减免利息，导致净息差降幅较大，但仍属于同业较高水平。</t>
  </si>
  <si>
    <t>内控问题频发、高管更换频繁-1</t>
  </si>
  <si>
    <t>嘉兴市城市投资发展集团有限公司</t>
  </si>
  <si>
    <t>嘉兴市</t>
  </si>
  <si>
    <t>111770823</t>
  </si>
  <si>
    <t>赣州银行股份有限公司</t>
  </si>
  <si>
    <t>赣州银行</t>
  </si>
  <si>
    <t>赣州市财政局</t>
  </si>
  <si>
    <t>赣州市</t>
  </si>
  <si>
    <t>111782612</t>
  </si>
  <si>
    <t>上饶银行股份有限公司</t>
  </si>
  <si>
    <t>上饶银行</t>
  </si>
  <si>
    <t>较差</t>
  </si>
  <si>
    <t>上饶投资控股集团有限公司</t>
  </si>
  <si>
    <t>上饶市</t>
  </si>
  <si>
    <t>112188604.IB</t>
  </si>
  <si>
    <t>德意志银行(中国)有限公司</t>
  </si>
  <si>
    <t>德意志银行(中国)</t>
  </si>
  <si>
    <t>德意志银行股份有限公司</t>
  </si>
  <si>
    <t>111981026.IB</t>
  </si>
  <si>
    <t>承德银行股份有限公司</t>
  </si>
  <si>
    <t>承德银行</t>
  </si>
  <si>
    <t>承德市财政局</t>
  </si>
  <si>
    <t>承德市</t>
  </si>
  <si>
    <t>111770140</t>
  </si>
  <si>
    <t>汉口银行股份有限公司</t>
  </si>
  <si>
    <t>汉口银行</t>
  </si>
  <si>
    <t>主要观点： 1、业务以武汉为主，地区竞争力一般，存款份额第三、贷款第六，弱于武汉农商（初评B+）。申请上市中，股权较为分散，上市进程受到股权不清晰问题一定影响。 2、前期同业负债占比较高，近年压降较多，但新增负债以定期存款为主，抬高了负债端成本。 3、对公贷款占比75%左右，以武汉地区为主，近年重点开拓小微业务，纾困压力较大。 4、前期投资资产占比很高，疫情以来大幅向信贷倾斜，贷款占比由41.94%提高至51.3%，投资资产占比由44.45%降至35.75%。 5、2019-2021年资本充足率分别为13%、12%和12%，核心一级资本充足率分别为9.88%、8.15%和8.7%，21年核心一级资本有所补充，但仍存在不足。 主要关注： 1、武汉地区银行受到疫情较大冲击，财务表现下滑严重，且公司前期较为依赖武汉地区非标项目做高收益，疫情后开始大幅收缩，因而21年盈利水平继续下滑，19-21年ROE分别为11.55%、5.09%、4.91%，净息差分别为1.33%、1.01%、1.05%，贷款业务净息差持续表现偏差。 2、资产质量差，不良仍在加速暴露。2019-2021年核销不良贷款9.97亿元、20.08亿元、27.87亿元，加回不良贷款核销后，2020-2021年不良贷款总额增速分别为108.08%和19.6%，贷款增速为25.3%和15.47%；由于信贷资产以武汉地区为主，且疫情以来受到最大冲击，整体质量较差，不良贷款总额增速仍快于贷款增速。 3、潜在资产表现也一般，前期非标占比很高，近年持续压降，大部分投向武汉地区基建项目；公司还是与恒大集团主要来往的银行之一，具体涉及金额未披露，网传截至2020H1总敞口为27亿，该项风险的积累或与异地分行管理不到位有关。 4、经营恶化向最终拨备计提蔓延，2019-2021年拨备覆盖率分别为194.23%、136.52%、135%，覆盖水平很差。</t>
  </si>
  <si>
    <t>联想控股股份有限公司</t>
  </si>
  <si>
    <t>湖北</t>
  </si>
  <si>
    <t>武汉市</t>
  </si>
  <si>
    <t>1521018.IB</t>
  </si>
  <si>
    <t>江苏江南农村商业银行股份有限公司</t>
  </si>
  <si>
    <t>江苏江南农村商业银行</t>
  </si>
  <si>
    <t>主要观点： 1、该行是常州市农村商业银行，存贷款市场份额位于当地第一，区域竞争力强； 2、收入来源在农村金融机构中较为多元化，同业和投资业务发展较快； 3、19-21年加大资产减值力度，账面资产质量继续改善趋势：不良率由1.68%逐年下降至1.33%，关注类由2.73%降至1.48%，拨备覆盖率升至221%。 4、19-21年持续压降同业融入，负债端稳定性显著提升。 主要关注： 1、投资类资产规模大且不良有所暴露，需持续关注风险暴露情况； 2、受地区产业结构影响，该行投放制造业和批发零售业的占比较高，受疫情冲击较大，不过该行整体账面贷款质量较为稳定。 整体风险可控，维持BB+评级</t>
  </si>
  <si>
    <t>现金不足-1</t>
  </si>
  <si>
    <t>常州投资集团有限公司</t>
  </si>
  <si>
    <t>常州市</t>
  </si>
  <si>
    <t>111770691</t>
  </si>
  <si>
    <t>浙江泰隆商业银行股份有限公司</t>
  </si>
  <si>
    <t>浙江泰隆商业银行</t>
  </si>
  <si>
    <t>主要观点： 1.、该行坚持小微企业金融服务市场定位，在小企业及个体经营贷款领域拥有较强的竞争力。 2.、收入来源以利息净收入为主，客户以中小微企业为主，贷款溢价水平较高，ROE处于行业较高水平。 3.、贷款不良生成压力尚可，非信贷资产质量较好。 4.、同业负债依赖度较低，负债结构稳定。 主要关注： 1、股东较为分散，暂无实控人。 2、获客及维护成本相对较高，成本控制能力有待加强。 3、国内经济增速放缓和疫情冲击使中小企业风险持续暴露，对该行资产质量造成了一定压力，可能对信贷资产质量产生影响。 4、保证类贷款占比高，可能面临担保方财务实力不足或代偿意愿较弱的风险。</t>
  </si>
  <si>
    <t>内控负面-1，小微延期占比较高-1</t>
  </si>
  <si>
    <t>台州市泰隆城市信用社职工持股会</t>
  </si>
  <si>
    <t>111704004</t>
  </si>
  <si>
    <t>中国银行股份有限公司</t>
  </si>
  <si>
    <t>中国银行</t>
  </si>
  <si>
    <t>国有控股大型商业银行之一，行业地位显著，具有很强的系统重要性；业务范围遍布全国，业务结构综合性强且结构持续优化，收入结构良好；信用风险及流动性风险均在可控范围内。 整体风险可控。</t>
  </si>
  <si>
    <t>很强</t>
  </si>
  <si>
    <t>中央汇金投资有限责任公司</t>
  </si>
  <si>
    <t>111870098.IB</t>
  </si>
  <si>
    <t>湖州银行股份有限公司</t>
  </si>
  <si>
    <t>湖州银行</t>
  </si>
  <si>
    <t>湖州市城市投资发展集团有限公司</t>
  </si>
  <si>
    <t>111771438</t>
  </si>
  <si>
    <t>浙江稠州商业银行股份有限公司</t>
  </si>
  <si>
    <t>浙江稠州商业银行</t>
  </si>
  <si>
    <t>宁波杉杉股份有限公司</t>
  </si>
  <si>
    <t>义乌市</t>
  </si>
  <si>
    <t>111770752</t>
  </si>
  <si>
    <t>泉州银行股份有限公司</t>
  </si>
  <si>
    <t>泉州银行</t>
  </si>
  <si>
    <t>泉州市城商行，份额第六，国有股仅占20%出头，资源一般；自身拓展较多外部合作的零售贷款及小微贷，信贷资产质量一般，盈利能力偏差，资本严重不足</t>
  </si>
  <si>
    <t>泉州市国有资产投资经营有限责任公司</t>
  </si>
  <si>
    <t>泉州市</t>
  </si>
  <si>
    <t>1420022.IB</t>
  </si>
  <si>
    <t>金华银行股份有限公司</t>
  </si>
  <si>
    <t>金华银行</t>
  </si>
  <si>
    <t>金华市轨道交通集团有限公司</t>
  </si>
  <si>
    <t>111770996</t>
  </si>
  <si>
    <t>桂林银行股份有限公司</t>
  </si>
  <si>
    <t>桂林银行</t>
  </si>
  <si>
    <t>桂林市交通投资控股集团有限公司</t>
  </si>
  <si>
    <t>广西</t>
  </si>
  <si>
    <t>桂林市</t>
  </si>
  <si>
    <t>111770828</t>
  </si>
  <si>
    <t>乌鲁木齐银行股份有限公司</t>
  </si>
  <si>
    <t>乌鲁木齐银行</t>
  </si>
  <si>
    <t>乌鲁木齐国有资产经营(集团)有限公司</t>
  </si>
  <si>
    <t>新疆</t>
  </si>
  <si>
    <t>乌鲁木齐市</t>
  </si>
  <si>
    <t>111770679</t>
  </si>
  <si>
    <t>武汉农村商业银行股份有限公司</t>
  </si>
  <si>
    <t>武汉农村商业银行</t>
  </si>
  <si>
    <t>湖北香利资产管理有限公司</t>
  </si>
  <si>
    <t>111770359</t>
  </si>
  <si>
    <t>珠海华润银行股份有限公司</t>
  </si>
  <si>
    <t>珠海华润银行</t>
  </si>
  <si>
    <t>主要观点： 1.该行依托华润集团和华发集团的资源优势，在对公揽存方面有一定优势； 2.主要展业区域为珠三角，小微经济活跃，为公司小微零售业务拓展提供良好环境，同时该行积极与互联网平台开展助贷联合贷业务，促进零售业务快速上量，目前个贷占比全行贷款超40%； 3.息差维持高位：该行以房贷、经营贷/消费贷为主要业务发力点，贷款平均利率处于行业高位。 4.目前资本较为充足，2023年南方电网资本控股有限公司和深圳中电投资有限公司分别向华润银行增资50亿元和30亿元，资本充足水平进一步提升。 主要关注： 1. 受净息差下降影响22年前三季度收入下滑，2022年前三季度，该行实现营业收入48.91亿元，同比-13.31%。 2、该行表内贷款和非标投资中地产投资占比很高：截至22年6月末，对公贷款中约30%投向房地产业，占比很高，前十大客户也有7家为房企，地产非标/非标超40%，当前地产信用背景下，后续风险暴露概率大，且面临业务调整压力；考虑到股东有较多AMC牌照（华润资产管理、广州资产管理），历史上也持续为该行提供不良贷款转让服务，后续或可为其地产不良资产化解提供一定支持。 3、以对公定期存款为主的结构，导致整体存款成本偏高。 4、该行同业负债占比大幅提升，资产业务开展对同业资金依赖程度较高。19-21年末及22年6月末，同业负债占比分别为2.54%、2.68%、17.26%及16.81%（不含同业存单）.</t>
  </si>
  <si>
    <t>华润股份有限公司</t>
  </si>
  <si>
    <t>111770019</t>
  </si>
  <si>
    <t>甘肃银行股份有限公司</t>
  </si>
  <si>
    <t>甘肃银行</t>
  </si>
  <si>
    <t>甘肃省公路航空旅游投资集团有限公司</t>
  </si>
  <si>
    <t>甘肃</t>
  </si>
  <si>
    <t>兰州市</t>
  </si>
  <si>
    <t>111983435.IB</t>
  </si>
  <si>
    <t>浙江上虞农村商业银行股份有限公司</t>
  </si>
  <si>
    <t>浙江上虞农商行</t>
  </si>
  <si>
    <t>浙江龙盛集团股份有限公司</t>
  </si>
  <si>
    <t>绍兴市</t>
  </si>
  <si>
    <t>111771541</t>
  </si>
  <si>
    <t>广东华兴银行股份有限公司</t>
  </si>
  <si>
    <t>广东华兴银行</t>
  </si>
  <si>
    <t>侨鑫集团有限公司</t>
  </si>
  <si>
    <t>汕头市</t>
  </si>
  <si>
    <t>111770498</t>
  </si>
  <si>
    <t>北京农村商业银行股份有限公司</t>
  </si>
  <si>
    <t>北京农村商业银行</t>
  </si>
  <si>
    <t>有</t>
  </si>
  <si>
    <t>优势：北京农商银行资产规模排名农商行前列，存贷款区域市场份额高，有一定区域竞争力；同业负债占比不高，存款稳定性良好。 主要关注：目前营业收入仍集中在北京地区，以资金运营业务为主导，ROE水平处于行业中位，近年贷款增速不高、净息差边际下行、管理费用控制能力偏弱，拨备前利润逐年下降，盈利能力承压。该行21年加回核销后不良贷款增速再次升高，向二、三阶段迁徙的贷款资产较多，逾期率上行，房地产贷款占比偏高且质量偏差，存在贷款审核不严和资金挪用的问题，非标资产质量偏弱，整体资产质量有所恶化；信用缓释层面，拨备较为充足，信用风险可控。 综上，整体风险可控。</t>
  </si>
  <si>
    <t>公司治理</t>
  </si>
  <si>
    <t>北京金融控股集团有限公司</t>
  </si>
  <si>
    <t>北京</t>
  </si>
  <si>
    <t>北京市</t>
  </si>
  <si>
    <t>111770781</t>
  </si>
  <si>
    <t>宁夏银行股份有限公司</t>
  </si>
  <si>
    <t>宁夏银行</t>
  </si>
  <si>
    <t>宁夏回族自治区财政厅</t>
  </si>
  <si>
    <t>宁夏</t>
  </si>
  <si>
    <t>银川市</t>
  </si>
  <si>
    <t>111891044</t>
  </si>
  <si>
    <t>江苏昆山农村商业银行股份有限公司</t>
  </si>
  <si>
    <t>昆山银行</t>
  </si>
  <si>
    <t>主要观点： 1、 昆山农商行经营区域集中在苏州昆山地区，当地民营经济活跃，产业结构优质，提供了良好的外部环境。 2、 该行前身为昆山市信用合作社，客户基础夯实，网点覆盖率高。截至2021年末，该行存、贷款在昆山市的市场份额分别为17.07%和12.37%，分别排名第2位和第3位。 3、 负债端吸收存款 1032亿，占比77%，其中定期存款占比43.5%；同业负债占比8.1%，存款稳定性较好。 主要关注： 1、净息差持续收窄。2019-2021年该行净息差分别为3.1%、2.92%、2.4%，受到高成本定期存款占比上升以及减费让利因素影响，该行净息差呈现下降趋势。 2、 续贷类贷款占比较高。该行有续贷类贷款余额202.98亿元，占总贷款25.27%，规模较大需持续关注在经济下行环境下资产迁徙情况。 3、对异地分支行及下属村镇银行管控有待提升。该行部分异地支行因所在地主导产业下行和总行管理半径过长等因素，贷款风险集中暴露，异地不良贷款占总不良贷款的31.8%。</t>
  </si>
  <si>
    <t>震雄铜业集团有限公司</t>
  </si>
  <si>
    <t>昆山市</t>
  </si>
  <si>
    <t>2020011.IB</t>
  </si>
  <si>
    <t>青海银行股份有限公司</t>
  </si>
  <si>
    <t>青海银行</t>
  </si>
  <si>
    <t>青海省国有资产投资管理有限公司</t>
  </si>
  <si>
    <t>111770247</t>
  </si>
  <si>
    <t>绍兴银行股份有限公司</t>
  </si>
  <si>
    <t>绍兴银行</t>
  </si>
  <si>
    <t>绍兴市金融控股有限公司</t>
  </si>
  <si>
    <t>111771628</t>
  </si>
  <si>
    <t>东亚银行(中国)有限公司</t>
  </si>
  <si>
    <t>东亚银行(中国)</t>
  </si>
  <si>
    <t>东亚银行有限公司</t>
  </si>
  <si>
    <t>上海</t>
  </si>
  <si>
    <t>上海市</t>
  </si>
  <si>
    <t>1721037.IB</t>
  </si>
  <si>
    <t>浙江诸暨农村商业银行股份有限公司</t>
  </si>
  <si>
    <t>浙江诸暨农商行</t>
  </si>
  <si>
    <t>浙江富润数字科技股份有限公司</t>
  </si>
  <si>
    <t>111770017</t>
  </si>
  <si>
    <t>浙江绍兴瑞丰农村商业银行股份有限公司</t>
  </si>
  <si>
    <t>瑞丰银行</t>
  </si>
  <si>
    <t>绍兴市柯桥区天圣投资管理有限公司</t>
  </si>
  <si>
    <t>112073363.IB</t>
  </si>
  <si>
    <t>广西北部湾银行股份有限公司</t>
  </si>
  <si>
    <t>广西北部湾银行</t>
  </si>
  <si>
    <t>广西投资集团金融控股有限公司</t>
  </si>
  <si>
    <t>111770319</t>
  </si>
  <si>
    <t>广西重要区域性银行，近年为了冲上市业务扩张激进，存在资本不足、账面流动性不足、依赖同业负债扩张、资产端有较大广西城投敞口和非标信息不对称问题</t>
  </si>
  <si>
    <t>很差</t>
  </si>
  <si>
    <t>现金不足-1，地产敞口-1</t>
  </si>
  <si>
    <t>南宁市</t>
  </si>
  <si>
    <t>111770931</t>
  </si>
  <si>
    <t>柳州银行股份有限公司</t>
  </si>
  <si>
    <t>柳州银行</t>
  </si>
  <si>
    <t>广西柳州市东城投资开发集团有限公司</t>
  </si>
  <si>
    <t>柳州市</t>
  </si>
  <si>
    <t>2101570042.IB</t>
  </si>
  <si>
    <t>江苏太仓农村商业银行股份有限公司</t>
  </si>
  <si>
    <t>江苏太仓农商行</t>
  </si>
  <si>
    <t>主要观点： 1、 太仓市连续多年位于全国百强县前列（21年第7名），区域经济结构较为合理，提供了良好的外部环境。 2、 该行主要服务于太仓区域内三农客户及小微企业客户，与当地国有银行及股份制商业银行形成了一定的错位竞争，截至2021年末，该行存、贷款余额在太仓市银行类金融机构中的占比分别为19.6%和13.47%，存贷款占比分别排名第1名和第2名。 3、 2021年，该行资产总额为588.77亿元，年均复合增长率为10.31%；其中，发放贷款及垫款为350.28亿元，占比59.5%，贷款增速17.43%，保持增长；金融投资为165.45亿元，占比28%.21年实现营业收入14.54亿元，维持稳定增长。 4、 负债端吸收存款474.94亿，是最主要的负债来源，占比80.67%；吸收存款中定期存款占比63.2%，以个人储蓄存款为主；同业负债/负债总额为5.6%，存款稳定性较好。 主要关注： 1、 太仓农商行内控存在瑕疵，前5位高管收到行政处罚且旗下村镇银行被罚次数较多，业务开展不审慎。 2、 该行贷款集中度较高，2021年末单一最大客户贷款集中度4.38%，前十大客户贷款集中度34.59%，占比偏高；21年前五大行业占比63.83%，其中制造业占比36.6%，贷款集中度偏高，但结构较上年有所优化。 3、 2021年末，太仓农商行证券投资业务整体规模186.42亿元，对债券和基金的投资不断加大，另外该行理财、信托计划和权益投资的规模合计5亿元，占资本净额的8.6%，在监管趋严的背景下，需持续关注该行资金业务扩张所带来的信用风险管控压力。 4、 2021年该行净息差2.37%，近年受到市场利率下行影响，净息差呈收窄趋势；资产端生息资产平均收益率下降，负债端随着定期存款的占比增加，付息率上升。</t>
  </si>
  <si>
    <t>太仓市城市建设投资集团有限公司</t>
  </si>
  <si>
    <t>太仓市</t>
  </si>
  <si>
    <t>1420032.IB</t>
  </si>
  <si>
    <t>乐山市商业银行股份有限公司</t>
  </si>
  <si>
    <t>乐山市商业银行</t>
  </si>
  <si>
    <t>乐山国有资产投资运营(集团)有限公司</t>
  </si>
  <si>
    <t>乐山市</t>
  </si>
  <si>
    <t>111703106</t>
  </si>
  <si>
    <t>中国农业银行股份有限公司</t>
  </si>
  <si>
    <t>中国农业银行</t>
  </si>
  <si>
    <t>主要观点： 1、国有控股大型商业银行之一，行业地位显著，具有很强的系统重要性，其在“三农”金融领域得定位使其在农村金融体制改革中具有不可替代的地位。 2、业务范围遍布全国，业务结构综合性强且持续优化，收入结构不断优化，组织架构逐步完善；信用风险及流动性风险均在可控范围内。整体风险可控。 3、2019-21年，该行净息差2.03%、2.04%、1.96%，加权平均ROE分别为11.72%、11.35%、11.57%，整体维持同业较高水平。 主要关注： 1、20年该行不良贷款增速较快，需关注后续资产质量情况。21年资产质量有所改善，21年末不良率1.43%，同比减少0.14个百分点；关注类贷款占比1.48%，较19年减少0.53个百分点。</t>
  </si>
  <si>
    <t>112073383.IB</t>
  </si>
  <si>
    <t>重庆三峡银行股份有限公司</t>
  </si>
  <si>
    <t>重庆三峡银行</t>
  </si>
  <si>
    <t>112392890.IB</t>
  </si>
  <si>
    <t>法国巴黎银行(中国)有限公司</t>
  </si>
  <si>
    <t>法国巴黎银行(中国)</t>
  </si>
  <si>
    <t>业务以中间业务为主，获得母行法巴较多资源支持，客户也以集团为主，协同性很强；信贷业务占比小、服务集团关联客户为主，风险暴露少；盈利虽然偏低，但资本、流动性安全垫很高;高度依赖同业资金，降2级；集团支持提1级</t>
  </si>
  <si>
    <t>负债不稳-1</t>
  </si>
  <si>
    <t>111770863</t>
  </si>
  <si>
    <t>九江银行股份有限公司</t>
  </si>
  <si>
    <t>九江银行</t>
  </si>
  <si>
    <t>主要观点： 1、九江银行为江西省第二大银行，九江财政局直接间接持股18.67%，为其第一大股东，预计可以为其业务经营方向等方面提供一定支持。 2、业务集中在九江地区，区域存贷款份额占比均接近20%，具有一定地区优势。 3、储蓄存款和定期存款占比持续提升，存款稳定性增强。 主要关注： 1、以对公传统信贷业务为主，对私近年发力消费贷有所增长，但合作平台层级偏低；盈利能力偏差，净息差略低于2%，19-21年ROE分别为7.69%、6.58%、6.48%。 2、资产质量不佳，房地产行业+建筑业+个人住房贷款占比约35%，22H1不良率升至1.57%、关注类升至4.18%；非标投资敞口约450亿；近年计提资产减值准备较多，20-22H1分别为51.78亿、52.65亿、27.52亿。 3、拨备及资本安全垫不足，持续大力度核销下，22H1公司拨备覆盖率已降至188.33%，核心一级资本充足率下滑至8%。</t>
  </si>
  <si>
    <t>北京汽车集团有限公司</t>
  </si>
  <si>
    <t>九江市</t>
  </si>
  <si>
    <t>111770226</t>
  </si>
  <si>
    <t>富滇银行股份有限公司</t>
  </si>
  <si>
    <t>富滇银行</t>
  </si>
  <si>
    <t>云南省投资控股集团有限公司</t>
  </si>
  <si>
    <t>云南</t>
  </si>
  <si>
    <t>昆明市</t>
  </si>
  <si>
    <t>1928007.IB</t>
  </si>
  <si>
    <t>中国工商银行股份有限公司</t>
  </si>
  <si>
    <t>中国工商银行</t>
  </si>
  <si>
    <t>主要观点： 1、国有控股大型商业银行之一，行业地位显著，具有很强的系统重要性；业务范围遍布全国，业务结构综合性强且持续优化，收入结构良好；信用风险及流动性风险均在可控范围内。 整体风险可控。 2、2019-21年，公司净息差分别为2.08%、1.97%、1.92%，ROE分别为13.05%、11.95%、12.15%，处于同业较高水平。 3、21年末，该行不良贷款率1.42%，同比下降0.16个百分点，关注类贷款占比1.99%，同比下降0.22个百分点。 主要关注： 1、由于规模体量大，利润增速较低，2019-21年拨备前利润增速分别为7.0%、5.7、6.2%。</t>
  </si>
  <si>
    <t>111771319</t>
  </si>
  <si>
    <t>昆仑银行股份有限公司</t>
  </si>
  <si>
    <t>昆仑银行</t>
  </si>
  <si>
    <t>主要观点 1. 中石油实际控制的城商行，主要经营区域为北京和新疆，资产规模处于城商行前列。 2. 产融结合发展思路下，该行对公业务占比更高。客户资源较为稳定，围绕中石油上下游企业，在能源产业领域形成了一定的市场竞争优势。 3. 股东支持力度较大。中石油综合实力强，在客户资源、公司治理、资本补充等方面给予该行显著支持。 4. 拨备覆盖率325.83%，安全垫较好，资本充足率13.05%尚可。 主要关注 1. 需关注石化行业周期性波动对该行资产质量的影响。 2. 中石油相关上下游企业客户资源相对有限，21年末贷款类资产占比仅有48.27%。同业资产和负债因被美制裁而规模收缩。 3.近年来盈利能力持续下滑，2019-2021年，该行加权平均ROE分别为11.31%、8.65%、7.33%，21年由于手续费及佣金收入由盈转亏，导致ROE进一步下降 4. 内部控制能力偏弱，以中石油上下游企业为主要客户容易产生关联授信等相关风险 5. 该行负债端对市场资金依赖度较高，稳定性一般，关注该行负债结构变化及流动性水平。</t>
  </si>
  <si>
    <t>中国石油集团资本有限责任公司</t>
  </si>
  <si>
    <t>克拉玛依市</t>
  </si>
  <si>
    <t>111770820</t>
  </si>
  <si>
    <t>西安银行股份有限公司</t>
  </si>
  <si>
    <t>西安银行</t>
  </si>
  <si>
    <t>主要观点： 1、该行在以西安为主的陕西地区经营，实际控制人为西安市人民政府，可提供一定外部支持； 2、依托股东背景和资源，对公业务为传统优势业务；此外该行发力零售业务，个贷实现快速增长； 3、21年以来投资资产占比上升很快，投资业务占比已处于同业中较高水平，投资资产中78%为债券（大部分为利率债），16%为非标，虽然近年风险暴露增加，但计提较为充分，整体投资资产质量尚可。 4、2019年3月A股上市，目前资本安全垫较为充足；19-21年资本充足率分别为14.85%、14.5%和14.12%，核心一级资本充足率分别为12.62%、12.37%和12.09%。 主要关注： 1、前期对同业负债依赖度高，近年压降后，多依靠客户定期存款补足，负债成本上升较快；20年以来，信贷和投资类资产风险加速暴露，主要是信贷资产发生较大金额减值损失，推测与公司在西安地区敞口集中度偏高有关；上述两项因素对利润侵蚀明显，近3年ROE为11.94%、11.24%、10.59%，略低于行业平均水平；并导致拨备前利润增长陷于停滞，影响到拨备计提能力，目前拨备覆盖率已降至200%附近边界水平，需关注进一步下滑趋势。 2、内控有待加强，房地产贷款仍有压降压力，线上消费贷后续开展模式和效果有待观察。</t>
  </si>
  <si>
    <t>公司治理、内控等诸多负面-1，地产敞口-1</t>
  </si>
  <si>
    <t>加拿大丰业银行公司</t>
  </si>
  <si>
    <t>陕西</t>
  </si>
  <si>
    <t>西安市</t>
  </si>
  <si>
    <t>111770111</t>
  </si>
  <si>
    <t>大连银行股份有限公司</t>
  </si>
  <si>
    <t>大连银行</t>
  </si>
  <si>
    <t>中国东方资产管理股份有限公司</t>
  </si>
  <si>
    <t>2121027.IB</t>
  </si>
  <si>
    <t>浙江萧山农村商业银行股份有限公司</t>
  </si>
  <si>
    <t>浙江萧山农商行</t>
  </si>
  <si>
    <t>主要观点： 1、 该行前身为浙江萧山农村商业合作银行，客户基础夯实，网点覆盖率高，截至2021年末，该行贷款余额在杭州萧山区市占率为23.43%，存款余额市占率31.5%，排名均为第一位。 2、 该行信贷资产质量处于同业较好水平，2021年末该行不良贷款率0.86%，拨备覆盖率617.38%，贷款拨备充足。 3、 负债端吸收存款1566.65亿，是该行最主要的负债来源，占比83.4%，同业负债占比 9.54%；吸收存款中储蓄存款占比65.19%，定期存款占比68.4%，存款稳定性较好。 主要关注： 1、 该行股权结构分散，截至2021年末，第一大股东为荣盛石化，持股9.71%。前十大股东中民企较多，且存在股权质押和冻结情况，但萧山区国资在董事会派驻3名成员，影响力尚可。 2、 2019-2021年该行净息差分别为1.63%、1.4%、2.15%，处于同类农商行中相对偏低水平；从息差结构来看，该行生息资产平均收益率约3.76%（近三年贷款平均收益率分别为5.8%、5.5%、6.98%），相对偏低主要系该行定期存款占比较高；负债平均利率2.3%，处于同业平均水平，收入结构有待优化。 3、 受区域产业结构限制，该行贷款集中度较高。2020年末该行单一最大客户贷款集中度3.65%，前十大客户贷款集中度25.38%，占比偏高；占比最高的行业为制造业和批发零售业，前五大行业合计占比60.88%，需关注经济下行和疫情冲击等因素对该行制造业中小微企业信贷投放及资产管理压力。</t>
  </si>
  <si>
    <t>荣盛石化股份有限公司</t>
  </si>
  <si>
    <t>113516.SH</t>
  </si>
  <si>
    <t>苏农银行</t>
  </si>
  <si>
    <t>主要观点： 1、前身为吴江农商行，规模不大但坚持聚焦核心区域及信贷主业，在苏州吴江区存款市场占比接近30%，区域竞争力较强；上市后保持了聚焦战略，主要仍在苏州地区进行扩张，以服务区域内中小企业的信贷需求为主。 2、核心经营指标有所改善。19-22H1拨备前利润/净资产分别为18.79%、19.64%和18.43%，ROE分别为8.44%、8.07%、9.31%（绝对水平仍不高）；19-22H1不良率分别为1.33%、1.28%、1%、0.95%，关注占比分别为4.16%、3.26%、2.56%、1.86%；拨备覆盖率分别为249%、305%和412%。 3、负债端以客户存款为主，且个人存款占比高，同业业务依赖度很小。 主要关注： 1、关注实际信贷资产质量。公司近年每年计提的资产减值准备均高于净利润，且以信贷资产减值损失为主；19-21年净利润分别为9.15、9.59、11.61亿，资产减值损失则分别达到了12.70、14.25、12.84亿。因此虽然不良率等指标表现尚可，实际公司通过较大的计提力度进行了一定修饰。 2、股权分散及公司治理风险：股东非常分散，以机构投资者和当期民企为主；执行董事全部由高管组成，另有4名非执行董事分别来自主要股东，公司控制权主要由管理层把控。大股东质押比例偏高，前十大股东中亨通集团质押占比79.95%，吴江恒达实业质押占比99.86%。 3、业务集中度偏高。客户集中在苏州部分区域，且以对公民营中小企业为主，对当地民营经济景气度依赖程度很高；贷款主要分布在制造业，2021年末制造业贷款占比为31.11%，其中纺织行业占比为14.64%，占到制造业贷款的一半以上。 4、资本消耗偏快。19-21年资本充足率分别为15%、14%和13%，核心一级资本充足率分别为12.17%、11.38%和10.72%。</t>
  </si>
  <si>
    <t>亨通集团有限公司</t>
  </si>
  <si>
    <t>苏州市</t>
  </si>
  <si>
    <t>111720141</t>
  </si>
  <si>
    <t>广发银行股份有限公司</t>
  </si>
  <si>
    <t>广发银行</t>
  </si>
  <si>
    <t>A+</t>
  </si>
  <si>
    <t>主要优势：12家全国股份制银行之一，规模排名行业前列，业务综合性高；2016年第一大股东变更为中国人寿，有利于业务协同和资本补充。 主要关注：近年来该行信用风险暴露加速，受信贷业务快速扩张影响、资产减值损失规模扩大拖累、计提拨备增加影响，ROE已下滑至较低水平，21年不良贷款增速得到有效控制，但偏低的净息差仍对ROE形成压制。同时由于信贷业务快速扩张，核心一级资本已降至较低水平，不过22年1月已经完成股份增发，补充核心一级资本。 综合考虑该行规模、产品优势、股东支持等，整体风险可控。</t>
  </si>
  <si>
    <t>负债不稳-1，腐败内控负面-1</t>
  </si>
  <si>
    <t>中国人寿保险股份有限公司</t>
  </si>
  <si>
    <t>111770005</t>
  </si>
  <si>
    <t>湖南银行股份有限公司</t>
  </si>
  <si>
    <t>湖南银行</t>
  </si>
  <si>
    <t>湖南省级城商行，资本存在不足，资产大量投向长珠潭平台及地产，此外个人大量投向平安普惠助贷，不良生成率2%，估计二阶段占比9%左右，表观资产质量已经偏差；同时也存在现金储备不足（5%）和依赖同业负债的问题（20%）</t>
  </si>
  <si>
    <t>地产敞口-1，资金不稳-1</t>
  </si>
  <si>
    <t>湖南财信金融控股集团有限公司</t>
  </si>
  <si>
    <t>湖南</t>
  </si>
  <si>
    <t>长沙市</t>
  </si>
  <si>
    <t>111770026</t>
  </si>
  <si>
    <t>贵阳银行股份有限公司</t>
  </si>
  <si>
    <t>贵阳银行</t>
  </si>
  <si>
    <t>主要观点： 1、贵州地区上市城商行，资产规模接近6000亿，贵州地区存款份额第一，贷款份额排第四。 2、作为一家管理层较为进取的城商行，公司在近年发展中展现出了一定超出贵州省内市场的能力，体现在理财、投行、自营投资等业务历史表现较好，使得历史ROE以及拨备前利润处于同业中较高水平；但对应也带来了非标业务风险等潜在问题。 3、历史盈利表现较好、但处于下滑趋势当中。19-21年加权平均ROE分别为17.41%、15.75%、13.34%，下滑与理财及投资业务受益下滑，以及拨备计提力度较大有关。理财业务受到资管新规较大冲击，考虑其理财子公司获批可能性较大，未来有望恢复；投资业务中非标占比偏高，收益率有所下滑。2019-2021年拨备前利润分别为103.15亿元、114.75亿元、101.67亿元，相比同业仍处于较高水平。 4、表观资产质量尚可，19-21年不良率分别为1.45%、1.53%、1.45%，关注+不良分别为4.21%、3.94%、4.53%，尚未出现明显的大额风险暴露，主要需要关注资产质量预期和潜在风险。 5、财务安全垫较足，2019-2021年拨备覆盖率分别为392.97%、560.91%、381.14%，资本充足率分别为13.61%、12.88%、13.96%，核心一级资本充足率分别为9.39%、9.3%、10.62%。 主要关注： 1、非标风险：需要重点关注公司的非标业务风险，截至21年末，公司存续债权投资1873亿，其中非标投资1040亿，减值准备余额26.4亿，占比1.41%。表观风险暴露尚可，但考虑到公司非标投资可能对贵州省内企业有大量敞口，其中不乏平台和房地产类，从新闻曝光和涉诉信息来看，公司对今年热点的遵义道桥，以及贵阳市工商产业投资集团、贵州省黔投担保股份有限公司等平台，对贵州九州名城房地产开发、贵州安顺家喻房地产开发、遵义瑞安（集团）房地产开发等当地房企，均有一定敞口，推测潜在敞口较大，资产质量预期较差。 2、贷款集中度风险：截止2021年末，建筑业占比24.1%，房地产业占比7.47%，两者占比均有小幅上升，主要原因是贵州地区基建压力较大，公司加大了对新型基础设施建设、新型城镇化建设和重大工程建设等基础设施建设的信贷投放力度。考虑到其非标类投资中底层投向政府基础设施建设等方面的规模相对较大，叠加以上因素，贵阳银行直接或间接投向建筑业和房地产业的贷款规模较大。截至21年末，最大单一客户贷款/资本净额和最大十家客户贷款合计/资本净额分别为6%和30.93%，分别较年初下降1.31和3.1个百分点，但仍处于较高水平。 3、关联业务风险：截至2021年末，公司单一最大关联方授信余额、和全部关联方授信余额占资本净额的比重分别为15.33%、29.84%，维持较高水平，主要包括贵州国资公司、中融人寿保险等，存在较大关联方交易风险。</t>
  </si>
  <si>
    <t>现金不足-1，地产-2、贵州区域负面-1</t>
  </si>
  <si>
    <t>贵阳市国有资产投资管理公司</t>
  </si>
  <si>
    <t>111770012</t>
  </si>
  <si>
    <t>广东南粤银行股份有限公司</t>
  </si>
  <si>
    <t>广东南粤银行</t>
  </si>
  <si>
    <t>广东粤财投资控股有限公司</t>
  </si>
  <si>
    <t>湛江市</t>
  </si>
  <si>
    <t>1826001.IB</t>
  </si>
  <si>
    <t>大华银行(中国)有限公司</t>
  </si>
  <si>
    <t>大华银行(中国)</t>
  </si>
  <si>
    <t>主要与母行协同服务集团客户，表观资产质量较好，资本安全垫充足；规模偏小，费用效率很低导致盈利很差，同时地产占比偏高，严重依赖同业资金，下调2级；集团支持提1级</t>
  </si>
  <si>
    <t>地产敞口-2，负债不稳-1（已压降并增资）</t>
  </si>
  <si>
    <t>大华银行有限公司</t>
  </si>
  <si>
    <t>111985490.IB</t>
  </si>
  <si>
    <t>重庆富民银行股份有限公司</t>
  </si>
  <si>
    <t>重庆富民银行</t>
  </si>
  <si>
    <t>瀚华金控股份有限公司</t>
  </si>
  <si>
    <t>重庆市</t>
  </si>
  <si>
    <t>112174835.IB</t>
  </si>
  <si>
    <t>浙江网商银行股份有限公司</t>
  </si>
  <si>
    <t>浙江网商银行</t>
  </si>
  <si>
    <t>信息不透明、存贷比过高-2</t>
  </si>
  <si>
    <t>蚂蚁科技集团股份有限公司</t>
  </si>
  <si>
    <t>1826008.IB</t>
  </si>
  <si>
    <t>华侨永亨银行(中国)有限公司</t>
  </si>
  <si>
    <t>华侨永亨银行(中国)</t>
  </si>
  <si>
    <t>华侨银行香港的永亨银行之后，将其大陆网络与永亨大陆网络合并后成立的全资子公司，</t>
  </si>
  <si>
    <t>信息不透明及负债不稳流动性风险</t>
  </si>
  <si>
    <t>华侨永亨银行有限公司</t>
  </si>
  <si>
    <t>111770248</t>
  </si>
  <si>
    <t>宁波通商银行股份有限公司</t>
  </si>
  <si>
    <t>宁波通商银行</t>
  </si>
  <si>
    <t>宁波舟山港股份有限公司</t>
  </si>
  <si>
    <t>111770325</t>
  </si>
  <si>
    <t>东莞农村商业银行股份有限公司</t>
  </si>
  <si>
    <t>东莞农村商业银行</t>
  </si>
  <si>
    <t>主要观点： 1、21年完成港股上市，资本实力显著扩充，超过深圳农商行成为广东地区第二大农商行，资产规模5934亿，仅小于广州农商行。 2、小微业务特色继续强化，21年小微贷款余额为1197.75亿，同比增长27.78%，在总贷款中占比进一步提高至40.18%。 3、小微业务占比高+均衡的对公和零售业务占比帮助公司维持了较高盈利能力，19-21年加权ROE分别为15.68%、13.98%、14.14%。 4、受益于东莞地区民营经济活力、核销力度大，资产质量保持在较好水平。19-21年不良率分别为1%、0.82%、0.8%，21年受经济下行及疫情影响核销贷款增至16.75亿。 5、财务安全垫充足。19-21年核心一级资本充足率分别为12.63%、11.54%和13.9%，拨备覆盖率分别为389.57%、375.13%、375.34%。 主要关注： 1、业务集中风险：大部分业务依靠东莞地区，若东莞经济发生不利变化，公司业务表现将受到较大影响。 2、股权分散风险：股权非常分散，最大单一股东持股仅4.34%,前十大股东持股占比低于20%。董事会由公司高管层把控，外界话语权较为分散。 3、公司房地产行业、建筑业及个人按揭贷款合计占比为25.28%，房地产相关敞口占比较高，但目前风险暴露尚可，不良主要集中在水利、批发和零售业等行业。</t>
  </si>
  <si>
    <t>现金不足-1，关联交易、授信负面-1，地产敞口-1</t>
  </si>
  <si>
    <t>香港中央结算(代理人)有限公司</t>
  </si>
  <si>
    <t>东莞市</t>
  </si>
  <si>
    <t>111705072</t>
  </si>
  <si>
    <t>中国建设银行股份有限公司</t>
  </si>
  <si>
    <t>中国建设银行</t>
  </si>
  <si>
    <t>主要观点： 1、国有控股大型商业银行之一，行业地位显著，具有很强的系统重要性 2、2019-21年，该行净息差为2.26%、2.19%、2.13%，加权平均ROE分别为12.88%、12.08%和12.55%，维持同业较高水平。 3、对同业负债依赖度较低，存款占比高，负债稳定性良好。 主要关注： 1、2019-21年拨备前利润分别为4322亿、4671亿、4719亿，21年利润增速有所放缓。</t>
  </si>
  <si>
    <t>111695597</t>
  </si>
  <si>
    <t>盛京银行股份有限公司</t>
  </si>
  <si>
    <t>盛京银行</t>
  </si>
  <si>
    <t>沈阳盛京金控投资集团有限公司</t>
  </si>
  <si>
    <t>沈阳市</t>
  </si>
  <si>
    <t>111770477</t>
  </si>
  <si>
    <t>青岛银行股份有限公司</t>
  </si>
  <si>
    <t>青岛银行</t>
  </si>
  <si>
    <t>主要观点： 1.该行在以青岛为主的山东地区经营，省内分支机构铺设较为完善，依托地缘人缘优势，展业能力强，近年资产保持高速增长。 2.海尔系和青岛国资系资本实力强，22年公司完成配股，增资13.1亿，同时发行了64永续债，资本得到一定补充。 3.18-19年，青岛域外制造业贷款风险集中暴露，该行通过加大拨备计提、加大贷款核销等方式控制账面资产质量稳定，对公司盈利造成较大侵蚀。20年以来不良贷款生成率下降，账面资产质量和盈利均趋于改善。 主要关注： 1.房地产、建筑贷款占比高，警惕此轮地产紧缩周期下信用风险暴露。 2.资产始终处于高速扩张中，已现部分内控短板。</t>
  </si>
  <si>
    <t>青岛市</t>
  </si>
  <si>
    <t>111870027.IB</t>
  </si>
  <si>
    <t>泸州银行股份有限公司</t>
  </si>
  <si>
    <t>泸州银行</t>
  </si>
  <si>
    <t>泸州老窖集团有限责任公司</t>
  </si>
  <si>
    <t>泸州市</t>
  </si>
  <si>
    <t>111771056</t>
  </si>
  <si>
    <t>佛山农村商业银行股份有限公司</t>
  </si>
  <si>
    <t>佛山农商行</t>
  </si>
  <si>
    <t>佛山市金融投资控股有限公司</t>
  </si>
  <si>
    <t>佛山禅城区</t>
  </si>
  <si>
    <t>111981876.IB</t>
  </si>
  <si>
    <t>浙江温州龙湾农村商业银行股份有限公司</t>
  </si>
  <si>
    <t>浙江温州龙湾农商行</t>
  </si>
  <si>
    <t>主要观点： 1、龙湾农商行前身为温州市龙湾区农村信用合作社联合社，股东较为分散，无实控人，股东多为民企，历史上有小股东股权被司法冻结，内控制度一般，信息披露较不透明。 2、龙湾城商行业务集中于温州市龙湾区，在龙湾区银行系统存贷业务中市场份额稳定，存贷款业务市场占有率均常年保持区域内排名第1位，省内外地区设立村镇银行以扩展业务区域，截至2021年9月末，在江西、浙江、上海、陕西设立7、2、1、2家村镇银行。 3、2018-2021Q3年浙江温州龙湾农商行分别实现营业收入13.19亿、14.72亿、15.16亿、9.41亿，同比增速分别为7.51%、11.63%、2.96%，2020年受疫情影响增速有所放缓，利息净收入占营业收入比重约68.28%，投资收益占比约28%，对营业收入贡献较大。 4、2019-2021Q3年龙湾农商行生息资产净利差2.43%、2.34%、1.85%，净息差2.48%、2.32%、2.03%，受市场竞争激烈、疫情后金融机构减费让利影响，贷款生息率大幅下降，付息负债平均利率下降幅度低于生息资产收益率，息差有所收窄，20年ROE为14.51%，高于平均水平。 5、2018-2020年不良资产余额2.51亿、2.79亿、3.41亿，增速与贷款增速持平，不良贷款率低于平均水平，18-20年不良率稳定在0.90%左右，18-20年拨备覆盖率497%、502%、442%，维持较高水平。 6、负债端中，吸收存款473.04亿，是最主要的负债来源，占比85.3%；吸收存款中定期存款占比51.37%，零售与企业存款占比分别69%、31%，零售存款几乎全部为定期存款（占比95%），存款稳定性能够得到一定的保障，另一方面可能面临一定的利息成本支出压力。 主要关注： 1、该行贷款业务以三农贷款和小微企业贷款为主，近年来积极推进小额信用贷款业务，2020年末个人贷款客户6.12万户，增速103%，个人贷款余额254亿，占比68%，增速24%，贷款业务客户较为分散，户均贷款额较小，贷款期限短，在民企信用风险持续暴露背景下，贷款业务面临一定信用风险管理压力。 2、2018-2020年资本充足率12.1%、13.83%、12.82%，处于偏低水平，核心一级资本充足率9.37%、11.28%、11.36%，目前仍处于合意水平，2020年有所下降，存在一定资本补充压力。</t>
  </si>
  <si>
    <t>金帝集团股份有限公司</t>
  </si>
  <si>
    <t>111770036</t>
  </si>
  <si>
    <t>江苏紫金农村商业银行股份有限公司</t>
  </si>
  <si>
    <t>紫金农商银行</t>
  </si>
  <si>
    <t>主要观点： 1、该行作为江苏省第二大农商行、第一大上市农商行，南京市主要的农商行平台，具有一定区域金融重要性；深耕南京地区，受益于地区较好的经济活力。 2、该行经营风格较为稳健，目前处于转型调整期，主动控制规模增长，压缩同业负债和非标投资，发展零售业务，关联方贷款占比较小。 3、资产质量有所改善：2019-2021年核销不良贷款4.47亿元、9.21亿元、6.91亿元，加回不良贷款核销后，2020-2021年不良贷款总额增速分别为36.36%和-7.8%，贷款增速为18.37%和16.05%，不良暴露有明显放缓。19-22Q1不良率分别为1.68%、1.68%、1.45%、1.35%，关注类占比分别为1.75%、1.11%、0.63%、0.72%。 4、2019-2021年资本充足率分别为15%、17%和15%，核心一级资本充足率分别为11.07%、11.19%和10.65%，资本较为充裕。 主要关注： 1、在南京的存款份额在4%左右，竞争力较差；近年主动控制对公、房地产等风险业务增长，往普惠小微转型，成本收入比升高明显，导致盈利能力持续下滑；普惠小微转型成效仍待观察。2020-2021年拨备前利润/净资产分别为21.89%、19.83%和16.01%，19-21年成本收入比分别为29.69%、30.36%、35.85%。 2、房地产、建筑业及个人按揭贷款合计占比37.5%，房地产相关风险敞口仍较大，需持续关注地产周期下行的影响。</t>
  </si>
  <si>
    <t>南京紫金投资集团有限责任公司</t>
  </si>
  <si>
    <t>南京市</t>
  </si>
  <si>
    <t>111770608</t>
  </si>
  <si>
    <t>齐鲁银行股份有限公司</t>
  </si>
  <si>
    <t>齐鲁银行</t>
  </si>
  <si>
    <t>公司主要财务指标表现较好，外方股东澳洲联邦银行实力较强、在海外银行中经营稳定性突出，为公司强化风控提供了一定支持；主要问题是投资资产包括信用债非标对山东地区有较大敞口，表观减值准备不多，但预计资产质量偏弱；此外信贷资产也以对公为主，主要服务大型企业及上下游中小企业，好在分散度尚可，没有集中于地产的情况，个人信贷资产以房贷为主。</t>
  </si>
  <si>
    <t>地产敞口-1，内控负面（以贷养贷)-1</t>
  </si>
  <si>
    <t>澳大利亚联邦银行</t>
  </si>
  <si>
    <t>111922001.IB</t>
  </si>
  <si>
    <t>中国邮政储蓄银行股份有限公司</t>
  </si>
  <si>
    <t>中国邮政储蓄银行</t>
  </si>
  <si>
    <t>主要观点： 1.国有控股大型商业银行之一，行业地位显著，具有很强的系统重要性 2.业务范围遍布全国，业务结构综合性强且持续优化，收入结构良好 3.信用风险及流动性风险均在可控范围内 4.不良率和不良生成率下降，信贷资产质量提高 主要关注： 1.该行内控漏洞主要集中于实际业务经营层面，需关注该行内控漏洞对实际资产质量的影响 单一和前十大客户贷款集中度分比为18.72%和28.67%，较20年有所下降但仍需关注客户贷款集中度风险</t>
  </si>
  <si>
    <t>中国邮政集团有限公司</t>
  </si>
  <si>
    <t>111770304</t>
  </si>
  <si>
    <t>重庆农村商业银行股份有限公司</t>
  </si>
  <si>
    <t>重庆农村商业银行</t>
  </si>
  <si>
    <t>主要优势： 1、该行作为全国第三家、中西部首家省级农村商业银行，综合实力在全国农商行系统内排名前列。传统存贷款业务在当地具有较强竞争力，网点覆盖重庆全部区县，分支机构数量在县域和主城同业中均位列第一。 2、公司在重庆当地背景深厚，与城投等保持着密切的关系，便于拓展业务。 主要关注： 1、公司为了冲刺上市在18-19年放松了贷款标准，不良认定也较为宽松，20年以来信用减值损失较多，需关注其资产质量情况。整体来看，21年资产质量略有好转。 2、公司不良贷款主要来自公司业务，反映出公司业务授信管理不够审慎。20年的关联方授信中，隆鑫控股公开债务违约，西部航空进入破产重组程序。目前2家的坏账已基本处置完毕。 3、公司个人住房按揭贷款比例接近监管红线，后续资产增速可能受限。 4、2019-21年，该行同业负债/总负债分别为23.6%、23.2%、32.5%，客户存款/总负债分别为71.6%、69.6%、65.4%。21年客户存款占比降幅较大，需关注负债稳定性情况。</t>
  </si>
  <si>
    <t>重庆</t>
  </si>
  <si>
    <t>111770346</t>
  </si>
  <si>
    <t>威海市商业银行股份有限公司</t>
  </si>
  <si>
    <t>威海银行</t>
  </si>
  <si>
    <t>一、主要优势 1、该行主要在山东省16地市及天津经营，在威海市存贷款市场份额均排名第1，区域竞争力较强。 2、公司银行业务是该行主要收入来源，该行近两年营收增速明显快于同业，系零售业务持续发力，个人经营贷、消费贷以及住房抵押贷款维持高增。 3、2019-21年，该行净息差1.74%、1.99%、2.24%，受益于零售业务贷款投放加速以及融资成本改善，净息差持续扩大。同期该行加权平均ROE分别为10.27%、8.42%、7.90%，尽管净息差回升，但计提资产减值损失数额较大导致ROE下滑，ROE在同业中处于中等水平。 4、定期存款快速增长，同业负债占比下降，负债稳定性持续增强，为各项业务开展奠定较好基础。 二、主要关注 1、21年末该行不良、关注类贷款占比分别为1.47%和2.79%，由于核销金额较大，表观数值较20年有所改善。2019-21年，加回核销后的不良贷款总额25.2、34.1、42.3亿，近两年不良暴露较多，后续需关注相关资产质量情况。 2、该行保证类贷款占比较高，担保人主要为当地民营企业和自然人，代偿能力较弱，需关注保证类贷款的信用风险。</t>
  </si>
  <si>
    <t>地产敞口-1，内控及担保负面-1</t>
  </si>
  <si>
    <t>威海市</t>
  </si>
  <si>
    <t>111615195</t>
  </si>
  <si>
    <t>中国民生银行股份有限公司</t>
  </si>
  <si>
    <t>一、 主要优势 1、全国十二家股份制银行之一，业务规模在股份制商业银行中位居前列，市场地位显著。该行21年实现营业收入1688亿，同比-15%，归母净利润343.8亿，同比+0.2%，仍处于业务调整阵痛期。 2、对公业务和零售业务客群基础较好，投行业务和金融市场业务等保持前列。 二、 主要关注 1、2019-21年，该行加权平均ROE分别为12.40%、6.81%、6.59%，由于持续计提大额信用减值损失，ROE属于同业较低水平。整体来看，21年经营情况较20年有所改善，但幅度不及预期，后续盈利和资产质量情况需要保持关注。 2、2019-21年，公司计提信用减值损失628.1、929.9、774.0亿，近年来不良贷款风险有所暴露，主要与房地产业务敞口较大（21年末4734亿，较20年下降1169亿）、民企客户多、原先不良贷款认定标准较宽松等因素有关。截至21年末，关不良率1.79%，同比减少0.03个百分点；关注类贷款2.85%，同比下降0.14个百分点。 3、该行对同业负债依赖度较高，负债的稳定性有待提高。20、21年该行业绩表现均不及预期，同业负债和客户存款的稳定性可能受到负面冲击，后续需保持关注。</t>
  </si>
  <si>
    <t>公司治理负面，负债不稳，地产负面</t>
  </si>
  <si>
    <t>111607107</t>
  </si>
  <si>
    <t>招商银行</t>
  </si>
  <si>
    <t>全国十二家股份制银行之一，网点分布广泛且主要集中于经济发达地区，客户基础较为雄厚，具有一定的系统重要性；市场定位清晰，零售业务具有较强优势，具有较好的市场口碑和较强的市场竞争力，业务多元化；21年非信贷资产风险出现一定暴露，但信用风险及流动性风险均在可控范围内。整体风险可控。</t>
  </si>
  <si>
    <t>111770033</t>
  </si>
  <si>
    <t>青岛农村商业银行股份有限公司</t>
  </si>
  <si>
    <t>青岛农村商业银行</t>
  </si>
  <si>
    <t>主要观点： 1.青岛农商行对青岛城乡范围全面覆盖，营业网点位居区域首位，借此触及更广阔的客户，存贷款市场排名靠前：20年末青岛农商行在青岛市内存贷款市场份额分别为12.77%和10.13%，分别排名第1和第2名。 2.该行储蓄存款和定期存款占比较高，核心负债稳定性好。 3.该行息差维持同业高位。 主要关注： 1.20年以来，疫情催化下，该行以中小微企业为主的客户贷款风险加速暴露，不良生成速率加快。 2.贷款集中度高。 前十大客户集中度高，地产贷款占比高，且由于前期拓展业务存在不审慎情况，导致地产板块不良高位，警惕此轮地产紧缩周期下信用风险暴露。 资产始终处于高速扩张中，核心一级资本面临补充压力，且内控出现较大问题。</t>
  </si>
  <si>
    <t>地产敞口-2，内控负面及负债不稳-1</t>
  </si>
  <si>
    <t>青岛国信发展(集团)有限责任公司</t>
  </si>
  <si>
    <t>111770062</t>
  </si>
  <si>
    <t>江西银行股份有限公司</t>
  </si>
  <si>
    <t>江西银行</t>
  </si>
  <si>
    <t>江西省交通投资集团有限责任公司</t>
  </si>
  <si>
    <t>111890100</t>
  </si>
  <si>
    <t>星展银行(中国)</t>
  </si>
  <si>
    <t>以服务集团客户及出口东南亚中小企业为主，与母行星展有较大协同，传统信贷为主，贷款投放谨慎，地产占比偏高，但多为母行客户且多为商业地产项目，有一定安全垫；流动性很强；考虑地产风险敞口，以及严重依赖同业资金，下调3级；集团支持提1级</t>
  </si>
  <si>
    <t>地产敞口-1，负债不稳-1</t>
  </si>
  <si>
    <t>111770501</t>
  </si>
  <si>
    <t>长沙银行股份有限公司</t>
  </si>
  <si>
    <t>长沙银行</t>
  </si>
  <si>
    <t>主要观点： 1）该行作为湖南省首家且省内最大的法人金融企业，在业务资质、经营网络、品牌影响上有较突出的竞争优势，拥有丰富的政务金融业务资源，中小微金融业务在湖南省内市场保持领先，传统存贷业务市占率排名前列。 2）该行各项业务发展势头良好，信贷资产质量整体较好，盈利能力较强，ROE整体处于同业较高水平，净息差较同业高； 3）该行零售业务优势突出，2020年零售业务贡献公司总营收的比例首次超过40%，居可比同业首位。 主要关注： 1）需关注其不良贷款增长和非标资产质量风险。不良贷款总额增速偏高，且21年再次上升并超过贷款增速，21年不良生成率为1.48%。纳入阶段三的债权投资计提减值准备/非标信贷为5.15%，非标资产质量偏差且风险暴露偏快。 2）内部控制或存在一定漏洞。2019年原副行长因在贷款授信审批等事项上非法获利被查，公司也因经营贷款流入房地产、消费贷款三查不实等原因被监管处罚。 3）部分经营存在问题的关联方授信较多。截至2021年末，关联方贷款余额57.88亿，占资本净额的8.35%，其中对湖南新华联建设贷款余额4.29亿，湖南新华联国际石油贸易贷款余额3.88亿，湖南友谊阿波罗0.9亿，上述企业存在借款违约、经营业绩下滑等负面舆情。</t>
  </si>
  <si>
    <t>内控负面-1，负债不稳-1</t>
  </si>
  <si>
    <t>长沙市财政局</t>
  </si>
  <si>
    <t>111771499</t>
  </si>
  <si>
    <t>厦门国际银行股份有限公司</t>
  </si>
  <si>
    <t>厦门国际银行</t>
  </si>
  <si>
    <t>福建省福投投资有限责任公司</t>
  </si>
  <si>
    <t>111709064</t>
  </si>
  <si>
    <t>上海浦东发展银行股份有限公司</t>
  </si>
  <si>
    <t>上海浦东发展银行</t>
  </si>
  <si>
    <t>全国十二家股份制银行之一，网点分布广泛且主要集中于经济发达地区，客户基础较为雄厚，具有一定的系统重要性；公司金融业务具备较强市场竞争力，品牌认可度高；公司经营负面偏多，被银监出发金额和次数较大，成都分行曾参与造假案件，近年来多位高管涉嫌严重违纪违法，需关注该行风险合规管理情况；21年受净息差缩窄和中间收入占比降低及减值计提影响，ROE持续降低，不良生成率有所提升，考虑到股东和政府支持力度大，流动性风险总体在可控范围内。</t>
  </si>
  <si>
    <t>上海国际集团有限公司</t>
  </si>
  <si>
    <t>111770212</t>
  </si>
  <si>
    <t>东莞银行股份有限公司</t>
  </si>
  <si>
    <t>东莞银行</t>
  </si>
  <si>
    <t>主要观点： 1、东莞地区银行，表现弱于东莞农商行，主要因为上市进程受阻、资本不足影响了扩张速度；但反过来前期规模扩张慢也带来了资产质量改善的好处。 2、经营模式对标东莞农商，发挥东莞市场优势做大小微业务，21年小微贷款占比也达到了37%；核心业务仍以对公传统信贷为主，零售和中收基础较弱，近年主要在数字财政、村财代收、小商户交易和跨境结算上发力，中收增长势头较好；零售上主推消费贷和小额经营贷，两项业务增长也很快。 3、得益于小微业务占比较高，此外资本不足导致杠杆偏高，ROE保持在较高水平，19-21年分别为13.2%、12.17%、12.36%。 4、资产质量表现好，19-21年不良率分别为1.27%、1.19%、0.96%，加回核销后，2020-2021年不良贷款总额增速分别为-6.01%和-20.61%。 5、拨备安全垫持续改善，2019-2021年拨备覆盖率分别为208.03%、219.17%和259.48%。 主要关注： 1、资本不足导致经营杠杆偏高，19-21年年资本充足率分别为14.1%、14.54%和13.32%，核心一级资本充足率分别为9.3%、9.2%和8.64%，未来资本补充仍非常依赖上市进程。 2、前期规模扩张慢，21年扩张加速，加剧资本紧张，同时对同业资金的依赖度也明显提升，对潜在资产质量表现有负面影响。 3、股权分散风险：股权较为分散，无实际控制人，董事会由管理层掌握，东莞市政府在其中也没有确定的掌控力；股权风险是公司多次冲击IPO未果的原因之一。</t>
  </si>
  <si>
    <t>东莞市财政局</t>
  </si>
  <si>
    <t>111708096</t>
  </si>
  <si>
    <t>中信银行股份有限公司</t>
  </si>
  <si>
    <t>中信银行</t>
  </si>
  <si>
    <t>大型股份制商业银行之一，市场地位显著，具有很强的系统重要性；业务范围遍布全国，业务结构综合性强，在保持公司金融业务优势的同时继续推进零售业务转型，收入结构持续优化；房地产业、建筑业和交通运输、仓储和邮政业贷款出现一定风险暴露，该行对公房地产贷款在行业中占比较高，不良管理存在一定压力，但整体资产质量较稳定且21年不良生成率降低，整体风险可控，后续需持续关注风险暴露情况;较为依赖同业负债-1</t>
  </si>
  <si>
    <t>中国中信有限公司</t>
  </si>
  <si>
    <t>111780007</t>
  </si>
  <si>
    <t>广州农村商业银行股份有限公司</t>
  </si>
  <si>
    <t>广州农村商业银行</t>
  </si>
  <si>
    <t>优势： 1）该行所在地广东省和广州市经济保持较快增长，金融环境不断改善，为该行发展提供良好的外部环境； 2）该行存贷业务规模继续增长，在广州相关市场位居前列，具有较强的区域竞争优势； 3）20年底公司新任党委书记的政府背景和纪检工作经历丰富，预计公司内控能力后续将边际改善。 劣势： 1）受资产减值损失上升影响，21年盈利能力降幅较大，2019-2021年，该行ROE分别为12.24%、7.09%、4.64%，处于行业较低水平； 2）该行19年以来风险资产持续大量出清，账面资产质量下滑明显，拨备覆盖率降幅较大，21年有小幅回升； 3）截至2021 年末，该行房地产、建筑业和住房按揭贷款合计占比26.05%，租赁和商务服务业贷款占比15.18%，以商业厂房租赁为主，房地产及相关行业敞口较大。 4）原董事长与很多民企存在利益输送关系，2021年批发零售不良率猛增到7.35%，风险很可能会进一步暴露 5）关注类贷款占比偏高，未来不良生成压力偏大； 6）金融资产的信用质量偏低，信用质量存在下滑风险，未来存在减值计提风险； 7）近年出现高管违纪违法事件和信托贷款纠纷，反应公司内控和风险控制能力可能偏低。</t>
  </si>
  <si>
    <t>地产敞口-1，腐败、内控、信托事件等负面-2</t>
  </si>
  <si>
    <t>广州市</t>
  </si>
  <si>
    <t>111770469</t>
  </si>
  <si>
    <t>杭州银行股份有限公司</t>
  </si>
  <si>
    <t>杭州银行</t>
  </si>
  <si>
    <t>杭州财政局控股的城市商业银行，资产规模排名全国商业银行前列，存贷款区域市场份额高，有一定区域竞争力；目前营业收入仍集中在杭州市内，以公司金融业务为主导，整体盈利水平较高。信用风险方面，该行近3年信贷资产质量账面表现良好，非标投资业务占比处于行业中等水平，信用质量较好；信用缓释层面，拨备较为充足。流动性风险方面，同业负债占比偏高，但存款稳定性良好，流动性风险可控。综上，整体风险可控；;较为依赖同业负债-1</t>
  </si>
  <si>
    <t>负债不稳-2</t>
  </si>
  <si>
    <t>杭州市财政局</t>
  </si>
  <si>
    <t>111980324.IB</t>
  </si>
  <si>
    <t>浙江南浔农村商业银行股份有限公司</t>
  </si>
  <si>
    <t>浙江南浔农商行</t>
  </si>
  <si>
    <t>湖州适溪畜产品加工有限公司</t>
  </si>
  <si>
    <t>111770025</t>
  </si>
  <si>
    <t>福建海峡银行股份有限公司</t>
  </si>
  <si>
    <t>福建海峡银行</t>
  </si>
  <si>
    <t>主营小微业务，信贷资产质量尚可，但受非标资产拖累，盈利偏差</t>
  </si>
  <si>
    <t>负债不稳-1，内控负面-1</t>
  </si>
  <si>
    <t>福州市投资管理有限公司</t>
  </si>
  <si>
    <t>福州市</t>
  </si>
  <si>
    <t>111770048</t>
  </si>
  <si>
    <t>苏州银行股份有限公司</t>
  </si>
  <si>
    <t>苏州银行</t>
  </si>
  <si>
    <t>主要观点： 1、 该行主要在苏州市及江苏省内经营，区域竞争力强 2、 19年完成非公开发行A股股票，资本进一步充实 3、 规模增长及中间业务发展驱动业绩增长 4、 资产质量尚可，公司继续加强不良核销；另外公司近年加大拨备计提力度，拨备覆盖率上升。 主要关注： 1、 经营区域较为集中，分散度偏低 2、 盈利效率稍低，ROE中等偏低水平</t>
  </si>
  <si>
    <t>负面-1，负债不稳-1</t>
  </si>
  <si>
    <t>苏州国际发展集团有限公司</t>
  </si>
  <si>
    <t>111770003</t>
  </si>
  <si>
    <t>中山农村商业银行股份有限公司</t>
  </si>
  <si>
    <t>中山农商行</t>
  </si>
  <si>
    <t>主要观点： 1、 该行13年由农村信用社改制为农商行，股权结构较为分散，无控股股东和实控人。该行占据了中山市存、贷款市场份额的15.4%、13.0%，在中山市金融机构中排名第三，对于区域融资具有较为重要的意义。 2、 该行业务包括公司银行、个人银行和资金业务三大板块。公司业务主要服务小微企业，由于代理了当地财政存款，对公存款稳定性较强。个人银行贷款主要投向经营贷和房产抵押贷。资金业务适度借助同业负债加杠杆，投资于利率债等收益较高的资产。2018-21Q3，该行加权平均ROE分别为13.77%、15.20%、15.70%、15.56%（年化），盈利能力较强。 3、 2018-20年，客户存款/总负债分别为82.9%、82.1%和78.7%，吸收存款能力强，负债稳定性良好，流动性风险低。 主要关注： 1、 该行股权较为分散，无实际控制人。由于是农信社改制而来，内控制度建设方面较为薄弱，20年某支行长曾卷入14亿元诈骗案。 2、 贷款主要投向中山当地的小微制造企业，包括包装印刷、五金制品、灯饰、服装等，当前传统行业面临较大的竞争压力，需关注相关资产质量情况。2018-20年，不良率1.11%、0.96%、0.90%，历史资产质量较好。</t>
  </si>
  <si>
    <t>治理及内控风险-1</t>
  </si>
  <si>
    <t>中山市金裕投资有限公司</t>
  </si>
  <si>
    <t>中山市</t>
  </si>
  <si>
    <t>092280021.IB</t>
  </si>
  <si>
    <t>上海农村商业银行股份有限公司</t>
  </si>
  <si>
    <t>上海农村商业银行</t>
  </si>
  <si>
    <t>优势：该行主要在上海地区经营，拨备和资本充足，传统存贷业务在当地市场具有较强竞争力，整体盈利能力较强，拨备覆盖率高，拨备前利润稳定增长；该行在农商行中资产规模领先，公司银行业务较强，加权平均ROE高于同业，显示出较强的竞争力；2021年不良暴露减缓，资产质量边际好转。 关注：房地产业贷款占比高，有一定的行业集中风险；因违规贷款等行为被处罚，内控有一定缺陷；整体风险在可控范围内。</t>
  </si>
  <si>
    <t>上海国有资产经营有限公司</t>
  </si>
  <si>
    <t>111717071</t>
  </si>
  <si>
    <t>中国光大银行股份有限公司</t>
  </si>
  <si>
    <t>中国光大银行</t>
  </si>
  <si>
    <t>主要优势： 1、12家全国股份制银行之一，业务范围遍布全国，产品创新能力强，在理财产品、债券承销、托管和电子银行等领域形成了一定的特色产品服务体系和竞争优势。 2、2019-21年该行净息差2.31%、2.29%、2.16%，净息差水平较高，下滑幅度小于业内大部分银行。加权平均净资产收益率分别为11.77%、10.71%和10.64%，近年来小幅下滑，主要系从严确认不良贷款，计提信用减值损失较多影响。公司ROE仍维持同业较高水平。 3、经过连续两年的大额减值计提后，公司存量风险有所出清，不良增长势头得到了一定遏制。截至21年末，该行不良贷款率1.25%，下降0.13个百分点，关注类贷款占比1.86%，比上年末下降0.29个百分点。 主要关注： 1、20-21年该行计提信用减值损失较多，目前风险有所出清，需关注后续资产质量情况。 2、该行对同业负债的依赖度较高，2019-21年该行同业负债/总负债分别为28.68%、27.54%和30.73%。</t>
  </si>
  <si>
    <t>负债不稳</t>
  </si>
  <si>
    <t>中国光大集团股份公司</t>
  </si>
  <si>
    <t>111771186</t>
  </si>
  <si>
    <t>江苏张家港农村商业银行股份有限公司</t>
  </si>
  <si>
    <t>江苏张家港农村商业银行</t>
  </si>
  <si>
    <t>主要观点： 1、该行前身为张家港市农村信用合作联合社，2001 年改制后是全国首家由农村信用社改制组建的地区性股份制农村商业银行，股权较为分散。 2、张家港国资体系对公司控制能力预计较强，高管专业性预计较强，内控能力尚可。 3、大力发展异地业务，异地存贷款对公司存贷款贡献较高。 4、净息差处于同业较高水平，主业盈利能力较好，21年中间业务收入显著上升，净资产收益率处于同业中等偏上水平 5、近年加大拨备计提和不良核销后风险资产较好出清，不良率有所降低，关注率大幅降低。 6、对同业负债依赖度尚可，负债稳定性良好 主要关注： 1、非标资产占比不高，但质量偏弱 受当地资源禀赋和经济结构特征影响，该行贷款在制造业和批发和零售业的集中度偏高，中小客户占比偏高，可能受到区域经济、行业环境的影响，客户对宏观经济敏感度可能较高</t>
  </si>
  <si>
    <t>江苏沙钢集团有限公司</t>
  </si>
  <si>
    <t>张家港市</t>
  </si>
  <si>
    <t>111770465</t>
  </si>
  <si>
    <t>湖北银行股份有限公司</t>
  </si>
  <si>
    <t>湖北银行</t>
  </si>
  <si>
    <t>即将上市；高度依赖对公业务，风险已有明显暴露，存款高度依赖对公活期，稳定性偏差。</t>
  </si>
  <si>
    <t>湖北宏泰集团有限公司</t>
  </si>
  <si>
    <t>111716062</t>
  </si>
  <si>
    <t>上海银行股份有限公司</t>
  </si>
  <si>
    <t>上海银行</t>
  </si>
  <si>
    <t>优势：大型城市商业银行，主要在上海地区经营，存贷款区域市场份额高，有一定区域竞争力；目前营业收入仍集中在长三角地区内，以批发金融业务为主导，财富管理业务影响力扩大，ROE水平处于行业中位；养老金融是上海银行的特色及优势领域，截至2021年末，该行养老金客户160.87万户，上海地区养老金存量客户位列第一。 关注：信用风险方面，不良贷款增速降低但逾期贷款率上升，较多非标投资计入三阶段，主要是上海银行房地产行业贷款和个人消费贷款不良率上升，信用质量偏弱；流动性风险方面，同业负债占比偏高，存款稳定尚可；信用缓释层面，拨备较为充足，信用风险可控。 综上，整体风险可控。</t>
  </si>
  <si>
    <t>上海联和投资有限公司</t>
  </si>
  <si>
    <t>111706006</t>
  </si>
  <si>
    <t>交通银行</t>
  </si>
  <si>
    <t>主要优势： 1、国有控股大型商业银行之一，具有很强的系统重要性，能够获得政府的大力支持。 2、20年不良贷款增速远超贷款增速，主要系疫情冲击和从严确认不良贷款影响，21年资产质量小幅改善。截至21年末，不良率1.48%，同比下降0.19个百分点；关注类贷款1.35%，同比下降0.06个百分点。 主要关注： 1、2019-21年，该行净息差1.58%、1.57%、1.56%，属于同业较低水平；同期加权平均ROE分别为11.20%、10.35%、10.76%，处于同业中等水平。</t>
  </si>
  <si>
    <t>中华人民共和国财政部</t>
  </si>
  <si>
    <t>111611264</t>
  </si>
  <si>
    <t>平安银行股份有限公司</t>
  </si>
  <si>
    <t>平安银行</t>
  </si>
  <si>
    <t>优势： 1）全国十二家股份制银行之一，控股股东平安集团提供强大支持，营业机构主要集中在经济较发达地区，客户基础较为雄厚，具有一定的系统重要性； 2）21年净息差回升带动ROE边际回升，盈利能力处同业较高水平。 3）信贷资产质量整体可控，19-21年不良增速均低于贷款增速。 4）计提较多减值损失，为未来资产质量可能下行提供更厚的安全垫。2019-2021年拨备覆盖率分别为183.12%、201.4%和288.42%，。 关注： 1）个人贷款不良有一定程度上升。公司个人贷款不良率从20年的1.13%上升至21年的1.21%，主要是汽车金融贷款、个人经营贷款、小额消费贷款等不良率上升所致。 2）信用贷款占比有一定程度上升。2020-2021年，信用贷款分别占比51.55%和61.21%，保证贷款分别占比7.46%和5.63%，抵押贷款分别占比26.13%和31.65%，质押贷款分别占比14.86%和1.52%。 3）非标资产质量不高。该行非标信贷共1707亿，在总资产中占比3.47%。截至2021年末，纳入阶段三的债权投资计提减值准备/非标信贷为4.99%。</t>
  </si>
  <si>
    <t>中国平安保险(集团)股份有限公司</t>
  </si>
  <si>
    <t>111770016</t>
  </si>
  <si>
    <t>江苏常熟农村商业银行股份有限公司</t>
  </si>
  <si>
    <t>江苏常熟农村商业银行</t>
  </si>
  <si>
    <t>主要观点： 1.该行前身是常熟市农村信用合作社联合社，对常熟城乡范围全面覆盖，在常熟市的存、贷款市场份额分别为28.55%、15.33%，均位居首位。 2. 近三年该行净息差分别为3.33%、3.01%、2.95%，小幅收窄但仍处于同业较高水平。 3.负债端吸收存款2121.58亿元，占比83.9%，其中储蓄存款占比63.44%、定期存款占比63.19%；同业负债比11.51%，存款稳定性良好。 主要关注： 1.该行贷款在制造业和批发和零售业的中小微客户集中度偏高。21年疫情反复和宏观经济下行对小微企业造成冲击；但考虑到该行存量不良户均金额较小，风险总体可控。 2.该行异地业务占比较高，近年来下属村镇银行出现多起违规事件；但21年起该行将异地分支机构的授信审批权限上收至总行，并实行单户授信限额及抵质押率分类管理，不良贷款率从0.96%下降至0.81%，跨区域经营和风险防控能力逐步加强。 3.随着业务规模的增长，该行资本充足率有所下滑，21年资本充足率和核心一级资本充足率分别为11.95%和10.21%，但整体看该行资本内生能力较强；同时该行于22年8月4日获得公开发行不超过60亿元的可转债批复。</t>
  </si>
  <si>
    <t>常熟市</t>
  </si>
  <si>
    <t>111770001</t>
  </si>
  <si>
    <t>中原银行股份有限公司</t>
  </si>
  <si>
    <t>中原银行</t>
  </si>
  <si>
    <t>对公业务为主，历史负担重，对公贷款不良率高达4%，非标持有占比超过30%，盈利、资本差，较为依赖对公活期存款；省级一定支持</t>
  </si>
  <si>
    <t>河南投资集团有限公司</t>
  </si>
  <si>
    <t>河南</t>
  </si>
  <si>
    <t>郑州市</t>
  </si>
  <si>
    <t>111770510</t>
  </si>
  <si>
    <t>广东南海农村商业银行股份有限公司</t>
  </si>
  <si>
    <t>广东南海农村商业银行</t>
  </si>
  <si>
    <t>主要观点： 1、该行为广东省规模较大的农村商业银行，存贷款业务在佛山市南海地区市占率25%左右。 2、该行盈利能力有所下降但仍处于较强水平，19-21年加权平均ROE分别为17.7%，14.6%、13.8%，近年来下滑主要系由于净息差收缩及受疫情影响计提的资产减值损失增加所致。 3、该行以民营小微客户为主，风险控制尚可。21年末不良贷款率1.08%，关注类贷款1.91%，拨备覆盖率295.31%，尚有一定安全垫。 4、负债稳定性良好，存款/总负债约80%，且定期存款占比较高。 主要关注： 1、该行股权结构分散，无实控人。 2、该行当前房地产贷款不良率高于同业。该行前十大贷款客户以地产产业链的企业为主，包括地产开发、建材等，当前地产景气度下行，需关注客户还款情况。 3、该行21年不良贷款增速高于贷款增速，后续需关注资产质量情况。</t>
  </si>
  <si>
    <t>内控负面</t>
  </si>
  <si>
    <t>佛山市南海承业投资开发管理有限公司</t>
  </si>
  <si>
    <t>佛山南海区</t>
  </si>
  <si>
    <t>111714094</t>
  </si>
  <si>
    <t>江苏银行股份有限公司</t>
  </si>
  <si>
    <t>江苏银行</t>
  </si>
  <si>
    <t>优势：该行是江苏省唯一一家省属地方法人银行，主要在江苏地区经营，区域竞争力强；收入结构持续改善，零售业务发展较好，客户基础进一步夯实；拨备前利润增速较快，整体资产质量较为稳定。 关注：20年以来贷款结构中信用贷款占比增加，质押贷款占比下降，需要持续关注风险暴露情况。 该行流动性风险总体在可控范围内。</t>
  </si>
  <si>
    <t>江苏省国际信托有限责任公司</t>
  </si>
  <si>
    <t>111770243</t>
  </si>
  <si>
    <t>重庆银行股份有限公司</t>
  </si>
  <si>
    <t>重庆银行</t>
  </si>
  <si>
    <t>主要观点 1. 重庆地区城商行，引入较多战略投资者，暂无实际控制人 2. 公司银行业务为主，存贷规模保持较好的增长，但个人业务受到联合贷款监管影响，规模萎缩 3. 2019-2021年拨备覆盖率分别为279.83%、309.13%和274.01%，21年拨备覆盖率有所下降。 4. 19-21年拨备前利润增速分别为9.33%、11.93%及12.14%，增速尚可。 主要关注 1. 部分股东面临经营和债务危机 2. 资产质量偏弱。信贷资产不良生成压力较大，非信贷资产中非标占比较高且已出现违约 3. 同业负债占比偏高，负债稳定性偏弱 4. 表外业务规模偏大，可能面临一定信用风险</t>
  </si>
  <si>
    <t>111613037</t>
  </si>
  <si>
    <t>浙商银行股份有限公司</t>
  </si>
  <si>
    <t>浙商银行</t>
  </si>
  <si>
    <t>一、主要优势 1、该行为12家全国性股份行之一，具有一定规模效应。2019-21年，该行净息差2.34%、2.19%、2.27%，基本保持稳定，加权平均ROE分别为12.92%、10.03%和9.83%，计提减值导致ROE持续下行，在同业中属于中等水平。 2、公司主要在浙商投资较为集中的省份经营，包括长三角、珠三角和环渤海地区等，所在区域经济基础好，同时经营地域也较为分散。 二、主要关注 1、不良贷款快速增长，资产质量下行。19-21年不良率分别为1.37%、1.42%、1.53%，同期拨备覆盖率分别为220.80%、191.01%、174.61%。公司受早年扩张激进的影响，资产质量持续下行，不良贷款主要集中在制造业、长三角地区，后续需关注相关行业、区域的经济景气度。 2、当前房地产市场整体压力较大，而该行房地产贷款敞口（12.52%）较高，21年新增不良也较多，需关注后续资产质量情况。 3、该行非标资产风险有所暴露，后续仍面临一定减值压力。受房地产暴雷影响，公司非标类资产21年计提减值124.4亿，另有154.0亿已逾期未发生信用减值。 4、21年公司信用类贷款不良率大幅上升，同时从贷款结构来看，信用贷款占比大幅上升（可能有疫情冲击下响应国家政策积极放款的影响），需要关注公司信用下沉情况。</t>
  </si>
  <si>
    <t>地产敞口-1，负债不稳-1，腐败内控负面-1</t>
  </si>
  <si>
    <t>111510109</t>
  </si>
  <si>
    <t>兴业银行股份有限公司</t>
  </si>
  <si>
    <t>兴业银行</t>
  </si>
  <si>
    <t>主要观点： 1、全国十二家股份制银行之一，第一大股东为福建省财政厅提供较强支持，业务综合发展，同业业务优势突出。 2、在北京、江苏、浙江、广东、福建等省市区设立了45家分行级机构，经营区域有一定程度分散。 3、盈利能力处于行业较高水平。 4、信贷资产质量整体可控，20-21年不良增速均低于贷款增速。 5、资本充足水平不断提高，19-21年资本充足率分别为12.2%、13.36%、13.47%、14.39%，核心一级资本充足率分别为9.3%、9.47%、9.33%、9.81% 6、公司拨备覆盖率水平较高，有较厚的安全垫。 主要关注： 1、非标资产占比较高。2021年，该行金融投资中非标资产7429.16亿，占金融投资的24.78%，非标资产占比偏高。截至21年末，纳入阶段三的债权投资计划计提减值准备/非标资产3.1%，非标资产质量一般。 2、同业负债占比较高。2021年末，该行同业负债/总负债为41.35%，该行对同业负债依赖度在同业中处于较高水平</t>
  </si>
  <si>
    <t>福建省金融投资有限责任公司</t>
  </si>
  <si>
    <t>111870759.IB</t>
  </si>
  <si>
    <t>吉林九台农村商业银行股份有限公司</t>
  </si>
  <si>
    <t>九台农商银行</t>
  </si>
  <si>
    <t>吉林省信托有限责任公司</t>
  </si>
  <si>
    <t>111770712</t>
  </si>
  <si>
    <t>宁波银行股份有限公司</t>
  </si>
  <si>
    <t>宁波银行</t>
  </si>
  <si>
    <t>A</t>
  </si>
  <si>
    <t>1）该行公司治理良好，管理层决策机制灵活且贯彻效率高，市场化激励到位，在宁波地区具备较强的品牌影响力；业务定位和资源投入突出个人业务和中小企业，保持了良好的盈利水平。 2）该行风控管理严格，不良率明显低于同业，信贷资产质量处于业内较好水平，房地产行业占比低； 主要关注： 该行经营区域集中，竞争压力较大。信用风险方面，需关注其非标投资占比较高且区域集中，但目前非标不良很少，侧面反映出该行的风控能力良好。流动性风险方面，需关注其对同业负债依赖度较高。 综上，整体风险可控。</t>
  </si>
  <si>
    <t>宁波开发投资集团有限公司</t>
  </si>
  <si>
    <t>111619139.IB</t>
  </si>
  <si>
    <t>恒丰银行股份有限公司</t>
  </si>
  <si>
    <t>恒丰银行</t>
  </si>
  <si>
    <t xml:space="preserve"> </t>
  </si>
  <si>
    <t>历史负担重，内控重大问题，资产质量表观及隐含都很差，资本不足;较为依赖同业负债-1</t>
  </si>
  <si>
    <t>负债不稳-1，地产敞口-1</t>
  </si>
  <si>
    <t>111770834</t>
  </si>
  <si>
    <t>广州银行股份有限公司</t>
  </si>
  <si>
    <t>广州银行</t>
  </si>
  <si>
    <t>主要观点： 1、 广州银行成立于1996年，前身是46家城市信用合作社组件的广州城市合作银行，总部位于广州市 2、 近年公司贷款总额保持较快增长，净息差保持稳定，利息净收入相应跟随增长；中间业务收入和投资收益亦出现较快增长 3、 成本控制有效，成本收入比稳定下降 4、 受益于公司存款中有较多政府性存款，负债端稳定性尚可 5、 2018-2021年拨备覆盖率分别为231.26%、217.3%、241.75%和189.43%，高于监管要求，拨备安全垫尚可，但需注意21年由于不良贷款增加较快使得拨备覆盖率有所下降。 主要关注： 1、 该行在广州市本地市场占有率较低，竞争力偏弱 2、 2017年被调查的李舫金曾任该行副董事长兼总经理，18年以来公司不良上升可能有公司主动暴露前任领导不良资产的原因 3、 该行目前股权集中度偏高，超过银保监“主要股东包括战略投资者持股比例一般不超过20%”的规定，或成为该行上市的一个阻碍 4、 不良生成的压力较大。其中房地产业、批发和零售业、信用卡业务是不良生成的主要来源；根据最新披露的20年末前十大贷款客户明细包含华夏幸福、苏宁系、宝能系企业。考虑到近年来房地产政策环境、民营企业融资环境偏紧，预计未来公司不良生成压力仍大。21年末关注类贷款占比3.65%，较20年增加2.33个百分点，未来不良生成压力仍大，需关注重点行业资产质量情况。 5、 贷款的地域分布集中，其他地区的贷款余额占比达21.19%。其他地区贷款可能集中于南通市城投下属子公司。 6、 贷款的行业和客户分布集中。单一和前十大客户贷款集中度分别为5.78%和36.84%，截至21年末，公司租赁和商务服务业、房地产业及批发零售业分别占对公贷款的29.34%、24.98%、9.44%，贷款集中度较高，其中房地产业占比21年较20年提升1.43个百分点。</t>
  </si>
  <si>
    <t>地产敞口-1，负债不稳-1.内控-1</t>
  </si>
  <si>
    <t>广州金融控股集团有限公司</t>
  </si>
  <si>
    <t>111612243</t>
  </si>
  <si>
    <t>北京银行股份有限公司</t>
  </si>
  <si>
    <t>北京银行</t>
  </si>
  <si>
    <t>主要优势： 1、公司为上市大型城商行，主要在北京地区经营，在深圳、上海、山东等地区也有一定布局，受区域经济波动的影响相对可控。 2、公司规模处于行业前列，收入结构持续改善，营业收入不断提高，且保持者较高的资本充足率；近年保持较大规模的不良贷款核销，资产质量维持账面稳定。21年末，该行不良率1.44%，关注类贷款占比为1.48%，属于同业较低水平，同比变化不大。 3、北京国资、京能源等为公司股东，股东背景良好，可以在增资等方面获得股东支持。 主要关注： 1、非标投资仍维持较高比例，21年末余额2823.55亿，近年来持续压降。当年非标计提的减值129.5亿，减值规模较20年大幅增长，可能与房地产非标有关，后续需关注相关资产质量情况。 2、2019-21年，该行净息差2.07%、1.92%、1.83%，资产收益率下行导致净息差持续收窄，加权平均ROE分别为11.45%、10.65%和10.29%，小幅下滑，不过仍处于行业中等水平。 3、公司不良贷款增速较快，从康得新、北大方正等事件来看，风控存在一定缺陷。</t>
  </si>
  <si>
    <t>内控、负债不稳-1</t>
  </si>
  <si>
    <t>荷兰安智银行股份有限公司</t>
  </si>
  <si>
    <t>111770074</t>
  </si>
  <si>
    <t>哈尔滨银行股份有限公司</t>
  </si>
  <si>
    <t>哈尔滨银行</t>
  </si>
  <si>
    <t>哈尔滨经济开发投资有限公司</t>
  </si>
  <si>
    <t>111691901</t>
  </si>
  <si>
    <t>南京银行</t>
  </si>
  <si>
    <t>该行主要在南京市及长三江地区经营，区域竞争力强；20年完成非公开发行A股股票，资本进一步充实；收入结构持续改善，零售业务发展较好，客户基础进一步夯实；盈利能力保持稳定，21年净息差保持稳定；资产质量尚可，公司继续加强不良核销，但公司贷款中城投类贷款占比偏高，需关注城投平台信用资质（尤其是苏北区域）变化对公司资产质量的影响。流动性风险总体在可控范围内。</t>
  </si>
  <si>
    <t>管理层负面-1</t>
  </si>
  <si>
    <t>法国巴黎银行</t>
  </si>
  <si>
    <t>111618166</t>
  </si>
  <si>
    <t>华夏银行股份有限公司</t>
  </si>
  <si>
    <t>华夏银行</t>
  </si>
  <si>
    <t>主要优势： 1、全国十二家股份制银行之一，经营地域较为分散，在银行系统中具有一定重要性。 2、对公业务积累深厚，是公司的主要利润来源。20年以来存量风险逐步出清，资产质量有所改善。2019-2021年，该行加权平均ROE分别为10.61%、8.64%和9.04%，ROE下滑主要系净息差下降和资产减值损失计提较多影响，21年小幅回升。2021年末，该行不良率1.77%，关注类贷款3.10%，同比均小幅下降。 3、该行股东背景较强，与公司存在一定的业务协同，近年来多次增资，有帮助公司补充资本的意愿和能力。 主要关注： 1、公司19年不良贷款增速较快，可能与高管换届有关，近两年不良增速转负，不过拨备覆盖率始终处于较低水平，后续需关注资产质量情况。 2、该行资本充足率持续降低，21年末为12.82%，面临资本补充压力。22年8月，股东首钢集团和京投公司拟通过非公开发行方式分别认购该行50亿元、30亿元的股票，同时该行获准发行300亿二级资本债。 3、该行零售客户基础相对薄弱，储蓄存款占比较低，核心负债基础有待加强；对同业负债依赖度偏高，流动性管理面临一定压力。</t>
  </si>
  <si>
    <t>首钢集团有限公司</t>
  </si>
  <si>
    <t>111721032</t>
  </si>
  <si>
    <t>渤海银行股份有限公司</t>
  </si>
  <si>
    <t>渤海银行</t>
  </si>
  <si>
    <t>华北及东北业务占比高，以对公大客户业务为主，信贷存量风险还待消化，新增暴露尚可；投资资产偏差，非标占比高达30%，投资资产中二+三阶段占比超过10%；此外表外票据业务规模大且保证金比例低，内控有一定问题;较为依赖同业负债-1</t>
  </si>
  <si>
    <t>天津泰达投资控股有限公司</t>
  </si>
  <si>
    <t>111870139.IB</t>
  </si>
  <si>
    <t>绵阳市商业银行股份有限公司</t>
  </si>
  <si>
    <t>绵阳市商业银行</t>
  </si>
  <si>
    <t>五矿资本控股有限公司</t>
  </si>
  <si>
    <t>绵阳市</t>
  </si>
  <si>
    <t>111771718</t>
  </si>
  <si>
    <t>郑州银行股份有限公司</t>
  </si>
  <si>
    <t>郑州银行</t>
  </si>
  <si>
    <t>主要观点： 1、业务以河南省内为主，郑州市场存款份额第一、贷款第四，地区竞争力尚可。 2、以传统信贷业务为主，息差水平较高，拨备前利润水平较好。 3、港股和深交所双重上市，资本补充渠道畅通，经过补充后资本充足率显著回升，19-21年资本充足率分别为12.11%、12.86%和15%，核心一级资本充足率分别为7.98%、8.92%和9.49%。 4、经过连续大额减值核销，整体信贷资产质量可能有所改善，19-21年不良+关注+核销占比分别为6.43%、6.36%、5.33%。 主要关注： 1、过于依赖信贷业务，中收依赖非标相关投行和理财收入，近年被迫压降，其他中收包括信用卡等都在下降趋势。 2、信贷业务风险管理能力存疑，不良+关注+核销还保持在5%以上，绝对值维持高位，减值损失对利润侵蚀严重，造成ROE水平偏低且持续下滑（19-21年9.3%、8.4%、7.2%）；从投向来看，存量资产中地产相关敞口达33%，批发和零售、制造业、住宿和餐饮、农林牧渔业不良率分别高达4.17%、3.57%、8.63%、3.64%，抵质押占比低于50%；21年补充资本后贷款扩张很快，但主要流向了公共事业、房地产和建筑业，此外还有对宅后重建及疫情恢复支持偏小微业务的租赁和商业，所处河南地区传统行业表现并不乐观；从经营表现来看，风险收益并不对等，息差相比同业平均高20-30BP，但近年每年计提的减值损失超过拨备前利润的一半，收益的提高无法弥补资产质量的大幅下滑。 3、前期积累了大量非标资产，经过压降后占比仍处于高位（21年压降342亿），且资产质量较差。21年非标投资在投资资产中占比高达40.1%，主要投向基础设施建设、房地产及建筑业，19-21年分别计提减值损失8.4亿、13.2亿、30.7亿，风险暴露快速增长。 4、严重依赖发行同业存单实现快速扩张，21年同业负债占比32.54%，排名同业末位，负债端未来面临较大不确定性。 5、面对资产质量和负债稳定性两方面的较大不确定性，公司的风险缓释能力较差，2019-2021年拨备覆盖率分别为159.85%、160.44%和156.58%。 6、中原银行吸收合并洛阳银行、平顶山银行及焦作中旅银行后，总资产规模达到1.25万亿（公司的2倍），据推测河南省财政厅对新中原支持资金在150-300亿，并且考虑到河南省级平台对新中原的第一大股东关系，预计将对区域银行竞争格局产生较大影响，公司的区域地位和外部支持可能被削弱。从股权关系和董事会组成看，公司机制偏市场化，郑州市政府对公司的控制力有限。</t>
  </si>
  <si>
    <t>河南村镇负面</t>
  </si>
  <si>
    <t>111770011</t>
  </si>
  <si>
    <t>天津银行股份有限公司</t>
  </si>
  <si>
    <t>天津银行</t>
  </si>
  <si>
    <t>天津保税区投资有限公司</t>
  </si>
  <si>
    <t>111891887</t>
  </si>
  <si>
    <t>兰州银行股份有限公司</t>
  </si>
  <si>
    <t>兰州银行</t>
  </si>
  <si>
    <t>主要观点： 1、甘肃省统治地位银行，存贷款份额均第一，资产规模超过4000亿，个人定期存款占比很高，负债端稳定性较好。 2、国有法人股占比30.31%，股东中兰州城投系因为兰州债务压力较大存在一定负面，但兰州市政府在资本补充、业务拓展和风险化解上给予公司较多支持；12月刚获批A股IPO，预计募资20亿，相较公司目前51亿的股本有较大补充。 3、投资风格偏稳健，非标占比很低（2.99%），同业业务占比很低（6.61%），证券投资中政府债券占比逐年提升，企业债券占比不到10%。 4、贷款业务以小微企业及企业主为主，分散度很高，但受制于甘肃经济环境，近年不良明显上升（2021H1 171%），同时加大减值力度，拖累盈利水平，但不良相比甘肃平均水平（6.5%）表现较好，反映出公司控制风险措施的成效。 5、2021年前三季度甘肃省GDP7401亿，同比增长8.5%，兰州2327亿，同比增长13.46%，甘肃省整体仍弱于全国平均水平，传统产业调整负担较重，但兰州作为甘肃的领先地区，已经先行一步，经济恢复较快，特别是兰州新区高新产业表现较好。 主要关注： 1、盈利能力下滑：近年甘肃经济增速放缓，公司主要服务的中小企业逾期和不良增加，对应加大了资产减值准备的力度，2018-2020年加权平均ROE分别为11.34%、7.07%、6.86%，净息差分别为2.28%、未公布、1.37%。 2、贷款集中度风险：截止2021H1，最大单一客户贷款/资本净额和最大十家客户贷款合计/资本净额分别为4.57%和41.7%，最大十家占比较年初上升4.5个百分点。 3、关联业务风险：截至2021H1，全部关联方授信余额占资本净额的比重为28.65%，建新集团发生债务危机后，云翔典当及威远五矿两家关联企业以原价10.7888亿元受让公司对建新集团及其关联公司贷款，被质疑合理性。</t>
  </si>
  <si>
    <t>兰州市财政局</t>
  </si>
  <si>
    <t>111771010</t>
  </si>
  <si>
    <t>成都银行股份有限公司</t>
  </si>
  <si>
    <t>成都银行</t>
  </si>
  <si>
    <t>主要观点： 1. 该行以成都为大本营，分支机构分布于四川省内多个地级市，并在重庆及西安设有省外分行。该行目前实际控制人为成都市国资委，依托股东及地缘优势，公司在成都的存贷款占比较高。 2. 该行近年来处于扩张期，资产规模增速维持在15%以上，目前成渝双城经济圈战略规划落地，为该行业务发展带来新机遇。 3. 该行近年来资产质量改善，22H1公司不良率进一步下降为0.83%、关注类下降为0.5%，，不良增速远低于贷款增速。 主要关注： 1. 该行贷款中对公贷款占绝对优势，结合非标投向来看，客户中四川省内城投平台应较多，在城投融资背景收缩背景下，需关注该行业务持续增长能力。 2. 该行盈利主要依赖于传统的存贷净息差，中间业务收入占比低，息差整体呈下降趋势。</t>
  </si>
  <si>
    <t>成都交子金融控股集团有限公司</t>
  </si>
  <si>
    <t>111772317</t>
  </si>
  <si>
    <t>南洋商业银行(中国)有限公司</t>
  </si>
  <si>
    <t>南洋商业银行(中国)</t>
  </si>
  <si>
    <t>信达子公司-香港银行南洋商业银行的境内子公司，地产占比高，合作客户偏弱，母行实力偏弱，难以提供境内外的有效协同；历史问题和信达潜在风险，下调一级</t>
  </si>
  <si>
    <t>地产-2</t>
  </si>
  <si>
    <t>南洋商业银行有限公司</t>
  </si>
  <si>
    <t>111771389</t>
  </si>
  <si>
    <t>富邦华一银行有限公司</t>
  </si>
  <si>
    <t>富邦华一银行</t>
  </si>
  <si>
    <t>主要观点： 1.该行成立以来积极围绕台商密集地区布设网点，目前已基本完成在长三角、珠三角、京津冀地区及成渝城市群的机构布局； 2.依托大陆的台资企业和个人展业，与其他银行形成一定差异化竞争； 3.整体信贷和金融投资风险偏好尚可，资产质量维持良好； 4.富邦华一银行在富邦金控的中国大陆业务发展中具有重要的战略地位，在资金、风险管理和信息技术、客户资源及产品创新等方面得到母公司的大力支持。 主要关注： 1.外资银行在大陆无零售揽储优势，目前存款以对公存款为主，前十大存款集中度很高，平均付息成本高，存款稳定性差。 2.盈利能力偏弱：息差和ROE处于中等偏弱水平，主要系存款成本偏高，以及客户端以台资和国资大客户为主利率偏低所致。 3.为提升盈利水平，该行近年加大与互联网平台合作，零售贷款快速扩张，已出现部分经营不审慎的监管处罚，关注后续合规经营风险和业务调整压力。 4. 截至21年末，该行房地产、建筑业及住房按揭贷款合计占比24.06%，整体风险敞口较大，需关注后续资产质量变化情况</t>
  </si>
  <si>
    <t>台北富邦商业银行股份有限公司</t>
  </si>
  <si>
    <t>111770743</t>
  </si>
  <si>
    <t>厦门银行股份有限公司</t>
  </si>
  <si>
    <t>厦门银行</t>
  </si>
  <si>
    <t>对公业务为主，但经营环境较好且分散度较好，信贷资产风险暴露少；盈利、资本、流动性表现均较好；有一定非标敞口，此外同业负债占比偏高、对公活期存款占比偏高各降1级</t>
  </si>
  <si>
    <t>厦门金圆投资集团有限公司</t>
  </si>
  <si>
    <t>111770755</t>
  </si>
  <si>
    <t>天津农村商业银行股份有限公司</t>
  </si>
  <si>
    <t>天津农商银行</t>
  </si>
  <si>
    <t>天津港(集团)有限公司</t>
  </si>
  <si>
    <t>2121005.IB</t>
  </si>
  <si>
    <t>112174755.IB</t>
  </si>
  <si>
    <t>恒生银行(中国)有限公司</t>
  </si>
  <si>
    <t>恒生银行(中国)</t>
  </si>
  <si>
    <t>恒生银行全资子公司</t>
  </si>
  <si>
    <t>地产敞口-2，负债不稳-2</t>
  </si>
  <si>
    <t>恒生银行有限公司</t>
  </si>
  <si>
    <t>111892026</t>
  </si>
  <si>
    <t>汇丰银行(中国)有限公司</t>
  </si>
  <si>
    <t>汇丰银行(中国)</t>
  </si>
  <si>
    <t>主要观点： 1、公司是汇丰香港全资设立的外资银行，也是国内目前经营规模最大的外资银行。汇丰主要营收和盈利都来自大中华地区，公司作为大陆唯一银行牌照，对母行汇丰香港具有较高重要性。依托母行汇丰为香港第一大银行和国际性银行的地位，并且直接得到汇丰香港的业务支持，公司在外币业务、跨境金融服务、财富管理等领域影响力超出其规模体量。截至2021年末，公司总资产5742亿元，网点覆盖城市超过50个，以发达地区中心城市为主，市场份额及网点覆盖程度排名在大陆外资行第一位。 2、截至2021年末，汇丰香港总资产9.9万亿港元，净资产8568亿港元，普通股权一级资本充足率15.4%，一级资本充足率16.8%，2021年不良率为1.11%。2021年实现营业收入2547亿港元，净利润725.5亿港元。截至2021年末公司经营地覆盖亚太主要国家，负责汇丰集团亚太地区包括银行、保险等在内的业务，位列全球前十大银行之一，持有汇丰银行（中国）有限公司全资子公司，并持有交通银行19.03%股份。 3、公司风险偏好很低，偏低的资产收益率和偏高的成本开支拖累了盈利能力：总资产中贷款投放仅占41.7%，且以对公优质大客户和个人住房抵押贷款为主，2021年平均贷款收益率仅3.84%；金融投资中政府债券投资占比高达84%；成本收入比62.5%远高于行业平均水平，主要受到薪酬、行政和物业租金成本较高影响；2019-2021年，公司加权平均ROE分别为8.9105%、7.0152%、7.4891%，净息差分别为1.71%、1.46%、1.39%，拨备前利润分别为52.44亿、45.88亿、45.73亿。 4、财富管理业务竞争力较强：依托母行在发达市场的经验以及对大陆财富管理业务的重点投入，公司2021年财务管理代理佣金收入为10.2亿，占总营收接近10%；依托偏高端客户定位，推出汇丰聆峰个性化理财规划服务，归属汇丰聆峰的专业理财规划师超过1000名，融合金融科技手段以及专业一对一规划服务，业务竞争力较强，为公司带来新的高毛利业务增长点。 5、资产质量保持较高水平：2020-2021年关注类贷款占比分别为1.51%、1.37%，关注+不良+核销分别为2.09%、1.64%，属于同业中最低水平之一；2020-2021年不良贷款总额增速分别为-5.89%和-47.27%，疫情以来也没有出现增长；非信贷资产以政府债券投资为主，非标占比非常小。 6、资本及拨备覆盖非常稳健：2019-2021年年资本充足率分别为16.2%、16.8%和15.7%，核心一级资本充足率分别为15.5%、15.9%和14.8%；2019-2021年公司拨备覆盖率分别为376%、800%、908%；处于行业最高水平之一。 主要关注： 1、贷款业务规模较小，且以大客户为主，存在集中度较高的风险：截至2021年末，最大单家非同业单一客户贷款比例为8.5%，最大单家非同业集团或经济依存客户风险暴露比例为13.9%；企业贷款发放前三大行业分别为制造业（25%）、批发和零售业（18%）、房地产业（12%）。 2、2019-2021年，公司同业负债/总负债分别为28.93%、28.64%和31.41%，在全国158家银行中所处分位数为89%；客户存款/总负债分别为60.58%、59.75%和59.25%；公司对同业负债依赖程度较高，负债稳定性一般。</t>
  </si>
  <si>
    <t>信息不透明及负债不稳-2</t>
  </si>
  <si>
    <t>香港上海汇丰银行有限公司</t>
  </si>
  <si>
    <t>111771935</t>
  </si>
  <si>
    <t>华商银行</t>
  </si>
  <si>
    <t>主要观点： 1、 该行为工银亚洲全资子公司，属于工商银行集团，在融资和业务拓展等方面等得到母行的大力支持。 2、 公司银行业务和资金业务为该行主要收入来源，净息差较高，但不良暴露也较多，盈利能力属于同业中等水平。资金业务以利率债投资为主，安全性良好。 3、 近年加大拨备计提和不良核销，不良率虽有上升但整体处于较低水平，拨备安全垫良好。 主要关注： 1、 该行房地产贷款占比高，受国家调控影响，房地产业经营承压，目前已有部分不良暴露，后续需关注其资产质量情况。 2、 同业负债占比高，不过由于主要来自工行拆借，融资稳定性尚可。</t>
  </si>
  <si>
    <t>中国工商银行(亚洲)有限公司</t>
  </si>
  <si>
    <t>112283362.IB</t>
  </si>
  <si>
    <t>渣打银行(中国)有限公司</t>
  </si>
  <si>
    <t>渣打银行(中国)</t>
  </si>
  <si>
    <t>渣打银行全资子公司</t>
  </si>
  <si>
    <t>负债不稳-2，负面-1</t>
  </si>
  <si>
    <t>英国渣打银行有限责任公司</t>
  </si>
  <si>
    <t>111681771</t>
  </si>
  <si>
    <t>徽商银行股份有限公司</t>
  </si>
  <si>
    <t>徽商银行</t>
  </si>
  <si>
    <t>存款保险基金管理有限责任公司</t>
  </si>
  <si>
    <t>111770117</t>
  </si>
  <si>
    <t>洛阳银行股份有限公司</t>
  </si>
  <si>
    <t>洛阳银行</t>
  </si>
  <si>
    <t>主要观点： 1、洛阳市财政局为第一大股东，在河南、河北两省主要城市均有网点，在洛阳市场存款占有率17.54%，贷款占有率13.37%，国有成分股占比44.11%。 2、截至2020年末，资产规模2740亿，吸收存款1624亿，近年业务增长缓慢，但资本相对充足，资本充足率为14.1%，核心一级资本充足率为11.68%，拨备覆盖率为202.93%尚可；业务净息差很高，2020年为3.50%，不良贷款率逐年降低，2020年为1.82%，但实际每年计提减值较多（超过拨备前利润一半），导致ROE水平不高，2020年仅为7.96%；最终财务表现尚可。 3、公司为区域性银行，主要经营地在洛阳，以及河南、河北两省，所在地经济发展水平位于全国中游，信用环境总体一般。 4、2020年不良生成率1.46%，关注类占比1.16%，较上年降低21bp，贷款集中度尚可但前十大占比有上升趋势，行业较为分散，关联交易风险敞口不高。 主要关注： 1、12月7日中原银行公告将吸收合并洛阳银行、平顶山银行及焦作中旅银行，合并后中原银行将持有洛阳银行全部资产，总资产规模将超过万亿；但中原银行本身资质也一般，合并产生的实际效果有待观察。 2、2020年末持有信托计划占总资产的10.5%，由于非上市银行，资产明细信息缺乏披露，透明度不高；同业负债占比接近30%，仍有较大压降压力。 3、历史负面较多，反映出一定的内控问题，经过2年整改，今年公司反馈已完成整改，但实际效果仍待观察。</t>
  </si>
  <si>
    <t>洛阳市财政局</t>
  </si>
  <si>
    <t>洛阳市</t>
  </si>
  <si>
    <t>111871883.IB</t>
  </si>
  <si>
    <t>江苏泰州农村商业银行股份有限公司</t>
  </si>
  <si>
    <t>江苏泰州农商行</t>
  </si>
  <si>
    <t>1621032.IB</t>
  </si>
  <si>
    <t>浙江苍南农村商业银行股份有限公司</t>
  </si>
  <si>
    <t>浙江苍南农商行</t>
  </si>
  <si>
    <t>温州浙闽物流中心开发有限公司</t>
  </si>
  <si>
    <t>111793450.IB</t>
  </si>
  <si>
    <t>锦州银行股份有限公司</t>
  </si>
  <si>
    <t>锦州银行</t>
  </si>
  <si>
    <t>北京成方汇达企业管理有限公司</t>
  </si>
  <si>
    <t>锦州市</t>
  </si>
  <si>
    <t>111770880</t>
  </si>
  <si>
    <t>营口银行股份有限公司</t>
  </si>
  <si>
    <t>营口银行</t>
  </si>
  <si>
    <t>辽宁群益集团耐火材料有限公司</t>
  </si>
  <si>
    <t>营口市</t>
  </si>
  <si>
    <t>111771144</t>
  </si>
  <si>
    <t>辽阳银行股份有限公司</t>
  </si>
  <si>
    <t>辽阳银行</t>
  </si>
  <si>
    <t>辽宁程程塑料有限公司</t>
  </si>
  <si>
    <t>111990667.IB</t>
  </si>
  <si>
    <t>鞍山银行股份有限公司</t>
  </si>
  <si>
    <t>鞍山银行</t>
  </si>
  <si>
    <t>鞍山市城市建设发展投资运营集团有限公司</t>
  </si>
  <si>
    <t>鞍山市</t>
  </si>
  <si>
    <t>1721003.IB</t>
  </si>
  <si>
    <t>济南农村商业银行股份有限公司</t>
  </si>
  <si>
    <t>济南农商行</t>
  </si>
  <si>
    <t>济南财金投资有限公司</t>
  </si>
  <si>
    <t>111886955.IB</t>
  </si>
  <si>
    <t>葫芦岛银行股份有限公司</t>
  </si>
  <si>
    <t>葫芦岛银行</t>
  </si>
  <si>
    <t>辽宁新潮控股有限公司</t>
  </si>
  <si>
    <t>葫芦岛市</t>
  </si>
  <si>
    <t>111871703.IB</t>
  </si>
  <si>
    <t>晋城银行股份有限公司</t>
  </si>
  <si>
    <t>晋城银行</t>
  </si>
  <si>
    <t>中融新大集团有限公司</t>
  </si>
  <si>
    <t>晋城市</t>
  </si>
  <si>
    <t>111870641.IB</t>
  </si>
  <si>
    <t>焦作中旅银行股份有限公司</t>
  </si>
  <si>
    <t>焦作中旅银行</t>
  </si>
  <si>
    <t>中国旅游集团有限公司</t>
  </si>
  <si>
    <t>焦作市</t>
  </si>
  <si>
    <t>111870050.IB</t>
  </si>
  <si>
    <t>营口沿海银行股份有限公司</t>
  </si>
  <si>
    <t>营口沿海银行</t>
  </si>
  <si>
    <t>海航酒店控股集团有限公司</t>
  </si>
  <si>
    <t>1821028.IB</t>
  </si>
  <si>
    <t>浙江义乌农村商业银行股份有限公司</t>
  </si>
  <si>
    <t>浙江义乌农商行</t>
  </si>
  <si>
    <t>金绣集团有限公司</t>
  </si>
  <si>
    <t>111870068.IB</t>
  </si>
  <si>
    <t>包商银行股份有限公司</t>
  </si>
  <si>
    <t>包商银行</t>
  </si>
  <si>
    <t>包头市太平商贸集团有限公司</t>
  </si>
  <si>
    <t>包头市</t>
  </si>
  <si>
    <t>111871686.IB</t>
  </si>
  <si>
    <t>平顶山银行股份有限公司</t>
  </si>
  <si>
    <t>平顶山银行</t>
  </si>
  <si>
    <t>平顶山发展投资控股集团有限公司</t>
  </si>
  <si>
    <t>平顶山市</t>
  </si>
  <si>
    <t>111884424.IB</t>
  </si>
  <si>
    <t>新疆天山农村商业银行股份有限公司</t>
  </si>
  <si>
    <t>新疆天山农商行</t>
  </si>
  <si>
    <t>新疆金融投资有限公司</t>
  </si>
  <si>
    <t>111980046.IB</t>
  </si>
  <si>
    <t>山西尧都农村商业银行股份有限公司</t>
  </si>
  <si>
    <t>山西尧都农商行</t>
  </si>
  <si>
    <t>天津大通投资集团有限公司</t>
  </si>
  <si>
    <t>临汾市</t>
  </si>
  <si>
    <t>111980524.IB</t>
  </si>
  <si>
    <t>攀枝花市商业银行股份有限公司</t>
  </si>
  <si>
    <t>攀枝花市商业银行</t>
  </si>
  <si>
    <t>攀枝花市财政局</t>
  </si>
  <si>
    <t>攀枝花市</t>
  </si>
  <si>
    <t>111985287.IB</t>
  </si>
  <si>
    <t>浙江瑞安农村商业银行股份有限公司</t>
  </si>
  <si>
    <t>浙江瑞安农商行</t>
  </si>
  <si>
    <t>5214.hk</t>
  </si>
  <si>
    <t>廊坊银行股份有限公司</t>
  </si>
  <si>
    <t>浙江温州鹿城农村商业银行股份有限公司</t>
  </si>
  <si>
    <t>净息差</t>
    <phoneticPr fontId="11" type="noConversion"/>
  </si>
  <si>
    <t>成本收入比</t>
    <phoneticPr fontId="11" type="noConversion"/>
  </si>
  <si>
    <t>盈利拆分（公布口径）</t>
    <phoneticPr fontId="11" type="noConversion"/>
  </si>
  <si>
    <t>盈利拆分（计算口径）</t>
    <phoneticPr fontId="11" type="noConversion"/>
  </si>
  <si>
    <t>分类</t>
    <phoneticPr fontId="11" type="noConversion"/>
  </si>
  <si>
    <t>城商行</t>
  </si>
  <si>
    <t>城商行</t>
    <phoneticPr fontId="11" type="noConversion"/>
  </si>
  <si>
    <t>国有行</t>
    <phoneticPr fontId="11" type="noConversion"/>
  </si>
  <si>
    <t>股份行</t>
    <phoneticPr fontId="11" type="noConversion"/>
  </si>
  <si>
    <t>外资行</t>
    <phoneticPr fontId="11" type="noConversion"/>
  </si>
  <si>
    <t>农商行</t>
  </si>
  <si>
    <t>顺德农商行</t>
  </si>
  <si>
    <t>廊坊银行</t>
    <phoneticPr fontId="11" type="noConversion"/>
  </si>
  <si>
    <t>鹿城农商行</t>
    <phoneticPr fontId="11" type="noConversion"/>
  </si>
  <si>
    <t>ROE(3年移动平均）</t>
    <phoneticPr fontId="11" type="noConversion"/>
  </si>
  <si>
    <t>非息收入占比</t>
    <phoneticPr fontId="11" type="noConversion"/>
  </si>
  <si>
    <t>星展银行(中国)有限公司</t>
    <phoneticPr fontId="11" type="noConversion"/>
  </si>
  <si>
    <t>贷款利息收入</t>
    <phoneticPr fontId="11" type="noConversion"/>
  </si>
  <si>
    <t>投资类收入</t>
    <phoneticPr fontId="11" type="noConversion"/>
  </si>
  <si>
    <t>中国民生银行</t>
    <phoneticPr fontId="11" type="noConversion"/>
  </si>
  <si>
    <t>平安银行</t>
    <phoneticPr fontId="11" type="noConversion"/>
  </si>
  <si>
    <t>20201231</t>
    <phoneticPr fontId="11" type="noConversion"/>
  </si>
  <si>
    <t>平均贷款收益率</t>
    <phoneticPr fontId="11" type="noConversion"/>
  </si>
  <si>
    <t>存款利息支出</t>
    <phoneticPr fontId="11" type="noConversion"/>
  </si>
  <si>
    <t>平均存款收益率</t>
    <phoneticPr fontId="11" type="noConversion"/>
  </si>
  <si>
    <t>22年末ROE</t>
    <phoneticPr fontId="11" type="noConversion"/>
  </si>
  <si>
    <t>23年中ROE</t>
    <phoneticPr fontId="11" type="noConversion"/>
  </si>
  <si>
    <t>22年末净资产</t>
    <phoneticPr fontId="11" type="noConversion"/>
  </si>
  <si>
    <t>22年中净资产</t>
    <phoneticPr fontId="11" type="noConversion"/>
  </si>
  <si>
    <t>20220630</t>
    <phoneticPr fontId="11" type="noConversion"/>
  </si>
  <si>
    <t>盈利拆分（公布口径）</t>
  </si>
  <si>
    <t>盈利拆分（计算口径）</t>
  </si>
  <si>
    <t>持仓(截至2023811）</t>
    <phoneticPr fontId="11" type="noConversion"/>
  </si>
  <si>
    <t>不良+关注行业排序</t>
    <phoneticPr fontId="11" type="noConversion"/>
  </si>
  <si>
    <t>拨备排位</t>
    <phoneticPr fontId="11" type="noConversion"/>
  </si>
  <si>
    <t>核心资本排位</t>
    <phoneticPr fontId="11" type="noConversion"/>
  </si>
  <si>
    <t>ROE(3年移动平均）排位</t>
    <phoneticPr fontId="11" type="noConversion"/>
  </si>
  <si>
    <t>净息差排序</t>
    <phoneticPr fontId="11" type="noConversion"/>
  </si>
  <si>
    <t>22年末ROE排位</t>
    <phoneticPr fontId="11" type="noConversion"/>
  </si>
  <si>
    <t>23年中ROE排位</t>
    <phoneticPr fontId="11" type="noConversion"/>
  </si>
  <si>
    <t>不良生成率排序</t>
    <phoneticPr fontId="11" type="noConversion"/>
  </si>
  <si>
    <t>22年贷款规模</t>
    <phoneticPr fontId="11" type="noConversion"/>
  </si>
  <si>
    <t>农商行</t>
    <phoneticPr fontId="11" type="noConversion"/>
  </si>
  <si>
    <t>个人贷款规模</t>
    <phoneticPr fontId="11" type="noConversion"/>
  </si>
  <si>
    <t>个人贷款占比</t>
    <phoneticPr fontId="11" type="noConversion"/>
  </si>
  <si>
    <t>净息差/（不良+关注）</t>
    <phoneticPr fontId="11" type="noConversion"/>
  </si>
  <si>
    <t>净息差/（不良+关注）排序</t>
    <phoneticPr fontId="11" type="noConversion"/>
  </si>
  <si>
    <t>非信贷资产质量</t>
    <phoneticPr fontId="11" type="noConversion"/>
  </si>
  <si>
    <t>现金/存款</t>
    <phoneticPr fontId="11" type="noConversion"/>
  </si>
  <si>
    <t>20191231</t>
    <phoneticPr fontId="11" type="noConversion"/>
  </si>
  <si>
    <t>20210930</t>
    <phoneticPr fontId="11" type="noConversion"/>
  </si>
  <si>
    <t>20210630</t>
    <phoneticPr fontId="11" type="noConversion"/>
  </si>
  <si>
    <t>20210331</t>
    <phoneticPr fontId="11" type="noConversion"/>
  </si>
  <si>
    <t>091506001.IB</t>
  </si>
  <si>
    <t>2024-06-30</t>
    <phoneticPr fontId="11" type="noConversion"/>
  </si>
  <si>
    <t>091506002.IB</t>
  </si>
  <si>
    <t>091506003.IB</t>
  </si>
  <si>
    <t>091506004.IB</t>
  </si>
  <si>
    <t>091506005.IB</t>
  </si>
  <si>
    <t>091506006.IB</t>
  </si>
  <si>
    <t>091506007.IB</t>
  </si>
  <si>
    <t>091506008.IB</t>
  </si>
  <si>
    <t>091506009.IB</t>
  </si>
  <si>
    <t>091506010.IB</t>
  </si>
  <si>
    <t>091506011.IB</t>
  </si>
  <si>
    <t>091506012.IB</t>
  </si>
  <si>
    <t>091506013.IB</t>
  </si>
  <si>
    <t>091506014.IB</t>
  </si>
  <si>
    <t>091506015.IB</t>
  </si>
  <si>
    <t>091506016.IB</t>
  </si>
  <si>
    <t>091506017.IB</t>
  </si>
  <si>
    <t>091506018.IB</t>
  </si>
  <si>
    <t>091506019.IB</t>
  </si>
  <si>
    <t>091506020.IB</t>
  </si>
  <si>
    <t>091506021.IB</t>
  </si>
  <si>
    <t>091506022.IB</t>
  </si>
  <si>
    <t>091506023.IB</t>
  </si>
  <si>
    <t>091506024.IB</t>
  </si>
  <si>
    <t>091506025.IB</t>
  </si>
  <si>
    <t>091506026.IB</t>
  </si>
  <si>
    <t>091506027.IB</t>
  </si>
  <si>
    <t>091506028.IB</t>
  </si>
  <si>
    <t>091506029.IB</t>
  </si>
  <si>
    <t>091506030.IB</t>
  </si>
  <si>
    <t>091506031.IB</t>
  </si>
  <si>
    <t>091506032.IB</t>
  </si>
  <si>
    <t>091506033.IB</t>
  </si>
  <si>
    <t>091506034.IB</t>
  </si>
  <si>
    <t>091506035.IB</t>
  </si>
  <si>
    <t>091506036.IB</t>
  </si>
  <si>
    <t>091506037.IB</t>
  </si>
  <si>
    <t>091506038.IB</t>
  </si>
  <si>
    <t>091506039.IB</t>
  </si>
  <si>
    <t>091506040.IB</t>
  </si>
  <si>
    <t>091506041.IB</t>
  </si>
  <si>
    <t>091506042.IB</t>
  </si>
  <si>
    <t>091506043.IB</t>
  </si>
  <si>
    <t>091506044.IB</t>
  </si>
  <si>
    <t>091506045.IB</t>
  </si>
  <si>
    <t>091506046.IB</t>
  </si>
  <si>
    <t>091506047.IB</t>
  </si>
  <si>
    <t>091506048.IB</t>
  </si>
  <si>
    <t>091506049.IB</t>
  </si>
  <si>
    <t>091506050.IB</t>
  </si>
  <si>
    <t>091506051.IB</t>
  </si>
  <si>
    <t>091506052.IB</t>
  </si>
  <si>
    <t>091506053.IB</t>
  </si>
  <si>
    <t>091506054.IB</t>
  </si>
  <si>
    <t>091506055.IB</t>
  </si>
  <si>
    <t>091506056.IB</t>
  </si>
  <si>
    <t>091506057.IB</t>
  </si>
  <si>
    <t>091506058.IB</t>
  </si>
  <si>
    <t>091506059.IB</t>
  </si>
  <si>
    <t>091506060.IB</t>
  </si>
  <si>
    <t>091506061.IB</t>
  </si>
  <si>
    <t>091506062.IB</t>
  </si>
  <si>
    <t>091506063.IB</t>
  </si>
  <si>
    <t>091506064.IB</t>
  </si>
  <si>
    <t>091506065.IB</t>
  </si>
  <si>
    <t>091506066.IB</t>
  </si>
  <si>
    <t>091506067.IB</t>
  </si>
  <si>
    <t>091506068.IB</t>
  </si>
  <si>
    <t>091506069.IB</t>
  </si>
  <si>
    <t>091506070.IB</t>
  </si>
  <si>
    <t>091506071.IB</t>
  </si>
  <si>
    <t>091506072.IB</t>
  </si>
  <si>
    <t>091506073.IB</t>
  </si>
  <si>
    <t>091506074.IB</t>
  </si>
  <si>
    <t>091506075.IB</t>
  </si>
  <si>
    <t>091506076.IB</t>
  </si>
  <si>
    <t>091506077.IB</t>
  </si>
  <si>
    <t>091506078.IB</t>
  </si>
  <si>
    <t>091506079.IB</t>
  </si>
  <si>
    <t>091506080.IB</t>
  </si>
  <si>
    <t>091506081.IB</t>
  </si>
  <si>
    <t>091506082.IB</t>
  </si>
  <si>
    <t>091506083.IB</t>
  </si>
  <si>
    <t>091506084.IB</t>
  </si>
  <si>
    <t>091506085.IB</t>
  </si>
  <si>
    <t>091506086.IB</t>
  </si>
  <si>
    <t>091506087.IB</t>
  </si>
  <si>
    <t>091506088.IB</t>
  </si>
  <si>
    <t>091506089.IB</t>
  </si>
  <si>
    <t>091506090.IB</t>
  </si>
  <si>
    <t>091506091.IB</t>
  </si>
  <si>
    <t>091506092.IB</t>
  </si>
  <si>
    <t>091506093.IB</t>
  </si>
  <si>
    <t>091506094.IB</t>
  </si>
  <si>
    <t>091506095.IB</t>
  </si>
  <si>
    <t>091506096.IB</t>
  </si>
  <si>
    <t>091506097.IB</t>
  </si>
  <si>
    <t>091506098.IB</t>
  </si>
  <si>
    <t>091506099.IB</t>
  </si>
  <si>
    <t>091506100.IB</t>
  </si>
  <si>
    <t>091506101.IB</t>
  </si>
  <si>
    <t>091506102.IB</t>
  </si>
  <si>
    <t>091506103.IB</t>
  </si>
  <si>
    <t>091506104.IB</t>
  </si>
  <si>
    <t>091506105.IB</t>
  </si>
  <si>
    <t>091506106.IB</t>
  </si>
  <si>
    <t>091506107.IB</t>
  </si>
  <si>
    <t>091506108.IB</t>
  </si>
  <si>
    <t>091506109.IB</t>
  </si>
  <si>
    <t>091506110.IB</t>
  </si>
  <si>
    <t>091506111.IB</t>
  </si>
  <si>
    <t>091506112.IB</t>
  </si>
  <si>
    <t>091506113.IB</t>
  </si>
  <si>
    <t>091506114.IB</t>
  </si>
  <si>
    <t>091506115.IB</t>
  </si>
  <si>
    <t>091506116.IB</t>
  </si>
  <si>
    <t>091506117.IB</t>
  </si>
  <si>
    <t>091506118.IB</t>
  </si>
  <si>
    <t>091506119.IB</t>
  </si>
  <si>
    <t>091506120.IB</t>
  </si>
  <si>
    <t>091506121.IB</t>
  </si>
  <si>
    <t>091506122.IB</t>
  </si>
  <si>
    <t>091506123.IB</t>
  </si>
  <si>
    <t>091506124.IB</t>
  </si>
  <si>
    <t>091506125.IB</t>
  </si>
  <si>
    <t>091506126.IB</t>
  </si>
  <si>
    <t>091506127.IB</t>
  </si>
  <si>
    <t>091506128.IB</t>
  </si>
  <si>
    <t>091506129.IB</t>
  </si>
  <si>
    <t>091506130.IB</t>
  </si>
  <si>
    <t>091506131.IB</t>
  </si>
  <si>
    <t>091506132.IB</t>
  </si>
  <si>
    <t>091506133.IB</t>
  </si>
  <si>
    <t>091506134.IB</t>
  </si>
  <si>
    <t>091506135.IB</t>
  </si>
  <si>
    <t>091506136.IB</t>
  </si>
  <si>
    <t>091506137.IB</t>
  </si>
  <si>
    <t>091506138.IB</t>
  </si>
  <si>
    <t>091506139.IB</t>
  </si>
  <si>
    <t>091506140.IB</t>
  </si>
  <si>
    <t>091506141.IB</t>
  </si>
  <si>
    <t>091506142.IB</t>
  </si>
  <si>
    <t>091506143.IB</t>
  </si>
  <si>
    <t>091506144.IB</t>
  </si>
  <si>
    <t>091506145.IB</t>
  </si>
  <si>
    <t>091506146.IB</t>
  </si>
  <si>
    <t>091506147.IB</t>
  </si>
  <si>
    <t>091506148.IB</t>
  </si>
  <si>
    <t>091506149.IB</t>
  </si>
  <si>
    <t>091506150.IB</t>
  </si>
  <si>
    <t>091506151.IB</t>
  </si>
  <si>
    <t>091506152.IB</t>
  </si>
  <si>
    <t>091506153.IB</t>
  </si>
  <si>
    <t>091506154.IB</t>
  </si>
  <si>
    <t>091506155.IB</t>
  </si>
  <si>
    <t>091506156.IB</t>
  </si>
  <si>
    <t>091506157.IB</t>
  </si>
  <si>
    <t>091506158.IB</t>
  </si>
  <si>
    <t>091506159.IB</t>
  </si>
  <si>
    <t>091506160.IB</t>
  </si>
  <si>
    <t>091506161.IB</t>
  </si>
  <si>
    <t>091506162.IB</t>
  </si>
  <si>
    <t>091506163.IB</t>
  </si>
  <si>
    <t>091506164.IB</t>
  </si>
  <si>
    <t>091506165.IB</t>
  </si>
  <si>
    <t>091506166.IB</t>
  </si>
  <si>
    <t>091506167.IB</t>
  </si>
  <si>
    <t>091506168.IB</t>
  </si>
  <si>
    <t>091506169.IB</t>
  </si>
  <si>
    <t>091506170.IB</t>
  </si>
  <si>
    <t>091506171.IB</t>
  </si>
  <si>
    <t>091506172.IB</t>
  </si>
  <si>
    <t>091506173.IB</t>
  </si>
  <si>
    <t>091506174.IB</t>
  </si>
  <si>
    <t>091506175.IB</t>
  </si>
  <si>
    <t>091506176.IB</t>
  </si>
  <si>
    <t>091506177.IB</t>
  </si>
  <si>
    <t>091506178.IB</t>
  </si>
  <si>
    <t>091506179.IB</t>
  </si>
  <si>
    <t>091506180.IB</t>
  </si>
  <si>
    <t>091506181.IB</t>
  </si>
  <si>
    <t>091506182.IB</t>
  </si>
  <si>
    <t>091506183.IB</t>
  </si>
  <si>
    <t>091506184.IB</t>
  </si>
  <si>
    <t>091506185.IB</t>
  </si>
  <si>
    <t>091506186.IB</t>
  </si>
  <si>
    <t>091506187.IB</t>
  </si>
  <si>
    <t>091506188.IB</t>
  </si>
  <si>
    <t>091506189.IB</t>
  </si>
  <si>
    <t>091506190.IB</t>
  </si>
  <si>
    <t>091506191.IB</t>
  </si>
  <si>
    <t>091506192.IB</t>
  </si>
  <si>
    <t>091506193.IB</t>
  </si>
  <si>
    <t>091506194.IB</t>
  </si>
  <si>
    <t>091506195.IB</t>
  </si>
  <si>
    <t>091506196.IB</t>
  </si>
  <si>
    <t>091506197.IB</t>
  </si>
  <si>
    <t>091506198.IB</t>
  </si>
  <si>
    <t>091506199.IB</t>
  </si>
  <si>
    <t>091506200.IB</t>
  </si>
  <si>
    <t>091506201.IB</t>
  </si>
  <si>
    <t>091506202.IB</t>
  </si>
  <si>
    <t>091506203.IB</t>
  </si>
  <si>
    <t>091506204.IB</t>
  </si>
  <si>
    <t>091506205.IB</t>
  </si>
  <si>
    <t>091506206.IB</t>
  </si>
  <si>
    <t>091506207.IB</t>
  </si>
  <si>
    <t>091506208.IB</t>
  </si>
  <si>
    <t>091506209.IB</t>
  </si>
  <si>
    <t>091506210.IB</t>
  </si>
  <si>
    <t>091506211.IB</t>
  </si>
  <si>
    <t>091506212.IB</t>
  </si>
  <si>
    <t>091506213.IB</t>
  </si>
  <si>
    <t>091506214.IB</t>
  </si>
  <si>
    <t>091506215.IB</t>
  </si>
  <si>
    <t>091506216.IB</t>
  </si>
  <si>
    <t>091506217.IB</t>
  </si>
  <si>
    <t>091506218.IB</t>
  </si>
  <si>
    <t>091506219.IB</t>
  </si>
  <si>
    <t>091506220.IB</t>
  </si>
  <si>
    <t>091506221.IB</t>
  </si>
  <si>
    <t>091506222.IB</t>
  </si>
  <si>
    <t>091506223.IB</t>
  </si>
  <si>
    <t>091506224.IB</t>
  </si>
  <si>
    <t>091506225.IB</t>
  </si>
  <si>
    <t>091506226.IB</t>
  </si>
  <si>
    <t>091506227.IB</t>
  </si>
  <si>
    <t>091506228.IB</t>
  </si>
  <si>
    <t>091506229.IB</t>
  </si>
  <si>
    <t>091506230.IB</t>
  </si>
  <si>
    <t>091506231.IB</t>
  </si>
  <si>
    <t>091506232.IB</t>
  </si>
  <si>
    <t>091506233.IB</t>
  </si>
  <si>
    <t>091506234.IB</t>
  </si>
  <si>
    <t>091506235.IB</t>
  </si>
  <si>
    <t>091506236.IB</t>
  </si>
  <si>
    <t>091506237.IB</t>
  </si>
  <si>
    <t>091506238.IB</t>
  </si>
  <si>
    <t>091506239.IB</t>
  </si>
  <si>
    <t>091506240.IB</t>
  </si>
  <si>
    <t>091506241.IB</t>
  </si>
  <si>
    <t>091506242.IB</t>
  </si>
  <si>
    <t>091506243.IB</t>
  </si>
  <si>
    <t>091506244.IB</t>
  </si>
  <si>
    <t>091506245.IB</t>
  </si>
  <si>
    <t>091506246.IB</t>
  </si>
  <si>
    <t>091506247.IB</t>
  </si>
  <si>
    <t>091506248.IB</t>
  </si>
  <si>
    <t>091506249.IB</t>
  </si>
  <si>
    <t>091506250.IB</t>
  </si>
  <si>
    <t>091506251.IB</t>
  </si>
  <si>
    <t>091506252.IB</t>
  </si>
  <si>
    <t>091506253.IB</t>
  </si>
  <si>
    <t>091506254.IB</t>
  </si>
  <si>
    <t>091506255.IB</t>
  </si>
  <si>
    <t>091506256.IB</t>
  </si>
  <si>
    <t>091506257.IB</t>
  </si>
  <si>
    <t>091506258.IB</t>
  </si>
  <si>
    <t>091506259.IB</t>
  </si>
  <si>
    <t>091506260.IB</t>
  </si>
  <si>
    <t>091506261.IB</t>
  </si>
  <si>
    <t>091506262.IB</t>
  </si>
  <si>
    <t>091506263.IB</t>
  </si>
  <si>
    <t>091506264.IB</t>
  </si>
  <si>
    <t>091506265.IB</t>
  </si>
  <si>
    <t>091506266.IB</t>
  </si>
  <si>
    <t>091506267.IB</t>
  </si>
  <si>
    <t>091506268.IB</t>
  </si>
  <si>
    <t>091506269.IB</t>
  </si>
  <si>
    <t>091506270.IB</t>
  </si>
  <si>
    <t>091506271.IB</t>
  </si>
  <si>
    <t>091506272.IB</t>
  </si>
  <si>
    <t>091506273.IB</t>
  </si>
  <si>
    <t>091506274.IB</t>
  </si>
  <si>
    <t>091506275.IB</t>
  </si>
  <si>
    <t>091506276.IB</t>
  </si>
  <si>
    <t>091506277.IB</t>
  </si>
  <si>
    <t>091506278.IB</t>
  </si>
  <si>
    <t>091506279.IB</t>
  </si>
  <si>
    <t>091506280.IB</t>
  </si>
  <si>
    <t>091506281.IB</t>
  </si>
  <si>
    <t>091506282.IB</t>
  </si>
  <si>
    <t>091506283.IB</t>
  </si>
  <si>
    <t>091506284.IB</t>
  </si>
  <si>
    <t>091506285.IB</t>
  </si>
  <si>
    <t>091506286.IB</t>
  </si>
  <si>
    <t>091506287.IB</t>
  </si>
  <si>
    <t>091506288.IB</t>
  </si>
  <si>
    <t>091506289.IB</t>
  </si>
  <si>
    <t>091506290.IB</t>
  </si>
  <si>
    <t>091506291.IB</t>
  </si>
  <si>
    <t>091506292.IB</t>
  </si>
  <si>
    <t>091506293.IB</t>
  </si>
  <si>
    <t>091506294.IB</t>
  </si>
  <si>
    <t>091506295.IB</t>
  </si>
  <si>
    <t>091506296.IB</t>
  </si>
  <si>
    <t>091506297.IB</t>
  </si>
  <si>
    <t>091506298.IB</t>
  </si>
  <si>
    <t>091506299.IB</t>
  </si>
  <si>
    <t>091506300.IB</t>
  </si>
  <si>
    <t>091506301.IB</t>
  </si>
  <si>
    <t>091506302.IB</t>
  </si>
  <si>
    <t>091506303.IB</t>
  </si>
  <si>
    <t>091506304.IB</t>
  </si>
  <si>
    <t>091506305.IB</t>
  </si>
  <si>
    <t>091506306.IB</t>
  </si>
  <si>
    <t>091506307.IB</t>
  </si>
  <si>
    <t>091506308.IB</t>
  </si>
  <si>
    <t>091506309.IB</t>
  </si>
  <si>
    <t>091506310.IB</t>
  </si>
  <si>
    <t>091506311.IB</t>
  </si>
  <si>
    <t>091506312.IB</t>
  </si>
  <si>
    <t>091506313.IB</t>
  </si>
  <si>
    <t>091506314.IB</t>
  </si>
  <si>
    <t>091506315.IB</t>
  </si>
  <si>
    <t>091506316.IB</t>
  </si>
  <si>
    <t>091506317.IB</t>
  </si>
  <si>
    <t>091506318.IB</t>
  </si>
  <si>
    <t>091506319.IB</t>
  </si>
  <si>
    <t>091506320.IB</t>
  </si>
  <si>
    <t>091506321.IB</t>
  </si>
  <si>
    <t>091506322.IB</t>
  </si>
  <si>
    <t>091506323.IB</t>
  </si>
  <si>
    <t>091506324.IB</t>
  </si>
  <si>
    <t>091506325.IB</t>
  </si>
  <si>
    <t>091506326.IB</t>
  </si>
  <si>
    <t>091506327.IB</t>
  </si>
  <si>
    <t>091506328.IB</t>
  </si>
  <si>
    <t>091506329.IB</t>
  </si>
  <si>
    <t>091506330.IB</t>
  </si>
  <si>
    <t>091506331.IB</t>
  </si>
  <si>
    <t>091506332.IB</t>
  </si>
  <si>
    <t>091506333.IB</t>
  </si>
  <si>
    <t>091506334.IB</t>
  </si>
  <si>
    <t>091506335.IB</t>
  </si>
  <si>
    <t>091506336.IB</t>
  </si>
  <si>
    <t>091506337.IB</t>
  </si>
  <si>
    <t>091506338.IB</t>
  </si>
  <si>
    <t>091506339.IB</t>
  </si>
  <si>
    <t>091506340.IB</t>
  </si>
  <si>
    <t>091506341.IB</t>
  </si>
  <si>
    <t>091506342.IB</t>
  </si>
  <si>
    <t>091506343.IB</t>
  </si>
  <si>
    <t>091506344.IB</t>
  </si>
  <si>
    <t>091506345.IB</t>
  </si>
  <si>
    <t>091506346.IB</t>
  </si>
  <si>
    <t>091506347.IB</t>
  </si>
  <si>
    <t>091506348.IB</t>
  </si>
  <si>
    <t>091506349.IB</t>
  </si>
  <si>
    <t>091506350.IB</t>
  </si>
  <si>
    <t>091506351.IB</t>
  </si>
  <si>
    <t>091506352.IB</t>
  </si>
  <si>
    <t>091506353.IB</t>
  </si>
  <si>
    <t>091506354.IB</t>
  </si>
  <si>
    <t>091506355.IB</t>
  </si>
  <si>
    <t>091506356.IB</t>
  </si>
  <si>
    <t>091506357.IB</t>
  </si>
  <si>
    <t>091506358.IB</t>
  </si>
  <si>
    <t>091506359.IB</t>
  </si>
  <si>
    <t>091506360.IB</t>
  </si>
  <si>
    <t>091506361.IB</t>
  </si>
  <si>
    <t>091506362.IB</t>
  </si>
  <si>
    <t>091506363.IB</t>
  </si>
  <si>
    <t>091506364.IB</t>
  </si>
  <si>
    <t>091506365.IB</t>
  </si>
  <si>
    <t>091506366.IB</t>
  </si>
  <si>
    <t>091506367.IB</t>
  </si>
  <si>
    <t>091506368.IB</t>
  </si>
  <si>
    <t>091506369.IB</t>
  </si>
  <si>
    <t>091506370.IB</t>
  </si>
  <si>
    <t>091506371.IB</t>
  </si>
  <si>
    <t>091506372.IB</t>
  </si>
  <si>
    <t>091506373.IB</t>
  </si>
  <si>
    <t>091506374.IB</t>
  </si>
  <si>
    <t>091506375.IB</t>
  </si>
  <si>
    <t>091506376.IB</t>
  </si>
  <si>
    <t>091506377.IB</t>
  </si>
  <si>
    <t>091506378.IB</t>
  </si>
  <si>
    <t>091506379.IB</t>
  </si>
  <si>
    <t>091506380.IB</t>
  </si>
  <si>
    <t>091506381.IB</t>
  </si>
  <si>
    <t>091506382.IB</t>
  </si>
  <si>
    <t>091506383.IB</t>
  </si>
  <si>
    <t>091506384.IB</t>
  </si>
  <si>
    <t>091506385.IB</t>
  </si>
  <si>
    <t>091506386.IB</t>
  </si>
  <si>
    <t>091506387.IB</t>
  </si>
  <si>
    <t>091506388.IB</t>
  </si>
  <si>
    <t>091506389.IB</t>
  </si>
  <si>
    <t>091506390.IB</t>
  </si>
  <si>
    <t>091506391.IB</t>
  </si>
  <si>
    <t>091506392.IB</t>
  </si>
  <si>
    <t>091506393.IB</t>
  </si>
  <si>
    <t>091506394.IB</t>
  </si>
  <si>
    <t>091506395.IB</t>
  </si>
  <si>
    <t>091506396.IB</t>
  </si>
  <si>
    <t>091506397.IB</t>
  </si>
  <si>
    <t>091506398.IB</t>
  </si>
  <si>
    <t>091506399.IB</t>
  </si>
  <si>
    <t>091506400.IB</t>
  </si>
  <si>
    <t>091506401.IB</t>
  </si>
  <si>
    <t>091506402.IB</t>
  </si>
  <si>
    <t>091506403.IB</t>
  </si>
  <si>
    <t>091506404.IB</t>
  </si>
  <si>
    <t>091506405.IB</t>
  </si>
  <si>
    <t>091506406.IB</t>
  </si>
  <si>
    <t>091506407.IB</t>
  </si>
  <si>
    <t>091506408.IB</t>
  </si>
  <si>
    <t>091506409.IB</t>
  </si>
  <si>
    <t>091506410.IB</t>
  </si>
  <si>
    <t>091506411.IB</t>
  </si>
  <si>
    <t>091506412.IB</t>
  </si>
  <si>
    <t>091506413.IB</t>
  </si>
  <si>
    <t>091506414.IB</t>
  </si>
  <si>
    <t>091506415.IB</t>
  </si>
  <si>
    <t>091506416.IB</t>
  </si>
  <si>
    <t>091506417.IB</t>
  </si>
  <si>
    <t>091506418.IB</t>
  </si>
  <si>
    <t>091506419.IB</t>
  </si>
  <si>
    <t>091506420.IB</t>
  </si>
  <si>
    <t>091506421.IB</t>
  </si>
  <si>
    <t>091506422.IB</t>
  </si>
  <si>
    <t>091506423.IB</t>
  </si>
  <si>
    <t>091506424.IB</t>
  </si>
  <si>
    <t>091506425.IB</t>
  </si>
  <si>
    <t>091506426.IB</t>
  </si>
  <si>
    <t>091506427.IB</t>
  </si>
  <si>
    <t>091506428.IB</t>
  </si>
  <si>
    <t>091506429.IB</t>
  </si>
  <si>
    <t>091506430.IB</t>
  </si>
  <si>
    <t>091506431.IB</t>
  </si>
  <si>
    <t>091506432.IB</t>
  </si>
  <si>
    <t>091506433.IB</t>
  </si>
  <si>
    <t>091506434.IB</t>
  </si>
  <si>
    <t>091506435.IB</t>
  </si>
  <si>
    <t>091506436.IB</t>
  </si>
  <si>
    <t>091506437.IB</t>
  </si>
  <si>
    <t>091506438.IB</t>
  </si>
  <si>
    <t>091506439.IB</t>
  </si>
  <si>
    <t>091506440.IB</t>
  </si>
  <si>
    <t>091506441.IB</t>
  </si>
  <si>
    <t>091506442.IB</t>
  </si>
  <si>
    <t>091506443.IB</t>
  </si>
  <si>
    <t>091506444.IB</t>
  </si>
  <si>
    <t>091506445.IB</t>
  </si>
  <si>
    <t>091506446.IB</t>
  </si>
  <si>
    <t>091506447.IB</t>
  </si>
  <si>
    <t>091506448.IB</t>
  </si>
  <si>
    <t>091506449.IB</t>
  </si>
  <si>
    <t>091506450.IB</t>
  </si>
  <si>
    <t>091506451.IB</t>
  </si>
  <si>
    <t>091506452.IB</t>
  </si>
  <si>
    <t>091506453.IB</t>
  </si>
  <si>
    <t>091506454.IB</t>
  </si>
  <si>
    <t>091506455.IB</t>
  </si>
  <si>
    <t>091506456.IB</t>
  </si>
  <si>
    <t>091506457.IB</t>
  </si>
  <si>
    <t>091506458.IB</t>
  </si>
  <si>
    <t>091506459.IB</t>
  </si>
  <si>
    <t>091506460.IB</t>
  </si>
  <si>
    <t>091506461.IB</t>
  </si>
  <si>
    <t>091506462.IB</t>
  </si>
  <si>
    <t>091506463.IB</t>
  </si>
  <si>
    <t>091506464.IB</t>
  </si>
  <si>
    <t>091506465.IB</t>
  </si>
  <si>
    <t>091506466.IB</t>
  </si>
  <si>
    <t>091506467.IB</t>
  </si>
  <si>
    <t>091506468.IB</t>
  </si>
  <si>
    <t>091506469.IB</t>
  </si>
  <si>
    <t>091506470.IB</t>
  </si>
  <si>
    <t>091506471.IB</t>
  </si>
  <si>
    <t>091506472.IB</t>
  </si>
  <si>
    <t>091506473.IB</t>
  </si>
  <si>
    <t>091506474.IB</t>
  </si>
  <si>
    <t>091506475.IB</t>
  </si>
  <si>
    <t>091506476.IB</t>
  </si>
  <si>
    <t>091506477.IB</t>
  </si>
  <si>
    <t>091506478.IB</t>
  </si>
  <si>
    <t>091506479.IB</t>
  </si>
  <si>
    <t>091506480.IB</t>
  </si>
  <si>
    <t>091506481.IB</t>
  </si>
  <si>
    <t>091506482.IB</t>
  </si>
  <si>
    <t>091506483.IB</t>
  </si>
  <si>
    <t>091506484.IB</t>
  </si>
  <si>
    <t>091506485.IB</t>
  </si>
  <si>
    <t>091506486.IB</t>
  </si>
  <si>
    <t>091506487.IB</t>
  </si>
  <si>
    <t>091506488.IB</t>
  </si>
  <si>
    <t>091506489.IB</t>
  </si>
  <si>
    <t>091506490.IB</t>
  </si>
  <si>
    <t>091506491.IB</t>
  </si>
  <si>
    <t>091506492.IB</t>
  </si>
  <si>
    <t>091506493.IB</t>
  </si>
  <si>
    <t>091506494.IB</t>
  </si>
  <si>
    <t>091506495.IB</t>
  </si>
  <si>
    <t>091506496.IB</t>
  </si>
  <si>
    <t>091506497.IB</t>
  </si>
  <si>
    <t>091506498.IB</t>
  </si>
  <si>
    <t>091506499.IB</t>
  </si>
  <si>
    <t>091506500.IB</t>
  </si>
  <si>
    <t>091506501.IB</t>
  </si>
  <si>
    <t>091506502.IB</t>
  </si>
  <si>
    <t>091506503.IB</t>
  </si>
  <si>
    <t>091506504.IB</t>
  </si>
  <si>
    <t>091506505.IB</t>
  </si>
  <si>
    <t>091506506.IB</t>
  </si>
  <si>
    <t>091506507.IB</t>
  </si>
  <si>
    <t>091506508.IB</t>
  </si>
  <si>
    <t>091506509.IB</t>
  </si>
  <si>
    <t>091506510.IB</t>
  </si>
  <si>
    <t>091506511.IB</t>
  </si>
  <si>
    <t>091506512.IB</t>
  </si>
  <si>
    <t>091506513.IB</t>
  </si>
  <si>
    <t>091506514.IB</t>
  </si>
  <si>
    <t>091506515.IB</t>
  </si>
  <si>
    <t>091506516.IB</t>
  </si>
  <si>
    <t>091506517.IB</t>
  </si>
  <si>
    <t>091506518.IB</t>
  </si>
  <si>
    <t>091506519.IB</t>
  </si>
  <si>
    <t>091506520.IB</t>
  </si>
  <si>
    <t>091506521.IB</t>
  </si>
  <si>
    <t>091506522.IB</t>
  </si>
  <si>
    <t>091506523.IB</t>
  </si>
  <si>
    <t>091506524.IB</t>
  </si>
  <si>
    <t>091506525.IB</t>
  </si>
  <si>
    <t>091506526.IB</t>
  </si>
  <si>
    <t>091506527.IB</t>
  </si>
  <si>
    <t>091506528.IB</t>
  </si>
  <si>
    <t>091506529.IB</t>
  </si>
  <si>
    <t>091506530.IB</t>
  </si>
  <si>
    <t>091506531.IB</t>
  </si>
  <si>
    <t>091506532.IB</t>
  </si>
  <si>
    <t>091506533.IB</t>
  </si>
  <si>
    <t>091506534.IB</t>
  </si>
  <si>
    <t>091506535.IB</t>
  </si>
  <si>
    <t>091506536.IB</t>
  </si>
  <si>
    <t>091506537.IB</t>
  </si>
  <si>
    <t>091506538.IB</t>
  </si>
  <si>
    <t>091506539.IB</t>
  </si>
  <si>
    <t>091506540.IB</t>
  </si>
  <si>
    <t>091506541.IB</t>
  </si>
  <si>
    <t>091506542.IB</t>
  </si>
  <si>
    <t>091506543.IB</t>
  </si>
  <si>
    <t>091506544.IB</t>
  </si>
  <si>
    <t>091506545.IB</t>
  </si>
  <si>
    <t>091506546.IB</t>
  </si>
  <si>
    <t>091506547.IB</t>
  </si>
  <si>
    <t>091506548.IB</t>
  </si>
  <si>
    <t>091506549.IB</t>
  </si>
  <si>
    <t>091506550.IB</t>
  </si>
  <si>
    <t>091506551.IB</t>
  </si>
  <si>
    <t>091506552.IB</t>
  </si>
  <si>
    <t>091506553.IB</t>
  </si>
  <si>
    <t>091506554.IB</t>
  </si>
  <si>
    <t>091506555.IB</t>
  </si>
  <si>
    <t>091506556.IB</t>
  </si>
  <si>
    <t>091506557.IB</t>
  </si>
  <si>
    <t>091506558.IB</t>
  </si>
  <si>
    <t>091506559.IB</t>
  </si>
  <si>
    <t>091506560.IB</t>
  </si>
  <si>
    <t>091506561.IB</t>
  </si>
  <si>
    <t>091506562.IB</t>
  </si>
  <si>
    <t>091506563.IB</t>
  </si>
  <si>
    <t>091506564.IB</t>
  </si>
  <si>
    <t>091506565.IB</t>
  </si>
  <si>
    <t>091506566.IB</t>
  </si>
  <si>
    <t>091506567.IB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</si>
</sst>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 #,##0.00_ ;_ * \-#,##0.00_ ;_ * &quot;-&quot;??_ ;_ @_ "/>
    <numFmt numFmtId="176" formatCode="###,###,##0"/>
    <numFmt numFmtId="177" formatCode="0.0%"/>
    <numFmt numFmtId="178" formatCode="0.00_);[Red]\(0.00\)"/>
    <numFmt numFmtId="179" formatCode="0_);[Red]\(0\)"/>
    <numFmt numFmtId="180" formatCode="0.0_);[Red]\(0.0\)"/>
    <numFmt numFmtId="181" formatCode="###,###,##0.0000"/>
    <numFmt numFmtId="182" formatCode="0.00_ "/>
    <numFmt numFmtId="183" formatCode="###,###,##0.00"/>
    <numFmt numFmtId="184" formatCode="0.0_ "/>
    <numFmt numFmtId="185" formatCode="###,###,##0.0"/>
    <numFmt numFmtId="186" formatCode="0.0000"/>
  </numFmts>
  <fonts count="15">
    <font>
      <sz val="11"/>
      <color theme="1"/>
      <name val="宋体"/>
      <charset val="134"/>
      <scheme val="minor"/>
    </font>
    <font>
      <sz val="9"/>
      <name val="宋体"/>
      <family val="3"/>
      <charset val="134"/>
    </font>
    <font>
      <b/>
      <sz val="10"/>
      <color theme="1"/>
      <name val="仿宋"/>
      <family val="3"/>
      <charset val="134"/>
    </font>
    <font>
      <b/>
      <sz val="10"/>
      <color theme="0"/>
      <name val="仿宋"/>
      <family val="3"/>
      <charset val="134"/>
    </font>
    <font>
      <sz val="10"/>
      <color theme="1"/>
      <name val="仿宋"/>
      <family val="3"/>
      <charset val="134"/>
    </font>
    <font>
      <sz val="10"/>
      <name val="仿宋"/>
      <family val="3"/>
      <charset val="134"/>
    </font>
    <font>
      <sz val="10"/>
      <color rgb="FF000000"/>
      <name val="仿宋"/>
      <family val="3"/>
      <charset val="134"/>
    </font>
    <font>
      <sz val="11"/>
      <color theme="1"/>
      <name val="仿宋"/>
      <family val="3"/>
      <charset val="134"/>
    </font>
    <font>
      <sz val="11"/>
      <color rgb="FF000000"/>
      <name val="宋体"/>
      <family val="3"/>
      <charset val="134"/>
    </font>
    <font>
      <b/>
      <sz val="9"/>
      <name val="宋体"/>
      <family val="3"/>
      <charset val="134"/>
    </font>
    <font>
      <sz val="11"/>
      <color theme="1"/>
      <name val="宋体"/>
      <family val="3"/>
      <charset val="134"/>
      <scheme val="minor"/>
    </font>
    <font>
      <sz val="9"/>
      <name val="宋体"/>
      <family val="3"/>
      <charset val="134"/>
      <scheme val="minor"/>
    </font>
    <font>
      <sz val="10"/>
      <color rgb="FF000000"/>
      <name val="Microsoft YaHei"/>
      <charset val="134"/>
    </font>
    <font>
      <sz val="9"/>
      <name val="宋体"/>
      <family val="3"/>
      <charset val="134"/>
      <scheme val="minor"/>
    </font>
    <font>
      <sz val="11"/>
      <name val="Calibri"/>
      <family val="2"/>
    </font>
  </fonts>
  <fills count="6">
    <fill>
      <patternFill patternType="none"/>
    </fill>
    <fill>
      <patternFill patternType="gray125"/>
    </fill>
    <fill>
      <patternFill patternType="solid">
        <fgColor rgb="FFD3B78F"/>
        <bgColor indexed="64"/>
      </patternFill>
    </fill>
    <fill>
      <patternFill patternType="solid">
        <fgColor rgb="FF7E1A1C"/>
        <bgColor indexed="64"/>
      </patternFill>
    </fill>
    <fill>
      <patternFill patternType="solid">
        <fgColor rgb="FFFFFFFF"/>
        <bgColor indexed="64"/>
      </patternFill>
    </fill>
    <fill>
      <patternFill patternType="solid">
        <fgColor theme="0"/>
        <bgColor indexed="64"/>
      </patternFill>
    </fill>
  </fills>
  <borders count="3">
    <border>
      <left/>
      <right/>
      <top/>
      <bottom/>
      <diagonal/>
    </border>
    <border>
      <left/>
      <right style="thin">
        <color rgb="FFFFFFFF"/>
      </right>
      <top/>
      <bottom/>
      <diagonal/>
    </border>
    <border>
      <left style="thin">
        <color rgb="FFFFFFFF"/>
      </left>
      <right style="thin">
        <color rgb="FFFFFFFF"/>
      </right>
      <top/>
      <bottom/>
      <diagonal/>
    </border>
  </borders>
  <cellStyleXfs count="4">
    <xf numFmtId="0" fontId="0" fillId="0" borderId="0">
      <alignment vertical="center"/>
    </xf>
    <xf numFmtId="43" fontId="10" fillId="0" borderId="0" applyFont="0" applyFill="0" applyBorder="0" applyAlignment="0" applyProtection="0">
      <alignment vertical="center"/>
    </xf>
    <xf numFmtId="9" fontId="10" fillId="0" borderId="0" applyFont="0" applyFill="0" applyBorder="0" applyAlignment="0" applyProtection="0">
      <alignment vertical="center"/>
    </xf>
    <xf numFmtId="0" fontId="8" fillId="0" borderId="0">
      <protection locked="0"/>
    </xf>
  </cellStyleXfs>
  <cellXfs count="88">
    <xf numFmtId="0" fontId="0" fillId="0" borderId="0" xfId="0">
      <alignment vertical="center"/>
    </xf>
    <xf numFmtId="49" fontId="2" fillId="2" borderId="0" xfId="0" applyNumberFormat="1" applyFont="1" applyFill="1" applyAlignment="1">
      <alignment horizontal="center" vertical="center" wrapText="1"/>
    </xf>
    <xf numFmtId="49" fontId="2" fillId="0" borderId="0" xfId="0" applyNumberFormat="1" applyFont="1" applyAlignment="1">
      <alignment horizontal="center" vertical="center"/>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178" fontId="4" fillId="0" borderId="0" xfId="0" applyNumberFormat="1" applyFont="1" applyAlignment="1">
      <alignment horizontal="center" vertical="center"/>
    </xf>
    <xf numFmtId="178" fontId="4" fillId="0" borderId="2" xfId="0" applyNumberFormat="1" applyFont="1" applyBorder="1" applyAlignment="1">
      <alignment horizontal="center" vertical="center"/>
    </xf>
    <xf numFmtId="0" fontId="4" fillId="0" borderId="2" xfId="0" applyFont="1" applyBorder="1" applyAlignment="1">
      <alignment horizontal="center" vertical="center"/>
    </xf>
    <xf numFmtId="178" fontId="6" fillId="0" borderId="0" xfId="0" applyNumberFormat="1" applyFont="1" applyAlignment="1">
      <alignment horizontal="center" vertical="center"/>
    </xf>
    <xf numFmtId="178" fontId="6" fillId="0" borderId="1" xfId="0" applyNumberFormat="1" applyFont="1" applyBorder="1" applyAlignment="1">
      <alignment horizontal="center" vertical="center"/>
    </xf>
    <xf numFmtId="178" fontId="6" fillId="0" borderId="2" xfId="0" applyNumberFormat="1" applyFont="1" applyBorder="1" applyAlignment="1">
      <alignment horizontal="center" vertical="center"/>
    </xf>
    <xf numFmtId="0" fontId="6" fillId="0" borderId="2" xfId="0" applyFont="1" applyBorder="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4" fillId="0" borderId="0" xfId="0" applyFont="1" applyAlignment="1">
      <alignment horizontal="center" vertical="center"/>
    </xf>
    <xf numFmtId="0" fontId="6" fillId="0" borderId="1" xfId="0" applyFont="1" applyBorder="1" applyAlignment="1">
      <alignment horizontal="center" vertical="center"/>
    </xf>
    <xf numFmtId="43" fontId="6" fillId="0" borderId="1" xfId="1" applyFont="1" applyFill="1" applyBorder="1" applyAlignment="1">
      <alignment horizontal="center" vertical="center"/>
    </xf>
    <xf numFmtId="0" fontId="2" fillId="0" borderId="2" xfId="0" applyFont="1" applyBorder="1" applyAlignment="1">
      <alignment horizontal="center" vertical="center"/>
    </xf>
    <xf numFmtId="10" fontId="4" fillId="0" borderId="2" xfId="2" applyNumberFormat="1" applyFont="1" applyFill="1" applyBorder="1" applyAlignment="1">
      <alignment horizontal="center" vertical="center"/>
    </xf>
    <xf numFmtId="10" fontId="4" fillId="0" borderId="1" xfId="2" applyNumberFormat="1" applyFont="1" applyFill="1" applyBorder="1" applyAlignment="1">
      <alignment horizontal="center" vertical="center"/>
    </xf>
    <xf numFmtId="0" fontId="6" fillId="0" borderId="2" xfId="2" applyNumberFormat="1" applyFont="1" applyFill="1" applyBorder="1" applyAlignment="1">
      <alignment horizontal="center" vertical="center"/>
    </xf>
    <xf numFmtId="177" fontId="4" fillId="0" borderId="2" xfId="2" applyNumberFormat="1" applyFont="1" applyFill="1" applyBorder="1" applyAlignment="1">
      <alignment horizontal="center" vertical="center"/>
    </xf>
    <xf numFmtId="177" fontId="6" fillId="0" borderId="2" xfId="2" applyNumberFormat="1" applyFont="1" applyFill="1" applyBorder="1" applyAlignment="1">
      <alignment horizontal="center" vertical="center"/>
    </xf>
    <xf numFmtId="10" fontId="6" fillId="0" borderId="2" xfId="2" applyNumberFormat="1" applyFont="1" applyFill="1" applyBorder="1" applyAlignment="1">
      <alignment horizontal="center" vertical="center"/>
    </xf>
    <xf numFmtId="10" fontId="4" fillId="4" borderId="2" xfId="2" applyNumberFormat="1" applyFont="1" applyFill="1" applyBorder="1" applyAlignment="1">
      <alignment horizontal="center" vertical="center"/>
    </xf>
    <xf numFmtId="180" fontId="6" fillId="0" borderId="2" xfId="0" applyNumberFormat="1" applyFont="1" applyBorder="1" applyAlignment="1">
      <alignment horizontal="center" vertical="center"/>
    </xf>
    <xf numFmtId="179" fontId="2" fillId="0" borderId="2" xfId="0" applyNumberFormat="1" applyFont="1" applyBorder="1" applyAlignment="1">
      <alignment horizontal="center" vertical="center"/>
    </xf>
    <xf numFmtId="9" fontId="4" fillId="0" borderId="2" xfId="2" applyFont="1" applyFill="1" applyBorder="1" applyAlignment="1">
      <alignment horizontal="center" vertical="center"/>
    </xf>
    <xf numFmtId="9" fontId="4" fillId="5" borderId="2" xfId="2" applyFont="1" applyFill="1" applyBorder="1" applyAlignment="1">
      <alignment horizontal="center" vertical="center"/>
    </xf>
    <xf numFmtId="9" fontId="2" fillId="0" borderId="2" xfId="2" applyFont="1" applyFill="1" applyBorder="1" applyAlignment="1">
      <alignment horizontal="center" vertical="center"/>
    </xf>
    <xf numFmtId="178" fontId="2" fillId="0" borderId="2" xfId="0" applyNumberFormat="1" applyFont="1" applyBorder="1" applyAlignment="1">
      <alignment horizontal="center" vertical="center"/>
    </xf>
    <xf numFmtId="179" fontId="6" fillId="0" borderId="2" xfId="0" applyNumberFormat="1" applyFont="1" applyBorder="1" applyAlignment="1">
      <alignment horizontal="center" vertical="center"/>
    </xf>
    <xf numFmtId="178" fontId="5" fillId="0" borderId="2" xfId="0" applyNumberFormat="1" applyFont="1" applyBorder="1" applyAlignment="1">
      <alignment horizontal="center" vertical="center"/>
    </xf>
    <xf numFmtId="181" fontId="6" fillId="0" borderId="2" xfId="0" applyNumberFormat="1" applyFont="1" applyBorder="1" applyAlignment="1">
      <alignment horizontal="center" vertical="center"/>
    </xf>
    <xf numFmtId="182" fontId="6" fillId="0" borderId="2" xfId="0" applyNumberFormat="1" applyFont="1" applyBorder="1" applyAlignment="1">
      <alignment horizontal="center" vertical="center"/>
    </xf>
    <xf numFmtId="49" fontId="2" fillId="2" borderId="0" xfId="0" applyNumberFormat="1" applyFont="1" applyFill="1" applyAlignment="1">
      <alignment vertical="center" wrapText="1"/>
    </xf>
    <xf numFmtId="181" fontId="2" fillId="0" borderId="2" xfId="0" applyNumberFormat="1" applyFont="1" applyBorder="1" applyAlignment="1">
      <alignment horizontal="center" vertical="center"/>
    </xf>
    <xf numFmtId="183" fontId="2" fillId="0" borderId="2" xfId="0" applyNumberFormat="1" applyFont="1" applyBorder="1" applyAlignment="1">
      <alignment horizontal="center" vertical="center"/>
    </xf>
    <xf numFmtId="183" fontId="4" fillId="0" borderId="0" xfId="0" applyNumberFormat="1" applyFont="1">
      <alignment vertical="center"/>
    </xf>
    <xf numFmtId="181" fontId="4" fillId="0" borderId="2" xfId="0" applyNumberFormat="1" applyFont="1" applyBorder="1" applyAlignment="1">
      <alignment horizontal="center" vertical="center"/>
    </xf>
    <xf numFmtId="181" fontId="4" fillId="0" borderId="0" xfId="0" applyNumberFormat="1" applyFont="1">
      <alignment vertical="center"/>
    </xf>
    <xf numFmtId="183" fontId="4" fillId="0" borderId="2" xfId="0" applyNumberFormat="1" applyFont="1" applyBorder="1" applyAlignment="1">
      <alignment horizontal="center" vertical="center"/>
    </xf>
    <xf numFmtId="183" fontId="7" fillId="0" borderId="0" xfId="0" applyNumberFormat="1" applyFont="1">
      <alignment vertical="center"/>
    </xf>
    <xf numFmtId="10" fontId="4" fillId="0" borderId="0" xfId="2" applyNumberFormat="1" applyFont="1" applyFill="1" applyBorder="1" applyAlignment="1">
      <alignment horizontal="center" vertical="center"/>
    </xf>
    <xf numFmtId="0" fontId="6" fillId="0" borderId="0" xfId="2" applyNumberFormat="1" applyFont="1" applyFill="1" applyBorder="1" applyAlignment="1">
      <alignment horizontal="center" vertical="center"/>
    </xf>
    <xf numFmtId="0" fontId="4" fillId="4" borderId="0" xfId="0" applyFont="1" applyFill="1">
      <alignment vertical="center"/>
    </xf>
    <xf numFmtId="0" fontId="7" fillId="0" borderId="0" xfId="0" applyFont="1">
      <alignment vertical="center"/>
    </xf>
    <xf numFmtId="0" fontId="4" fillId="0" borderId="0" xfId="0" applyFont="1" applyAlignment="1">
      <alignment horizontal="left" vertical="center"/>
    </xf>
    <xf numFmtId="0" fontId="4" fillId="0" borderId="0" xfId="0" applyFont="1">
      <alignment vertical="center"/>
    </xf>
    <xf numFmtId="178" fontId="3" fillId="3" borderId="0" xfId="0" applyNumberFormat="1" applyFont="1" applyFill="1" applyAlignment="1">
      <alignment horizontal="center" vertical="center"/>
    </xf>
    <xf numFmtId="184" fontId="6" fillId="0" borderId="2" xfId="0" applyNumberFormat="1" applyFont="1" applyBorder="1" applyAlignment="1">
      <alignment horizontal="center" vertical="center"/>
    </xf>
    <xf numFmtId="10" fontId="6" fillId="0" borderId="2" xfId="2" applyNumberFormat="1" applyFont="1" applyFill="1" applyBorder="1" applyAlignment="1" applyProtection="1">
      <alignment horizontal="center" vertical="center"/>
    </xf>
    <xf numFmtId="183" fontId="4" fillId="0" borderId="0" xfId="0" applyNumberFormat="1" applyFont="1" applyAlignment="1">
      <alignment horizontal="center" vertical="center"/>
    </xf>
    <xf numFmtId="176" fontId="4" fillId="0" borderId="0" xfId="0" applyNumberFormat="1" applyFont="1" applyAlignment="1">
      <alignment horizontal="center" vertical="center"/>
    </xf>
    <xf numFmtId="181" fontId="4" fillId="4" borderId="0" xfId="0" applyNumberFormat="1" applyFont="1" applyFill="1" applyAlignment="1">
      <alignment horizontal="center" vertical="center"/>
    </xf>
    <xf numFmtId="185" fontId="4" fillId="4" borderId="0" xfId="0" applyNumberFormat="1" applyFont="1" applyFill="1" applyAlignment="1">
      <alignment horizontal="center" vertical="center"/>
    </xf>
    <xf numFmtId="0" fontId="7" fillId="0" borderId="0" xfId="0" applyFont="1" applyAlignment="1">
      <alignment vertical="center" wrapText="1"/>
    </xf>
    <xf numFmtId="4" fontId="7" fillId="0" borderId="0" xfId="0" applyNumberFormat="1" applyFont="1" applyAlignment="1">
      <alignment vertical="center" wrapText="1"/>
    </xf>
    <xf numFmtId="0" fontId="12" fillId="0" borderId="0" xfId="0" applyFont="1">
      <alignment vertical="center"/>
    </xf>
    <xf numFmtId="10" fontId="7" fillId="0" borderId="0" xfId="2" applyNumberFormat="1" applyFont="1">
      <alignment vertical="center"/>
    </xf>
    <xf numFmtId="10" fontId="4" fillId="0" borderId="0" xfId="2" applyNumberFormat="1" applyFont="1">
      <alignment vertical="center"/>
    </xf>
    <xf numFmtId="10" fontId="7" fillId="0" borderId="0" xfId="2" applyNumberFormat="1" applyFont="1" applyAlignment="1">
      <alignment horizontal="center" vertical="center"/>
    </xf>
    <xf numFmtId="183" fontId="7" fillId="0" borderId="0" xfId="0" applyNumberFormat="1" applyFont="1" applyAlignment="1">
      <alignment vertical="center" wrapText="1"/>
    </xf>
    <xf numFmtId="4" fontId="7" fillId="0" borderId="0" xfId="0" applyNumberFormat="1" applyFont="1">
      <alignment vertical="center"/>
    </xf>
    <xf numFmtId="10" fontId="7" fillId="0" borderId="0" xfId="2" applyNumberFormat="1" applyFont="1" applyAlignment="1">
      <alignment vertical="center"/>
    </xf>
    <xf numFmtId="4" fontId="4" fillId="0" borderId="0" xfId="0" applyNumberFormat="1" applyFont="1">
      <alignment vertical="center"/>
    </xf>
    <xf numFmtId="185" fontId="4" fillId="4" borderId="0" xfId="0" applyNumberFormat="1" applyFont="1" applyFill="1">
      <alignment vertical="center"/>
    </xf>
    <xf numFmtId="0" fontId="4" fillId="0" borderId="0" xfId="0" applyFont="1" applyAlignment="1">
      <alignment vertical="center" wrapText="1"/>
    </xf>
    <xf numFmtId="183" fontId="7" fillId="0" borderId="0" xfId="0" applyNumberFormat="1" applyFont="1" applyAlignment="1">
      <alignment horizontal="center" vertical="center"/>
    </xf>
    <xf numFmtId="185" fontId="7" fillId="0" borderId="0" xfId="2" applyNumberFormat="1" applyFont="1" applyAlignment="1">
      <alignment horizontal="center" vertical="center"/>
    </xf>
    <xf numFmtId="2" fontId="4" fillId="0" borderId="0" xfId="0" applyNumberFormat="1" applyFont="1" applyAlignment="1">
      <alignment horizontal="center" vertical="center"/>
    </xf>
    <xf numFmtId="181" fontId="7" fillId="0" borderId="0" xfId="0" applyNumberFormat="1" applyFont="1" applyAlignment="1">
      <alignment horizontal="center" vertical="center"/>
    </xf>
    <xf numFmtId="49" fontId="0" fillId="0" borderId="0" xfId="0" applyNumberFormat="1">
      <alignment vertical="center"/>
    </xf>
    <xf numFmtId="183" fontId="0" fillId="0" borderId="0" xfId="0" applyNumberFormat="1">
      <alignment vertical="center"/>
    </xf>
    <xf numFmtId="0" fontId="10" fillId="0" borderId="0" xfId="0" applyFont="1" applyAlignment="1">
      <alignment horizontal="center" vertical="center"/>
    </xf>
    <xf numFmtId="9" fontId="0" fillId="0" borderId="0" xfId="2" applyFont="1" applyAlignment="1">
      <alignment horizontal="center" vertical="center"/>
    </xf>
    <xf numFmtId="186" fontId="0" fillId="0" borderId="0" xfId="0" applyNumberFormat="1">
      <alignment vertical="center"/>
    </xf>
    <xf numFmtId="2" fontId="0" fillId="0" borderId="0" xfId="0" applyNumberFormat="1">
      <alignment vertical="center"/>
    </xf>
    <xf numFmtId="0" fontId="7" fillId="0" borderId="0" xfId="0" applyFont="1" applyAlignment="1">
      <alignment horizontal="center" vertical="center"/>
    </xf>
    <xf numFmtId="9" fontId="4" fillId="4" borderId="0" xfId="2" applyFont="1" applyFill="1" applyAlignment="1">
      <alignment horizontal="center" vertical="center"/>
    </xf>
    <xf numFmtId="9" fontId="4" fillId="0" borderId="0" xfId="2" applyFont="1" applyFill="1" applyBorder="1" applyAlignment="1">
      <alignment horizontal="center" vertical="center"/>
    </xf>
    <xf numFmtId="177" fontId="6" fillId="0" borderId="0" xfId="2" applyNumberFormat="1" applyFont="1" applyFill="1" applyBorder="1" applyAlignment="1">
      <alignment horizontal="center" vertical="center"/>
    </xf>
    <xf numFmtId="9" fontId="4" fillId="5" borderId="0" xfId="2" applyFont="1" applyFill="1" applyBorder="1" applyAlignment="1">
      <alignment horizontal="center" vertical="center"/>
    </xf>
    <xf numFmtId="179" fontId="6" fillId="0" borderId="0" xfId="0" applyNumberFormat="1" applyFont="1" applyAlignment="1">
      <alignment horizontal="center" vertical="center"/>
    </xf>
    <xf numFmtId="178" fontId="5" fillId="0" borderId="0" xfId="0" applyNumberFormat="1" applyFont="1" applyAlignment="1">
      <alignment horizontal="center" vertical="center"/>
    </xf>
    <xf numFmtId="1" fontId="4" fillId="0" borderId="0" xfId="0" applyNumberFormat="1" applyFont="1">
      <alignment vertical="center"/>
    </xf>
    <xf numFmtId="49" fontId="2" fillId="2" borderId="0" xfId="0" applyNumberFormat="1" applyFont="1" applyFill="1" applyAlignment="1">
      <alignment horizontal="center" vertical="center" wrapText="1"/>
    </xf>
    <xf numFmtId="0" fontId="14" fillId="0" borderId="0" xfId="0" applyNumberFormat="1" applyFont="1" applyFill="1" applyBorder="1" applyAlignment="1" applyProtection="1"/>
  </cellXfs>
  <cellStyles count="4">
    <cellStyle name="百分比" xfId="2" builtinId="5"/>
    <cellStyle name="常规" xfId="0" builtinId="0"/>
    <cellStyle name="常规 4" xfId="3" xr:uid="{00000000-0005-0000-0000-000002000000}"/>
    <cellStyle name="千位分隔" xfId="1" builtinId="3"/>
  </cellStyles>
  <dxfs count="0"/>
  <tableStyles count="0" defaultTableStyle="TableStyleMedium2" defaultPivotStyle="PivotStyleLight16"/>
  <colors>
    <mruColors>
      <color rgb="FFD3B78F"/>
      <color rgb="FFFFFFFF"/>
      <color rgb="FF7E1A1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ustomXml" Target="../customXml/item1.xml"/><Relationship Id="rId5" Type="http://schemas.openxmlformats.org/officeDocument/2006/relationships/externalLink" Target="externalLinks/externalLink2.xml"/><Relationship Id="rId10" Type="http://schemas.openxmlformats.org/officeDocument/2006/relationships/calcChain" Target="calcChain.xml"/><Relationship Id="rId4" Type="http://schemas.openxmlformats.org/officeDocument/2006/relationships/externalLink" Target="externalLinks/externalLink1.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Wind\Wind.NET.Client\WindNET\DataBrowse\XLA\WindFunc.xla" TargetMode="External"/><Relationship Id="rId1" Type="http://schemas.openxmlformats.org/officeDocument/2006/relationships/externalLinkPath" Target="/Wind/Wind.NET.Client/WindNET/DataBrowse/XLA/WindFunc.xla"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PS&#20113;&#30424;\&#24037;&#20316;\&#37329;&#34701;\&#38134;&#34892;\&#27169;&#22411;&#26694;&#26550;\&#21830;&#19994;&#38134;&#34892;&#25171;&#20998;&#21345;&#27169;&#22411;&#65288;22&#24180;&#25968;&#25454;&#65289;.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WPS&#20113;&#30424;\&#24037;&#20316;\&#37329;&#34701;\&#38134;&#34892;\&#38134;&#34892;&#21516;&#19994;&#23384;&#21333;&#36895;&#31579;&#24037;&#2085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2"/>
      <sheetName val="Sheet3"/>
    </sheetNames>
    <definedNames>
      <definedName name="b_info_issuer"/>
      <definedName name="b_info_latestissurercreditrating"/>
      <definedName name="b_issuer_issuershortened"/>
      <definedName name="b_issuer_propofshareholder"/>
      <definedName name="b_issuer_shareholder"/>
      <definedName name="b_stm07_bs"/>
      <definedName name="b_stm07_is"/>
      <definedName name="s_fa_roe"/>
      <definedName name="s_fa_roic_yearly"/>
      <definedName name="s_info_city"/>
      <definedName name="s_stm07_bs"/>
      <definedName name="s_stm07_bs_39"/>
      <definedName name="s_stm07_bs_71"/>
      <definedName name="s_stm07_bs_fininv"/>
      <definedName name="s_stmnote_bank"/>
      <definedName name="s_stmnote_bank_129n"/>
      <definedName name="s_stmnote_bank_17n"/>
      <definedName name="s_stmnote_bank_18n"/>
      <definedName name="s_stmnote_bank_1n"/>
      <definedName name="s_stmnote_bank_23n"/>
      <definedName name="s_stmnote_bank_26"/>
      <definedName name="s_stmnote_bank_30"/>
      <definedName name="s_stmnote_bank_35"/>
      <definedName name="s_stmnote_bank_38"/>
      <definedName name="s_stmnote_bank_5444"/>
      <definedName name="s_stmnote_bank_58"/>
      <definedName name="s_stmnote_bank_5n"/>
      <definedName name="s_stmnote_bank_60"/>
      <definedName name="s_stmnote_bank_614"/>
      <definedName name="s_stmnote_bank_647"/>
      <definedName name="s_stmnote_bank_65"/>
      <definedName name="s_stmnote_bank_682"/>
      <definedName name="s_stmnote_bank_capadequacyratio"/>
      <definedName name="s_stmnote_bank_capadequacyratio_ct1"/>
    </defined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变化"/>
      <sheetName val="主表-22"/>
      <sheetName val="主表-21调整后"/>
      <sheetName val="主表-21调整前"/>
      <sheetName val="附件"/>
      <sheetName val="说明"/>
      <sheetName val="资本新规跟踪"/>
      <sheetName val="海外银行业"/>
      <sheetName val="分析1"/>
      <sheetName val="评级分布（规范后）"/>
      <sheetName val="评级分布"/>
      <sheetName val="Sheet1"/>
      <sheetName val="Sheet2"/>
      <sheetName val="Sheet3"/>
    </sheetNames>
    <sheetDataSet>
      <sheetData sheetId="0"/>
      <sheetData sheetId="1">
        <row r="1">
          <cell r="C1"/>
          <cell r="D1"/>
          <cell r="E1"/>
          <cell r="F1" t="str">
            <v>&gt;0</v>
          </cell>
          <cell r="G1"/>
          <cell r="H1"/>
        </row>
        <row r="2">
          <cell r="C2" t="str">
            <v>发行人中文名称</v>
          </cell>
          <cell r="D2" t="str">
            <v>简称</v>
          </cell>
          <cell r="E2" t="str">
            <v>是否有额度</v>
          </cell>
          <cell r="F2" t="str">
            <v>最新外评</v>
          </cell>
          <cell r="G2" t="str">
            <v>原内评</v>
          </cell>
          <cell r="H2" t="str">
            <v>内评</v>
          </cell>
        </row>
        <row r="3">
          <cell r="C3"/>
          <cell r="D3"/>
          <cell r="E3"/>
          <cell r="F3"/>
          <cell r="G3"/>
          <cell r="H3"/>
        </row>
        <row r="4">
          <cell r="C4" t="str">
            <v/>
          </cell>
          <cell r="D4" t="str">
            <v/>
          </cell>
          <cell r="E4" t="e">
            <v>#N/A</v>
          </cell>
          <cell r="F4" t="str">
            <v/>
          </cell>
          <cell r="G4" t="e">
            <v>#N/A</v>
          </cell>
          <cell r="H4" t="e">
            <v>#N/A</v>
          </cell>
        </row>
        <row r="5">
          <cell r="C5" t="str">
            <v>中国工商银行股份有限公司</v>
          </cell>
          <cell r="D5" t="str">
            <v>中国工商银行</v>
          </cell>
          <cell r="E5" t="str">
            <v>有</v>
          </cell>
          <cell r="F5" t="str">
            <v>AAA</v>
          </cell>
          <cell r="G5" t="str">
            <v>AAA</v>
          </cell>
          <cell r="H5" t="str">
            <v>AAA</v>
          </cell>
        </row>
        <row r="6">
          <cell r="C6" t="str">
            <v>中国建设银行股份有限公司</v>
          </cell>
          <cell r="D6" t="str">
            <v>中国建设银行</v>
          </cell>
          <cell r="E6" t="str">
            <v>有</v>
          </cell>
          <cell r="F6" t="str">
            <v>AAA</v>
          </cell>
          <cell r="G6" t="str">
            <v>AAA</v>
          </cell>
          <cell r="H6" t="str">
            <v>AAA</v>
          </cell>
        </row>
        <row r="7">
          <cell r="C7" t="str">
            <v>中国农业银行股份有限公司</v>
          </cell>
          <cell r="D7" t="str">
            <v>中国农业银行</v>
          </cell>
          <cell r="E7" t="str">
            <v>有</v>
          </cell>
          <cell r="F7" t="str">
            <v>AAA</v>
          </cell>
          <cell r="G7" t="str">
            <v>AAA</v>
          </cell>
          <cell r="H7" t="str">
            <v>AAA</v>
          </cell>
        </row>
        <row r="8">
          <cell r="C8" t="str">
            <v>中国银行股份有限公司</v>
          </cell>
          <cell r="D8" t="str">
            <v>中国银行</v>
          </cell>
          <cell r="E8" t="str">
            <v>中国银行</v>
          </cell>
          <cell r="F8" t="str">
            <v>AAA</v>
          </cell>
          <cell r="G8" t="str">
            <v>AAA</v>
          </cell>
          <cell r="H8" t="str">
            <v>AAA</v>
          </cell>
        </row>
        <row r="9">
          <cell r="C9" t="str">
            <v>国家开发银行</v>
          </cell>
          <cell r="D9" t="str">
            <v>国家开发银行</v>
          </cell>
          <cell r="E9" t="str">
            <v>国家开发银行</v>
          </cell>
          <cell r="F9" t="str">
            <v/>
          </cell>
          <cell r="G9" t="str">
            <v>AAA</v>
          </cell>
          <cell r="H9" t="str">
            <v>AAA</v>
          </cell>
        </row>
        <row r="10">
          <cell r="C10" t="str">
            <v>中国邮政储蓄银行股份有限公司</v>
          </cell>
          <cell r="D10" t="str">
            <v>中国邮政储蓄银行</v>
          </cell>
          <cell r="E10" t="str">
            <v>中国邮政储蓄银行</v>
          </cell>
          <cell r="F10" t="str">
            <v>AAA</v>
          </cell>
          <cell r="G10" t="str">
            <v>AAA</v>
          </cell>
          <cell r="H10" t="str">
            <v>AAA</v>
          </cell>
        </row>
        <row r="11">
          <cell r="C11" t="str">
            <v>交通银行股份有限公司</v>
          </cell>
          <cell r="D11" t="str">
            <v>交通银行</v>
          </cell>
          <cell r="E11" t="str">
            <v>交通银行</v>
          </cell>
          <cell r="F11" t="str">
            <v>AAA</v>
          </cell>
          <cell r="G11" t="str">
            <v>AA+</v>
          </cell>
          <cell r="H11" t="str">
            <v>AA+</v>
          </cell>
        </row>
        <row r="12">
          <cell r="C12" t="str">
            <v>招商银行股份有限公司</v>
          </cell>
          <cell r="D12" t="str">
            <v>招商银行</v>
          </cell>
          <cell r="E12" t="str">
            <v>招商银行</v>
          </cell>
          <cell r="F12" t="str">
            <v>AAA</v>
          </cell>
          <cell r="G12" t="str">
            <v>AAA</v>
          </cell>
          <cell r="H12" t="str">
            <v>AA+</v>
          </cell>
        </row>
        <row r="13">
          <cell r="C13" t="str">
            <v>兴业银行股份有限公司</v>
          </cell>
          <cell r="D13" t="str">
            <v>兴业银行</v>
          </cell>
          <cell r="E13" t="str">
            <v>兴业银行</v>
          </cell>
          <cell r="F13" t="str">
            <v>AAA</v>
          </cell>
          <cell r="G13" t="str">
            <v>AA</v>
          </cell>
          <cell r="H13" t="str">
            <v>AA</v>
          </cell>
        </row>
        <row r="14">
          <cell r="C14" t="str">
            <v>上海浦东发展银行股份有限公司</v>
          </cell>
          <cell r="D14" t="str">
            <v>上海浦东发展银行</v>
          </cell>
          <cell r="E14" t="str">
            <v>有</v>
          </cell>
          <cell r="F14" t="str">
            <v>AAA</v>
          </cell>
          <cell r="G14" t="str">
            <v>A+</v>
          </cell>
          <cell r="H14" t="str">
            <v>A+</v>
          </cell>
        </row>
        <row r="15">
          <cell r="C15" t="str">
            <v>中信银行股份有限公司</v>
          </cell>
          <cell r="D15" t="str">
            <v>中信银行</v>
          </cell>
          <cell r="E15" t="str">
            <v>中信银行</v>
          </cell>
          <cell r="F15" t="str">
            <v>AAA</v>
          </cell>
          <cell r="G15" t="str">
            <v>A+</v>
          </cell>
          <cell r="H15" t="str">
            <v>A+</v>
          </cell>
        </row>
        <row r="16">
          <cell r="C16" t="str">
            <v>中国民生银行股份有限公司</v>
          </cell>
          <cell r="D16" t="str">
            <v>中国民生银行</v>
          </cell>
          <cell r="E16" t="str">
            <v>有</v>
          </cell>
          <cell r="F16" t="str">
            <v>AAA</v>
          </cell>
          <cell r="G16" t="str">
            <v>BBB+</v>
          </cell>
          <cell r="H16" t="str">
            <v>BBB+</v>
          </cell>
        </row>
        <row r="17">
          <cell r="C17" t="str">
            <v>中国光大银行股份有限公司</v>
          </cell>
          <cell r="D17" t="str">
            <v>中国光大银行</v>
          </cell>
          <cell r="E17" t="str">
            <v>有</v>
          </cell>
          <cell r="F17" t="str">
            <v>AAA</v>
          </cell>
          <cell r="G17" t="str">
            <v>AA-</v>
          </cell>
          <cell r="H17" t="str">
            <v>A</v>
          </cell>
        </row>
        <row r="18">
          <cell r="C18" t="str">
            <v>平安银行股份有限公司</v>
          </cell>
          <cell r="D18" t="str">
            <v>平安银行</v>
          </cell>
          <cell r="E18" t="str">
            <v>平安银行</v>
          </cell>
          <cell r="F18" t="str">
            <v>AAA</v>
          </cell>
          <cell r="G18" t="str">
            <v>AA-</v>
          </cell>
          <cell r="H18" t="str">
            <v>A</v>
          </cell>
        </row>
        <row r="19">
          <cell r="C19" t="str">
            <v>华夏银行股份有限公司</v>
          </cell>
          <cell r="D19" t="str">
            <v>华夏银行</v>
          </cell>
          <cell r="E19" t="str">
            <v>华夏银行</v>
          </cell>
          <cell r="F19" t="str">
            <v>AAA</v>
          </cell>
          <cell r="G19" t="str">
            <v>A-</v>
          </cell>
          <cell r="H19" t="str">
            <v>BBB+</v>
          </cell>
        </row>
        <row r="20">
          <cell r="C20" t="str">
            <v>广发银行股份有限公司</v>
          </cell>
          <cell r="D20" t="str">
            <v>广发银行</v>
          </cell>
          <cell r="E20" t="str">
            <v>广发银行</v>
          </cell>
          <cell r="F20" t="str">
            <v>AAA</v>
          </cell>
          <cell r="G20" t="str">
            <v>A+</v>
          </cell>
          <cell r="H20" t="str">
            <v>BBB+</v>
          </cell>
        </row>
        <row r="21">
          <cell r="C21" t="str">
            <v>北京银行股份有限公司</v>
          </cell>
          <cell r="D21" t="str">
            <v>北京银行</v>
          </cell>
          <cell r="E21" t="str">
            <v>北京银行</v>
          </cell>
          <cell r="F21" t="str">
            <v>AAA</v>
          </cell>
          <cell r="G21" t="str">
            <v>BBB+</v>
          </cell>
          <cell r="H21" t="str">
            <v>A-</v>
          </cell>
        </row>
        <row r="22">
          <cell r="C22" t="str">
            <v>江苏银行股份有限公司</v>
          </cell>
          <cell r="D22" t="str">
            <v>江苏银行</v>
          </cell>
          <cell r="E22" t="str">
            <v>江苏银行</v>
          </cell>
          <cell r="F22" t="str">
            <v>AAA</v>
          </cell>
          <cell r="G22" t="str">
            <v>A-</v>
          </cell>
          <cell r="H22" t="str">
            <v>BBB+</v>
          </cell>
        </row>
        <row r="23">
          <cell r="C23" t="str">
            <v>上海银行股份有限公司</v>
          </cell>
          <cell r="D23" t="str">
            <v>上海银行</v>
          </cell>
          <cell r="E23" t="str">
            <v>上海银行</v>
          </cell>
          <cell r="F23" t="str">
            <v>AAA</v>
          </cell>
          <cell r="G23" t="str">
            <v>A-</v>
          </cell>
          <cell r="H23" t="str">
            <v>BBB+</v>
          </cell>
        </row>
        <row r="24">
          <cell r="C24" t="str">
            <v>浙商银行股份有限公司</v>
          </cell>
          <cell r="D24" t="str">
            <v>浙商银行</v>
          </cell>
          <cell r="E24" t="str">
            <v>浙商银行</v>
          </cell>
          <cell r="F24" t="str">
            <v>AAA</v>
          </cell>
          <cell r="G24" t="str">
            <v>BBB</v>
          </cell>
          <cell r="H24" t="str">
            <v>BBB</v>
          </cell>
        </row>
        <row r="25">
          <cell r="C25" t="str">
            <v>宁波银行股份有限公司</v>
          </cell>
          <cell r="D25" t="str">
            <v>宁波银行</v>
          </cell>
          <cell r="E25" t="e">
            <v>#N/A</v>
          </cell>
          <cell r="F25" t="str">
            <v>AAA</v>
          </cell>
          <cell r="G25" t="str">
            <v>A</v>
          </cell>
          <cell r="H25" t="str">
            <v>A</v>
          </cell>
        </row>
        <row r="26">
          <cell r="C26" t="str">
            <v>南京银行股份有限公司</v>
          </cell>
          <cell r="D26" t="str">
            <v>南京银行</v>
          </cell>
          <cell r="E26" t="str">
            <v>南京银行</v>
          </cell>
          <cell r="F26" t="str">
            <v>AAA</v>
          </cell>
          <cell r="G26" t="str">
            <v>A-</v>
          </cell>
          <cell r="H26" t="str">
            <v>BBB+</v>
          </cell>
        </row>
        <row r="27">
          <cell r="C27" t="str">
            <v>渤海银行股份有限公司</v>
          </cell>
          <cell r="D27" t="str">
            <v>渤海银行</v>
          </cell>
          <cell r="E27" t="str">
            <v>渤海银行</v>
          </cell>
          <cell r="F27" t="str">
            <v>AAA</v>
          </cell>
          <cell r="G27"/>
          <cell r="H27" t="str">
            <v>B</v>
          </cell>
        </row>
        <row r="28">
          <cell r="C28" t="str">
            <v>杭州银行股份有限公司</v>
          </cell>
          <cell r="D28" t="str">
            <v>杭州银行</v>
          </cell>
          <cell r="E28" t="str">
            <v>杭州银行</v>
          </cell>
          <cell r="F28" t="str">
            <v>AAA</v>
          </cell>
          <cell r="G28" t="str">
            <v>A-</v>
          </cell>
          <cell r="H28" t="str">
            <v>BBB</v>
          </cell>
        </row>
        <row r="29">
          <cell r="C29" t="str">
            <v>徽商银行股份有限公司</v>
          </cell>
          <cell r="D29" t="str">
            <v>徽商银行</v>
          </cell>
          <cell r="E29" t="e">
            <v>#N/A</v>
          </cell>
          <cell r="F29" t="str">
            <v>AAA</v>
          </cell>
          <cell r="G29" t="e">
            <v>#N/A</v>
          </cell>
          <cell r="H29" t="e">
            <v>#N/A</v>
          </cell>
        </row>
        <row r="30">
          <cell r="C30" t="str">
            <v>重庆农村商业银行股份有限公司</v>
          </cell>
          <cell r="D30" t="str">
            <v>重庆农村商业银行</v>
          </cell>
          <cell r="E30" t="str">
            <v>有</v>
          </cell>
          <cell r="F30" t="str">
            <v>AAA</v>
          </cell>
          <cell r="G30" t="str">
            <v>BBB-</v>
          </cell>
          <cell r="H30" t="str">
            <v>BB+</v>
          </cell>
        </row>
        <row r="31">
          <cell r="C31" t="str">
            <v>恒丰银行股份有限公司</v>
          </cell>
          <cell r="D31" t="str">
            <v>恒丰银行</v>
          </cell>
          <cell r="E31" t="str">
            <v>恒丰银行</v>
          </cell>
          <cell r="F31" t="str">
            <v>AAA</v>
          </cell>
          <cell r="G31" t="str">
            <v xml:space="preserve"> </v>
          </cell>
          <cell r="H31" t="str">
            <v>CCC+</v>
          </cell>
        </row>
        <row r="32">
          <cell r="C32" t="str">
            <v>中原银行股份有限公司</v>
          </cell>
          <cell r="D32" t="str">
            <v>中原银行</v>
          </cell>
          <cell r="E32" t="str">
            <v>中原银行</v>
          </cell>
          <cell r="F32" t="str">
            <v>AAA</v>
          </cell>
          <cell r="G32"/>
          <cell r="H32" t="str">
            <v>B-</v>
          </cell>
        </row>
        <row r="33">
          <cell r="C33" t="str">
            <v>上海农村商业银行股份有限公司</v>
          </cell>
          <cell r="D33" t="str">
            <v>上海农村商业银行</v>
          </cell>
          <cell r="E33" t="str">
            <v>有</v>
          </cell>
          <cell r="F33" t="str">
            <v>AAA</v>
          </cell>
          <cell r="G33" t="str">
            <v>A+</v>
          </cell>
          <cell r="H33" t="str">
            <v>A+</v>
          </cell>
        </row>
        <row r="34">
          <cell r="C34" t="str">
            <v>广州农村商业银行股份有限公司</v>
          </cell>
          <cell r="D34" t="str">
            <v>广州农村商业银行</v>
          </cell>
          <cell r="E34" t="str">
            <v>有</v>
          </cell>
          <cell r="F34" t="str">
            <v>AAA</v>
          </cell>
          <cell r="G34" t="str">
            <v>BB-</v>
          </cell>
          <cell r="H34" t="str">
            <v>B+</v>
          </cell>
        </row>
        <row r="35">
          <cell r="C35" t="str">
            <v>北京农村商业银行股份有限公司</v>
          </cell>
          <cell r="D35" t="str">
            <v>北京农村商业银行</v>
          </cell>
          <cell r="E35" t="str">
            <v>有</v>
          </cell>
          <cell r="F35" t="str">
            <v>AAA</v>
          </cell>
          <cell r="G35" t="str">
            <v>BBB</v>
          </cell>
          <cell r="H35" t="str">
            <v>BBB</v>
          </cell>
        </row>
        <row r="36">
          <cell r="C36" t="str">
            <v>厦门国际银行股份有限公司</v>
          </cell>
          <cell r="D36" t="str">
            <v>厦门国际银行</v>
          </cell>
          <cell r="E36" t="e">
            <v>#N/A</v>
          </cell>
          <cell r="F36" t="str">
            <v>AAA</v>
          </cell>
          <cell r="G36" t="e">
            <v>#N/A</v>
          </cell>
          <cell r="H36" t="e">
            <v>#N/A</v>
          </cell>
        </row>
        <row r="37">
          <cell r="C37" t="str">
            <v>盛京银行股份有限公司</v>
          </cell>
          <cell r="D37" t="str">
            <v>盛京银行</v>
          </cell>
          <cell r="E37" t="e">
            <v>#N/A</v>
          </cell>
          <cell r="F37" t="str">
            <v>AA+</v>
          </cell>
          <cell r="G37" t="e">
            <v>#N/A</v>
          </cell>
          <cell r="H37" t="e">
            <v>#N/A</v>
          </cell>
        </row>
        <row r="38">
          <cell r="C38" t="str">
            <v>成都银行股份有限公司</v>
          </cell>
          <cell r="D38" t="str">
            <v>成都银行</v>
          </cell>
          <cell r="E38" t="str">
            <v>成都银行</v>
          </cell>
          <cell r="F38" t="str">
            <v>AAA</v>
          </cell>
          <cell r="G38" t="str">
            <v>BBB+</v>
          </cell>
          <cell r="H38" t="str">
            <v>BBB-</v>
          </cell>
        </row>
        <row r="39">
          <cell r="C39" t="str">
            <v>长沙银行股份有限公司</v>
          </cell>
          <cell r="D39" t="str">
            <v>长沙银行</v>
          </cell>
          <cell r="E39" t="str">
            <v>长沙银行</v>
          </cell>
          <cell r="F39" t="str">
            <v>AAA</v>
          </cell>
          <cell r="G39" t="str">
            <v>BBB-</v>
          </cell>
          <cell r="H39" t="str">
            <v>BB</v>
          </cell>
        </row>
        <row r="40">
          <cell r="C40" t="str">
            <v>广州银行股份有限公司</v>
          </cell>
          <cell r="D40" t="str">
            <v>广州银行</v>
          </cell>
          <cell r="E40" t="str">
            <v>广州银行</v>
          </cell>
          <cell r="F40" t="str">
            <v>AAA</v>
          </cell>
          <cell r="G40" t="str">
            <v>BB</v>
          </cell>
          <cell r="H40" t="str">
            <v>B+</v>
          </cell>
        </row>
        <row r="41">
          <cell r="C41" t="str">
            <v>天津银行股份有限公司</v>
          </cell>
          <cell r="D41" t="str">
            <v>天津银行</v>
          </cell>
          <cell r="E41" t="e">
            <v>#N/A</v>
          </cell>
          <cell r="F41" t="str">
            <v>AAA</v>
          </cell>
          <cell r="G41" t="e">
            <v>#N/A</v>
          </cell>
          <cell r="H41" t="e">
            <v>#N/A</v>
          </cell>
        </row>
        <row r="42">
          <cell r="C42" t="str">
            <v>成都农村商业银行股份有限公司</v>
          </cell>
          <cell r="D42" t="str">
            <v>成都农商行</v>
          </cell>
          <cell r="E42" t="str">
            <v>成都农商行</v>
          </cell>
          <cell r="F42" t="str">
            <v>AAA</v>
          </cell>
          <cell r="G42" t="str">
            <v>BB+</v>
          </cell>
          <cell r="H42" t="str">
            <v>B+</v>
          </cell>
        </row>
        <row r="43">
          <cell r="C43" t="str">
            <v>哈尔滨银行股份有限公司</v>
          </cell>
          <cell r="D43" t="str">
            <v>哈尔滨银行</v>
          </cell>
          <cell r="E43" t="e">
            <v>#N/A</v>
          </cell>
          <cell r="F43" t="str">
            <v>AAA</v>
          </cell>
          <cell r="G43" t="e">
            <v>#N/A</v>
          </cell>
          <cell r="H43" t="e">
            <v>#N/A</v>
          </cell>
        </row>
        <row r="44">
          <cell r="C44" t="str">
            <v>重庆银行股份有限公司</v>
          </cell>
          <cell r="D44" t="str">
            <v>重庆银行</v>
          </cell>
          <cell r="E44" t="str">
            <v>重庆银行</v>
          </cell>
          <cell r="F44" t="str">
            <v>AAA</v>
          </cell>
          <cell r="G44" t="str">
            <v>BBB-</v>
          </cell>
          <cell r="H44" t="str">
            <v>BBB-</v>
          </cell>
        </row>
        <row r="45">
          <cell r="C45" t="str">
            <v>深圳农村商业银行股份有限公司</v>
          </cell>
          <cell r="D45" t="str">
            <v>深圳农商行</v>
          </cell>
          <cell r="E45" t="str">
            <v>深圳农商行</v>
          </cell>
          <cell r="F45" t="str">
            <v>AAA</v>
          </cell>
          <cell r="G45" t="str">
            <v>BBB-</v>
          </cell>
          <cell r="H45" t="str">
            <v>BBB-</v>
          </cell>
        </row>
        <row r="46">
          <cell r="C46" t="str">
            <v>东莞农村商业银行股份有限公司</v>
          </cell>
          <cell r="D46" t="str">
            <v>东莞农村商业银行</v>
          </cell>
          <cell r="E46" t="str">
            <v>有</v>
          </cell>
          <cell r="F46" t="str">
            <v>AAA</v>
          </cell>
          <cell r="G46" t="str">
            <v>BBB+</v>
          </cell>
          <cell r="H46" t="str">
            <v>BBB-</v>
          </cell>
        </row>
        <row r="47">
          <cell r="C47" t="str">
            <v>贵阳银行股份有限公司</v>
          </cell>
          <cell r="D47" t="str">
            <v>贵阳银行</v>
          </cell>
          <cell r="E47" t="str">
            <v>贵阳银行</v>
          </cell>
          <cell r="F47" t="str">
            <v>AAA</v>
          </cell>
          <cell r="G47" t="str">
            <v>BB+</v>
          </cell>
          <cell r="H47" t="str">
            <v>B-</v>
          </cell>
        </row>
        <row r="48">
          <cell r="C48" t="str">
            <v>汇丰银行(中国)有限公司</v>
          </cell>
          <cell r="D48" t="str">
            <v>汇丰银行(中国)</v>
          </cell>
          <cell r="E48" t="str">
            <v>有</v>
          </cell>
          <cell r="F48" t="str">
            <v>AAA</v>
          </cell>
          <cell r="G48" t="str">
            <v>BBB+</v>
          </cell>
          <cell r="H48" t="str">
            <v>BBB-</v>
          </cell>
        </row>
        <row r="49">
          <cell r="C49" t="str">
            <v>郑州银行股份有限公司</v>
          </cell>
          <cell r="D49" t="str">
            <v>郑州银行</v>
          </cell>
          <cell r="E49" t="str">
            <v>郑州银行</v>
          </cell>
          <cell r="F49" t="str">
            <v>AAA</v>
          </cell>
          <cell r="G49" t="str">
            <v>B</v>
          </cell>
          <cell r="H49" t="str">
            <v>B</v>
          </cell>
        </row>
        <row r="50">
          <cell r="C50" t="str">
            <v>吉林银行股份有限公司</v>
          </cell>
          <cell r="D50" t="str">
            <v>吉林银行</v>
          </cell>
          <cell r="E50" t="e">
            <v>#N/A</v>
          </cell>
          <cell r="F50" t="str">
            <v>AAA</v>
          </cell>
          <cell r="G50" t="e">
            <v>#N/A</v>
          </cell>
          <cell r="H50" t="e">
            <v>#N/A</v>
          </cell>
        </row>
        <row r="51">
          <cell r="C51" t="str">
            <v>东莞银行股份有限公司</v>
          </cell>
          <cell r="D51" t="str">
            <v>东莞银行</v>
          </cell>
          <cell r="E51" t="str">
            <v>东莞银行</v>
          </cell>
          <cell r="F51" t="str">
            <v>AAA</v>
          </cell>
          <cell r="G51" t="str">
            <v>BBB-</v>
          </cell>
          <cell r="H51" t="str">
            <v>BBB</v>
          </cell>
        </row>
        <row r="52">
          <cell r="C52" t="str">
            <v>贵州银行股份有限公司</v>
          </cell>
          <cell r="D52" t="str">
            <v>贵州银行</v>
          </cell>
          <cell r="E52" t="e">
            <v>#N/A</v>
          </cell>
          <cell r="F52" t="str">
            <v>AAA</v>
          </cell>
          <cell r="G52" t="e">
            <v>#N/A</v>
          </cell>
          <cell r="H52" t="e">
            <v>#N/A</v>
          </cell>
        </row>
        <row r="53">
          <cell r="C53" t="str">
            <v>青岛银行股份有限公司</v>
          </cell>
          <cell r="D53" t="str">
            <v>青岛银行</v>
          </cell>
          <cell r="E53" t="str">
            <v>青岛银行</v>
          </cell>
          <cell r="F53" t="str">
            <v>AAA</v>
          </cell>
          <cell r="G53" t="str">
            <v>BBB-</v>
          </cell>
          <cell r="H53" t="str">
            <v>B+</v>
          </cell>
        </row>
        <row r="54">
          <cell r="C54" t="str">
            <v>苏州银行股份有限公司</v>
          </cell>
          <cell r="D54" t="str">
            <v>苏州银行</v>
          </cell>
          <cell r="E54" t="str">
            <v>苏州银行</v>
          </cell>
          <cell r="F54" t="str">
            <v>AAA</v>
          </cell>
          <cell r="G54" t="str">
            <v>BBB</v>
          </cell>
          <cell r="H54" t="str">
            <v>BB+</v>
          </cell>
        </row>
        <row r="55">
          <cell r="C55" t="str">
            <v>江西银行股份有限公司</v>
          </cell>
          <cell r="D55" t="str">
            <v>江西银行</v>
          </cell>
          <cell r="E55" t="e">
            <v>#N/A</v>
          </cell>
          <cell r="F55" t="str">
            <v>AAA</v>
          </cell>
          <cell r="G55" t="e">
            <v>#N/A</v>
          </cell>
          <cell r="H55" t="e">
            <v>#N/A</v>
          </cell>
        </row>
        <row r="56">
          <cell r="C56" t="str">
            <v>江苏江南农村商业银行股份有限公司</v>
          </cell>
          <cell r="D56" t="str">
            <v>江苏江南农村商业银行</v>
          </cell>
          <cell r="E56" t="str">
            <v>有次级+普通</v>
          </cell>
          <cell r="F56" t="str">
            <v>AAA</v>
          </cell>
          <cell r="G56" t="str">
            <v>BB+</v>
          </cell>
          <cell r="H56" t="str">
            <v>BBB-</v>
          </cell>
        </row>
        <row r="57">
          <cell r="C57" t="str">
            <v>齐鲁银行股份有限公司</v>
          </cell>
          <cell r="D57" t="str">
            <v>齐鲁银行</v>
          </cell>
          <cell r="E57" t="str">
            <v>齐鲁银行</v>
          </cell>
          <cell r="F57" t="str">
            <v>AAA</v>
          </cell>
          <cell r="G57"/>
          <cell r="H57"/>
        </row>
        <row r="58">
          <cell r="C58" t="str">
            <v>汉口银行股份有限公司</v>
          </cell>
          <cell r="D58" t="str">
            <v>汉口银行</v>
          </cell>
          <cell r="E58" t="str">
            <v>汉口银行</v>
          </cell>
          <cell r="F58" t="str">
            <v>AA+</v>
          </cell>
          <cell r="G58" t="str">
            <v>B</v>
          </cell>
          <cell r="H58" t="str">
            <v>B</v>
          </cell>
        </row>
        <row r="59">
          <cell r="C59" t="str">
            <v>桂林银行股份有限公司</v>
          </cell>
          <cell r="D59" t="str">
            <v>桂林银行</v>
          </cell>
          <cell r="E59" t="e">
            <v>#N/A</v>
          </cell>
          <cell r="F59" t="str">
            <v>AAA</v>
          </cell>
          <cell r="G59" t="e">
            <v>#N/A</v>
          </cell>
          <cell r="H59" t="e">
            <v>#N/A</v>
          </cell>
        </row>
        <row r="60">
          <cell r="C60" t="str">
            <v>河北银行股份有限公司</v>
          </cell>
          <cell r="D60" t="str">
            <v>河北银行</v>
          </cell>
          <cell r="E60" t="e">
            <v>#N/A</v>
          </cell>
          <cell r="F60" t="str">
            <v>AAA</v>
          </cell>
          <cell r="G60" t="e">
            <v>#N/A</v>
          </cell>
          <cell r="H60" t="e">
            <v>#N/A</v>
          </cell>
        </row>
        <row r="61">
          <cell r="C61" t="str">
            <v>九江银行股份有限公司</v>
          </cell>
          <cell r="D61" t="str">
            <v>九江银行</v>
          </cell>
          <cell r="E61" t="str">
            <v>九江银行</v>
          </cell>
          <cell r="F61" t="str">
            <v>AAA</v>
          </cell>
          <cell r="G61" t="str">
            <v>BB-</v>
          </cell>
          <cell r="H61" t="str">
            <v>B</v>
          </cell>
        </row>
        <row r="62">
          <cell r="C62" t="str">
            <v>深圳前海微众银行股份有限公司</v>
          </cell>
          <cell r="D62" t="str">
            <v>深圳前海微众银行</v>
          </cell>
          <cell r="E62" t="str">
            <v>有次级+普通</v>
          </cell>
          <cell r="F62" t="str">
            <v>AAA</v>
          </cell>
          <cell r="G62" t="str">
            <v>BBB+</v>
          </cell>
          <cell r="H62" t="str">
            <v>BB+</v>
          </cell>
        </row>
        <row r="63">
          <cell r="C63" t="str">
            <v>大连银行股份有限公司</v>
          </cell>
          <cell r="D63" t="str">
            <v>大连银行</v>
          </cell>
          <cell r="E63" t="e">
            <v>#N/A</v>
          </cell>
          <cell r="F63" t="str">
            <v>AAA</v>
          </cell>
          <cell r="G63" t="e">
            <v>#N/A</v>
          </cell>
          <cell r="H63" t="e">
            <v>#N/A</v>
          </cell>
        </row>
        <row r="64">
          <cell r="C64" t="str">
            <v>湖南银行股份有限公司</v>
          </cell>
          <cell r="D64" t="str">
            <v>湖南银行</v>
          </cell>
          <cell r="E64" t="str">
            <v>湖南银行</v>
          </cell>
          <cell r="F64" t="str">
            <v>AAA</v>
          </cell>
          <cell r="G64"/>
          <cell r="H64" t="str">
            <v>B</v>
          </cell>
        </row>
        <row r="65">
          <cell r="C65" t="str">
            <v>广东顺德农村商业银行股份有限公司</v>
          </cell>
          <cell r="D65" t="str">
            <v>顺德农商行</v>
          </cell>
          <cell r="E65" t="str">
            <v>顺德农商行</v>
          </cell>
          <cell r="F65" t="str">
            <v>AAA</v>
          </cell>
          <cell r="G65" t="str">
            <v>BB+</v>
          </cell>
          <cell r="H65" t="str">
            <v>BBB-</v>
          </cell>
        </row>
        <row r="66">
          <cell r="C66" t="str">
            <v>浙江网商银行股份有限公司</v>
          </cell>
          <cell r="D66" t="str">
            <v>浙江网商银行</v>
          </cell>
          <cell r="E66" t="str">
            <v>有次级+普通</v>
          </cell>
          <cell r="F66" t="str">
            <v>AAA</v>
          </cell>
          <cell r="G66" t="str">
            <v>BBB-</v>
          </cell>
          <cell r="H66" t="str">
            <v>BBB</v>
          </cell>
        </row>
        <row r="67">
          <cell r="C67" t="str">
            <v>长安银行股份有限公司</v>
          </cell>
          <cell r="D67" t="str">
            <v>长安银行</v>
          </cell>
          <cell r="E67" t="str">
            <v>长安银行</v>
          </cell>
          <cell r="F67" t="str">
            <v>AA+</v>
          </cell>
          <cell r="G67"/>
          <cell r="H67" t="str">
            <v>B+</v>
          </cell>
        </row>
        <row r="68">
          <cell r="C68" t="str">
            <v>兰州银行股份有限公司</v>
          </cell>
          <cell r="D68" t="str">
            <v>兰州银行</v>
          </cell>
          <cell r="E68" t="e">
            <v>#N/A</v>
          </cell>
          <cell r="F68" t="str">
            <v>AAA</v>
          </cell>
          <cell r="G68" t="str">
            <v>BB-</v>
          </cell>
          <cell r="H68" t="str">
            <v>BB-</v>
          </cell>
        </row>
        <row r="69">
          <cell r="C69" t="str">
            <v>青岛农村商业银行股份有限公司</v>
          </cell>
          <cell r="D69" t="str">
            <v>青岛农村商业银行</v>
          </cell>
          <cell r="E69" t="str">
            <v>有次级+普通</v>
          </cell>
          <cell r="F69" t="str">
            <v>AAA</v>
          </cell>
          <cell r="G69" t="str">
            <v>BB+</v>
          </cell>
          <cell r="H69" t="str">
            <v>B</v>
          </cell>
        </row>
        <row r="70">
          <cell r="C70" t="str">
            <v>广西北部湾银行股份有限公司</v>
          </cell>
          <cell r="D70" t="str">
            <v>广西北部湾银行</v>
          </cell>
          <cell r="E70" t="e">
            <v>#N/A</v>
          </cell>
          <cell r="F70" t="str">
            <v>AAA</v>
          </cell>
          <cell r="G70" t="e">
            <v>#N/A</v>
          </cell>
          <cell r="H70" t="e">
            <v>#N/A</v>
          </cell>
        </row>
        <row r="71">
          <cell r="C71" t="str">
            <v>广西北部湾银行股份有限公司</v>
          </cell>
          <cell r="D71" t="str">
            <v>广西北部湾银行</v>
          </cell>
          <cell r="E71" t="str">
            <v>有普通</v>
          </cell>
          <cell r="F71" t="str">
            <v>AAA</v>
          </cell>
          <cell r="G71"/>
          <cell r="H71" t="str">
            <v>B-</v>
          </cell>
        </row>
        <row r="72">
          <cell r="C72" t="str">
            <v>杭州联合农村商业银行股份有限公司</v>
          </cell>
          <cell r="D72" t="str">
            <v>杭州联合农村商业银行</v>
          </cell>
          <cell r="E72" t="str">
            <v>有次级+普通</v>
          </cell>
          <cell r="F72" t="str">
            <v>AAA</v>
          </cell>
          <cell r="G72" t="str">
            <v>BBB+</v>
          </cell>
          <cell r="H72" t="str">
            <v>BBB</v>
          </cell>
        </row>
        <row r="73">
          <cell r="C73" t="str">
            <v>武汉农村商业银行股份有限公司</v>
          </cell>
          <cell r="D73" t="str">
            <v>武汉农村商业银行</v>
          </cell>
          <cell r="E73" t="e">
            <v>#N/A</v>
          </cell>
          <cell r="F73" t="str">
            <v>AA+</v>
          </cell>
          <cell r="G73" t="e">
            <v>#N/A</v>
          </cell>
          <cell r="H73" t="e">
            <v>#N/A</v>
          </cell>
        </row>
        <row r="74">
          <cell r="C74" t="str">
            <v>广东华兴银行股份有限公司</v>
          </cell>
          <cell r="D74" t="str">
            <v>广东华兴银行</v>
          </cell>
          <cell r="E74" t="e">
            <v>#N/A</v>
          </cell>
          <cell r="F74" t="str">
            <v>AA+</v>
          </cell>
          <cell r="G74" t="e">
            <v>#N/A</v>
          </cell>
          <cell r="H74" t="e">
            <v>#N/A</v>
          </cell>
        </row>
        <row r="75">
          <cell r="C75" t="str">
            <v>温州银行股份有限公司</v>
          </cell>
          <cell r="D75" t="str">
            <v>温州银行</v>
          </cell>
          <cell r="E75" t="e">
            <v>#N/A</v>
          </cell>
          <cell r="F75" t="str">
            <v>AA+</v>
          </cell>
          <cell r="G75" t="e">
            <v>#N/A</v>
          </cell>
          <cell r="H75" t="e">
            <v>#N/A</v>
          </cell>
        </row>
        <row r="76">
          <cell r="C76" t="str">
            <v>天津农村商业银行股份有限公司</v>
          </cell>
          <cell r="D76" t="str">
            <v>天津农商银行</v>
          </cell>
          <cell r="E76" t="e">
            <v>#N/A</v>
          </cell>
          <cell r="F76" t="str">
            <v>AAA</v>
          </cell>
          <cell r="G76" t="e">
            <v>#N/A</v>
          </cell>
          <cell r="H76" t="e">
            <v>#N/A</v>
          </cell>
        </row>
        <row r="77">
          <cell r="C77" t="str">
            <v>西安银行股份有限公司</v>
          </cell>
          <cell r="D77" t="str">
            <v>西安银行</v>
          </cell>
          <cell r="E77" t="str">
            <v>西安银行</v>
          </cell>
          <cell r="F77" t="str">
            <v>AAA</v>
          </cell>
          <cell r="G77" t="str">
            <v>BBB-</v>
          </cell>
          <cell r="H77" t="str">
            <v>BB-</v>
          </cell>
        </row>
        <row r="78">
          <cell r="C78" t="str">
            <v>湖北银行股份有限公司</v>
          </cell>
          <cell r="D78" t="str">
            <v>湖北银行</v>
          </cell>
          <cell r="E78" t="str">
            <v>湖北银行</v>
          </cell>
          <cell r="F78" t="str">
            <v>AAA</v>
          </cell>
          <cell r="G78"/>
          <cell r="H78" t="str">
            <v>B</v>
          </cell>
        </row>
        <row r="79">
          <cell r="C79" t="str">
            <v>昆仑银行股份有限公司</v>
          </cell>
          <cell r="D79" t="str">
            <v>昆仑银行</v>
          </cell>
          <cell r="E79" t="str">
            <v>昆仑银行</v>
          </cell>
          <cell r="F79" t="str">
            <v>AAA</v>
          </cell>
          <cell r="G79" t="str">
            <v>BBB</v>
          </cell>
          <cell r="H79" t="str">
            <v>BBB</v>
          </cell>
        </row>
        <row r="80">
          <cell r="C80" t="str">
            <v>甘肃银行股份有限公司</v>
          </cell>
          <cell r="D80" t="str">
            <v>甘肃银行</v>
          </cell>
          <cell r="E80" t="e">
            <v>#N/A</v>
          </cell>
          <cell r="F80" t="str">
            <v>AAA</v>
          </cell>
          <cell r="G80" t="e">
            <v>#N/A</v>
          </cell>
          <cell r="H80" t="e">
            <v>#N/A</v>
          </cell>
        </row>
        <row r="81">
          <cell r="C81" t="str">
            <v>浙江泰隆商业银行股份有限公司</v>
          </cell>
          <cell r="D81" t="str">
            <v>浙江泰隆商业银行</v>
          </cell>
          <cell r="E81" t="str">
            <v>有次级+普通</v>
          </cell>
          <cell r="F81" t="str">
            <v>AAA</v>
          </cell>
          <cell r="G81" t="str">
            <v>BBB</v>
          </cell>
          <cell r="H81" t="str">
            <v>BBB</v>
          </cell>
        </row>
        <row r="82">
          <cell r="C82" t="str">
            <v>台州银行股份有限公司</v>
          </cell>
          <cell r="D82" t="str">
            <v>台州银行</v>
          </cell>
          <cell r="E82" t="str">
            <v>台州银行</v>
          </cell>
          <cell r="F82" t="str">
            <v>AAA</v>
          </cell>
          <cell r="G82" t="str">
            <v>BBB+</v>
          </cell>
          <cell r="H82" t="str">
            <v>BBB</v>
          </cell>
        </row>
        <row r="83">
          <cell r="C83" t="str">
            <v>厦门银行股份有限公司</v>
          </cell>
          <cell r="D83" t="str">
            <v>厦门银行</v>
          </cell>
          <cell r="E83" t="str">
            <v>厦门银行</v>
          </cell>
          <cell r="F83" t="str">
            <v>AAA</v>
          </cell>
          <cell r="G83" t="str">
            <v>BBB-</v>
          </cell>
          <cell r="H83" t="str">
            <v>BBB-</v>
          </cell>
        </row>
        <row r="84">
          <cell r="C84" t="str">
            <v>富滇银行股份有限公司</v>
          </cell>
          <cell r="D84" t="str">
            <v>富滇银行</v>
          </cell>
          <cell r="E84" t="e">
            <v>#N/A</v>
          </cell>
          <cell r="F84" t="str">
            <v>AA+</v>
          </cell>
          <cell r="G84" t="e">
            <v>#N/A</v>
          </cell>
          <cell r="H84" t="e">
            <v>#N/A</v>
          </cell>
        </row>
        <row r="85">
          <cell r="C85" t="str">
            <v>威海市商业银行股份有限公司</v>
          </cell>
          <cell r="D85" t="str">
            <v>威海银行</v>
          </cell>
          <cell r="E85" t="str">
            <v>威海银行</v>
          </cell>
          <cell r="F85" t="str">
            <v>AAA</v>
          </cell>
          <cell r="G85" t="str">
            <v>BB+</v>
          </cell>
          <cell r="H85" t="str">
            <v>B+</v>
          </cell>
        </row>
        <row r="86">
          <cell r="C86" t="str">
            <v>晋商银行股份有限公司</v>
          </cell>
          <cell r="D86" t="str">
            <v>晋商银行</v>
          </cell>
          <cell r="E86" t="e">
            <v>#N/A</v>
          </cell>
          <cell r="F86" t="str">
            <v>AAA</v>
          </cell>
          <cell r="G86" t="e">
            <v>#N/A</v>
          </cell>
          <cell r="H86" t="e">
            <v>#N/A</v>
          </cell>
        </row>
        <row r="87">
          <cell r="C87" t="str">
            <v>浙江稠州商业银行股份有限公司</v>
          </cell>
          <cell r="D87" t="str">
            <v>浙江稠州商业银行</v>
          </cell>
          <cell r="E87" t="e">
            <v>#N/A</v>
          </cell>
          <cell r="F87" t="str">
            <v>AA+</v>
          </cell>
          <cell r="G87" t="e">
            <v>#N/A</v>
          </cell>
          <cell r="H87" t="e">
            <v>#N/A</v>
          </cell>
        </row>
        <row r="88">
          <cell r="C88" t="str">
            <v>张家口银行股份有限公司</v>
          </cell>
          <cell r="D88" t="str">
            <v>张家口银行</v>
          </cell>
          <cell r="E88" t="e">
            <v>#N/A</v>
          </cell>
          <cell r="F88" t="str">
            <v>AA+</v>
          </cell>
          <cell r="G88" t="e">
            <v>#N/A</v>
          </cell>
          <cell r="H88" t="e">
            <v>#N/A</v>
          </cell>
        </row>
        <row r="89">
          <cell r="C89" t="str">
            <v>珠海华润银行股份有限公司</v>
          </cell>
          <cell r="D89" t="str">
            <v>珠海华润银行</v>
          </cell>
          <cell r="E89" t="str">
            <v>有普通</v>
          </cell>
          <cell r="F89" t="str">
            <v>AAA</v>
          </cell>
          <cell r="G89" t="str">
            <v>BB+</v>
          </cell>
          <cell r="H89" t="str">
            <v>BB-</v>
          </cell>
        </row>
        <row r="90">
          <cell r="C90" t="str">
            <v>龙江银行股份有限公司</v>
          </cell>
          <cell r="D90" t="str">
            <v>龙江银行</v>
          </cell>
          <cell r="E90" t="e">
            <v>#N/A</v>
          </cell>
          <cell r="F90" t="str">
            <v>AA+</v>
          </cell>
          <cell r="G90" t="e">
            <v>#N/A</v>
          </cell>
          <cell r="H90" t="e">
            <v>#N/A</v>
          </cell>
        </row>
        <row r="91">
          <cell r="C91" t="str">
            <v>江苏常熟农村商业银行股份有限公司</v>
          </cell>
          <cell r="D91" t="str">
            <v>江苏常熟农村商业银行</v>
          </cell>
          <cell r="E91" t="str">
            <v>有次级+普通</v>
          </cell>
          <cell r="F91" t="str">
            <v>AA+</v>
          </cell>
          <cell r="G91" t="str">
            <v>BBB+</v>
          </cell>
          <cell r="H91" t="str">
            <v>BBB</v>
          </cell>
        </row>
        <row r="92">
          <cell r="C92" t="str">
            <v>日照银行股份有限公司</v>
          </cell>
          <cell r="D92" t="str">
            <v>日照银行</v>
          </cell>
          <cell r="E92" t="e">
            <v>#N/A</v>
          </cell>
          <cell r="F92" t="str">
            <v>AA+</v>
          </cell>
          <cell r="G92" t="e">
            <v>#N/A</v>
          </cell>
          <cell r="H92" t="e">
            <v>#N/A</v>
          </cell>
        </row>
        <row r="93">
          <cell r="C93" t="str">
            <v>浙江萧山农村商业银行股份有限公司</v>
          </cell>
          <cell r="D93" t="str">
            <v>浙江萧山农商行</v>
          </cell>
          <cell r="E93" t="str">
            <v>有普通</v>
          </cell>
          <cell r="F93" t="str">
            <v>AA+</v>
          </cell>
          <cell r="G93" t="str">
            <v>BBB-</v>
          </cell>
          <cell r="H93" t="str">
            <v>BBB-</v>
          </cell>
        </row>
        <row r="94">
          <cell r="C94" t="str">
            <v>广东南海农村商业银行股份有限公司</v>
          </cell>
          <cell r="D94" t="str">
            <v>广东南海农村商业银行</v>
          </cell>
          <cell r="E94" t="str">
            <v>有普通</v>
          </cell>
          <cell r="F94" t="str">
            <v>AAA</v>
          </cell>
          <cell r="G94" t="str">
            <v>BB</v>
          </cell>
          <cell r="H94" t="str">
            <v>BB+</v>
          </cell>
        </row>
        <row r="95">
          <cell r="C95" t="str">
            <v>渣打银行(中国)有限公司</v>
          </cell>
          <cell r="D95" t="str">
            <v>渣打银行(中国)</v>
          </cell>
          <cell r="E95" t="str">
            <v>有普通</v>
          </cell>
          <cell r="F95" t="str">
            <v>AAA</v>
          </cell>
          <cell r="G95" t="str">
            <v>BBB</v>
          </cell>
          <cell r="H95" t="str">
            <v>BBB-</v>
          </cell>
        </row>
        <row r="96">
          <cell r="C96" t="str">
            <v>吉林九台农村商业银行股份有限公司</v>
          </cell>
          <cell r="D96" t="str">
            <v>九台农商银行</v>
          </cell>
          <cell r="E96" t="e">
            <v>#N/A</v>
          </cell>
          <cell r="F96" t="str">
            <v>AA</v>
          </cell>
          <cell r="G96" t="e">
            <v>#N/A</v>
          </cell>
          <cell r="H96" t="e">
            <v>#N/A</v>
          </cell>
        </row>
        <row r="97">
          <cell r="C97" t="str">
            <v>赣州银行股份有限公司</v>
          </cell>
          <cell r="D97" t="str">
            <v>赣州银行</v>
          </cell>
          <cell r="E97" t="e">
            <v>#N/A</v>
          </cell>
          <cell r="F97" t="str">
            <v>AA+</v>
          </cell>
          <cell r="G97" t="e">
            <v>#N/A</v>
          </cell>
          <cell r="H97" t="e">
            <v>#N/A</v>
          </cell>
        </row>
        <row r="98">
          <cell r="C98" t="str">
            <v>重庆三峡银行股份有限公司</v>
          </cell>
          <cell r="D98" t="str">
            <v>重庆三峡银行</v>
          </cell>
          <cell r="E98" t="e">
            <v>#N/A</v>
          </cell>
          <cell r="F98" t="str">
            <v>AA+</v>
          </cell>
          <cell r="G98" t="e">
            <v>#N/A</v>
          </cell>
          <cell r="H98" t="e">
            <v>#N/A</v>
          </cell>
        </row>
        <row r="99">
          <cell r="C99" t="str">
            <v>宁波鄞州农村商业银行股份有限公司</v>
          </cell>
          <cell r="D99" t="str">
            <v>宁波鄞州农村商业银行</v>
          </cell>
          <cell r="E99" t="str">
            <v>有次级+普通</v>
          </cell>
          <cell r="F99" t="str">
            <v>AA+</v>
          </cell>
          <cell r="G99" t="str">
            <v>BB+</v>
          </cell>
          <cell r="H99" t="str">
            <v>BB+</v>
          </cell>
        </row>
        <row r="100">
          <cell r="C100" t="str">
            <v>浙江民泰商业银行股份有限公司</v>
          </cell>
          <cell r="D100" t="str">
            <v>浙江民泰商业银行</v>
          </cell>
          <cell r="E100" t="e">
            <v>#N/A</v>
          </cell>
          <cell r="F100" t="str">
            <v>AA+</v>
          </cell>
          <cell r="G100" t="e">
            <v>#N/A</v>
          </cell>
          <cell r="H100" t="e">
            <v>#N/A</v>
          </cell>
        </row>
        <row r="101">
          <cell r="C101" t="str">
            <v>潍坊银行股份有限公司</v>
          </cell>
          <cell r="D101" t="str">
            <v>潍坊银行</v>
          </cell>
          <cell r="E101" t="e">
            <v>#N/A</v>
          </cell>
          <cell r="F101" t="str">
            <v>AA+</v>
          </cell>
          <cell r="G101" t="e">
            <v>#N/A</v>
          </cell>
          <cell r="H101" t="e">
            <v>#N/A</v>
          </cell>
        </row>
        <row r="102">
          <cell r="C102" t="str">
            <v>天津滨海农村商业银行股份有限公司</v>
          </cell>
          <cell r="D102" t="str">
            <v>天津滨海农商行</v>
          </cell>
          <cell r="E102" t="e">
            <v>#N/A</v>
          </cell>
          <cell r="F102" t="str">
            <v>AA+</v>
          </cell>
          <cell r="G102" t="e">
            <v>#N/A</v>
          </cell>
          <cell r="H102" t="e">
            <v>#N/A</v>
          </cell>
        </row>
        <row r="103">
          <cell r="C103" t="str">
            <v>广东南粤银行股份有限公司</v>
          </cell>
          <cell r="D103" t="str">
            <v>广东南粤银行</v>
          </cell>
          <cell r="E103" t="e">
            <v>#N/A</v>
          </cell>
          <cell r="F103" t="str">
            <v>AA+</v>
          </cell>
          <cell r="G103" t="e">
            <v>#N/A</v>
          </cell>
          <cell r="H103" t="e">
            <v>#N/A</v>
          </cell>
        </row>
        <row r="104">
          <cell r="C104" t="str">
            <v>邯郸银行股份有限公司</v>
          </cell>
          <cell r="D104" t="str">
            <v>邯郸银行</v>
          </cell>
          <cell r="E104" t="e">
            <v>#N/A</v>
          </cell>
          <cell r="F104" t="str">
            <v>AA+</v>
          </cell>
          <cell r="G104" t="e">
            <v>#N/A</v>
          </cell>
          <cell r="H104" t="e">
            <v>#N/A</v>
          </cell>
        </row>
        <row r="105">
          <cell r="C105" t="str">
            <v>福建海峡银行股份有限公司</v>
          </cell>
          <cell r="D105" t="str">
            <v>福建海峡银行</v>
          </cell>
          <cell r="E105" t="str">
            <v>福建海峡银行</v>
          </cell>
          <cell r="F105" t="str">
            <v>AA+</v>
          </cell>
          <cell r="G105"/>
          <cell r="H105" t="str">
            <v>B+</v>
          </cell>
        </row>
        <row r="106">
          <cell r="C106" t="str">
            <v>江苏紫金农村商业银行股份有限公司</v>
          </cell>
          <cell r="D106" t="str">
            <v>紫金农商银行</v>
          </cell>
          <cell r="E106" t="str">
            <v>有普通</v>
          </cell>
          <cell r="F106" t="str">
            <v>AA+</v>
          </cell>
          <cell r="G106" t="str">
            <v>BB</v>
          </cell>
          <cell r="H106" t="str">
            <v>B+</v>
          </cell>
        </row>
        <row r="107">
          <cell r="C107" t="str">
            <v>四川天府银行股份有限公司</v>
          </cell>
          <cell r="D107" t="str">
            <v>四川天府银行</v>
          </cell>
          <cell r="E107" t="e">
            <v>#N/A</v>
          </cell>
          <cell r="F107" t="str">
            <v>AA+</v>
          </cell>
          <cell r="G107" t="e">
            <v>#N/A</v>
          </cell>
          <cell r="H107" t="e">
            <v>#N/A</v>
          </cell>
        </row>
        <row r="108">
          <cell r="C108" t="str">
            <v>齐商银行股份有限公司</v>
          </cell>
          <cell r="D108" t="str">
            <v>齐商银行</v>
          </cell>
          <cell r="E108" t="e">
            <v>#N/A</v>
          </cell>
          <cell r="F108" t="str">
            <v>AA+</v>
          </cell>
          <cell r="G108" t="e">
            <v>#N/A</v>
          </cell>
          <cell r="H108" t="e">
            <v>#N/A</v>
          </cell>
        </row>
        <row r="109">
          <cell r="C109" t="str">
            <v>绍兴银行股份有限公司</v>
          </cell>
          <cell r="D109" t="str">
            <v>绍兴银行</v>
          </cell>
          <cell r="E109" t="e">
            <v>#N/A</v>
          </cell>
          <cell r="F109" t="str">
            <v>AA+</v>
          </cell>
          <cell r="G109" t="e">
            <v>#N/A</v>
          </cell>
          <cell r="H109" t="e">
            <v>#N/A</v>
          </cell>
        </row>
        <row r="110">
          <cell r="C110" t="str">
            <v>上饶银行股份有限公司</v>
          </cell>
          <cell r="D110" t="str">
            <v>上饶银行</v>
          </cell>
          <cell r="E110" t="e">
            <v>#N/A</v>
          </cell>
          <cell r="F110" t="str">
            <v>AA+</v>
          </cell>
          <cell r="G110" t="e">
            <v>#N/A</v>
          </cell>
          <cell r="H110" t="e">
            <v>#N/A</v>
          </cell>
        </row>
        <row r="111">
          <cell r="C111" t="str">
            <v>无锡农村商业银行股份有限公司</v>
          </cell>
          <cell r="D111" t="str">
            <v>无锡农村商业银行</v>
          </cell>
          <cell r="E111" t="str">
            <v>有次级+普通</v>
          </cell>
          <cell r="F111" t="str">
            <v>AA+</v>
          </cell>
          <cell r="G111" t="str">
            <v>BBB-</v>
          </cell>
          <cell r="H111" t="str">
            <v>BBB</v>
          </cell>
        </row>
        <row r="112">
          <cell r="C112" t="str">
            <v>柳州银行股份有限公司</v>
          </cell>
          <cell r="D112" t="str">
            <v>柳州银行</v>
          </cell>
          <cell r="E112" t="e">
            <v>#N/A</v>
          </cell>
          <cell r="F112" t="str">
            <v>AA+</v>
          </cell>
          <cell r="G112" t="e">
            <v>#N/A</v>
          </cell>
          <cell r="H112" t="e">
            <v>#N/A</v>
          </cell>
        </row>
        <row r="113">
          <cell r="C113" t="str">
            <v>乌鲁木齐银行股份有限公司</v>
          </cell>
          <cell r="D113" t="str">
            <v>乌鲁木齐银行</v>
          </cell>
          <cell r="E113" t="e">
            <v>#N/A</v>
          </cell>
          <cell r="F113" t="str">
            <v>AA+</v>
          </cell>
          <cell r="G113" t="e">
            <v>#N/A</v>
          </cell>
          <cell r="H113" t="e">
            <v>#N/A</v>
          </cell>
        </row>
        <row r="114">
          <cell r="C114" t="str">
            <v>东亚银行(中国)有限公司</v>
          </cell>
          <cell r="D114" t="str">
            <v>东亚银行(中国)</v>
          </cell>
          <cell r="E114" t="e">
            <v>#N/A</v>
          </cell>
          <cell r="F114" t="str">
            <v>AAA</v>
          </cell>
          <cell r="G114" t="e">
            <v>#N/A</v>
          </cell>
          <cell r="H114" t="e">
            <v>#N/A</v>
          </cell>
        </row>
        <row r="115">
          <cell r="C115" t="str">
            <v>浙江杭州余杭农村商业银行股份有限公司</v>
          </cell>
          <cell r="D115" t="str">
            <v>浙江杭州余杭农商行</v>
          </cell>
          <cell r="E115" t="e">
            <v>#N/A</v>
          </cell>
          <cell r="F115" t="str">
            <v>AA+</v>
          </cell>
          <cell r="G115" t="e">
            <v>#N/A</v>
          </cell>
          <cell r="H115" t="e">
            <v>#N/A</v>
          </cell>
        </row>
        <row r="116">
          <cell r="C116" t="str">
            <v>中山农村商业银行股份有限公司</v>
          </cell>
          <cell r="D116" t="str">
            <v>中山农商行</v>
          </cell>
          <cell r="E116" t="str">
            <v>中山农商行</v>
          </cell>
          <cell r="F116" t="str">
            <v>AA+</v>
          </cell>
          <cell r="G116" t="str">
            <v>BBB</v>
          </cell>
          <cell r="H116" t="str">
            <v>BBB-</v>
          </cell>
        </row>
        <row r="117">
          <cell r="C117" t="str">
            <v>莱商银行股份有限公司</v>
          </cell>
          <cell r="D117" t="str">
            <v>莱商银行</v>
          </cell>
          <cell r="E117" t="e">
            <v>#N/A</v>
          </cell>
          <cell r="F117" t="str">
            <v>AA</v>
          </cell>
          <cell r="G117" t="e">
            <v>#N/A</v>
          </cell>
          <cell r="H117" t="e">
            <v>#N/A</v>
          </cell>
        </row>
        <row r="118">
          <cell r="C118" t="str">
            <v>江苏张家港农村商业银行股份有限公司</v>
          </cell>
          <cell r="D118" t="str">
            <v>江苏张家港农村商业银行</v>
          </cell>
          <cell r="E118" t="str">
            <v>有普通</v>
          </cell>
          <cell r="F118" t="str">
            <v>AA+</v>
          </cell>
          <cell r="G118" t="str">
            <v>BBB</v>
          </cell>
          <cell r="H118" t="str">
            <v>BB</v>
          </cell>
        </row>
        <row r="119">
          <cell r="C119" t="str">
            <v>承德银行股份有限公司</v>
          </cell>
          <cell r="D119" t="str">
            <v>承德银行</v>
          </cell>
          <cell r="E119" t="e">
            <v>#N/A</v>
          </cell>
          <cell r="F119" t="str">
            <v>AA+</v>
          </cell>
          <cell r="G119" t="e">
            <v>#N/A</v>
          </cell>
          <cell r="H119" t="e">
            <v>#N/A</v>
          </cell>
        </row>
        <row r="120">
          <cell r="C120" t="str">
            <v>宁夏银行股份有限公司</v>
          </cell>
          <cell r="D120" t="str">
            <v>宁夏银行</v>
          </cell>
          <cell r="E120" t="e">
            <v>#N/A</v>
          </cell>
          <cell r="F120" t="str">
            <v>AA+</v>
          </cell>
          <cell r="G120" t="e">
            <v>#N/A</v>
          </cell>
          <cell r="H120" t="e">
            <v>#N/A</v>
          </cell>
        </row>
        <row r="121">
          <cell r="C121" t="str">
            <v>绵阳市商业银行股份有限公司</v>
          </cell>
          <cell r="D121" t="str">
            <v>绵阳市商业银行</v>
          </cell>
          <cell r="E121" t="e">
            <v>#N/A</v>
          </cell>
          <cell r="F121" t="str">
            <v>AA</v>
          </cell>
          <cell r="G121" t="e">
            <v>#N/A</v>
          </cell>
          <cell r="H121" t="e">
            <v>#N/A</v>
          </cell>
        </row>
        <row r="122">
          <cell r="C122" t="str">
            <v>江苏苏州农村商业银行股份有限公司</v>
          </cell>
          <cell r="D122" t="str">
            <v>苏农银行</v>
          </cell>
          <cell r="E122" t="str">
            <v>有普通</v>
          </cell>
          <cell r="F122" t="str">
            <v>AA+</v>
          </cell>
          <cell r="G122" t="str">
            <v>BB</v>
          </cell>
          <cell r="H122" t="str">
            <v>BB</v>
          </cell>
        </row>
        <row r="123">
          <cell r="C123" t="str">
            <v>东营银行股份有限公司</v>
          </cell>
          <cell r="D123" t="str">
            <v>东营银行</v>
          </cell>
          <cell r="E123" t="e">
            <v>#N/A</v>
          </cell>
          <cell r="F123" t="str">
            <v>AA</v>
          </cell>
          <cell r="G123" t="e">
            <v>#N/A</v>
          </cell>
          <cell r="H123" t="e">
            <v>#N/A</v>
          </cell>
        </row>
        <row r="124">
          <cell r="C124" t="str">
            <v>佛山农村商业银行股份有限公司</v>
          </cell>
          <cell r="D124" t="str">
            <v>佛山农商行</v>
          </cell>
          <cell r="E124" t="e">
            <v>#N/A</v>
          </cell>
          <cell r="F124" t="str">
            <v>AA+</v>
          </cell>
          <cell r="G124" t="e">
            <v>#N/A</v>
          </cell>
          <cell r="H124" t="e">
            <v>#N/A</v>
          </cell>
        </row>
        <row r="125">
          <cell r="C125" t="str">
            <v>济宁银行股份有限公司</v>
          </cell>
          <cell r="D125" t="str">
            <v>济宁银行</v>
          </cell>
          <cell r="E125" t="e">
            <v>#N/A</v>
          </cell>
          <cell r="F125" t="str">
            <v>AA+</v>
          </cell>
          <cell r="G125" t="e">
            <v>#N/A</v>
          </cell>
          <cell r="H125" t="e">
            <v>#N/A</v>
          </cell>
        </row>
        <row r="126">
          <cell r="C126" t="str">
            <v>乐山市商业银行股份有限公司</v>
          </cell>
          <cell r="D126" t="str">
            <v>乐山市商业银行</v>
          </cell>
          <cell r="E126" t="e">
            <v>#N/A</v>
          </cell>
          <cell r="F126" t="str">
            <v>AA</v>
          </cell>
          <cell r="G126" t="e">
            <v>#N/A</v>
          </cell>
          <cell r="H126" t="e">
            <v>#N/A</v>
          </cell>
        </row>
        <row r="127">
          <cell r="C127" t="str">
            <v>浙江绍兴瑞丰农村商业银行股份有限公司</v>
          </cell>
          <cell r="D127" t="str">
            <v>瑞丰银行</v>
          </cell>
          <cell r="E127" t="e">
            <v>#N/A</v>
          </cell>
          <cell r="F127" t="str">
            <v>AA+</v>
          </cell>
          <cell r="G127" t="e">
            <v>#N/A</v>
          </cell>
          <cell r="H127" t="e">
            <v>#N/A</v>
          </cell>
        </row>
        <row r="128">
          <cell r="C128" t="str">
            <v>江苏昆山农村商业银行股份有限公司</v>
          </cell>
          <cell r="D128" t="str">
            <v>昆山银行</v>
          </cell>
          <cell r="E128" t="str">
            <v>有普通</v>
          </cell>
          <cell r="F128" t="str">
            <v>AA+</v>
          </cell>
          <cell r="G128" t="str">
            <v>BBB-</v>
          </cell>
          <cell r="H128" t="str">
            <v>BB+</v>
          </cell>
        </row>
        <row r="129">
          <cell r="C129" t="str">
            <v>星展银行(中国)有限公司</v>
          </cell>
          <cell r="D129" t="str">
            <v>星展银行(中国)</v>
          </cell>
          <cell r="E129" t="str">
            <v>有普通</v>
          </cell>
          <cell r="F129" t="str">
            <v>AAA</v>
          </cell>
          <cell r="G129"/>
          <cell r="H129" t="str">
            <v>BBB-</v>
          </cell>
        </row>
        <row r="130">
          <cell r="C130" t="str">
            <v>泉州银行股份有限公司</v>
          </cell>
          <cell r="D130" t="str">
            <v>泉州银行</v>
          </cell>
          <cell r="E130" t="str">
            <v>泉州银行</v>
          </cell>
          <cell r="F130" t="str">
            <v>AA+</v>
          </cell>
          <cell r="G130"/>
          <cell r="H130" t="str">
            <v>B-</v>
          </cell>
        </row>
        <row r="131">
          <cell r="C131" t="str">
            <v>泸州银行股份有限公司</v>
          </cell>
          <cell r="D131" t="str">
            <v>泸州银行</v>
          </cell>
          <cell r="E131" t="e">
            <v>#N/A</v>
          </cell>
          <cell r="F131" t="str">
            <v>AA+</v>
          </cell>
          <cell r="G131" t="e">
            <v>#N/A</v>
          </cell>
          <cell r="H131" t="e">
            <v>#N/A</v>
          </cell>
        </row>
        <row r="132">
          <cell r="C132" t="str">
            <v>大连农村商业银行股份有限公司</v>
          </cell>
          <cell r="D132" t="str">
            <v>大连农商行</v>
          </cell>
          <cell r="E132" t="e">
            <v>#N/A</v>
          </cell>
          <cell r="F132" t="str">
            <v>AA-</v>
          </cell>
          <cell r="G132" t="e">
            <v>#N/A</v>
          </cell>
          <cell r="H132" t="e">
            <v>#N/A</v>
          </cell>
        </row>
        <row r="133">
          <cell r="C133" t="str">
            <v>南洋商业银行(中国)有限公司</v>
          </cell>
          <cell r="D133" t="str">
            <v>南洋商业银行(中国)</v>
          </cell>
          <cell r="E133" t="str">
            <v>有普通</v>
          </cell>
          <cell r="F133" t="str">
            <v>AAA</v>
          </cell>
          <cell r="G133"/>
          <cell r="H133" t="str">
            <v>B+</v>
          </cell>
        </row>
        <row r="134">
          <cell r="C134" t="str">
            <v>临商银行股份有限公司</v>
          </cell>
          <cell r="D134" t="str">
            <v>临商银行</v>
          </cell>
          <cell r="E134" t="e">
            <v>#N/A</v>
          </cell>
          <cell r="F134" t="str">
            <v>AA</v>
          </cell>
          <cell r="G134" t="e">
            <v>#N/A</v>
          </cell>
          <cell r="H134" t="e">
            <v>#N/A</v>
          </cell>
        </row>
        <row r="135">
          <cell r="C135" t="str">
            <v>嘉兴银行股份有限公司</v>
          </cell>
          <cell r="D135" t="str">
            <v>嘉兴银行</v>
          </cell>
          <cell r="E135" t="str">
            <v>嘉兴银行</v>
          </cell>
          <cell r="F135" t="str">
            <v>AA+</v>
          </cell>
          <cell r="G135" t="str">
            <v>BBB</v>
          </cell>
          <cell r="H135" t="str">
            <v>BB</v>
          </cell>
        </row>
        <row r="136">
          <cell r="C136" t="str">
            <v>宁波通商银行股份有限公司</v>
          </cell>
          <cell r="D136" t="str">
            <v>宁波通商银行</v>
          </cell>
          <cell r="E136" t="e">
            <v>#N/A</v>
          </cell>
          <cell r="F136" t="str">
            <v>AA+</v>
          </cell>
          <cell r="G136" t="e">
            <v>#N/A</v>
          </cell>
          <cell r="H136" t="e">
            <v>#N/A</v>
          </cell>
        </row>
        <row r="137">
          <cell r="C137" t="str">
            <v>富邦华一银行有限公司</v>
          </cell>
          <cell r="D137" t="str">
            <v>富邦华一银行</v>
          </cell>
          <cell r="E137" t="str">
            <v>富邦华一银行</v>
          </cell>
          <cell r="F137" t="str">
            <v>AAA</v>
          </cell>
          <cell r="G137" t="str">
            <v>BB+</v>
          </cell>
          <cell r="H137" t="str">
            <v>BB+</v>
          </cell>
        </row>
        <row r="138">
          <cell r="C138" t="str">
            <v>厦门农村商业银行股份有限公司</v>
          </cell>
          <cell r="D138" t="str">
            <v>厦门农村商业银行</v>
          </cell>
          <cell r="E138" t="str">
            <v>有普通</v>
          </cell>
          <cell r="F138" t="str">
            <v>AA+</v>
          </cell>
          <cell r="G138" t="str">
            <v>BB+</v>
          </cell>
          <cell r="H138" t="str">
            <v>BB</v>
          </cell>
        </row>
        <row r="139">
          <cell r="C139" t="str">
            <v>华商银行</v>
          </cell>
          <cell r="D139" t="str">
            <v>华商银行</v>
          </cell>
          <cell r="E139" t="str">
            <v>华商银行</v>
          </cell>
          <cell r="F139" t="str">
            <v>AAA</v>
          </cell>
          <cell r="G139" t="str">
            <v>BB+</v>
          </cell>
          <cell r="H139" t="str">
            <v>BB+</v>
          </cell>
        </row>
        <row r="140">
          <cell r="C140" t="str">
            <v>烟台银行股份有限公司</v>
          </cell>
          <cell r="D140" t="str">
            <v>烟台银行</v>
          </cell>
          <cell r="E140" t="e">
            <v>#N/A</v>
          </cell>
          <cell r="F140" t="str">
            <v>AA</v>
          </cell>
          <cell r="G140" t="e">
            <v>#N/A</v>
          </cell>
          <cell r="H140" t="e">
            <v>#N/A</v>
          </cell>
        </row>
        <row r="141">
          <cell r="C141" t="str">
            <v>合肥科技农村商业银行股份有限公司</v>
          </cell>
          <cell r="D141" t="str">
            <v>合肥科技农商行</v>
          </cell>
          <cell r="E141" t="e">
            <v>#N/A</v>
          </cell>
          <cell r="F141" t="str">
            <v>AA+</v>
          </cell>
          <cell r="G141" t="e">
            <v>#N/A</v>
          </cell>
          <cell r="H141" t="e">
            <v>#N/A</v>
          </cell>
        </row>
        <row r="142">
          <cell r="C142" t="str">
            <v>湖州银行股份有限公司</v>
          </cell>
          <cell r="D142" t="str">
            <v>湖州银行</v>
          </cell>
          <cell r="E142" t="e">
            <v>#N/A</v>
          </cell>
          <cell r="F142" t="str">
            <v>AA+</v>
          </cell>
          <cell r="G142" t="e">
            <v>#N/A</v>
          </cell>
          <cell r="H142" t="e">
            <v>#N/A</v>
          </cell>
        </row>
        <row r="143">
          <cell r="C143" t="str">
            <v>恒生银行(中国)有限公司</v>
          </cell>
          <cell r="D143" t="str">
            <v>恒生银行(中国)</v>
          </cell>
          <cell r="E143" t="str">
            <v>有普通</v>
          </cell>
          <cell r="F143" t="str">
            <v>AAA</v>
          </cell>
          <cell r="G143"/>
          <cell r="H143" t="str">
            <v>CCC+</v>
          </cell>
        </row>
        <row r="144">
          <cell r="C144" t="str">
            <v>青海银行股份有限公司</v>
          </cell>
          <cell r="D144" t="str">
            <v>青海银行</v>
          </cell>
          <cell r="E144" t="e">
            <v>#N/A</v>
          </cell>
          <cell r="F144" t="str">
            <v>AA+</v>
          </cell>
          <cell r="G144" t="e">
            <v>#N/A</v>
          </cell>
          <cell r="H144" t="e">
            <v>#N/A</v>
          </cell>
        </row>
        <row r="145">
          <cell r="C145" t="str">
            <v>金华银行股份有限公司</v>
          </cell>
          <cell r="D145" t="str">
            <v>金华银行</v>
          </cell>
          <cell r="E145" t="e">
            <v>#N/A</v>
          </cell>
          <cell r="F145" t="str">
            <v>AA</v>
          </cell>
          <cell r="G145" t="e">
            <v>#N/A</v>
          </cell>
          <cell r="H145" t="e">
            <v>#N/A</v>
          </cell>
        </row>
        <row r="146">
          <cell r="C146" t="str">
            <v>泰安银行股份有限公司</v>
          </cell>
          <cell r="D146" t="str">
            <v>泰安银行</v>
          </cell>
          <cell r="E146" t="e">
            <v>#N/A</v>
          </cell>
          <cell r="F146" t="str">
            <v>AA</v>
          </cell>
          <cell r="G146" t="e">
            <v>#N/A</v>
          </cell>
          <cell r="H146" t="e">
            <v>#N/A</v>
          </cell>
        </row>
        <row r="147">
          <cell r="C147" t="str">
            <v>浙江乐清农村商业银行股份有限公司</v>
          </cell>
          <cell r="D147" t="str">
            <v>浙江乐清农商行</v>
          </cell>
          <cell r="E147" t="e">
            <v>#N/A</v>
          </cell>
          <cell r="F147" t="str">
            <v>AA+</v>
          </cell>
          <cell r="G147" t="e">
            <v>#N/A</v>
          </cell>
          <cell r="H147" t="e">
            <v>#N/A</v>
          </cell>
        </row>
        <row r="148">
          <cell r="C148" t="str">
            <v>浙江上虞农村商业银行股份有限公司</v>
          </cell>
          <cell r="D148" t="str">
            <v>浙江上虞农商行</v>
          </cell>
          <cell r="E148" t="e">
            <v>#N/A</v>
          </cell>
          <cell r="F148" t="str">
            <v>AA</v>
          </cell>
          <cell r="G148" t="e">
            <v>#N/A</v>
          </cell>
          <cell r="H148" t="e">
            <v>#N/A</v>
          </cell>
        </row>
        <row r="149">
          <cell r="C149" t="str">
            <v>安徽马鞍山农村商业银行股份有限公司</v>
          </cell>
          <cell r="D149" t="str">
            <v>马鞍山行</v>
          </cell>
          <cell r="E149" t="e">
            <v>#N/A</v>
          </cell>
          <cell r="F149" t="str">
            <v>AA</v>
          </cell>
          <cell r="G149" t="e">
            <v>#N/A</v>
          </cell>
          <cell r="H149" t="e">
            <v>#N/A</v>
          </cell>
        </row>
        <row r="150">
          <cell r="C150" t="str">
            <v>宁波余姚农村商业银行股份有限公司</v>
          </cell>
          <cell r="D150" t="str">
            <v>宁波余姚农商行</v>
          </cell>
          <cell r="E150" t="e">
            <v>#N/A</v>
          </cell>
          <cell r="F150" t="str">
            <v>AA</v>
          </cell>
          <cell r="G150" t="e">
            <v>#N/A</v>
          </cell>
          <cell r="H150" t="e">
            <v>#N/A</v>
          </cell>
        </row>
        <row r="151">
          <cell r="C151" t="str">
            <v>浙江海宁农村商业银行股份有限公司</v>
          </cell>
          <cell r="D151" t="str">
            <v>浙江海宁农商行</v>
          </cell>
          <cell r="E151" t="e">
            <v>#N/A</v>
          </cell>
          <cell r="F151" t="str">
            <v>AA+</v>
          </cell>
          <cell r="G151" t="e">
            <v>#N/A</v>
          </cell>
          <cell r="H151" t="e">
            <v>#N/A</v>
          </cell>
        </row>
        <row r="152">
          <cell r="C152" t="str">
            <v>江苏南通农村商业银行股份有限公司</v>
          </cell>
          <cell r="D152" t="str">
            <v>江苏南通农商行</v>
          </cell>
          <cell r="E152" t="e">
            <v>#N/A</v>
          </cell>
          <cell r="F152" t="str">
            <v>AA</v>
          </cell>
          <cell r="G152" t="e">
            <v>#N/A</v>
          </cell>
          <cell r="H152" t="e">
            <v>#N/A</v>
          </cell>
        </row>
        <row r="153">
          <cell r="C153" t="str">
            <v>珠海农村商业银行股份有限公司</v>
          </cell>
          <cell r="D153" t="str">
            <v>珠海农商行</v>
          </cell>
          <cell r="E153" t="e">
            <v>#N/A</v>
          </cell>
          <cell r="F153" t="str">
            <v>AA</v>
          </cell>
          <cell r="G153" t="e">
            <v>#N/A</v>
          </cell>
          <cell r="H153" t="e">
            <v>#N/A</v>
          </cell>
        </row>
        <row r="154">
          <cell r="C154" t="str">
            <v>浙江温州龙湾农村商业银行股份有限公司</v>
          </cell>
          <cell r="D154" t="str">
            <v>浙江温州龙湾农商行</v>
          </cell>
          <cell r="E154" t="str">
            <v>有</v>
          </cell>
          <cell r="F154" t="str">
            <v>AA+</v>
          </cell>
          <cell r="G154" t="str">
            <v>BB</v>
          </cell>
          <cell r="H154" t="str">
            <v>BB</v>
          </cell>
        </row>
        <row r="155">
          <cell r="C155" t="str">
            <v>大华银行(中国)有限公司</v>
          </cell>
          <cell r="D155" t="str">
            <v>大华银行(中国)</v>
          </cell>
          <cell r="E155" t="str">
            <v>有普通</v>
          </cell>
          <cell r="F155" t="str">
            <v>AAA</v>
          </cell>
          <cell r="G155"/>
          <cell r="H155" t="str">
            <v>BB+</v>
          </cell>
        </row>
        <row r="156">
          <cell r="C156" t="str">
            <v>浙江南浔农村商业银行股份有限公司</v>
          </cell>
          <cell r="D156" t="str">
            <v>浙江南浔农商行</v>
          </cell>
          <cell r="E156" t="e">
            <v>#N/A</v>
          </cell>
          <cell r="F156" t="str">
            <v>AA</v>
          </cell>
          <cell r="G156" t="e">
            <v>#N/A</v>
          </cell>
          <cell r="H156" t="e">
            <v>#N/A</v>
          </cell>
        </row>
        <row r="157">
          <cell r="C157" t="str">
            <v>浙江德清农村商业银行股份有限公司</v>
          </cell>
          <cell r="D157" t="str">
            <v>浙江德清农商行</v>
          </cell>
          <cell r="E157" t="e">
            <v>#N/A</v>
          </cell>
          <cell r="F157" t="str">
            <v>AA</v>
          </cell>
          <cell r="G157" t="e">
            <v>#N/A</v>
          </cell>
          <cell r="H157" t="e">
            <v>#N/A</v>
          </cell>
        </row>
        <row r="158">
          <cell r="C158" t="str">
            <v>华侨永亨银行(中国)有限公司</v>
          </cell>
          <cell r="D158" t="str">
            <v>华侨永亨银行(中国)</v>
          </cell>
          <cell r="E158" t="str">
            <v>有普通</v>
          </cell>
          <cell r="F158" t="str">
            <v>AAA</v>
          </cell>
          <cell r="G158"/>
          <cell r="H158" t="str">
            <v>BB-</v>
          </cell>
        </row>
        <row r="159">
          <cell r="C159" t="str">
            <v>内蒙古呼和浩特金谷农村商业银行股份有限公司</v>
          </cell>
          <cell r="D159" t="str">
            <v>内蒙古呼和浩特金谷农商行</v>
          </cell>
          <cell r="E159" t="e">
            <v>#N/A</v>
          </cell>
          <cell r="F159" t="str">
            <v>AA</v>
          </cell>
          <cell r="G159" t="e">
            <v>#N/A</v>
          </cell>
          <cell r="H159" t="e">
            <v>#N/A</v>
          </cell>
        </row>
        <row r="160">
          <cell r="C160" t="str">
            <v>浙江诸暨农村商业银行股份有限公司</v>
          </cell>
          <cell r="D160" t="str">
            <v>浙江诸暨农商行</v>
          </cell>
          <cell r="E160" t="e">
            <v>#N/A</v>
          </cell>
          <cell r="F160" t="str">
            <v>AA</v>
          </cell>
          <cell r="G160" t="e">
            <v>#N/A</v>
          </cell>
          <cell r="H160" t="e">
            <v>#N/A</v>
          </cell>
        </row>
        <row r="161">
          <cell r="C161" t="str">
            <v>南昌农村商业银行股份有限公司</v>
          </cell>
          <cell r="D161" t="str">
            <v>南昌农商银行</v>
          </cell>
          <cell r="E161" t="e">
            <v>#N/A</v>
          </cell>
          <cell r="F161" t="str">
            <v>AA</v>
          </cell>
          <cell r="G161" t="e">
            <v>#N/A</v>
          </cell>
          <cell r="H161" t="e">
            <v>#N/A</v>
          </cell>
        </row>
        <row r="162">
          <cell r="C162" t="str">
            <v>浙江东阳农村商业银行股份有限公司</v>
          </cell>
          <cell r="D162" t="str">
            <v>浙江东阳农商行</v>
          </cell>
          <cell r="E162" t="e">
            <v>#N/A</v>
          </cell>
          <cell r="F162" t="str">
            <v>AA</v>
          </cell>
          <cell r="G162" t="e">
            <v>#N/A</v>
          </cell>
          <cell r="H162" t="e">
            <v>#N/A</v>
          </cell>
        </row>
        <row r="163">
          <cell r="C163" t="str">
            <v>江苏太仓农村商业银行股份有限公司</v>
          </cell>
          <cell r="D163" t="str">
            <v>江苏太仓农商行</v>
          </cell>
          <cell r="E163" t="str">
            <v>有普通</v>
          </cell>
          <cell r="F163" t="str">
            <v>AA</v>
          </cell>
          <cell r="G163" t="str">
            <v>BB+</v>
          </cell>
          <cell r="H163" t="str">
            <v>BB+</v>
          </cell>
        </row>
        <row r="164">
          <cell r="C164" t="str">
            <v>江苏启东农村商业银行股份有限公司</v>
          </cell>
          <cell r="D164" t="str">
            <v>江苏启东农商行</v>
          </cell>
          <cell r="E164" t="e">
            <v>#N/A</v>
          </cell>
          <cell r="F164" t="str">
            <v>AA</v>
          </cell>
          <cell r="G164" t="e">
            <v>#N/A</v>
          </cell>
          <cell r="H164" t="e">
            <v>#N/A</v>
          </cell>
        </row>
        <row r="165">
          <cell r="C165" t="str">
            <v>浙江临海农村商业银行股份有限公司</v>
          </cell>
          <cell r="D165" t="str">
            <v>浙江临海农商行</v>
          </cell>
          <cell r="E165" t="e">
            <v>#N/A</v>
          </cell>
          <cell r="F165" t="str">
            <v>AA</v>
          </cell>
          <cell r="G165" t="e">
            <v>#N/A</v>
          </cell>
          <cell r="H165" t="e">
            <v>#N/A</v>
          </cell>
        </row>
        <row r="166">
          <cell r="C166" t="str">
            <v>法国巴黎银行(中国)有限公司</v>
          </cell>
          <cell r="D166" t="str">
            <v>法国巴黎银行(中国)</v>
          </cell>
          <cell r="E166" t="str">
            <v>有</v>
          </cell>
          <cell r="F166" t="str">
            <v>AAA</v>
          </cell>
          <cell r="G166"/>
          <cell r="H166" t="str">
            <v>BBB+</v>
          </cell>
        </row>
        <row r="167">
          <cell r="C167" t="str">
            <v>德意志银行(中国)有限公司</v>
          </cell>
          <cell r="D167" t="str">
            <v>德意志银行(中国)</v>
          </cell>
          <cell r="E167" t="e">
            <v>#N/A</v>
          </cell>
          <cell r="F167" t="str">
            <v>AAA</v>
          </cell>
          <cell r="G167" t="e">
            <v>#N/A</v>
          </cell>
          <cell r="H167" t="e">
            <v>#N/A</v>
          </cell>
        </row>
        <row r="168">
          <cell r="C168" t="str">
            <v>重庆富民银行股份有限公司</v>
          </cell>
          <cell r="D168" t="str">
            <v>重庆富民银行</v>
          </cell>
          <cell r="E168" t="e">
            <v>#N/A</v>
          </cell>
          <cell r="F168" t="str">
            <v>AA+</v>
          </cell>
          <cell r="G168" t="e">
            <v>#N/A</v>
          </cell>
          <cell r="H168" t="e">
            <v>#N/A</v>
          </cell>
        </row>
        <row r="169">
          <cell r="C169" t="str">
            <v>西藏银行股份有限公司</v>
          </cell>
          <cell r="D169" t="str">
            <v>西藏银行</v>
          </cell>
          <cell r="E169" t="e">
            <v>#N/A</v>
          </cell>
          <cell r="F169" t="str">
            <v>AA+</v>
          </cell>
          <cell r="G169" t="e">
            <v>#N/A</v>
          </cell>
          <cell r="H169" t="e">
            <v>#N/A</v>
          </cell>
        </row>
        <row r="170">
          <cell r="C170" t="str">
            <v>江苏泰州农村商业银行股份有限公司</v>
          </cell>
          <cell r="D170" t="str">
            <v>江苏泰州农商行</v>
          </cell>
          <cell r="E170" t="e">
            <v>#N/A</v>
          </cell>
          <cell r="F170" t="str">
            <v>AA</v>
          </cell>
          <cell r="G170" t="e">
            <v>#N/A</v>
          </cell>
          <cell r="H170" t="e">
            <v>#N/A</v>
          </cell>
        </row>
        <row r="171">
          <cell r="C171" t="str">
            <v>浙江苍南农村商业银行股份有限公司</v>
          </cell>
          <cell r="D171" t="str">
            <v>浙江苍南农商行</v>
          </cell>
          <cell r="E171" t="e">
            <v>#N/A</v>
          </cell>
          <cell r="F171" t="str">
            <v>AA</v>
          </cell>
          <cell r="G171" t="e">
            <v>#N/A</v>
          </cell>
          <cell r="H171" t="e">
            <v>#N/A</v>
          </cell>
        </row>
        <row r="172">
          <cell r="C172" t="str">
            <v>锦州银行股份有限公司</v>
          </cell>
          <cell r="D172" t="str">
            <v>锦州银行</v>
          </cell>
          <cell r="E172" t="e">
            <v>#N/A</v>
          </cell>
          <cell r="F172" t="str">
            <v>AAA</v>
          </cell>
          <cell r="G172" t="e">
            <v>#N/A</v>
          </cell>
          <cell r="H172" t="e">
            <v>#N/A</v>
          </cell>
        </row>
        <row r="173">
          <cell r="C173" t="str">
            <v>鄂尔多斯银行股份有限公司</v>
          </cell>
          <cell r="D173" t="str">
            <v>鄂尔多斯银行</v>
          </cell>
          <cell r="E173" t="e">
            <v>#N/A</v>
          </cell>
          <cell r="F173" t="str">
            <v>AA</v>
          </cell>
          <cell r="G173" t="e">
            <v>#N/A</v>
          </cell>
          <cell r="H173" t="e">
            <v>#N/A</v>
          </cell>
        </row>
        <row r="174">
          <cell r="C174" t="str">
            <v>洛阳银行股份有限公司</v>
          </cell>
          <cell r="D174" t="str">
            <v>洛阳银行</v>
          </cell>
          <cell r="E174" t="e">
            <v>#N/A</v>
          </cell>
          <cell r="F174" t="str">
            <v>AA+</v>
          </cell>
          <cell r="G174" t="str">
            <v>BB-</v>
          </cell>
          <cell r="H174" t="str">
            <v>BB-</v>
          </cell>
        </row>
        <row r="175">
          <cell r="C175" t="str">
            <v>营口银行股份有限公司</v>
          </cell>
          <cell r="D175" t="str">
            <v>营口银行</v>
          </cell>
          <cell r="E175" t="e">
            <v>#N/A</v>
          </cell>
          <cell r="F175" t="str">
            <v>AA+</v>
          </cell>
          <cell r="G175" t="e">
            <v>#N/A</v>
          </cell>
          <cell r="H175" t="e">
            <v>#N/A</v>
          </cell>
        </row>
        <row r="176">
          <cell r="C176" t="str">
            <v>辽阳银行股份有限公司</v>
          </cell>
          <cell r="D176" t="str">
            <v>辽阳银行</v>
          </cell>
          <cell r="E176" t="e">
            <v>#N/A</v>
          </cell>
          <cell r="F176" t="str">
            <v>AA+</v>
          </cell>
          <cell r="G176" t="e">
            <v>#N/A</v>
          </cell>
          <cell r="H176" t="e">
            <v>#N/A</v>
          </cell>
        </row>
        <row r="177">
          <cell r="C177" t="str">
            <v>鞍山银行股份有限公司</v>
          </cell>
          <cell r="D177" t="str">
            <v>鞍山银行</v>
          </cell>
          <cell r="E177" t="e">
            <v>#N/A</v>
          </cell>
          <cell r="F177" t="str">
            <v>AA</v>
          </cell>
          <cell r="G177" t="e">
            <v>#N/A</v>
          </cell>
          <cell r="H177" t="e">
            <v>#N/A</v>
          </cell>
        </row>
        <row r="178">
          <cell r="C178" t="str">
            <v>济南农村商业银行股份有限公司</v>
          </cell>
          <cell r="D178" t="str">
            <v>济南农商行</v>
          </cell>
          <cell r="E178" t="e">
            <v>#N/A</v>
          </cell>
          <cell r="F178" t="str">
            <v>AA</v>
          </cell>
          <cell r="G178" t="e">
            <v>#N/A</v>
          </cell>
          <cell r="H178" t="e">
            <v>#N/A</v>
          </cell>
        </row>
        <row r="179">
          <cell r="C179" t="str">
            <v>葫芦岛银行股份有限公司</v>
          </cell>
          <cell r="D179" t="str">
            <v>葫芦岛银行</v>
          </cell>
          <cell r="E179" t="e">
            <v>#N/A</v>
          </cell>
          <cell r="F179" t="str">
            <v>A+</v>
          </cell>
          <cell r="G179" t="e">
            <v>#N/A</v>
          </cell>
          <cell r="H179" t="e">
            <v>#N/A</v>
          </cell>
        </row>
        <row r="180">
          <cell r="C180" t="str">
            <v>晋城银行股份有限公司</v>
          </cell>
          <cell r="D180" t="str">
            <v>晋城银行</v>
          </cell>
          <cell r="E180" t="e">
            <v>#N/A</v>
          </cell>
          <cell r="F180" t="str">
            <v>AA</v>
          </cell>
          <cell r="G180" t="e">
            <v>#N/A</v>
          </cell>
          <cell r="H180" t="e">
            <v>#N/A</v>
          </cell>
        </row>
        <row r="181">
          <cell r="C181" t="str">
            <v>焦作中旅银行股份有限公司</v>
          </cell>
          <cell r="D181" t="str">
            <v>焦作中旅银行</v>
          </cell>
          <cell r="E181" t="e">
            <v>#N/A</v>
          </cell>
          <cell r="F181" t="str">
            <v>AA</v>
          </cell>
          <cell r="G181" t="e">
            <v>#N/A</v>
          </cell>
          <cell r="H181" t="e">
            <v>#N/A</v>
          </cell>
        </row>
        <row r="182">
          <cell r="C182" t="str">
            <v>营口沿海银行股份有限公司</v>
          </cell>
          <cell r="D182" t="str">
            <v>营口沿海银行</v>
          </cell>
          <cell r="E182" t="e">
            <v>#N/A</v>
          </cell>
          <cell r="F182" t="str">
            <v>AA</v>
          </cell>
          <cell r="G182" t="e">
            <v>#N/A</v>
          </cell>
          <cell r="H182" t="e">
            <v>#N/A</v>
          </cell>
        </row>
        <row r="183">
          <cell r="C183" t="str">
            <v>浙江义乌农村商业银行股份有限公司</v>
          </cell>
          <cell r="D183" t="str">
            <v>浙江义乌农商行</v>
          </cell>
          <cell r="E183" t="e">
            <v>#N/A</v>
          </cell>
          <cell r="F183" t="str">
            <v>AA</v>
          </cell>
          <cell r="G183" t="e">
            <v>#N/A</v>
          </cell>
          <cell r="H183" t="e">
            <v>#N/A</v>
          </cell>
        </row>
        <row r="184">
          <cell r="C184" t="str">
            <v>包商银行股份有限公司</v>
          </cell>
          <cell r="D184" t="str">
            <v>包商银行</v>
          </cell>
          <cell r="E184" t="e">
            <v>#N/A</v>
          </cell>
          <cell r="F184" t="str">
            <v>AAA</v>
          </cell>
          <cell r="G184" t="e">
            <v>#N/A</v>
          </cell>
          <cell r="H184" t="e">
            <v>#N/A</v>
          </cell>
        </row>
        <row r="185">
          <cell r="C185" t="str">
            <v>平顶山银行股份有限公司</v>
          </cell>
          <cell r="D185" t="str">
            <v>平顶山银行</v>
          </cell>
          <cell r="E185" t="e">
            <v>#N/A</v>
          </cell>
          <cell r="F185" t="str">
            <v>AA</v>
          </cell>
          <cell r="G185" t="e">
            <v>#N/A</v>
          </cell>
          <cell r="H185" t="e">
            <v>#N/A</v>
          </cell>
        </row>
        <row r="186">
          <cell r="C186" t="str">
            <v>新疆天山农村商业银行股份有限公司</v>
          </cell>
          <cell r="D186" t="str">
            <v>新疆天山农商行</v>
          </cell>
          <cell r="E186" t="e">
            <v>#N/A</v>
          </cell>
          <cell r="F186" t="str">
            <v>AA</v>
          </cell>
          <cell r="G186" t="e">
            <v>#N/A</v>
          </cell>
          <cell r="H186" t="e">
            <v>#N/A</v>
          </cell>
        </row>
        <row r="187">
          <cell r="C187" t="str">
            <v>山西尧都农村商业银行股份有限公司</v>
          </cell>
          <cell r="D187" t="str">
            <v>山西尧都农商行</v>
          </cell>
          <cell r="E187" t="e">
            <v>#N/A</v>
          </cell>
          <cell r="F187" t="str">
            <v>AA</v>
          </cell>
          <cell r="G187" t="e">
            <v>#N/A</v>
          </cell>
          <cell r="H187" t="e">
            <v>#N/A</v>
          </cell>
        </row>
        <row r="188">
          <cell r="C188" t="str">
            <v>攀枝花市商业银行股份有限公司</v>
          </cell>
          <cell r="D188" t="str">
            <v>攀枝花市商业银行</v>
          </cell>
          <cell r="E188" t="e">
            <v>#N/A</v>
          </cell>
          <cell r="F188" t="str">
            <v>AA</v>
          </cell>
          <cell r="G188" t="e">
            <v>#N/A</v>
          </cell>
          <cell r="H188" t="e">
            <v>#N/A</v>
          </cell>
        </row>
        <row r="189">
          <cell r="C189" t="str">
            <v>浙江瑞安农村商业银行股份有限公司</v>
          </cell>
          <cell r="D189" t="str">
            <v>浙江瑞安农商行</v>
          </cell>
          <cell r="E189" t="e">
            <v>#N/A</v>
          </cell>
          <cell r="F189" t="str">
            <v>AA+</v>
          </cell>
          <cell r="G189" t="e">
            <v>#N/A</v>
          </cell>
          <cell r="H189" t="e">
            <v>#N/A</v>
          </cell>
        </row>
        <row r="190">
          <cell r="C190" t="str">
            <v>南洋商业银行有限公司</v>
          </cell>
          <cell r="D190" t="str">
            <v>南洋商业银行</v>
          </cell>
          <cell r="E190" t="e">
            <v>#N/A</v>
          </cell>
          <cell r="F190" t="str">
            <v/>
          </cell>
          <cell r="G190" t="e">
            <v>#N/A</v>
          </cell>
          <cell r="H190" t="e">
            <v>#N/A</v>
          </cell>
        </row>
        <row r="191">
          <cell r="C191"/>
          <cell r="D191"/>
          <cell r="E191"/>
          <cell r="F191"/>
          <cell r="G191" t="e">
            <v>#N/A</v>
          </cell>
          <cell r="H191" t="e">
            <v>#N/A</v>
          </cell>
        </row>
        <row r="192">
          <cell r="C192"/>
          <cell r="D192"/>
          <cell r="E192"/>
          <cell r="F192"/>
          <cell r="G192" t="e">
            <v>#N/A</v>
          </cell>
          <cell r="H192" t="e">
            <v>#N/A</v>
          </cell>
        </row>
        <row r="193">
          <cell r="C193" t="str">
            <v>廊坊银行股份有限公司</v>
          </cell>
          <cell r="D193"/>
          <cell r="E193"/>
          <cell r="F193"/>
          <cell r="G193" t="e">
            <v>#N/A</v>
          </cell>
          <cell r="H193" t="e">
            <v>#N/A</v>
          </cell>
        </row>
        <row r="194">
          <cell r="C194" t="str">
            <v>浙江温州鹿城农村商业银行股份有限公司</v>
          </cell>
          <cell r="E194"/>
          <cell r="F194"/>
          <cell r="G194" t="e">
            <v>#N/A</v>
          </cell>
          <cell r="H194" t="e">
            <v>#N/A</v>
          </cell>
        </row>
        <row r="195">
          <cell r="E195"/>
          <cell r="F195"/>
          <cell r="G195" t="e">
            <v>#N/A</v>
          </cell>
          <cell r="H195" t="e">
            <v>#N/A</v>
          </cell>
        </row>
        <row r="196">
          <cell r="E196"/>
          <cell r="F196"/>
          <cell r="G196" t="e">
            <v>#N/A</v>
          </cell>
          <cell r="H196" t="e">
            <v>#N/A</v>
          </cell>
        </row>
        <row r="197">
          <cell r="E197"/>
          <cell r="F197"/>
          <cell r="G197" t="e">
            <v>#N/A</v>
          </cell>
          <cell r="H197" t="e">
            <v>#N/A</v>
          </cell>
        </row>
        <row r="198">
          <cell r="E198"/>
          <cell r="F198"/>
          <cell r="G198" t="e">
            <v>#N/A</v>
          </cell>
          <cell r="H198" t="e">
            <v>#N/A</v>
          </cell>
        </row>
        <row r="199">
          <cell r="E199"/>
          <cell r="F199"/>
          <cell r="G199" t="e">
            <v>#N/A</v>
          </cell>
          <cell r="H199" t="e">
            <v>#N/A</v>
          </cell>
        </row>
        <row r="200">
          <cell r="E200"/>
          <cell r="F200"/>
          <cell r="G200" t="e">
            <v>#N/A</v>
          </cell>
          <cell r="H200" t="e">
            <v>#N/A</v>
          </cell>
        </row>
        <row r="201">
          <cell r="E201"/>
          <cell r="F201"/>
          <cell r="G201" t="e">
            <v>#N/A</v>
          </cell>
          <cell r="H201" t="e">
            <v>#N/A</v>
          </cell>
        </row>
        <row r="202">
          <cell r="E202"/>
          <cell r="F202"/>
          <cell r="G202" t="e">
            <v>#N/A</v>
          </cell>
          <cell r="H202" t="e">
            <v>#N/A</v>
          </cell>
        </row>
        <row r="203">
          <cell r="E203"/>
          <cell r="F203"/>
          <cell r="G203" t="e">
            <v>#N/A</v>
          </cell>
          <cell r="H203" t="e">
            <v>#N/A</v>
          </cell>
        </row>
        <row r="204">
          <cell r="E204"/>
          <cell r="F204"/>
          <cell r="G204" t="e">
            <v>#N/A</v>
          </cell>
          <cell r="H204" t="e">
            <v>#N/A</v>
          </cell>
        </row>
        <row r="205">
          <cell r="E205"/>
          <cell r="F205"/>
          <cell r="G205" t="e">
            <v>#N/A</v>
          </cell>
          <cell r="H205" t="e">
            <v>#N/A</v>
          </cell>
        </row>
        <row r="206">
          <cell r="E206"/>
          <cell r="F206"/>
          <cell r="G206" t="e">
            <v>#N/A</v>
          </cell>
          <cell r="H206" t="e">
            <v>#N/A</v>
          </cell>
        </row>
        <row r="207">
          <cell r="E207"/>
          <cell r="F207"/>
          <cell r="G207" t="e">
            <v>#N/A</v>
          </cell>
          <cell r="H207" t="e">
            <v>#N/A</v>
          </cell>
        </row>
        <row r="208">
          <cell r="C208" t="str">
            <v>广东顺德农村商业银行股份有限公司</v>
          </cell>
          <cell r="E208"/>
          <cell r="F208"/>
          <cell r="G208" t="str">
            <v>BB+</v>
          </cell>
          <cell r="H208" t="str">
            <v>BB+</v>
          </cell>
        </row>
        <row r="209">
          <cell r="C209" t="str">
            <v>渣打银行(中国)有限公司</v>
          </cell>
          <cell r="E209"/>
          <cell r="F209"/>
          <cell r="G209" t="e">
            <v>#N/A</v>
          </cell>
          <cell r="H209" t="e">
            <v>#N/A</v>
          </cell>
        </row>
        <row r="210">
          <cell r="C210" t="str">
            <v>唐山银行股份有限公司</v>
          </cell>
          <cell r="E210"/>
          <cell r="F210"/>
          <cell r="G210" t="e">
            <v>#N/A</v>
          </cell>
          <cell r="H210" t="e">
            <v>#N/A</v>
          </cell>
        </row>
        <row r="211">
          <cell r="C211" t="str">
            <v>内蒙古银行股份有限公司</v>
          </cell>
          <cell r="E211"/>
          <cell r="F211"/>
          <cell r="G211" t="e">
            <v>#N/A</v>
          </cell>
          <cell r="H211" t="e">
            <v>#N/A</v>
          </cell>
        </row>
        <row r="212">
          <cell r="C212" t="str">
            <v>江苏苏州农村商业银行股份有限公司</v>
          </cell>
          <cell r="E212"/>
          <cell r="F212"/>
          <cell r="G212" t="str">
            <v>BB</v>
          </cell>
          <cell r="H212" t="str">
            <v>BB</v>
          </cell>
        </row>
        <row r="213">
          <cell r="C213" t="str">
            <v>江苏江阴农村商业银行股份有限公司</v>
          </cell>
          <cell r="E213"/>
          <cell r="F213"/>
          <cell r="G213" t="str">
            <v>BBB-</v>
          </cell>
          <cell r="H213" t="str">
            <v>BBB-</v>
          </cell>
        </row>
        <row r="214">
          <cell r="C214" t="str">
            <v>宁波慈溪农村商业银行股份有限公司</v>
          </cell>
          <cell r="E214"/>
          <cell r="F214"/>
          <cell r="G214" t="e">
            <v>#N/A</v>
          </cell>
          <cell r="H214" t="e">
            <v>#N/A</v>
          </cell>
        </row>
        <row r="215">
          <cell r="C215" t="str">
            <v>德意志银行(中国)有限公司</v>
          </cell>
          <cell r="E215"/>
          <cell r="F215"/>
          <cell r="G215" t="e">
            <v>#N/A</v>
          </cell>
          <cell r="H215" t="e">
            <v>#N/A</v>
          </cell>
        </row>
        <row r="216">
          <cell r="E216"/>
          <cell r="F216"/>
          <cell r="G216" t="e">
            <v>#N/A</v>
          </cell>
          <cell r="H216" t="e">
            <v>#N/A</v>
          </cell>
        </row>
        <row r="217">
          <cell r="E217"/>
          <cell r="F217"/>
          <cell r="G217" t="e">
            <v>#N/A</v>
          </cell>
          <cell r="H217" t="e">
            <v>#N/A</v>
          </cell>
        </row>
        <row r="218">
          <cell r="E218"/>
          <cell r="F218"/>
          <cell r="G218" t="e">
            <v>#N/A</v>
          </cell>
          <cell r="H218" t="e">
            <v>#N/A</v>
          </cell>
        </row>
        <row r="219">
          <cell r="E219"/>
          <cell r="F219"/>
          <cell r="G219" t="e">
            <v>#N/A</v>
          </cell>
          <cell r="H219" t="e">
            <v>#N/A</v>
          </cell>
        </row>
        <row r="220">
          <cell r="C220"/>
          <cell r="D220"/>
          <cell r="E220"/>
          <cell r="F220"/>
          <cell r="G220" t="e">
            <v>#N/A</v>
          </cell>
          <cell r="H220" t="e">
            <v>#N/A</v>
          </cell>
        </row>
        <row r="1048447">
          <cell r="H1048447"/>
        </row>
        <row r="1048448">
          <cell r="H1048448"/>
        </row>
        <row r="1048449">
          <cell r="H1048449"/>
        </row>
        <row r="1048450">
          <cell r="H1048450"/>
        </row>
        <row r="1048451">
          <cell r="H1048451"/>
        </row>
        <row r="1048452">
          <cell r="H1048452"/>
        </row>
        <row r="1048453">
          <cell r="H1048453"/>
        </row>
        <row r="1048454">
          <cell r="H1048454"/>
        </row>
        <row r="1048455">
          <cell r="H1048455"/>
        </row>
        <row r="1048456">
          <cell r="H1048456"/>
        </row>
        <row r="1048457">
          <cell r="H1048457"/>
        </row>
        <row r="1048458">
          <cell r="H1048458"/>
        </row>
        <row r="1048459">
          <cell r="H1048459"/>
        </row>
        <row r="1048460">
          <cell r="H1048460"/>
        </row>
        <row r="1048461">
          <cell r="H1048461"/>
        </row>
        <row r="1048462">
          <cell r="H1048462"/>
        </row>
        <row r="1048463">
          <cell r="H1048463"/>
        </row>
        <row r="1048464">
          <cell r="H1048464"/>
        </row>
        <row r="1048465">
          <cell r="H1048465"/>
        </row>
        <row r="1048466">
          <cell r="H1048466"/>
        </row>
        <row r="1048467">
          <cell r="H1048467"/>
        </row>
        <row r="1048468">
          <cell r="H1048468"/>
        </row>
        <row r="1048469">
          <cell r="H1048469"/>
        </row>
        <row r="1048470">
          <cell r="H1048470"/>
        </row>
        <row r="1048471">
          <cell r="H1048471"/>
        </row>
        <row r="1048472">
          <cell r="H1048472"/>
        </row>
        <row r="1048473">
          <cell r="H1048473"/>
        </row>
        <row r="1048474">
          <cell r="H1048474"/>
        </row>
        <row r="1048475">
          <cell r="H1048475"/>
        </row>
        <row r="1048476">
          <cell r="H1048476"/>
        </row>
        <row r="1048477">
          <cell r="H1048477"/>
        </row>
        <row r="1048478">
          <cell r="H1048478"/>
        </row>
        <row r="1048479">
          <cell r="H1048479"/>
        </row>
        <row r="1048480">
          <cell r="H1048480"/>
        </row>
        <row r="1048481">
          <cell r="H1048481"/>
        </row>
        <row r="1048482">
          <cell r="H1048482"/>
        </row>
        <row r="1048483">
          <cell r="H1048483"/>
        </row>
        <row r="1048484">
          <cell r="H1048484"/>
        </row>
        <row r="1048485">
          <cell r="H1048485"/>
        </row>
        <row r="1048486">
          <cell r="H1048486"/>
        </row>
        <row r="1048487">
          <cell r="H1048487"/>
        </row>
        <row r="1048488">
          <cell r="H1048488"/>
        </row>
        <row r="1048489">
          <cell r="H1048489"/>
        </row>
        <row r="1048490">
          <cell r="H1048490"/>
        </row>
        <row r="1048491">
          <cell r="H1048491"/>
        </row>
        <row r="1048492">
          <cell r="H1048492"/>
        </row>
        <row r="1048493">
          <cell r="H1048493"/>
        </row>
        <row r="1048494">
          <cell r="H1048494"/>
        </row>
        <row r="1048495">
          <cell r="H1048495"/>
        </row>
        <row r="1048496">
          <cell r="H1048496"/>
        </row>
        <row r="1048497">
          <cell r="H1048497"/>
        </row>
        <row r="1048498">
          <cell r="H1048498"/>
        </row>
        <row r="1048499">
          <cell r="H1048499"/>
        </row>
        <row r="1048500">
          <cell r="H1048500"/>
        </row>
        <row r="1048501">
          <cell r="H1048501"/>
        </row>
        <row r="1048502">
          <cell r="H1048502"/>
        </row>
        <row r="1048503">
          <cell r="H1048503"/>
        </row>
        <row r="1048504">
          <cell r="H1048504"/>
        </row>
        <row r="1048505">
          <cell r="H1048505"/>
        </row>
        <row r="1048506">
          <cell r="H1048506"/>
        </row>
        <row r="1048507">
          <cell r="H1048507"/>
        </row>
        <row r="1048508">
          <cell r="H1048508"/>
        </row>
        <row r="1048509">
          <cell r="H1048509"/>
        </row>
        <row r="1048510">
          <cell r="H1048510"/>
        </row>
        <row r="1048511">
          <cell r="H1048511"/>
        </row>
        <row r="1048512">
          <cell r="H1048512"/>
        </row>
        <row r="1048513">
          <cell r="H1048513"/>
        </row>
        <row r="1048514">
          <cell r="H1048514"/>
        </row>
        <row r="1048515">
          <cell r="H1048515"/>
        </row>
        <row r="1048516">
          <cell r="H1048516"/>
        </row>
        <row r="1048517">
          <cell r="H1048517"/>
        </row>
        <row r="1048518">
          <cell r="H1048518"/>
        </row>
        <row r="1048519">
          <cell r="H1048519"/>
        </row>
        <row r="1048520">
          <cell r="H1048520"/>
        </row>
        <row r="1048521">
          <cell r="H1048521"/>
        </row>
        <row r="1048522">
          <cell r="H1048522"/>
        </row>
        <row r="1048523">
          <cell r="H1048523"/>
        </row>
        <row r="1048524">
          <cell r="H1048524"/>
        </row>
        <row r="1048525">
          <cell r="H1048525"/>
        </row>
        <row r="1048526">
          <cell r="H1048526"/>
        </row>
        <row r="1048527">
          <cell r="H1048527"/>
        </row>
        <row r="1048528">
          <cell r="H1048528"/>
        </row>
        <row r="1048529">
          <cell r="H1048529"/>
        </row>
        <row r="1048530">
          <cell r="H1048530"/>
        </row>
        <row r="1048531">
          <cell r="H1048531"/>
        </row>
        <row r="1048532">
          <cell r="H1048532"/>
        </row>
        <row r="1048533">
          <cell r="H1048533"/>
        </row>
        <row r="1048534">
          <cell r="H1048534"/>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关键曲线跟踪"/>
      <sheetName val="额度信息"/>
      <sheetName val="银行投资工具"/>
      <sheetName val="Sheet2"/>
      <sheetName val="额度占用"/>
      <sheetName val="银行主体库"/>
      <sheetName val="最新内评"/>
      <sheetName val="同业存单库"/>
      <sheetName val="金融债库"/>
      <sheetName val="二永债库"/>
      <sheetName val="定价回溯"/>
    </sheetNames>
    <sheetDataSet>
      <sheetData sheetId="0"/>
      <sheetData sheetId="1">
        <row r="1">
          <cell r="B1"/>
          <cell r="C1" t="str">
            <v>资管+理财额度</v>
          </cell>
          <cell r="D1" t="str">
            <v>理财子总额度</v>
          </cell>
          <cell r="E1" t="str">
            <v>理财子分项额度</v>
          </cell>
          <cell r="F1"/>
          <cell r="G1"/>
          <cell r="H1"/>
          <cell r="I1"/>
          <cell r="J1"/>
          <cell r="K1" t="str">
            <v>存单+金融债</v>
          </cell>
          <cell r="L1" t="str">
            <v>二级资本债</v>
          </cell>
          <cell r="M1" t="str">
            <v>永续债额度占用</v>
          </cell>
          <cell r="N1"/>
          <cell r="O1"/>
          <cell r="P1"/>
          <cell r="Q1"/>
          <cell r="R1"/>
          <cell r="S1"/>
          <cell r="T1"/>
        </row>
        <row r="2">
          <cell r="B2"/>
          <cell r="C2"/>
          <cell r="D2"/>
          <cell r="E2" t="str">
            <v>无固定期限
资本补充工具</v>
          </cell>
          <cell r="F2" t="str">
            <v>次级债(10年)</v>
          </cell>
          <cell r="G2" t="str">
            <v>普通债务</v>
          </cell>
          <cell r="H2"/>
          <cell r="I2"/>
          <cell r="J2" t="str">
            <v>交易类
（5年内）</v>
          </cell>
        </row>
        <row r="3">
          <cell r="B3"/>
          <cell r="C3"/>
          <cell r="D3"/>
          <cell r="E3"/>
          <cell r="F3"/>
          <cell r="G3" t="str">
            <v>5年</v>
          </cell>
          <cell r="H3" t="str">
            <v>中短期</v>
          </cell>
          <cell r="I3"/>
          <cell r="J3"/>
          <cell r="K3" t="str">
            <v>普通债额度占用</v>
          </cell>
          <cell r="L3" t="str">
            <v>次级债额度占用</v>
          </cell>
          <cell r="M3" t="str">
            <v>永续债额度占用</v>
          </cell>
          <cell r="N3" t="str">
            <v>普通债剩余额度</v>
          </cell>
          <cell r="O3" t="str">
            <v>次级债剩余额度</v>
          </cell>
          <cell r="P3" t="str">
            <v>永续债剩余额度</v>
          </cell>
          <cell r="Q3" t="str">
            <v>普通债剩余额度</v>
          </cell>
          <cell r="R3" t="str">
            <v>次级债剩余额度</v>
          </cell>
          <cell r="S3" t="str">
            <v>永续债剩余额度</v>
          </cell>
        </row>
        <row r="4">
          <cell r="B4" t="str">
            <v>中国农业银行股份有限公司</v>
          </cell>
          <cell r="C4">
            <v>300</v>
          </cell>
          <cell r="D4">
            <v>295</v>
          </cell>
          <cell r="E4">
            <v>260</v>
          </cell>
          <cell r="F4"/>
          <cell r="G4">
            <v>35</v>
          </cell>
          <cell r="H4"/>
          <cell r="I4"/>
          <cell r="J4"/>
          <cell r="K4">
            <v>80.997006056700002</v>
          </cell>
          <cell r="L4">
            <v>0</v>
          </cell>
          <cell r="M4">
            <v>48.911999999999999</v>
          </cell>
          <cell r="N4">
            <v>-45.997006056700002</v>
          </cell>
          <cell r="O4">
            <v>0</v>
          </cell>
          <cell r="P4">
            <v>211.08799999999999</v>
          </cell>
          <cell r="Q4">
            <v>165.09099394329999</v>
          </cell>
          <cell r="R4">
            <v>165.09099394329999</v>
          </cell>
          <cell r="S4">
            <v>165.09099394329999</v>
          </cell>
          <cell r="T4">
            <v>129.90900605670001</v>
          </cell>
        </row>
        <row r="5">
          <cell r="B5" t="str">
            <v>上海浦东发展银行股份有限公司</v>
          </cell>
          <cell r="C5">
            <v>250</v>
          </cell>
          <cell r="D5">
            <v>245</v>
          </cell>
          <cell r="E5">
            <v>215</v>
          </cell>
          <cell r="F5"/>
          <cell r="G5">
            <v>30</v>
          </cell>
          <cell r="H5"/>
          <cell r="I5"/>
          <cell r="J5"/>
          <cell r="K5">
            <v>48</v>
          </cell>
          <cell r="L5">
            <v>0</v>
          </cell>
          <cell r="M5">
            <v>19.271000000000001</v>
          </cell>
          <cell r="N5">
            <v>-18</v>
          </cell>
          <cell r="O5">
            <v>0</v>
          </cell>
          <cell r="P5">
            <v>195.72899999999998</v>
          </cell>
          <cell r="Q5">
            <v>177.72899999999998</v>
          </cell>
          <cell r="R5">
            <v>177.72899999999998</v>
          </cell>
          <cell r="S5">
            <v>177.72899999999998</v>
          </cell>
          <cell r="T5">
            <v>67.271000000000001</v>
          </cell>
        </row>
        <row r="6">
          <cell r="B6" t="str">
            <v>华夏银行股份有限公司</v>
          </cell>
          <cell r="C6">
            <v>150</v>
          </cell>
          <cell r="D6">
            <v>145</v>
          </cell>
          <cell r="E6">
            <v>30</v>
          </cell>
          <cell r="F6">
            <v>20</v>
          </cell>
          <cell r="G6">
            <v>55</v>
          </cell>
          <cell r="H6">
            <v>40</v>
          </cell>
          <cell r="I6"/>
          <cell r="J6"/>
          <cell r="K6">
            <v>0</v>
          </cell>
          <cell r="L6">
            <v>0</v>
          </cell>
          <cell r="M6">
            <v>0</v>
          </cell>
          <cell r="N6">
            <v>95</v>
          </cell>
          <cell r="O6">
            <v>20</v>
          </cell>
          <cell r="P6">
            <v>30</v>
          </cell>
          <cell r="Q6">
            <v>145</v>
          </cell>
          <cell r="R6">
            <v>50</v>
          </cell>
          <cell r="S6">
            <v>30</v>
          </cell>
          <cell r="T6">
            <v>0</v>
          </cell>
        </row>
        <row r="7">
          <cell r="B7" t="str">
            <v>中国工商银行股份有限公司</v>
          </cell>
          <cell r="C7">
            <v>300</v>
          </cell>
          <cell r="D7">
            <v>295</v>
          </cell>
          <cell r="E7">
            <v>265</v>
          </cell>
          <cell r="F7"/>
          <cell r="G7">
            <v>30</v>
          </cell>
          <cell r="H7"/>
          <cell r="I7"/>
          <cell r="J7"/>
          <cell r="K7">
            <v>44.997016915800003</v>
          </cell>
          <cell r="L7">
            <v>0</v>
          </cell>
          <cell r="M7">
            <v>0</v>
          </cell>
          <cell r="N7">
            <v>-14.997016915800003</v>
          </cell>
          <cell r="O7">
            <v>0</v>
          </cell>
          <cell r="P7">
            <v>265</v>
          </cell>
          <cell r="Q7">
            <v>250.0029830842</v>
          </cell>
          <cell r="R7">
            <v>250.0029830842</v>
          </cell>
          <cell r="S7">
            <v>250.0029830842</v>
          </cell>
          <cell r="T7">
            <v>44.997016915800003</v>
          </cell>
        </row>
        <row r="8">
          <cell r="B8" t="str">
            <v>兴业银行股份有限公司</v>
          </cell>
          <cell r="C8">
            <v>250</v>
          </cell>
          <cell r="D8">
            <v>245</v>
          </cell>
          <cell r="E8">
            <v>215</v>
          </cell>
          <cell r="F8"/>
          <cell r="G8">
            <v>30</v>
          </cell>
          <cell r="H8"/>
          <cell r="I8"/>
          <cell r="J8"/>
          <cell r="K8">
            <v>0</v>
          </cell>
          <cell r="L8">
            <v>0</v>
          </cell>
          <cell r="M8">
            <v>10.243</v>
          </cell>
          <cell r="N8">
            <v>30</v>
          </cell>
          <cell r="O8">
            <v>0</v>
          </cell>
          <cell r="P8">
            <v>204.75700000000001</v>
          </cell>
          <cell r="Q8">
            <v>234.75700000000001</v>
          </cell>
          <cell r="R8">
            <v>204.75700000000001</v>
          </cell>
          <cell r="S8">
            <v>204.75700000000001</v>
          </cell>
          <cell r="T8">
            <v>10.243</v>
          </cell>
        </row>
        <row r="9">
          <cell r="B9" t="str">
            <v>平安银行股份有限公司</v>
          </cell>
          <cell r="C9">
            <v>200</v>
          </cell>
          <cell r="D9">
            <v>195</v>
          </cell>
          <cell r="E9">
            <v>50</v>
          </cell>
          <cell r="F9">
            <v>35</v>
          </cell>
          <cell r="G9">
            <v>45</v>
          </cell>
          <cell r="H9">
            <v>65</v>
          </cell>
          <cell r="I9"/>
          <cell r="J9"/>
          <cell r="K9">
            <v>20</v>
          </cell>
          <cell r="L9">
            <v>0</v>
          </cell>
          <cell r="M9">
            <v>0</v>
          </cell>
          <cell r="N9">
            <v>90</v>
          </cell>
          <cell r="O9">
            <v>35</v>
          </cell>
          <cell r="P9">
            <v>50</v>
          </cell>
          <cell r="Q9">
            <v>175</v>
          </cell>
          <cell r="R9">
            <v>85</v>
          </cell>
          <cell r="S9">
            <v>50</v>
          </cell>
          <cell r="T9">
            <v>20</v>
          </cell>
        </row>
        <row r="10">
          <cell r="B10" t="str">
            <v>招商银行股份有限公司</v>
          </cell>
          <cell r="C10">
            <v>250</v>
          </cell>
          <cell r="D10">
            <v>245</v>
          </cell>
          <cell r="E10">
            <v>245</v>
          </cell>
          <cell r="F10"/>
          <cell r="G10"/>
          <cell r="H10"/>
          <cell r="I10"/>
          <cell r="J10"/>
          <cell r="K10">
            <v>0</v>
          </cell>
          <cell r="L10">
            <v>0</v>
          </cell>
          <cell r="M10">
            <v>0</v>
          </cell>
          <cell r="N10">
            <v>0</v>
          </cell>
          <cell r="O10">
            <v>0</v>
          </cell>
          <cell r="P10">
            <v>245</v>
          </cell>
          <cell r="Q10">
            <v>245</v>
          </cell>
          <cell r="R10">
            <v>245</v>
          </cell>
          <cell r="S10">
            <v>245</v>
          </cell>
          <cell r="T10">
            <v>0</v>
          </cell>
        </row>
        <row r="11">
          <cell r="B11" t="str">
            <v>国家开发银行</v>
          </cell>
          <cell r="C11">
            <v>250</v>
          </cell>
          <cell r="D11">
            <v>250</v>
          </cell>
          <cell r="E11">
            <v>250</v>
          </cell>
          <cell r="F11"/>
          <cell r="G11"/>
          <cell r="H11"/>
          <cell r="I11"/>
          <cell r="J11"/>
          <cell r="K11">
            <v>0</v>
          </cell>
          <cell r="L11">
            <v>0</v>
          </cell>
          <cell r="M11">
            <v>0</v>
          </cell>
          <cell r="N11">
            <v>0</v>
          </cell>
          <cell r="O11">
            <v>0</v>
          </cell>
          <cell r="P11">
            <v>250</v>
          </cell>
          <cell r="Q11">
            <v>250</v>
          </cell>
          <cell r="R11">
            <v>250</v>
          </cell>
          <cell r="S11">
            <v>250</v>
          </cell>
          <cell r="T11">
            <v>0</v>
          </cell>
        </row>
        <row r="12">
          <cell r="B12" t="str">
            <v>杭州银行股份有限公司</v>
          </cell>
          <cell r="C12">
            <v>150</v>
          </cell>
          <cell r="D12">
            <v>149</v>
          </cell>
          <cell r="E12">
            <v>50</v>
          </cell>
          <cell r="F12">
            <v>35</v>
          </cell>
          <cell r="G12">
            <v>45</v>
          </cell>
          <cell r="H12">
            <v>19</v>
          </cell>
          <cell r="I12"/>
          <cell r="J12"/>
          <cell r="K12">
            <v>0</v>
          </cell>
          <cell r="L12">
            <v>0</v>
          </cell>
          <cell r="M12">
            <v>8.6440000000000001</v>
          </cell>
          <cell r="N12">
            <v>64</v>
          </cell>
          <cell r="O12">
            <v>35</v>
          </cell>
          <cell r="P12">
            <v>41.356000000000002</v>
          </cell>
          <cell r="Q12">
            <v>140.35599999999999</v>
          </cell>
          <cell r="R12">
            <v>76.355999999999995</v>
          </cell>
          <cell r="S12">
            <v>41.356000000000002</v>
          </cell>
          <cell r="T12">
            <v>8.6440000000000001</v>
          </cell>
        </row>
        <row r="13">
          <cell r="B13" t="str">
            <v>广发银行股份有限公司</v>
          </cell>
          <cell r="C13">
            <v>150</v>
          </cell>
          <cell r="D13">
            <v>145</v>
          </cell>
          <cell r="E13">
            <v>60</v>
          </cell>
          <cell r="F13">
            <v>50</v>
          </cell>
          <cell r="G13">
            <v>35</v>
          </cell>
          <cell r="H13">
            <v>0</v>
          </cell>
          <cell r="I13"/>
          <cell r="J13"/>
          <cell r="K13">
            <v>0</v>
          </cell>
          <cell r="L13">
            <v>0</v>
          </cell>
          <cell r="M13">
            <v>0</v>
          </cell>
          <cell r="N13">
            <v>35</v>
          </cell>
          <cell r="O13">
            <v>50</v>
          </cell>
          <cell r="P13">
            <v>60</v>
          </cell>
          <cell r="Q13">
            <v>145</v>
          </cell>
          <cell r="R13">
            <v>110</v>
          </cell>
          <cell r="S13">
            <v>60</v>
          </cell>
          <cell r="T13">
            <v>0</v>
          </cell>
        </row>
        <row r="14">
          <cell r="B14" t="str">
            <v>中国银行股份有限公司</v>
          </cell>
          <cell r="C14">
            <v>300</v>
          </cell>
          <cell r="D14">
            <v>295</v>
          </cell>
          <cell r="E14">
            <v>295</v>
          </cell>
          <cell r="F14"/>
          <cell r="G14"/>
          <cell r="H14"/>
          <cell r="I14"/>
          <cell r="J14"/>
          <cell r="K14">
            <v>0</v>
          </cell>
          <cell r="L14">
            <v>0</v>
          </cell>
          <cell r="M14">
            <v>0</v>
          </cell>
          <cell r="N14">
            <v>0</v>
          </cell>
          <cell r="O14">
            <v>0</v>
          </cell>
          <cell r="P14">
            <v>295</v>
          </cell>
          <cell r="Q14">
            <v>295</v>
          </cell>
          <cell r="R14">
            <v>295</v>
          </cell>
          <cell r="S14">
            <v>295</v>
          </cell>
          <cell r="T14">
            <v>0</v>
          </cell>
        </row>
        <row r="15">
          <cell r="B15" t="str">
            <v>中国进出口银行</v>
          </cell>
          <cell r="C15">
            <v>200</v>
          </cell>
          <cell r="D15">
            <v>198</v>
          </cell>
          <cell r="E15">
            <v>198</v>
          </cell>
          <cell r="F15"/>
          <cell r="G15"/>
          <cell r="H15"/>
          <cell r="I15"/>
          <cell r="J15"/>
          <cell r="K15">
            <v>0</v>
          </cell>
          <cell r="L15">
            <v>0</v>
          </cell>
          <cell r="M15">
            <v>0</v>
          </cell>
          <cell r="N15">
            <v>0</v>
          </cell>
          <cell r="O15">
            <v>0</v>
          </cell>
          <cell r="P15">
            <v>198</v>
          </cell>
          <cell r="Q15">
            <v>198</v>
          </cell>
          <cell r="R15">
            <v>198</v>
          </cell>
          <cell r="S15">
            <v>198</v>
          </cell>
          <cell r="T15">
            <v>0</v>
          </cell>
        </row>
        <row r="16">
          <cell r="B16" t="str">
            <v>中国农业发展银行</v>
          </cell>
          <cell r="C16">
            <v>200</v>
          </cell>
          <cell r="D16">
            <v>200</v>
          </cell>
          <cell r="E16">
            <v>200</v>
          </cell>
          <cell r="F16"/>
          <cell r="G16"/>
          <cell r="H16"/>
          <cell r="I16"/>
          <cell r="J16"/>
          <cell r="K16">
            <v>0</v>
          </cell>
          <cell r="L16">
            <v>0</v>
          </cell>
          <cell r="M16">
            <v>0</v>
          </cell>
          <cell r="N16">
            <v>0</v>
          </cell>
          <cell r="O16">
            <v>0</v>
          </cell>
          <cell r="P16">
            <v>200</v>
          </cell>
          <cell r="Q16">
            <v>200</v>
          </cell>
          <cell r="R16">
            <v>200</v>
          </cell>
          <cell r="S16">
            <v>200</v>
          </cell>
          <cell r="T16">
            <v>0</v>
          </cell>
        </row>
        <row r="17">
          <cell r="B17" t="str">
            <v>中信银行股份有限公司</v>
          </cell>
          <cell r="C17">
            <v>250</v>
          </cell>
          <cell r="D17">
            <v>245</v>
          </cell>
          <cell r="E17">
            <v>245</v>
          </cell>
          <cell r="F17"/>
          <cell r="G17"/>
          <cell r="H17"/>
          <cell r="I17"/>
          <cell r="J17"/>
          <cell r="K17">
            <v>0</v>
          </cell>
          <cell r="L17">
            <v>0</v>
          </cell>
          <cell r="M17">
            <v>0</v>
          </cell>
          <cell r="N17">
            <v>0</v>
          </cell>
          <cell r="O17">
            <v>0</v>
          </cell>
          <cell r="P17">
            <v>245</v>
          </cell>
          <cell r="Q17">
            <v>245</v>
          </cell>
          <cell r="R17">
            <v>245</v>
          </cell>
          <cell r="S17">
            <v>245</v>
          </cell>
          <cell r="T17">
            <v>0</v>
          </cell>
        </row>
        <row r="18">
          <cell r="B18" t="str">
            <v>中国建设银行股份有限公司</v>
          </cell>
          <cell r="C18">
            <v>300</v>
          </cell>
          <cell r="D18">
            <v>295</v>
          </cell>
          <cell r="E18">
            <v>275</v>
          </cell>
          <cell r="F18"/>
          <cell r="G18">
            <v>20</v>
          </cell>
          <cell r="H18"/>
          <cell r="I18"/>
          <cell r="J18"/>
          <cell r="K18">
            <v>0</v>
          </cell>
          <cell r="L18">
            <v>0</v>
          </cell>
          <cell r="M18">
            <v>0</v>
          </cell>
          <cell r="N18">
            <v>20</v>
          </cell>
          <cell r="O18">
            <v>0</v>
          </cell>
          <cell r="P18">
            <v>275</v>
          </cell>
          <cell r="Q18">
            <v>295</v>
          </cell>
          <cell r="R18">
            <v>275</v>
          </cell>
          <cell r="S18">
            <v>275</v>
          </cell>
          <cell r="T18">
            <v>0</v>
          </cell>
        </row>
        <row r="19">
          <cell r="B19" t="str">
            <v>交通银行股份有限公司</v>
          </cell>
          <cell r="C19">
            <v>300</v>
          </cell>
          <cell r="D19">
            <v>295</v>
          </cell>
          <cell r="E19">
            <v>275</v>
          </cell>
          <cell r="F19"/>
          <cell r="G19">
            <v>20</v>
          </cell>
          <cell r="H19"/>
          <cell r="I19"/>
          <cell r="J19"/>
          <cell r="K19">
            <v>0</v>
          </cell>
          <cell r="L19">
            <v>0</v>
          </cell>
          <cell r="M19">
            <v>0</v>
          </cell>
          <cell r="N19">
            <v>20</v>
          </cell>
          <cell r="O19">
            <v>0</v>
          </cell>
          <cell r="P19">
            <v>275</v>
          </cell>
          <cell r="Q19">
            <v>295</v>
          </cell>
          <cell r="R19">
            <v>275</v>
          </cell>
          <cell r="S19">
            <v>275</v>
          </cell>
          <cell r="T19">
            <v>0</v>
          </cell>
        </row>
        <row r="20">
          <cell r="B20" t="str">
            <v>江苏银行股份有限公司</v>
          </cell>
          <cell r="C20">
            <v>150</v>
          </cell>
          <cell r="D20">
            <v>148.5</v>
          </cell>
          <cell r="E20">
            <v>30</v>
          </cell>
          <cell r="F20">
            <v>18.5</v>
          </cell>
          <cell r="G20">
            <v>30</v>
          </cell>
          <cell r="H20">
            <v>70</v>
          </cell>
          <cell r="I20"/>
          <cell r="J20"/>
          <cell r="K20">
            <v>10</v>
          </cell>
          <cell r="L20">
            <v>0</v>
          </cell>
          <cell r="M20">
            <v>0</v>
          </cell>
          <cell r="N20">
            <v>90</v>
          </cell>
          <cell r="O20">
            <v>18.5</v>
          </cell>
          <cell r="P20">
            <v>30</v>
          </cell>
          <cell r="Q20">
            <v>138.5</v>
          </cell>
          <cell r="R20">
            <v>48.5</v>
          </cell>
          <cell r="S20">
            <v>30</v>
          </cell>
          <cell r="T20">
            <v>10</v>
          </cell>
        </row>
        <row r="21">
          <cell r="B21" t="str">
            <v>中国光大银行股份有限公司</v>
          </cell>
          <cell r="C21">
            <v>200</v>
          </cell>
          <cell r="D21">
            <v>195</v>
          </cell>
          <cell r="E21">
            <v>50</v>
          </cell>
          <cell r="F21">
            <v>35</v>
          </cell>
          <cell r="G21">
            <v>45</v>
          </cell>
          <cell r="H21">
            <v>65</v>
          </cell>
          <cell r="I21" t="str">
            <v>期限2年</v>
          </cell>
          <cell r="J21"/>
          <cell r="K21">
            <v>4.4000000000000004</v>
          </cell>
          <cell r="L21">
            <v>0</v>
          </cell>
          <cell r="M21">
            <v>0</v>
          </cell>
          <cell r="N21">
            <v>105.6</v>
          </cell>
          <cell r="O21">
            <v>35</v>
          </cell>
          <cell r="P21">
            <v>50</v>
          </cell>
          <cell r="Q21">
            <v>190.6</v>
          </cell>
          <cell r="R21">
            <v>85</v>
          </cell>
          <cell r="S21">
            <v>50</v>
          </cell>
          <cell r="T21">
            <v>4.4000000000000004</v>
          </cell>
        </row>
        <row r="22">
          <cell r="B22" t="str">
            <v>浙商银行股份有限公司</v>
          </cell>
          <cell r="C22">
            <v>50</v>
          </cell>
          <cell r="D22">
            <v>45</v>
          </cell>
          <cell r="E22"/>
          <cell r="F22">
            <v>4.5</v>
          </cell>
          <cell r="G22">
            <v>10</v>
          </cell>
          <cell r="H22">
            <v>30.5</v>
          </cell>
          <cell r="I22"/>
          <cell r="J22"/>
          <cell r="K22">
            <v>14.5</v>
          </cell>
          <cell r="L22">
            <v>0</v>
          </cell>
          <cell r="M22">
            <v>0</v>
          </cell>
          <cell r="N22">
            <v>26</v>
          </cell>
          <cell r="O22">
            <v>4.5</v>
          </cell>
          <cell r="P22">
            <v>0</v>
          </cell>
          <cell r="Q22">
            <v>30.5</v>
          </cell>
          <cell r="R22">
            <v>4.5</v>
          </cell>
          <cell r="S22">
            <v>0</v>
          </cell>
          <cell r="T22">
            <v>14.5</v>
          </cell>
        </row>
        <row r="23">
          <cell r="B23" t="str">
            <v>中国民生银行股份有限公司</v>
          </cell>
          <cell r="C23">
            <v>200</v>
          </cell>
          <cell r="D23">
            <v>195</v>
          </cell>
          <cell r="E23"/>
          <cell r="F23">
            <v>53</v>
          </cell>
          <cell r="G23">
            <v>142</v>
          </cell>
          <cell r="H23"/>
          <cell r="I23"/>
          <cell r="J23"/>
          <cell r="K23">
            <v>0</v>
          </cell>
          <cell r="L23">
            <v>0</v>
          </cell>
          <cell r="M23">
            <v>0</v>
          </cell>
          <cell r="N23">
            <v>142</v>
          </cell>
          <cell r="O23">
            <v>53</v>
          </cell>
          <cell r="P23">
            <v>0</v>
          </cell>
          <cell r="Q23">
            <v>195</v>
          </cell>
          <cell r="R23">
            <v>53</v>
          </cell>
          <cell r="S23">
            <v>0</v>
          </cell>
          <cell r="T23">
            <v>0</v>
          </cell>
        </row>
        <row r="24">
          <cell r="B24" t="str">
            <v>招商永隆银行有限公司</v>
          </cell>
          <cell r="C24">
            <v>30</v>
          </cell>
          <cell r="D24">
            <v>30</v>
          </cell>
          <cell r="E24"/>
          <cell r="F24"/>
          <cell r="G24">
            <v>15</v>
          </cell>
          <cell r="H24">
            <v>15</v>
          </cell>
          <cell r="I24"/>
          <cell r="J24"/>
          <cell r="K24">
            <v>0</v>
          </cell>
          <cell r="L24">
            <v>0</v>
          </cell>
          <cell r="M24">
            <v>0</v>
          </cell>
          <cell r="N24">
            <v>30</v>
          </cell>
          <cell r="O24">
            <v>0</v>
          </cell>
          <cell r="P24">
            <v>0</v>
          </cell>
          <cell r="Q24">
            <v>30</v>
          </cell>
          <cell r="R24">
            <v>0</v>
          </cell>
          <cell r="S24">
            <v>0</v>
          </cell>
          <cell r="T24">
            <v>0</v>
          </cell>
        </row>
        <row r="25">
          <cell r="B25" t="str">
            <v>上海银行股份有限公司</v>
          </cell>
          <cell r="C25">
            <v>110</v>
          </cell>
          <cell r="D25">
            <v>110</v>
          </cell>
          <cell r="E25">
            <v>28</v>
          </cell>
          <cell r="F25">
            <v>20</v>
          </cell>
          <cell r="G25">
            <v>30</v>
          </cell>
          <cell r="H25">
            <v>32</v>
          </cell>
          <cell r="I25"/>
          <cell r="J25"/>
          <cell r="K25">
            <v>0</v>
          </cell>
          <cell r="L25">
            <v>0</v>
          </cell>
          <cell r="M25">
            <v>0</v>
          </cell>
          <cell r="N25">
            <v>62</v>
          </cell>
          <cell r="O25">
            <v>20</v>
          </cell>
          <cell r="P25">
            <v>28</v>
          </cell>
          <cell r="Q25">
            <v>110</v>
          </cell>
          <cell r="R25">
            <v>48</v>
          </cell>
          <cell r="S25">
            <v>28</v>
          </cell>
          <cell r="T25">
            <v>0</v>
          </cell>
        </row>
        <row r="26">
          <cell r="B26" t="str">
            <v>华侨永亨银行(中国)有限公司</v>
          </cell>
          <cell r="C26">
            <v>10</v>
          </cell>
          <cell r="D26">
            <v>10</v>
          </cell>
          <cell r="E26"/>
          <cell r="F26"/>
          <cell r="G26">
            <v>10</v>
          </cell>
          <cell r="H26"/>
          <cell r="I26"/>
          <cell r="J26"/>
          <cell r="K26">
            <v>0</v>
          </cell>
          <cell r="L26">
            <v>0</v>
          </cell>
          <cell r="M26">
            <v>0</v>
          </cell>
          <cell r="N26">
            <v>10</v>
          </cell>
          <cell r="O26">
            <v>0</v>
          </cell>
          <cell r="P26">
            <v>0</v>
          </cell>
          <cell r="Q26">
            <v>10</v>
          </cell>
          <cell r="R26">
            <v>0</v>
          </cell>
          <cell r="S26">
            <v>0</v>
          </cell>
          <cell r="T26">
            <v>0</v>
          </cell>
        </row>
        <row r="27">
          <cell r="B27" t="str">
            <v>南京银行股份有限公司</v>
          </cell>
          <cell r="C27">
            <v>75</v>
          </cell>
          <cell r="D27">
            <v>75</v>
          </cell>
          <cell r="E27"/>
          <cell r="F27">
            <v>15</v>
          </cell>
          <cell r="G27">
            <v>10</v>
          </cell>
          <cell r="H27">
            <v>50</v>
          </cell>
          <cell r="I27"/>
          <cell r="J27"/>
          <cell r="K27">
            <v>1.3474999999999999</v>
          </cell>
          <cell r="L27">
            <v>0</v>
          </cell>
          <cell r="M27">
            <v>0</v>
          </cell>
          <cell r="N27">
            <v>58.652500000000003</v>
          </cell>
          <cell r="O27">
            <v>15</v>
          </cell>
          <cell r="P27">
            <v>0</v>
          </cell>
          <cell r="Q27">
            <v>73.652500000000003</v>
          </cell>
          <cell r="R27">
            <v>15</v>
          </cell>
          <cell r="S27">
            <v>0</v>
          </cell>
          <cell r="T27">
            <v>1.3474999999999999</v>
          </cell>
        </row>
        <row r="28">
          <cell r="B28" t="str">
            <v>深圳前海微众银行股份有限公司</v>
          </cell>
          <cell r="C28">
            <v>50</v>
          </cell>
          <cell r="D28">
            <v>50</v>
          </cell>
          <cell r="E28">
            <v>5</v>
          </cell>
          <cell r="F28">
            <v>5</v>
          </cell>
          <cell r="G28">
            <v>10</v>
          </cell>
          <cell r="H28">
            <v>30</v>
          </cell>
          <cell r="I28"/>
          <cell r="J28"/>
          <cell r="K28">
            <v>0</v>
          </cell>
          <cell r="L28">
            <v>0</v>
          </cell>
          <cell r="M28">
            <v>0</v>
          </cell>
          <cell r="N28">
            <v>40</v>
          </cell>
          <cell r="O28">
            <v>5</v>
          </cell>
          <cell r="P28">
            <v>5</v>
          </cell>
          <cell r="Q28">
            <v>50</v>
          </cell>
          <cell r="R28">
            <v>10</v>
          </cell>
          <cell r="S28">
            <v>5</v>
          </cell>
          <cell r="T28">
            <v>0</v>
          </cell>
        </row>
        <row r="29">
          <cell r="B29" t="str">
            <v>浙江网商银行股份有限公司</v>
          </cell>
          <cell r="C29">
            <v>50</v>
          </cell>
          <cell r="D29">
            <v>50</v>
          </cell>
          <cell r="E29">
            <v>5</v>
          </cell>
          <cell r="F29">
            <v>5</v>
          </cell>
          <cell r="G29">
            <v>10</v>
          </cell>
          <cell r="H29">
            <v>30</v>
          </cell>
          <cell r="I29"/>
          <cell r="J29"/>
          <cell r="K29">
            <v>0</v>
          </cell>
          <cell r="L29">
            <v>0</v>
          </cell>
          <cell r="M29">
            <v>3.4</v>
          </cell>
          <cell r="N29">
            <v>40</v>
          </cell>
          <cell r="O29">
            <v>5</v>
          </cell>
          <cell r="P29">
            <v>1.6</v>
          </cell>
          <cell r="Q29">
            <v>46.6</v>
          </cell>
          <cell r="R29">
            <v>6.6</v>
          </cell>
          <cell r="S29">
            <v>1.6</v>
          </cell>
          <cell r="T29">
            <v>3.4</v>
          </cell>
        </row>
        <row r="30">
          <cell r="B30" t="str">
            <v>成都银行股份有限公司</v>
          </cell>
          <cell r="C30">
            <v>40</v>
          </cell>
          <cell r="D30">
            <v>40</v>
          </cell>
          <cell r="E30"/>
          <cell r="F30">
            <v>10</v>
          </cell>
          <cell r="G30">
            <v>10</v>
          </cell>
          <cell r="H30">
            <v>20</v>
          </cell>
          <cell r="I30"/>
          <cell r="J30"/>
          <cell r="K30">
            <v>6</v>
          </cell>
          <cell r="L30">
            <v>0</v>
          </cell>
          <cell r="M30">
            <v>0</v>
          </cell>
          <cell r="N30">
            <v>24</v>
          </cell>
          <cell r="O30">
            <v>10</v>
          </cell>
          <cell r="P30">
            <v>0</v>
          </cell>
          <cell r="Q30">
            <v>34</v>
          </cell>
          <cell r="R30">
            <v>10</v>
          </cell>
          <cell r="S30">
            <v>0</v>
          </cell>
          <cell r="T30">
            <v>6</v>
          </cell>
        </row>
        <row r="31">
          <cell r="B31" t="str">
            <v>广州银行股份有限公司</v>
          </cell>
          <cell r="C31">
            <v>20</v>
          </cell>
          <cell r="D31">
            <v>19</v>
          </cell>
          <cell r="E31"/>
          <cell r="F31"/>
          <cell r="G31">
            <v>9</v>
          </cell>
          <cell r="H31">
            <v>10</v>
          </cell>
          <cell r="I31"/>
          <cell r="J31"/>
          <cell r="K31">
            <v>3</v>
          </cell>
          <cell r="L31">
            <v>0</v>
          </cell>
          <cell r="M31">
            <v>0</v>
          </cell>
          <cell r="N31">
            <v>16</v>
          </cell>
          <cell r="O31">
            <v>0</v>
          </cell>
          <cell r="P31">
            <v>0</v>
          </cell>
          <cell r="Q31">
            <v>16</v>
          </cell>
          <cell r="R31">
            <v>0</v>
          </cell>
          <cell r="S31">
            <v>0</v>
          </cell>
          <cell r="T31">
            <v>3</v>
          </cell>
        </row>
        <row r="32">
          <cell r="B32" t="str">
            <v>长沙银行股份有限公司</v>
          </cell>
          <cell r="C32">
            <v>20</v>
          </cell>
          <cell r="D32">
            <v>20</v>
          </cell>
          <cell r="E32"/>
          <cell r="F32">
            <v>5</v>
          </cell>
          <cell r="G32">
            <v>10</v>
          </cell>
          <cell r="H32">
            <v>5</v>
          </cell>
          <cell r="I32"/>
          <cell r="J32"/>
          <cell r="K32">
            <v>0</v>
          </cell>
          <cell r="L32">
            <v>0</v>
          </cell>
          <cell r="M32">
            <v>0</v>
          </cell>
          <cell r="N32">
            <v>15</v>
          </cell>
          <cell r="O32">
            <v>5</v>
          </cell>
          <cell r="P32">
            <v>0</v>
          </cell>
          <cell r="Q32">
            <v>20</v>
          </cell>
          <cell r="R32">
            <v>5</v>
          </cell>
          <cell r="S32">
            <v>0</v>
          </cell>
          <cell r="T32">
            <v>0</v>
          </cell>
        </row>
        <row r="33">
          <cell r="B33" t="str">
            <v>北京银行股份有限公司</v>
          </cell>
          <cell r="C33">
            <v>110</v>
          </cell>
          <cell r="D33">
            <v>110</v>
          </cell>
          <cell r="E33">
            <v>30</v>
          </cell>
          <cell r="F33">
            <v>20</v>
          </cell>
          <cell r="G33">
            <v>30</v>
          </cell>
          <cell r="H33">
            <v>30</v>
          </cell>
          <cell r="I33"/>
          <cell r="J33"/>
          <cell r="K33">
            <v>8</v>
          </cell>
          <cell r="L33">
            <v>0</v>
          </cell>
          <cell r="M33">
            <v>0</v>
          </cell>
          <cell r="N33">
            <v>52</v>
          </cell>
          <cell r="O33">
            <v>20</v>
          </cell>
          <cell r="P33">
            <v>30</v>
          </cell>
          <cell r="Q33">
            <v>102</v>
          </cell>
          <cell r="R33">
            <v>50</v>
          </cell>
          <cell r="S33">
            <v>30</v>
          </cell>
          <cell r="T33">
            <v>8</v>
          </cell>
        </row>
        <row r="34">
          <cell r="B34" t="str">
            <v>东莞银行股份有限公司</v>
          </cell>
          <cell r="C34">
            <v>15</v>
          </cell>
          <cell r="D34">
            <v>14.6</v>
          </cell>
          <cell r="E34"/>
          <cell r="F34">
            <v>4.5999999999999996</v>
          </cell>
          <cell r="G34">
            <v>10</v>
          </cell>
          <cell r="H34"/>
          <cell r="I34"/>
          <cell r="J34"/>
          <cell r="K34">
            <v>0</v>
          </cell>
          <cell r="L34">
            <v>0</v>
          </cell>
          <cell r="M34">
            <v>0</v>
          </cell>
          <cell r="N34">
            <v>10</v>
          </cell>
          <cell r="O34">
            <v>4.5999999999999996</v>
          </cell>
          <cell r="P34">
            <v>0</v>
          </cell>
          <cell r="Q34">
            <v>14.6</v>
          </cell>
          <cell r="R34">
            <v>4.5999999999999996</v>
          </cell>
          <cell r="S34">
            <v>0</v>
          </cell>
          <cell r="T34">
            <v>0</v>
          </cell>
        </row>
        <row r="35">
          <cell r="B35" t="str">
            <v>台州银行股份有限公司</v>
          </cell>
          <cell r="C35">
            <v>15</v>
          </cell>
          <cell r="D35">
            <v>15</v>
          </cell>
          <cell r="E35"/>
          <cell r="F35">
            <v>5</v>
          </cell>
          <cell r="G35">
            <v>5</v>
          </cell>
          <cell r="H35">
            <v>5</v>
          </cell>
          <cell r="I35"/>
          <cell r="J35"/>
          <cell r="K35">
            <v>2</v>
          </cell>
          <cell r="L35">
            <v>0</v>
          </cell>
          <cell r="M35">
            <v>0</v>
          </cell>
          <cell r="N35">
            <v>8</v>
          </cell>
          <cell r="O35">
            <v>5</v>
          </cell>
          <cell r="P35">
            <v>0</v>
          </cell>
          <cell r="Q35">
            <v>13</v>
          </cell>
          <cell r="R35">
            <v>5</v>
          </cell>
          <cell r="S35">
            <v>0</v>
          </cell>
          <cell r="T35">
            <v>2</v>
          </cell>
        </row>
        <row r="36">
          <cell r="B36" t="str">
            <v>昆仑银行股份有限公司</v>
          </cell>
          <cell r="C36">
            <v>20</v>
          </cell>
          <cell r="D36">
            <v>20</v>
          </cell>
          <cell r="E36"/>
          <cell r="F36"/>
          <cell r="G36"/>
          <cell r="H36">
            <v>20</v>
          </cell>
          <cell r="I36" t="str">
            <v>期限1年</v>
          </cell>
          <cell r="J36"/>
          <cell r="K36">
            <v>18</v>
          </cell>
          <cell r="L36">
            <v>0</v>
          </cell>
          <cell r="M36">
            <v>0</v>
          </cell>
          <cell r="N36">
            <v>2</v>
          </cell>
          <cell r="O36">
            <v>0</v>
          </cell>
          <cell r="P36">
            <v>0</v>
          </cell>
          <cell r="Q36">
            <v>2</v>
          </cell>
          <cell r="R36">
            <v>0</v>
          </cell>
          <cell r="S36">
            <v>0</v>
          </cell>
          <cell r="T36">
            <v>18</v>
          </cell>
        </row>
        <row r="37">
          <cell r="B37" t="str">
            <v>中国邮政储蓄银行股份有限公司</v>
          </cell>
          <cell r="C37">
            <v>250</v>
          </cell>
          <cell r="D37">
            <v>249</v>
          </cell>
          <cell r="E37">
            <v>249</v>
          </cell>
          <cell r="F37"/>
          <cell r="G37"/>
          <cell r="H37"/>
          <cell r="I37"/>
          <cell r="J37"/>
          <cell r="K37">
            <v>0</v>
          </cell>
          <cell r="L37">
            <v>0</v>
          </cell>
          <cell r="M37">
            <v>0</v>
          </cell>
          <cell r="N37">
            <v>0</v>
          </cell>
          <cell r="O37">
            <v>0</v>
          </cell>
          <cell r="P37">
            <v>249</v>
          </cell>
          <cell r="Q37">
            <v>249</v>
          </cell>
          <cell r="R37">
            <v>249</v>
          </cell>
          <cell r="S37">
            <v>249</v>
          </cell>
          <cell r="T37">
            <v>0</v>
          </cell>
        </row>
        <row r="38">
          <cell r="B38" t="str">
            <v>重庆银行股份有限公司</v>
          </cell>
          <cell r="C38">
            <v>15</v>
          </cell>
          <cell r="D38">
            <v>15</v>
          </cell>
          <cell r="E38"/>
          <cell r="F38">
            <v>8</v>
          </cell>
          <cell r="G38"/>
          <cell r="H38">
            <v>7</v>
          </cell>
          <cell r="I38"/>
          <cell r="J38"/>
          <cell r="K38">
            <v>0</v>
          </cell>
          <cell r="L38">
            <v>0</v>
          </cell>
          <cell r="M38">
            <v>0</v>
          </cell>
          <cell r="N38">
            <v>7</v>
          </cell>
          <cell r="O38">
            <v>8</v>
          </cell>
          <cell r="P38">
            <v>0</v>
          </cell>
          <cell r="Q38">
            <v>15</v>
          </cell>
          <cell r="R38">
            <v>8</v>
          </cell>
          <cell r="S38">
            <v>0</v>
          </cell>
          <cell r="T38">
            <v>0</v>
          </cell>
        </row>
        <row r="39">
          <cell r="B39" t="str">
            <v>华商银行</v>
          </cell>
          <cell r="C39">
            <v>10</v>
          </cell>
          <cell r="D39">
            <v>10</v>
          </cell>
          <cell r="E39"/>
          <cell r="F39"/>
          <cell r="G39"/>
          <cell r="H39">
            <v>10</v>
          </cell>
          <cell r="I39"/>
          <cell r="J39"/>
          <cell r="K39">
            <v>0</v>
          </cell>
          <cell r="L39">
            <v>0</v>
          </cell>
          <cell r="M39">
            <v>0</v>
          </cell>
          <cell r="N39">
            <v>10</v>
          </cell>
          <cell r="O39">
            <v>0</v>
          </cell>
          <cell r="P39">
            <v>0</v>
          </cell>
          <cell r="Q39">
            <v>10</v>
          </cell>
          <cell r="R39">
            <v>0</v>
          </cell>
          <cell r="S39">
            <v>0</v>
          </cell>
          <cell r="T39">
            <v>0</v>
          </cell>
        </row>
        <row r="40">
          <cell r="B40" t="str">
            <v>西安银行股份有限公司</v>
          </cell>
          <cell r="C40">
            <v>5</v>
          </cell>
          <cell r="D40">
            <v>5</v>
          </cell>
          <cell r="E40"/>
          <cell r="F40"/>
          <cell r="G40"/>
          <cell r="H40">
            <v>5</v>
          </cell>
          <cell r="I40"/>
          <cell r="J40"/>
          <cell r="K40">
            <v>0</v>
          </cell>
          <cell r="L40">
            <v>0</v>
          </cell>
          <cell r="M40">
            <v>0</v>
          </cell>
          <cell r="N40">
            <v>5</v>
          </cell>
          <cell r="O40">
            <v>0</v>
          </cell>
          <cell r="P40">
            <v>0</v>
          </cell>
          <cell r="Q40">
            <v>5</v>
          </cell>
          <cell r="R40">
            <v>0</v>
          </cell>
          <cell r="S40">
            <v>0</v>
          </cell>
          <cell r="T40">
            <v>0</v>
          </cell>
        </row>
        <row r="41">
          <cell r="B41" t="str">
            <v>青岛银行股份有限公司</v>
          </cell>
          <cell r="C41">
            <v>10</v>
          </cell>
          <cell r="D41">
            <v>10</v>
          </cell>
          <cell r="E41"/>
          <cell r="F41"/>
          <cell r="G41">
            <v>5</v>
          </cell>
          <cell r="H41">
            <v>5</v>
          </cell>
          <cell r="I41"/>
          <cell r="J41"/>
          <cell r="K41">
            <v>0</v>
          </cell>
          <cell r="L41">
            <v>0</v>
          </cell>
          <cell r="M41">
            <v>0</v>
          </cell>
          <cell r="N41">
            <v>10</v>
          </cell>
          <cell r="O41">
            <v>0</v>
          </cell>
          <cell r="P41">
            <v>0</v>
          </cell>
          <cell r="Q41">
            <v>10</v>
          </cell>
          <cell r="R41">
            <v>0</v>
          </cell>
          <cell r="S41">
            <v>0</v>
          </cell>
          <cell r="T41">
            <v>0</v>
          </cell>
        </row>
        <row r="42">
          <cell r="B42" t="str">
            <v>恒丰银行股份有限公司</v>
          </cell>
          <cell r="C42">
            <v>10</v>
          </cell>
          <cell r="D42">
            <v>10</v>
          </cell>
          <cell r="E42"/>
          <cell r="F42"/>
          <cell r="G42"/>
          <cell r="H42">
            <v>10</v>
          </cell>
          <cell r="I42"/>
          <cell r="J42"/>
          <cell r="K42">
            <v>0</v>
          </cell>
          <cell r="L42">
            <v>0</v>
          </cell>
          <cell r="M42">
            <v>0</v>
          </cell>
          <cell r="N42">
            <v>10</v>
          </cell>
          <cell r="O42">
            <v>0</v>
          </cell>
          <cell r="P42">
            <v>0</v>
          </cell>
          <cell r="Q42">
            <v>10</v>
          </cell>
          <cell r="R42">
            <v>0</v>
          </cell>
          <cell r="S42">
            <v>0</v>
          </cell>
          <cell r="T42">
            <v>0</v>
          </cell>
        </row>
        <row r="43">
          <cell r="B43" t="str">
            <v>齐鲁银行股份有限公司</v>
          </cell>
          <cell r="C43">
            <v>1</v>
          </cell>
          <cell r="D43">
            <v>1</v>
          </cell>
          <cell r="E43"/>
          <cell r="F43"/>
          <cell r="G43"/>
          <cell r="H43">
            <v>1</v>
          </cell>
          <cell r="I43"/>
          <cell r="J43"/>
          <cell r="K43">
            <v>0</v>
          </cell>
          <cell r="L43">
            <v>0</v>
          </cell>
          <cell r="M43">
            <v>0</v>
          </cell>
          <cell r="N43">
            <v>1</v>
          </cell>
          <cell r="O43">
            <v>0</v>
          </cell>
          <cell r="P43">
            <v>0</v>
          </cell>
          <cell r="Q43">
            <v>1</v>
          </cell>
          <cell r="R43">
            <v>0</v>
          </cell>
          <cell r="S43">
            <v>0</v>
          </cell>
          <cell r="T43">
            <v>0</v>
          </cell>
        </row>
        <row r="44">
          <cell r="B44" t="str">
            <v>中原银行股份有限公司</v>
          </cell>
          <cell r="C44">
            <v>2</v>
          </cell>
          <cell r="D44">
            <v>2</v>
          </cell>
          <cell r="E44"/>
          <cell r="F44"/>
          <cell r="G44"/>
          <cell r="H44">
            <v>2</v>
          </cell>
          <cell r="I44"/>
          <cell r="J44"/>
          <cell r="K44">
            <v>0</v>
          </cell>
          <cell r="L44">
            <v>0</v>
          </cell>
          <cell r="M44">
            <v>0</v>
          </cell>
          <cell r="N44">
            <v>2</v>
          </cell>
          <cell r="O44">
            <v>0</v>
          </cell>
          <cell r="P44">
            <v>0</v>
          </cell>
          <cell r="Q44">
            <v>2</v>
          </cell>
          <cell r="R44">
            <v>0</v>
          </cell>
          <cell r="S44">
            <v>0</v>
          </cell>
          <cell r="T44">
            <v>0</v>
          </cell>
        </row>
        <row r="45">
          <cell r="B45" t="str">
            <v>贵阳银行股份有限公司</v>
          </cell>
          <cell r="C45">
            <v>2</v>
          </cell>
          <cell r="D45">
            <v>2</v>
          </cell>
          <cell r="E45">
            <v>2</v>
          </cell>
          <cell r="F45"/>
          <cell r="G45"/>
          <cell r="H45">
            <v>0</v>
          </cell>
          <cell r="I45"/>
          <cell r="J45"/>
          <cell r="K45">
            <v>0</v>
          </cell>
          <cell r="L45">
            <v>0</v>
          </cell>
          <cell r="M45">
            <v>1.7</v>
          </cell>
          <cell r="N45">
            <v>0</v>
          </cell>
          <cell r="O45">
            <v>0</v>
          </cell>
          <cell r="P45">
            <v>0.30000000000000004</v>
          </cell>
          <cell r="Q45">
            <v>0.30000000000000004</v>
          </cell>
          <cell r="R45">
            <v>0.30000000000000004</v>
          </cell>
          <cell r="S45">
            <v>0.30000000000000004</v>
          </cell>
          <cell r="T45">
            <v>1.7</v>
          </cell>
        </row>
        <row r="46">
          <cell r="B46" t="str">
            <v>嘉兴银行股份有限公司</v>
          </cell>
          <cell r="C46">
            <v>5</v>
          </cell>
          <cell r="D46">
            <v>5</v>
          </cell>
          <cell r="E46"/>
          <cell r="F46"/>
          <cell r="G46"/>
          <cell r="H46">
            <v>5</v>
          </cell>
          <cell r="I46"/>
          <cell r="J46"/>
          <cell r="K46">
            <v>0</v>
          </cell>
          <cell r="L46">
            <v>0</v>
          </cell>
          <cell r="M46">
            <v>0</v>
          </cell>
          <cell r="N46">
            <v>5</v>
          </cell>
          <cell r="O46">
            <v>0</v>
          </cell>
          <cell r="P46">
            <v>0</v>
          </cell>
          <cell r="Q46">
            <v>5</v>
          </cell>
          <cell r="R46">
            <v>0</v>
          </cell>
          <cell r="S46">
            <v>0</v>
          </cell>
          <cell r="T46">
            <v>0</v>
          </cell>
        </row>
        <row r="47">
          <cell r="B47" t="str">
            <v>成都农村商业银行股份有限公司</v>
          </cell>
          <cell r="C47">
            <v>20</v>
          </cell>
          <cell r="D47">
            <v>20</v>
          </cell>
          <cell r="E47">
            <v>3</v>
          </cell>
          <cell r="F47"/>
          <cell r="G47"/>
          <cell r="H47">
            <v>17</v>
          </cell>
          <cell r="I47"/>
          <cell r="J47"/>
          <cell r="K47">
            <v>0</v>
          </cell>
          <cell r="L47">
            <v>0</v>
          </cell>
          <cell r="M47">
            <v>0</v>
          </cell>
          <cell r="N47">
            <v>17</v>
          </cell>
          <cell r="O47">
            <v>0</v>
          </cell>
          <cell r="P47">
            <v>3</v>
          </cell>
          <cell r="Q47">
            <v>20</v>
          </cell>
          <cell r="R47">
            <v>3</v>
          </cell>
          <cell r="S47">
            <v>3</v>
          </cell>
          <cell r="T47">
            <v>0</v>
          </cell>
        </row>
        <row r="48">
          <cell r="B48" t="str">
            <v>九江银行股份有限公司</v>
          </cell>
          <cell r="C48">
            <v>0</v>
          </cell>
          <cell r="D48">
            <v>0</v>
          </cell>
          <cell r="E48"/>
          <cell r="F48"/>
          <cell r="G48"/>
          <cell r="H48">
            <v>0</v>
          </cell>
          <cell r="I48"/>
          <cell r="J48"/>
          <cell r="K48">
            <v>0</v>
          </cell>
          <cell r="L48">
            <v>0</v>
          </cell>
          <cell r="M48">
            <v>0</v>
          </cell>
          <cell r="N48">
            <v>0</v>
          </cell>
          <cell r="O48">
            <v>0</v>
          </cell>
          <cell r="P48">
            <v>0</v>
          </cell>
          <cell r="Q48">
            <v>0</v>
          </cell>
          <cell r="R48">
            <v>0</v>
          </cell>
          <cell r="S48">
            <v>0</v>
          </cell>
          <cell r="T48">
            <v>0</v>
          </cell>
        </row>
        <row r="49">
          <cell r="B49" t="str">
            <v>威海市商业银行股份有限公司</v>
          </cell>
          <cell r="C49">
            <v>3</v>
          </cell>
          <cell r="D49">
            <v>3</v>
          </cell>
          <cell r="E49"/>
          <cell r="F49"/>
          <cell r="G49"/>
          <cell r="H49">
            <v>3</v>
          </cell>
          <cell r="I49"/>
          <cell r="J49"/>
          <cell r="K49">
            <v>0</v>
          </cell>
          <cell r="L49">
            <v>0</v>
          </cell>
          <cell r="M49">
            <v>0</v>
          </cell>
          <cell r="N49">
            <v>3</v>
          </cell>
          <cell r="O49">
            <v>0</v>
          </cell>
          <cell r="P49">
            <v>0</v>
          </cell>
          <cell r="Q49">
            <v>3</v>
          </cell>
          <cell r="R49">
            <v>0</v>
          </cell>
          <cell r="S49">
            <v>0</v>
          </cell>
          <cell r="T49">
            <v>0</v>
          </cell>
        </row>
        <row r="50">
          <cell r="B50" t="str">
            <v>富邦华一银行有限公司</v>
          </cell>
          <cell r="C50">
            <v>5</v>
          </cell>
          <cell r="D50">
            <v>5</v>
          </cell>
          <cell r="E50"/>
          <cell r="F50"/>
          <cell r="G50"/>
          <cell r="H50">
            <v>5</v>
          </cell>
          <cell r="I50"/>
          <cell r="J50"/>
          <cell r="K50">
            <v>0</v>
          </cell>
          <cell r="L50">
            <v>0</v>
          </cell>
          <cell r="M50">
            <v>0</v>
          </cell>
          <cell r="N50">
            <v>5</v>
          </cell>
          <cell r="O50">
            <v>0</v>
          </cell>
          <cell r="P50">
            <v>0</v>
          </cell>
          <cell r="Q50">
            <v>5</v>
          </cell>
          <cell r="R50">
            <v>0</v>
          </cell>
          <cell r="S50">
            <v>0</v>
          </cell>
          <cell r="T50">
            <v>0</v>
          </cell>
        </row>
        <row r="51">
          <cell r="B51" t="str">
            <v>郑州银行股份有限公司</v>
          </cell>
          <cell r="C51">
            <v>0</v>
          </cell>
          <cell r="D51">
            <v>0</v>
          </cell>
          <cell r="E51"/>
          <cell r="F51"/>
          <cell r="G51"/>
          <cell r="H51">
            <v>0</v>
          </cell>
          <cell r="I51"/>
          <cell r="J51"/>
          <cell r="K51">
            <v>0</v>
          </cell>
          <cell r="L51">
            <v>0</v>
          </cell>
          <cell r="M51">
            <v>0</v>
          </cell>
          <cell r="N51">
            <v>0</v>
          </cell>
          <cell r="O51">
            <v>0</v>
          </cell>
          <cell r="P51">
            <v>0</v>
          </cell>
          <cell r="Q51">
            <v>0</v>
          </cell>
          <cell r="R51">
            <v>0</v>
          </cell>
          <cell r="S51">
            <v>0</v>
          </cell>
          <cell r="T51">
            <v>0</v>
          </cell>
        </row>
        <row r="52">
          <cell r="B52" t="str">
            <v>渤海银行股份有限公司</v>
          </cell>
          <cell r="C52">
            <v>1</v>
          </cell>
          <cell r="D52">
            <v>1</v>
          </cell>
          <cell r="E52"/>
          <cell r="F52"/>
          <cell r="G52"/>
          <cell r="H52">
            <v>1</v>
          </cell>
          <cell r="I52"/>
          <cell r="J52"/>
          <cell r="K52">
            <v>0</v>
          </cell>
          <cell r="L52">
            <v>0</v>
          </cell>
          <cell r="M52">
            <v>0</v>
          </cell>
          <cell r="N52">
            <v>1</v>
          </cell>
          <cell r="O52">
            <v>0</v>
          </cell>
          <cell r="P52">
            <v>0</v>
          </cell>
          <cell r="Q52">
            <v>1</v>
          </cell>
          <cell r="R52">
            <v>0</v>
          </cell>
          <cell r="S52">
            <v>0</v>
          </cell>
          <cell r="T52">
            <v>0</v>
          </cell>
        </row>
        <row r="53">
          <cell r="B53" t="str">
            <v>广西北部湾银行股份有限公司</v>
          </cell>
          <cell r="C53">
            <v>0.5</v>
          </cell>
          <cell r="D53">
            <v>0.5</v>
          </cell>
          <cell r="E53"/>
          <cell r="F53"/>
          <cell r="G53"/>
          <cell r="H53">
            <v>0.5</v>
          </cell>
          <cell r="I53"/>
          <cell r="J53"/>
          <cell r="K53">
            <v>0</v>
          </cell>
          <cell r="L53">
            <v>0</v>
          </cell>
          <cell r="M53">
            <v>0</v>
          </cell>
          <cell r="N53">
            <v>0.5</v>
          </cell>
          <cell r="O53">
            <v>0</v>
          </cell>
          <cell r="P53">
            <v>0</v>
          </cell>
          <cell r="Q53">
            <v>0.5</v>
          </cell>
          <cell r="R53">
            <v>0</v>
          </cell>
          <cell r="S53">
            <v>0</v>
          </cell>
          <cell r="T53">
            <v>0</v>
          </cell>
        </row>
        <row r="54">
          <cell r="B54" t="str">
            <v>湖北银行股份有限公司</v>
          </cell>
          <cell r="C54">
            <v>1</v>
          </cell>
          <cell r="D54">
            <v>1</v>
          </cell>
          <cell r="E54"/>
          <cell r="F54"/>
          <cell r="G54"/>
          <cell r="H54">
            <v>1</v>
          </cell>
          <cell r="I54"/>
          <cell r="J54"/>
          <cell r="K54">
            <v>0</v>
          </cell>
          <cell r="L54">
            <v>0</v>
          </cell>
          <cell r="M54">
            <v>0</v>
          </cell>
          <cell r="N54">
            <v>1</v>
          </cell>
          <cell r="O54">
            <v>0</v>
          </cell>
          <cell r="P54">
            <v>0</v>
          </cell>
          <cell r="Q54">
            <v>1</v>
          </cell>
          <cell r="R54">
            <v>0</v>
          </cell>
          <cell r="S54">
            <v>0</v>
          </cell>
          <cell r="T54">
            <v>0</v>
          </cell>
        </row>
        <row r="55">
          <cell r="B55" t="str">
            <v>厦门银行股份有限公司</v>
          </cell>
          <cell r="C55">
            <v>1</v>
          </cell>
          <cell r="D55">
            <v>1</v>
          </cell>
          <cell r="E55"/>
          <cell r="F55"/>
          <cell r="G55"/>
          <cell r="H55">
            <v>1</v>
          </cell>
          <cell r="I55"/>
          <cell r="J55"/>
          <cell r="K55">
            <v>0</v>
          </cell>
          <cell r="L55">
            <v>0</v>
          </cell>
          <cell r="M55">
            <v>0</v>
          </cell>
          <cell r="N55">
            <v>1</v>
          </cell>
          <cell r="O55">
            <v>0</v>
          </cell>
          <cell r="P55">
            <v>0</v>
          </cell>
          <cell r="Q55">
            <v>1</v>
          </cell>
          <cell r="R55">
            <v>0</v>
          </cell>
          <cell r="S55">
            <v>0</v>
          </cell>
          <cell r="T55">
            <v>0</v>
          </cell>
        </row>
        <row r="56">
          <cell r="B56" t="str">
            <v>长安银行股份有限公司</v>
          </cell>
          <cell r="C56">
            <v>1</v>
          </cell>
          <cell r="D56">
            <v>1</v>
          </cell>
          <cell r="E56"/>
          <cell r="F56"/>
          <cell r="G56"/>
          <cell r="H56">
            <v>1</v>
          </cell>
          <cell r="I56"/>
          <cell r="J56"/>
          <cell r="K56">
            <v>0</v>
          </cell>
          <cell r="L56">
            <v>0</v>
          </cell>
          <cell r="M56">
            <v>0</v>
          </cell>
          <cell r="N56">
            <v>1</v>
          </cell>
          <cell r="O56">
            <v>0</v>
          </cell>
          <cell r="P56">
            <v>0</v>
          </cell>
          <cell r="Q56">
            <v>1</v>
          </cell>
          <cell r="R56">
            <v>0</v>
          </cell>
          <cell r="S56">
            <v>0</v>
          </cell>
          <cell r="T56">
            <v>0</v>
          </cell>
        </row>
        <row r="57">
          <cell r="B57" t="str">
            <v>泉州银行股份有限公司</v>
          </cell>
          <cell r="C57">
            <v>1</v>
          </cell>
          <cell r="D57">
            <v>1</v>
          </cell>
          <cell r="E57"/>
          <cell r="F57"/>
          <cell r="G57"/>
          <cell r="H57">
            <v>1</v>
          </cell>
          <cell r="I57"/>
          <cell r="J57"/>
          <cell r="K57">
            <v>0</v>
          </cell>
          <cell r="L57">
            <v>0</v>
          </cell>
          <cell r="M57">
            <v>0</v>
          </cell>
          <cell r="N57">
            <v>1</v>
          </cell>
          <cell r="O57">
            <v>0</v>
          </cell>
          <cell r="P57">
            <v>0</v>
          </cell>
          <cell r="Q57">
            <v>1</v>
          </cell>
          <cell r="R57">
            <v>0</v>
          </cell>
          <cell r="S57">
            <v>0</v>
          </cell>
          <cell r="T57">
            <v>0</v>
          </cell>
        </row>
        <row r="58">
          <cell r="B58" t="str">
            <v>四川银行股份有限公司</v>
          </cell>
          <cell r="C58">
            <v>1</v>
          </cell>
          <cell r="D58">
            <v>1</v>
          </cell>
          <cell r="E58"/>
          <cell r="F58"/>
          <cell r="G58"/>
          <cell r="H58">
            <v>1</v>
          </cell>
          <cell r="I58"/>
          <cell r="J58"/>
          <cell r="K58">
            <v>0</v>
          </cell>
          <cell r="L58">
            <v>0</v>
          </cell>
          <cell r="M58">
            <v>0</v>
          </cell>
          <cell r="N58">
            <v>1</v>
          </cell>
          <cell r="O58">
            <v>0</v>
          </cell>
          <cell r="P58">
            <v>0</v>
          </cell>
          <cell r="Q58">
            <v>1</v>
          </cell>
          <cell r="R58">
            <v>0</v>
          </cell>
          <cell r="S58">
            <v>0</v>
          </cell>
          <cell r="T58">
            <v>0</v>
          </cell>
        </row>
        <row r="59">
          <cell r="B59" t="str">
            <v>云南红塔银行股份有限公司</v>
          </cell>
          <cell r="C59">
            <v>1</v>
          </cell>
          <cell r="D59">
            <v>1</v>
          </cell>
          <cell r="E59"/>
          <cell r="F59"/>
          <cell r="G59"/>
          <cell r="H59">
            <v>1</v>
          </cell>
          <cell r="I59"/>
          <cell r="J59"/>
          <cell r="K59">
            <v>0</v>
          </cell>
          <cell r="L59">
            <v>0</v>
          </cell>
          <cell r="M59">
            <v>0</v>
          </cell>
          <cell r="N59">
            <v>1</v>
          </cell>
          <cell r="O59">
            <v>0</v>
          </cell>
          <cell r="P59">
            <v>0</v>
          </cell>
          <cell r="Q59">
            <v>1</v>
          </cell>
          <cell r="R59">
            <v>0</v>
          </cell>
          <cell r="S59">
            <v>0</v>
          </cell>
          <cell r="T59">
            <v>0</v>
          </cell>
        </row>
        <row r="60">
          <cell r="B60" t="str">
            <v>汉口银行股份有限公司</v>
          </cell>
          <cell r="C60">
            <v>1</v>
          </cell>
          <cell r="D60">
            <v>1</v>
          </cell>
          <cell r="E60"/>
          <cell r="F60"/>
          <cell r="G60"/>
          <cell r="H60">
            <v>1</v>
          </cell>
          <cell r="I60"/>
          <cell r="J60"/>
          <cell r="K60">
            <v>0</v>
          </cell>
          <cell r="L60">
            <v>0</v>
          </cell>
          <cell r="M60">
            <v>0</v>
          </cell>
          <cell r="N60">
            <v>1</v>
          </cell>
          <cell r="O60">
            <v>0</v>
          </cell>
          <cell r="P60">
            <v>0</v>
          </cell>
          <cell r="Q60">
            <v>1</v>
          </cell>
          <cell r="R60">
            <v>0</v>
          </cell>
          <cell r="S60">
            <v>0</v>
          </cell>
          <cell r="T60">
            <v>0</v>
          </cell>
        </row>
        <row r="61">
          <cell r="B61" t="str">
            <v>湖南银行股份有限公司</v>
          </cell>
          <cell r="C61">
            <v>1</v>
          </cell>
          <cell r="D61">
            <v>1</v>
          </cell>
          <cell r="E61"/>
          <cell r="F61"/>
          <cell r="G61"/>
          <cell r="H61">
            <v>1</v>
          </cell>
          <cell r="I61"/>
          <cell r="J61"/>
          <cell r="K61">
            <v>0</v>
          </cell>
          <cell r="L61">
            <v>0</v>
          </cell>
          <cell r="M61">
            <v>0</v>
          </cell>
          <cell r="N61">
            <v>1</v>
          </cell>
          <cell r="O61">
            <v>0</v>
          </cell>
          <cell r="P61">
            <v>0</v>
          </cell>
          <cell r="Q61">
            <v>1</v>
          </cell>
          <cell r="R61">
            <v>0</v>
          </cell>
          <cell r="S61">
            <v>0</v>
          </cell>
          <cell r="T61">
            <v>0</v>
          </cell>
        </row>
        <row r="62">
          <cell r="B62" t="str">
            <v>福建海峡银行股份有限公司</v>
          </cell>
          <cell r="C62">
            <v>1</v>
          </cell>
          <cell r="D62">
            <v>1</v>
          </cell>
          <cell r="E62"/>
          <cell r="F62"/>
          <cell r="G62"/>
          <cell r="H62">
            <v>1</v>
          </cell>
          <cell r="I62"/>
          <cell r="J62"/>
          <cell r="K62">
            <v>0</v>
          </cell>
          <cell r="L62">
            <v>0</v>
          </cell>
          <cell r="M62">
            <v>0</v>
          </cell>
          <cell r="N62">
            <v>1</v>
          </cell>
          <cell r="O62">
            <v>0</v>
          </cell>
          <cell r="P62">
            <v>0</v>
          </cell>
          <cell r="Q62">
            <v>1</v>
          </cell>
          <cell r="R62">
            <v>0</v>
          </cell>
          <cell r="S62">
            <v>0</v>
          </cell>
          <cell r="T62">
            <v>0</v>
          </cell>
        </row>
        <row r="63">
          <cell r="B63" t="str">
            <v>北京农村商业银行股份有限公司</v>
          </cell>
          <cell r="C63">
            <v>90</v>
          </cell>
          <cell r="D63">
            <v>90</v>
          </cell>
          <cell r="E63">
            <v>10</v>
          </cell>
          <cell r="F63">
            <v>15</v>
          </cell>
          <cell r="G63">
            <v>20</v>
          </cell>
          <cell r="H63">
            <v>45</v>
          </cell>
          <cell r="I63" t="str">
            <v>期限2年</v>
          </cell>
          <cell r="J63"/>
          <cell r="K63">
            <v>5.5</v>
          </cell>
          <cell r="L63">
            <v>0</v>
          </cell>
          <cell r="M63">
            <v>0</v>
          </cell>
          <cell r="N63">
            <v>59.5</v>
          </cell>
          <cell r="O63">
            <v>15</v>
          </cell>
          <cell r="P63">
            <v>10</v>
          </cell>
          <cell r="Q63">
            <v>84.5</v>
          </cell>
          <cell r="R63">
            <v>25</v>
          </cell>
          <cell r="S63">
            <v>10</v>
          </cell>
          <cell r="T63">
            <v>5.5</v>
          </cell>
        </row>
        <row r="64">
          <cell r="B64" t="str">
            <v>上海农村商业银行股份有限公司</v>
          </cell>
          <cell r="C64">
            <v>90</v>
          </cell>
          <cell r="D64">
            <v>90</v>
          </cell>
          <cell r="E64">
            <v>10</v>
          </cell>
          <cell r="F64">
            <v>20</v>
          </cell>
          <cell r="G64">
            <v>20</v>
          </cell>
          <cell r="H64">
            <v>40</v>
          </cell>
          <cell r="I64"/>
          <cell r="J64"/>
          <cell r="K64">
            <v>0</v>
          </cell>
          <cell r="L64">
            <v>0</v>
          </cell>
          <cell r="M64">
            <v>0</v>
          </cell>
          <cell r="N64">
            <v>60</v>
          </cell>
          <cell r="O64">
            <v>20</v>
          </cell>
          <cell r="P64">
            <v>10</v>
          </cell>
          <cell r="Q64">
            <v>90</v>
          </cell>
          <cell r="R64">
            <v>30</v>
          </cell>
          <cell r="S64">
            <v>10</v>
          </cell>
          <cell r="T64">
            <v>0</v>
          </cell>
        </row>
        <row r="65">
          <cell r="B65" t="str">
            <v>重庆农村商业银行股份有限公司</v>
          </cell>
          <cell r="C65">
            <v>60</v>
          </cell>
          <cell r="D65">
            <v>60</v>
          </cell>
          <cell r="E65"/>
          <cell r="F65">
            <v>10</v>
          </cell>
          <cell r="G65">
            <v>15</v>
          </cell>
          <cell r="H65">
            <v>35</v>
          </cell>
          <cell r="I65"/>
          <cell r="J65"/>
          <cell r="K65">
            <v>0</v>
          </cell>
          <cell r="L65">
            <v>0</v>
          </cell>
          <cell r="M65">
            <v>0</v>
          </cell>
          <cell r="N65">
            <v>50</v>
          </cell>
          <cell r="O65">
            <v>10</v>
          </cell>
          <cell r="P65">
            <v>0</v>
          </cell>
          <cell r="Q65">
            <v>60</v>
          </cell>
          <cell r="R65">
            <v>10</v>
          </cell>
          <cell r="S65">
            <v>0</v>
          </cell>
          <cell r="T65">
            <v>0</v>
          </cell>
        </row>
        <row r="66">
          <cell r="B66" t="str">
            <v>广州农村商业银行股份有限公司</v>
          </cell>
          <cell r="C66">
            <v>20</v>
          </cell>
          <cell r="D66">
            <v>20</v>
          </cell>
          <cell r="E66"/>
          <cell r="F66">
            <v>5</v>
          </cell>
          <cell r="G66">
            <v>5</v>
          </cell>
          <cell r="H66">
            <v>10</v>
          </cell>
          <cell r="I66" t="str">
            <v>期限1年</v>
          </cell>
          <cell r="J66"/>
          <cell r="K66">
            <v>0</v>
          </cell>
          <cell r="L66">
            <v>0</v>
          </cell>
          <cell r="M66">
            <v>0</v>
          </cell>
          <cell r="N66">
            <v>15</v>
          </cell>
          <cell r="O66">
            <v>5</v>
          </cell>
          <cell r="P66">
            <v>0</v>
          </cell>
          <cell r="Q66">
            <v>20</v>
          </cell>
          <cell r="R66">
            <v>5</v>
          </cell>
          <cell r="S66">
            <v>0</v>
          </cell>
          <cell r="T66">
            <v>0</v>
          </cell>
        </row>
        <row r="67">
          <cell r="B67" t="str">
            <v>深圳农村商业银行股份有限公司</v>
          </cell>
          <cell r="C67">
            <v>30</v>
          </cell>
          <cell r="D67">
            <v>30</v>
          </cell>
          <cell r="E67">
            <v>5</v>
          </cell>
          <cell r="F67">
            <v>5</v>
          </cell>
          <cell r="G67">
            <v>5</v>
          </cell>
          <cell r="H67">
            <v>15</v>
          </cell>
          <cell r="I67"/>
          <cell r="J67"/>
          <cell r="K67">
            <v>0</v>
          </cell>
          <cell r="L67">
            <v>0</v>
          </cell>
          <cell r="M67">
            <v>0</v>
          </cell>
          <cell r="N67">
            <v>20</v>
          </cell>
          <cell r="O67">
            <v>5</v>
          </cell>
          <cell r="P67">
            <v>5</v>
          </cell>
          <cell r="Q67">
            <v>30</v>
          </cell>
          <cell r="R67">
            <v>10</v>
          </cell>
          <cell r="S67">
            <v>5</v>
          </cell>
          <cell r="T67">
            <v>0</v>
          </cell>
        </row>
        <row r="68">
          <cell r="B68" t="str">
            <v>珠海华润银行股份有限公司</v>
          </cell>
          <cell r="C68">
            <v>3</v>
          </cell>
          <cell r="D68">
            <v>3</v>
          </cell>
          <cell r="E68"/>
          <cell r="F68"/>
          <cell r="G68">
            <v>2</v>
          </cell>
          <cell r="H68">
            <v>1</v>
          </cell>
          <cell r="I68"/>
          <cell r="J68"/>
          <cell r="K68">
            <v>0</v>
          </cell>
          <cell r="L68">
            <v>0</v>
          </cell>
          <cell r="M68">
            <v>0</v>
          </cell>
          <cell r="N68">
            <v>3</v>
          </cell>
          <cell r="O68">
            <v>0</v>
          </cell>
          <cell r="P68">
            <v>0</v>
          </cell>
          <cell r="Q68">
            <v>3</v>
          </cell>
          <cell r="R68">
            <v>0</v>
          </cell>
          <cell r="S68">
            <v>0</v>
          </cell>
          <cell r="T68">
            <v>0</v>
          </cell>
        </row>
        <row r="69">
          <cell r="B69" t="str">
            <v>江苏江南农村商业银行股份有限公司</v>
          </cell>
          <cell r="C69">
            <v>20</v>
          </cell>
          <cell r="D69">
            <v>20</v>
          </cell>
          <cell r="E69"/>
          <cell r="F69">
            <v>5</v>
          </cell>
          <cell r="G69"/>
          <cell r="H69">
            <v>15</v>
          </cell>
          <cell r="I69"/>
          <cell r="J69"/>
          <cell r="K69">
            <v>0</v>
          </cell>
          <cell r="L69">
            <v>0</v>
          </cell>
          <cell r="M69">
            <v>0</v>
          </cell>
          <cell r="N69">
            <v>15</v>
          </cell>
          <cell r="O69">
            <v>5</v>
          </cell>
          <cell r="P69">
            <v>0</v>
          </cell>
          <cell r="Q69">
            <v>20</v>
          </cell>
          <cell r="R69">
            <v>5</v>
          </cell>
          <cell r="S69">
            <v>0</v>
          </cell>
          <cell r="T69">
            <v>0</v>
          </cell>
        </row>
        <row r="70">
          <cell r="B70" t="str">
            <v>浙江泰隆商业银行股份有限公司</v>
          </cell>
          <cell r="C70">
            <v>2</v>
          </cell>
          <cell r="D70">
            <v>1.9</v>
          </cell>
          <cell r="E70"/>
          <cell r="F70"/>
          <cell r="G70"/>
          <cell r="H70">
            <v>1.9</v>
          </cell>
          <cell r="I70"/>
          <cell r="J70"/>
          <cell r="K70">
            <v>0</v>
          </cell>
          <cell r="L70">
            <v>0</v>
          </cell>
          <cell r="M70">
            <v>0</v>
          </cell>
          <cell r="N70">
            <v>1.9</v>
          </cell>
          <cell r="O70">
            <v>0</v>
          </cell>
          <cell r="P70">
            <v>0</v>
          </cell>
          <cell r="Q70">
            <v>1.9</v>
          </cell>
          <cell r="R70">
            <v>0</v>
          </cell>
          <cell r="S70">
            <v>0</v>
          </cell>
          <cell r="T70">
            <v>0</v>
          </cell>
        </row>
        <row r="71">
          <cell r="B71" t="str">
            <v>杭州联合农村商业银行股份有限公司</v>
          </cell>
          <cell r="C71">
            <v>15</v>
          </cell>
          <cell r="D71">
            <v>15</v>
          </cell>
          <cell r="E71"/>
          <cell r="F71">
            <v>2</v>
          </cell>
          <cell r="G71">
            <v>5</v>
          </cell>
          <cell r="H71">
            <v>8</v>
          </cell>
          <cell r="I71"/>
          <cell r="J71"/>
          <cell r="K71">
            <v>0</v>
          </cell>
          <cell r="L71">
            <v>0</v>
          </cell>
          <cell r="M71">
            <v>0</v>
          </cell>
          <cell r="N71">
            <v>13</v>
          </cell>
          <cell r="O71">
            <v>2</v>
          </cell>
          <cell r="P71">
            <v>0</v>
          </cell>
          <cell r="Q71">
            <v>15</v>
          </cell>
          <cell r="R71">
            <v>2</v>
          </cell>
          <cell r="S71">
            <v>0</v>
          </cell>
          <cell r="T71">
            <v>0</v>
          </cell>
        </row>
        <row r="72">
          <cell r="B72" t="str">
            <v>宁波鄞州农村商业银行股份有限公司</v>
          </cell>
          <cell r="C72">
            <v>15</v>
          </cell>
          <cell r="D72">
            <v>15</v>
          </cell>
          <cell r="E72"/>
          <cell r="F72">
            <v>3</v>
          </cell>
          <cell r="G72">
            <v>2</v>
          </cell>
          <cell r="H72">
            <v>10</v>
          </cell>
          <cell r="I72"/>
          <cell r="J72"/>
          <cell r="K72">
            <v>0</v>
          </cell>
          <cell r="L72">
            <v>0</v>
          </cell>
          <cell r="M72">
            <v>0</v>
          </cell>
          <cell r="N72">
            <v>12</v>
          </cell>
          <cell r="O72">
            <v>3</v>
          </cell>
          <cell r="P72">
            <v>0</v>
          </cell>
          <cell r="Q72">
            <v>15</v>
          </cell>
          <cell r="R72">
            <v>3</v>
          </cell>
          <cell r="S72">
            <v>0</v>
          </cell>
          <cell r="T72">
            <v>0</v>
          </cell>
        </row>
        <row r="73">
          <cell r="B73" t="str">
            <v>无锡农村商业银行股份有限公司</v>
          </cell>
          <cell r="C73">
            <v>11</v>
          </cell>
          <cell r="D73">
            <v>11</v>
          </cell>
          <cell r="E73"/>
          <cell r="F73">
            <v>1</v>
          </cell>
          <cell r="G73">
            <v>1</v>
          </cell>
          <cell r="H73">
            <v>9</v>
          </cell>
          <cell r="I73"/>
          <cell r="J73"/>
          <cell r="K73">
            <v>0</v>
          </cell>
          <cell r="L73">
            <v>0</v>
          </cell>
          <cell r="M73">
            <v>0</v>
          </cell>
          <cell r="N73">
            <v>10</v>
          </cell>
          <cell r="O73">
            <v>1</v>
          </cell>
          <cell r="P73">
            <v>0</v>
          </cell>
          <cell r="Q73">
            <v>11</v>
          </cell>
          <cell r="R73">
            <v>1</v>
          </cell>
          <cell r="S73">
            <v>0</v>
          </cell>
          <cell r="T73">
            <v>0</v>
          </cell>
        </row>
        <row r="74">
          <cell r="B74" t="str">
            <v>广东顺德农村商业银行股份有限公司</v>
          </cell>
          <cell r="C74">
            <v>10</v>
          </cell>
          <cell r="D74">
            <v>10</v>
          </cell>
          <cell r="E74"/>
          <cell r="F74"/>
          <cell r="G74"/>
          <cell r="H74">
            <v>10</v>
          </cell>
          <cell r="I74"/>
          <cell r="J74"/>
          <cell r="K74">
            <v>0</v>
          </cell>
          <cell r="L74">
            <v>0</v>
          </cell>
          <cell r="M74">
            <v>0</v>
          </cell>
          <cell r="N74">
            <v>10</v>
          </cell>
          <cell r="O74">
            <v>0</v>
          </cell>
          <cell r="P74">
            <v>0</v>
          </cell>
          <cell r="Q74">
            <v>10</v>
          </cell>
          <cell r="R74">
            <v>0</v>
          </cell>
          <cell r="S74">
            <v>0</v>
          </cell>
          <cell r="T74">
            <v>0</v>
          </cell>
        </row>
        <row r="75">
          <cell r="B75" t="str">
            <v>江苏常熟农村商业银行股份有限公司</v>
          </cell>
          <cell r="C75">
            <v>10</v>
          </cell>
          <cell r="D75">
            <v>10</v>
          </cell>
          <cell r="E75"/>
          <cell r="F75">
            <v>1</v>
          </cell>
          <cell r="G75">
            <v>1</v>
          </cell>
          <cell r="H75">
            <v>8</v>
          </cell>
          <cell r="I75"/>
          <cell r="J75"/>
          <cell r="K75">
            <v>0</v>
          </cell>
          <cell r="L75">
            <v>0</v>
          </cell>
          <cell r="M75">
            <v>0</v>
          </cell>
          <cell r="N75">
            <v>9</v>
          </cell>
          <cell r="O75">
            <v>1</v>
          </cell>
          <cell r="P75">
            <v>0</v>
          </cell>
          <cell r="Q75">
            <v>10</v>
          </cell>
          <cell r="R75">
            <v>1</v>
          </cell>
          <cell r="S75">
            <v>0</v>
          </cell>
          <cell r="T75">
            <v>0</v>
          </cell>
        </row>
        <row r="76">
          <cell r="B76" t="str">
            <v>广东南海农村商业银行股份有限公司</v>
          </cell>
          <cell r="C76">
            <v>15</v>
          </cell>
          <cell r="D76">
            <v>15</v>
          </cell>
          <cell r="E76"/>
          <cell r="F76"/>
          <cell r="G76">
            <v>5</v>
          </cell>
          <cell r="H76">
            <v>10</v>
          </cell>
          <cell r="I76"/>
          <cell r="J76"/>
          <cell r="K76">
            <v>0</v>
          </cell>
          <cell r="L76">
            <v>0</v>
          </cell>
          <cell r="M76">
            <v>0</v>
          </cell>
          <cell r="N76">
            <v>15</v>
          </cell>
          <cell r="O76">
            <v>0</v>
          </cell>
          <cell r="P76">
            <v>0</v>
          </cell>
          <cell r="Q76">
            <v>15</v>
          </cell>
          <cell r="R76">
            <v>0</v>
          </cell>
          <cell r="S76">
            <v>0</v>
          </cell>
          <cell r="T76">
            <v>0</v>
          </cell>
        </row>
        <row r="77">
          <cell r="B77" t="str">
            <v>浙江萧山农村商业银行股份有限公司</v>
          </cell>
          <cell r="C77">
            <v>10</v>
          </cell>
          <cell r="D77">
            <v>10</v>
          </cell>
          <cell r="E77"/>
          <cell r="F77"/>
          <cell r="G77">
            <v>5</v>
          </cell>
          <cell r="H77">
            <v>5</v>
          </cell>
          <cell r="I77"/>
          <cell r="J77"/>
          <cell r="K77">
            <v>0</v>
          </cell>
          <cell r="L77">
            <v>0</v>
          </cell>
          <cell r="M77">
            <v>0</v>
          </cell>
          <cell r="N77">
            <v>10</v>
          </cell>
          <cell r="O77">
            <v>0</v>
          </cell>
          <cell r="P77">
            <v>0</v>
          </cell>
          <cell r="Q77">
            <v>10</v>
          </cell>
          <cell r="R77">
            <v>0</v>
          </cell>
          <cell r="S77">
            <v>0</v>
          </cell>
          <cell r="T77">
            <v>0</v>
          </cell>
        </row>
        <row r="78">
          <cell r="B78" t="str">
            <v>中山农村商业银行股份有限公司</v>
          </cell>
          <cell r="C78">
            <v>10</v>
          </cell>
          <cell r="D78">
            <v>10</v>
          </cell>
          <cell r="E78"/>
          <cell r="F78"/>
          <cell r="G78"/>
          <cell r="H78">
            <v>10</v>
          </cell>
          <cell r="I78"/>
          <cell r="J78"/>
          <cell r="K78">
            <v>0</v>
          </cell>
          <cell r="L78">
            <v>0</v>
          </cell>
          <cell r="M78">
            <v>0</v>
          </cell>
          <cell r="N78">
            <v>10</v>
          </cell>
          <cell r="O78">
            <v>0</v>
          </cell>
          <cell r="P78">
            <v>0</v>
          </cell>
          <cell r="Q78">
            <v>10</v>
          </cell>
          <cell r="R78">
            <v>0</v>
          </cell>
          <cell r="S78">
            <v>0</v>
          </cell>
          <cell r="T78">
            <v>0</v>
          </cell>
        </row>
        <row r="79">
          <cell r="B79" t="str">
            <v>江苏紫金农村商业银行股份有限公司</v>
          </cell>
          <cell r="C79">
            <v>10</v>
          </cell>
          <cell r="D79">
            <v>10</v>
          </cell>
          <cell r="E79"/>
          <cell r="F79"/>
          <cell r="G79">
            <v>2</v>
          </cell>
          <cell r="H79">
            <v>8</v>
          </cell>
          <cell r="I79"/>
          <cell r="J79"/>
          <cell r="K79">
            <v>0</v>
          </cell>
          <cell r="L79">
            <v>0</v>
          </cell>
          <cell r="M79">
            <v>0</v>
          </cell>
          <cell r="N79">
            <v>10</v>
          </cell>
          <cell r="O79">
            <v>0</v>
          </cell>
          <cell r="P79">
            <v>0</v>
          </cell>
          <cell r="Q79">
            <v>10</v>
          </cell>
          <cell r="R79">
            <v>0</v>
          </cell>
          <cell r="S79">
            <v>0</v>
          </cell>
          <cell r="T79">
            <v>0</v>
          </cell>
        </row>
        <row r="80">
          <cell r="B80" t="str">
            <v>江苏张家港农村商业银行股份有限公司</v>
          </cell>
          <cell r="C80">
            <v>7</v>
          </cell>
          <cell r="D80">
            <v>7</v>
          </cell>
          <cell r="E80"/>
          <cell r="F80"/>
          <cell r="G80"/>
          <cell r="H80">
            <v>7</v>
          </cell>
          <cell r="I80"/>
          <cell r="J80"/>
          <cell r="K80">
            <v>0</v>
          </cell>
          <cell r="L80">
            <v>0</v>
          </cell>
          <cell r="M80">
            <v>0</v>
          </cell>
          <cell r="N80">
            <v>7</v>
          </cell>
          <cell r="O80">
            <v>0</v>
          </cell>
          <cell r="P80">
            <v>0</v>
          </cell>
          <cell r="Q80">
            <v>7</v>
          </cell>
          <cell r="R80">
            <v>0</v>
          </cell>
          <cell r="S80">
            <v>0</v>
          </cell>
          <cell r="T80">
            <v>0</v>
          </cell>
        </row>
        <row r="81">
          <cell r="B81" t="str">
            <v>青岛农村商业银行股份有限公司</v>
          </cell>
          <cell r="C81">
            <v>5</v>
          </cell>
          <cell r="D81">
            <v>5</v>
          </cell>
          <cell r="E81"/>
          <cell r="F81">
            <v>1</v>
          </cell>
          <cell r="G81"/>
          <cell r="H81">
            <v>4</v>
          </cell>
          <cell r="I81"/>
          <cell r="J81"/>
          <cell r="K81">
            <v>0</v>
          </cell>
          <cell r="L81">
            <v>0</v>
          </cell>
          <cell r="M81">
            <v>0</v>
          </cell>
          <cell r="N81">
            <v>4</v>
          </cell>
          <cell r="O81">
            <v>1</v>
          </cell>
          <cell r="P81">
            <v>0</v>
          </cell>
          <cell r="Q81">
            <v>5</v>
          </cell>
          <cell r="R81">
            <v>1</v>
          </cell>
          <cell r="S81">
            <v>0</v>
          </cell>
          <cell r="T81">
            <v>0</v>
          </cell>
        </row>
        <row r="82">
          <cell r="B82" t="str">
            <v>江苏昆山农村商业银行股份有限公司</v>
          </cell>
          <cell r="C82">
            <v>5</v>
          </cell>
          <cell r="D82">
            <v>5</v>
          </cell>
          <cell r="E82"/>
          <cell r="F82"/>
          <cell r="G82"/>
          <cell r="H82">
            <v>5</v>
          </cell>
          <cell r="I82"/>
          <cell r="J82"/>
          <cell r="K82">
            <v>0</v>
          </cell>
          <cell r="L82">
            <v>0</v>
          </cell>
          <cell r="M82">
            <v>0</v>
          </cell>
          <cell r="N82">
            <v>5</v>
          </cell>
          <cell r="O82">
            <v>0</v>
          </cell>
          <cell r="P82">
            <v>0</v>
          </cell>
          <cell r="Q82">
            <v>5</v>
          </cell>
          <cell r="R82">
            <v>0</v>
          </cell>
          <cell r="S82">
            <v>0</v>
          </cell>
          <cell r="T82">
            <v>0</v>
          </cell>
        </row>
        <row r="83">
          <cell r="B83" t="str">
            <v>江苏太仓农村商业银行股份有限公司</v>
          </cell>
          <cell r="C83">
            <v>5</v>
          </cell>
          <cell r="D83">
            <v>5</v>
          </cell>
          <cell r="E83"/>
          <cell r="F83"/>
          <cell r="G83"/>
          <cell r="H83">
            <v>5</v>
          </cell>
          <cell r="I83"/>
          <cell r="J83"/>
          <cell r="K83">
            <v>0</v>
          </cell>
          <cell r="L83">
            <v>0</v>
          </cell>
          <cell r="M83">
            <v>0</v>
          </cell>
          <cell r="N83">
            <v>5</v>
          </cell>
          <cell r="O83">
            <v>0</v>
          </cell>
          <cell r="P83">
            <v>0</v>
          </cell>
          <cell r="Q83">
            <v>5</v>
          </cell>
          <cell r="R83">
            <v>0</v>
          </cell>
          <cell r="S83">
            <v>0</v>
          </cell>
          <cell r="T83">
            <v>0</v>
          </cell>
        </row>
        <row r="84">
          <cell r="B84" t="str">
            <v>江苏江阴农村商业银行股份有限公司</v>
          </cell>
          <cell r="C84">
            <v>2</v>
          </cell>
          <cell r="D84">
            <v>2</v>
          </cell>
          <cell r="E84"/>
          <cell r="F84"/>
          <cell r="G84"/>
          <cell r="H84">
            <v>2</v>
          </cell>
          <cell r="I84"/>
          <cell r="J84"/>
          <cell r="K84">
            <v>0</v>
          </cell>
          <cell r="L84">
            <v>0</v>
          </cell>
          <cell r="M84">
            <v>0</v>
          </cell>
          <cell r="N84">
            <v>2</v>
          </cell>
          <cell r="O84">
            <v>0</v>
          </cell>
          <cell r="P84">
            <v>0</v>
          </cell>
          <cell r="Q84">
            <v>2</v>
          </cell>
          <cell r="R84">
            <v>0</v>
          </cell>
          <cell r="S84">
            <v>0</v>
          </cell>
          <cell r="T84">
            <v>0</v>
          </cell>
        </row>
        <row r="85">
          <cell r="B85" t="str">
            <v>浙江温州龙湾农村商业银行股份有限公司</v>
          </cell>
          <cell r="C85">
            <v>2</v>
          </cell>
          <cell r="D85">
            <v>2</v>
          </cell>
          <cell r="E85"/>
          <cell r="F85"/>
          <cell r="G85"/>
          <cell r="H85">
            <v>2</v>
          </cell>
          <cell r="I85"/>
          <cell r="J85"/>
          <cell r="K85">
            <v>0</v>
          </cell>
          <cell r="L85">
            <v>0</v>
          </cell>
          <cell r="M85">
            <v>0</v>
          </cell>
          <cell r="N85">
            <v>2</v>
          </cell>
          <cell r="O85">
            <v>0</v>
          </cell>
          <cell r="P85">
            <v>0</v>
          </cell>
          <cell r="Q85">
            <v>2</v>
          </cell>
          <cell r="R85">
            <v>0</v>
          </cell>
          <cell r="S85">
            <v>0</v>
          </cell>
          <cell r="T85">
            <v>0</v>
          </cell>
        </row>
        <row r="86">
          <cell r="B86" t="str">
            <v>厦门农村商业银行股份有限公司</v>
          </cell>
          <cell r="C86">
            <v>2</v>
          </cell>
          <cell r="D86">
            <v>2</v>
          </cell>
          <cell r="E86"/>
          <cell r="F86"/>
          <cell r="G86"/>
          <cell r="H86">
            <v>2</v>
          </cell>
          <cell r="I86"/>
          <cell r="J86"/>
          <cell r="K86">
            <v>0</v>
          </cell>
          <cell r="L86">
            <v>0</v>
          </cell>
          <cell r="M86">
            <v>0</v>
          </cell>
          <cell r="N86">
            <v>2</v>
          </cell>
          <cell r="O86">
            <v>0</v>
          </cell>
          <cell r="P86">
            <v>0</v>
          </cell>
          <cell r="Q86">
            <v>2</v>
          </cell>
          <cell r="R86">
            <v>0</v>
          </cell>
          <cell r="S86">
            <v>0</v>
          </cell>
          <cell r="T86">
            <v>0</v>
          </cell>
        </row>
        <row r="87">
          <cell r="B87" t="str">
            <v>长沙农村商业银行股份有限公司</v>
          </cell>
          <cell r="C87">
            <v>2</v>
          </cell>
          <cell r="D87">
            <v>2</v>
          </cell>
          <cell r="E87"/>
          <cell r="F87"/>
          <cell r="G87"/>
          <cell r="H87">
            <v>2</v>
          </cell>
          <cell r="I87"/>
          <cell r="J87"/>
          <cell r="K87">
            <v>0</v>
          </cell>
          <cell r="L87">
            <v>0</v>
          </cell>
          <cell r="M87">
            <v>0</v>
          </cell>
          <cell r="N87">
            <v>2</v>
          </cell>
          <cell r="O87">
            <v>0</v>
          </cell>
          <cell r="P87">
            <v>0</v>
          </cell>
          <cell r="Q87">
            <v>2</v>
          </cell>
          <cell r="R87">
            <v>0</v>
          </cell>
          <cell r="S87">
            <v>0</v>
          </cell>
          <cell r="T87">
            <v>0</v>
          </cell>
        </row>
        <row r="88">
          <cell r="B88" t="str">
            <v>宁波宁海农村商业银行股份有限公司</v>
          </cell>
          <cell r="C88">
            <v>1.5</v>
          </cell>
          <cell r="D88">
            <v>1.5</v>
          </cell>
          <cell r="E88"/>
          <cell r="F88">
            <v>1.5</v>
          </cell>
          <cell r="G88"/>
          <cell r="H88"/>
          <cell r="I88"/>
          <cell r="J88"/>
          <cell r="K88">
            <v>0</v>
          </cell>
          <cell r="L88">
            <v>0</v>
          </cell>
          <cell r="M88">
            <v>0</v>
          </cell>
          <cell r="N88">
            <v>0</v>
          </cell>
          <cell r="O88">
            <v>1.5</v>
          </cell>
          <cell r="P88">
            <v>0</v>
          </cell>
          <cell r="Q88">
            <v>1.5</v>
          </cell>
          <cell r="R88">
            <v>1.5</v>
          </cell>
          <cell r="S88">
            <v>0</v>
          </cell>
          <cell r="T88">
            <v>0</v>
          </cell>
        </row>
        <row r="89">
          <cell r="B89" t="e">
            <v>#N/A</v>
          </cell>
          <cell r="C89">
            <v>1</v>
          </cell>
          <cell r="D89">
            <v>1</v>
          </cell>
          <cell r="E89"/>
          <cell r="F89"/>
          <cell r="G89"/>
          <cell r="H89">
            <v>1</v>
          </cell>
          <cell r="I89"/>
          <cell r="J89"/>
          <cell r="K89">
            <v>0</v>
          </cell>
          <cell r="L89">
            <v>0</v>
          </cell>
          <cell r="M89">
            <v>0</v>
          </cell>
          <cell r="N89">
            <v>1</v>
          </cell>
          <cell r="O89">
            <v>0</v>
          </cell>
          <cell r="P89">
            <v>0</v>
          </cell>
          <cell r="Q89">
            <v>1</v>
          </cell>
          <cell r="R89">
            <v>0</v>
          </cell>
          <cell r="S89">
            <v>0</v>
          </cell>
        </row>
        <row r="90">
          <cell r="B90" t="e">
            <v>#N/A</v>
          </cell>
          <cell r="C90">
            <v>20</v>
          </cell>
          <cell r="D90">
            <v>20</v>
          </cell>
          <cell r="E90"/>
          <cell r="F90">
            <v>10</v>
          </cell>
          <cell r="G90">
            <v>5</v>
          </cell>
          <cell r="H90">
            <v>5</v>
          </cell>
          <cell r="I90"/>
          <cell r="J90"/>
          <cell r="K90">
            <v>0</v>
          </cell>
          <cell r="L90">
            <v>0</v>
          </cell>
          <cell r="M90">
            <v>0</v>
          </cell>
          <cell r="N90">
            <v>10</v>
          </cell>
          <cell r="O90">
            <v>10</v>
          </cell>
          <cell r="P90">
            <v>0</v>
          </cell>
          <cell r="Q90">
            <v>20</v>
          </cell>
          <cell r="R90">
            <v>10</v>
          </cell>
          <cell r="S90">
            <v>0</v>
          </cell>
        </row>
        <row r="91">
          <cell r="B91" t="e">
            <v>#N/A</v>
          </cell>
          <cell r="C91">
            <v>20</v>
          </cell>
          <cell r="D91">
            <v>20</v>
          </cell>
          <cell r="E91"/>
          <cell r="F91"/>
          <cell r="G91">
            <v>20</v>
          </cell>
          <cell r="H91"/>
          <cell r="I91" t="str">
            <v>期限1年</v>
          </cell>
          <cell r="J91"/>
          <cell r="K91">
            <v>0</v>
          </cell>
          <cell r="L91">
            <v>0</v>
          </cell>
          <cell r="M91">
            <v>0</v>
          </cell>
          <cell r="N91">
            <v>20</v>
          </cell>
          <cell r="O91">
            <v>0</v>
          </cell>
          <cell r="P91">
            <v>0</v>
          </cell>
          <cell r="Q91">
            <v>20</v>
          </cell>
          <cell r="R91">
            <v>0</v>
          </cell>
          <cell r="S91">
            <v>0</v>
          </cell>
        </row>
        <row r="92">
          <cell r="B92" t="str">
            <v>东莞农村商业银行股份有限公司</v>
          </cell>
          <cell r="C92">
            <v>25</v>
          </cell>
          <cell r="D92">
            <v>25</v>
          </cell>
          <cell r="E92"/>
          <cell r="F92">
            <v>5</v>
          </cell>
          <cell r="G92">
            <v>10</v>
          </cell>
          <cell r="H92">
            <v>10</v>
          </cell>
          <cell r="I92"/>
          <cell r="J92"/>
          <cell r="K92">
            <v>1</v>
          </cell>
          <cell r="L92">
            <v>0</v>
          </cell>
          <cell r="M92">
            <v>0</v>
          </cell>
          <cell r="N92">
            <v>19</v>
          </cell>
          <cell r="O92">
            <v>5</v>
          </cell>
          <cell r="P92">
            <v>0</v>
          </cell>
          <cell r="Q92">
            <v>24</v>
          </cell>
          <cell r="R92">
            <v>5</v>
          </cell>
          <cell r="S92">
            <v>0</v>
          </cell>
          <cell r="T92">
            <v>1</v>
          </cell>
        </row>
        <row r="93">
          <cell r="B93" t="e">
            <v>#N/A</v>
          </cell>
          <cell r="C93">
            <v>20</v>
          </cell>
          <cell r="D93">
            <v>20</v>
          </cell>
          <cell r="E93"/>
          <cell r="F93"/>
          <cell r="G93">
            <v>20</v>
          </cell>
          <cell r="H93"/>
          <cell r="I93"/>
          <cell r="J93"/>
          <cell r="K93">
            <v>0</v>
          </cell>
          <cell r="L93">
            <v>0</v>
          </cell>
          <cell r="M93">
            <v>0</v>
          </cell>
          <cell r="N93">
            <v>20</v>
          </cell>
          <cell r="O93">
            <v>0</v>
          </cell>
          <cell r="P93">
            <v>0</v>
          </cell>
          <cell r="Q93">
            <v>20</v>
          </cell>
          <cell r="R93">
            <v>0</v>
          </cell>
          <cell r="S93">
            <v>0</v>
          </cell>
        </row>
        <row r="94">
          <cell r="B94" t="e">
            <v>#N/A</v>
          </cell>
          <cell r="C94">
            <v>20</v>
          </cell>
          <cell r="D94">
            <v>20</v>
          </cell>
          <cell r="E94"/>
          <cell r="F94"/>
          <cell r="G94">
            <v>10</v>
          </cell>
          <cell r="H94"/>
          <cell r="I94"/>
          <cell r="J94">
            <v>10</v>
          </cell>
          <cell r="K94">
            <v>0</v>
          </cell>
          <cell r="L94">
            <v>0</v>
          </cell>
          <cell r="M94">
            <v>0</v>
          </cell>
          <cell r="N94">
            <v>10</v>
          </cell>
          <cell r="O94">
            <v>0</v>
          </cell>
          <cell r="P94">
            <v>0</v>
          </cell>
          <cell r="Q94">
            <v>10</v>
          </cell>
          <cell r="R94">
            <v>0</v>
          </cell>
          <cell r="S94">
            <v>0</v>
          </cell>
        </row>
        <row r="95">
          <cell r="B95" t="str">
            <v>汇丰银行(中国)有限公司</v>
          </cell>
          <cell r="C95">
            <v>20</v>
          </cell>
          <cell r="D95">
            <v>20</v>
          </cell>
          <cell r="E95"/>
          <cell r="F95"/>
          <cell r="G95">
            <v>10</v>
          </cell>
          <cell r="H95"/>
          <cell r="I95"/>
          <cell r="J95">
            <v>10</v>
          </cell>
          <cell r="K95">
            <v>0</v>
          </cell>
          <cell r="L95">
            <v>0</v>
          </cell>
          <cell r="M95">
            <v>0</v>
          </cell>
          <cell r="N95">
            <v>10</v>
          </cell>
          <cell r="O95">
            <v>0</v>
          </cell>
          <cell r="P95">
            <v>0</v>
          </cell>
          <cell r="Q95">
            <v>10</v>
          </cell>
          <cell r="R95">
            <v>0</v>
          </cell>
          <cell r="S95">
            <v>0</v>
          </cell>
          <cell r="T95">
            <v>0</v>
          </cell>
        </row>
        <row r="96">
          <cell r="B96" t="e">
            <v>#N/A</v>
          </cell>
          <cell r="C96">
            <v>15</v>
          </cell>
          <cell r="D96">
            <v>15</v>
          </cell>
          <cell r="E96"/>
          <cell r="F96"/>
          <cell r="G96">
            <v>15</v>
          </cell>
          <cell r="H96"/>
          <cell r="I96"/>
          <cell r="J96"/>
          <cell r="K96">
            <v>0</v>
          </cell>
          <cell r="L96">
            <v>0</v>
          </cell>
          <cell r="M96">
            <v>0</v>
          </cell>
          <cell r="N96">
            <v>15</v>
          </cell>
          <cell r="O96">
            <v>0</v>
          </cell>
          <cell r="P96">
            <v>0</v>
          </cell>
          <cell r="Q96">
            <v>15</v>
          </cell>
          <cell r="R96">
            <v>0</v>
          </cell>
          <cell r="S96">
            <v>0</v>
          </cell>
        </row>
        <row r="97">
          <cell r="B97" t="e">
            <v>#N/A</v>
          </cell>
          <cell r="C97">
            <v>10</v>
          </cell>
          <cell r="D97">
            <v>10</v>
          </cell>
          <cell r="E97"/>
          <cell r="F97"/>
          <cell r="G97">
            <v>10</v>
          </cell>
          <cell r="H97"/>
          <cell r="I97"/>
          <cell r="J97"/>
          <cell r="K97">
            <v>0</v>
          </cell>
          <cell r="L97">
            <v>0</v>
          </cell>
          <cell r="M97">
            <v>0</v>
          </cell>
          <cell r="N97">
            <v>10</v>
          </cell>
          <cell r="O97">
            <v>0</v>
          </cell>
          <cell r="P97">
            <v>0</v>
          </cell>
          <cell r="Q97">
            <v>10</v>
          </cell>
          <cell r="R97">
            <v>0</v>
          </cell>
          <cell r="S97">
            <v>0</v>
          </cell>
        </row>
        <row r="98">
          <cell r="B98" t="str">
            <v>苏州银行股份有限公司</v>
          </cell>
          <cell r="C98">
            <v>25</v>
          </cell>
          <cell r="D98">
            <v>25</v>
          </cell>
          <cell r="E98">
            <v>5</v>
          </cell>
          <cell r="F98">
            <v>10</v>
          </cell>
          <cell r="G98">
            <v>5</v>
          </cell>
          <cell r="H98">
            <v>5</v>
          </cell>
          <cell r="I98"/>
          <cell r="J98"/>
          <cell r="K98">
            <v>0</v>
          </cell>
          <cell r="L98">
            <v>0</v>
          </cell>
          <cell r="M98">
            <v>0</v>
          </cell>
          <cell r="N98">
            <v>10</v>
          </cell>
          <cell r="O98">
            <v>10</v>
          </cell>
          <cell r="P98">
            <v>5</v>
          </cell>
          <cell r="Q98">
            <v>25</v>
          </cell>
          <cell r="R98">
            <v>15</v>
          </cell>
          <cell r="S98">
            <v>5</v>
          </cell>
          <cell r="T98">
            <v>0</v>
          </cell>
        </row>
        <row r="99">
          <cell r="B99" t="e">
            <v>#N/A</v>
          </cell>
          <cell r="C99">
            <v>10</v>
          </cell>
          <cell r="D99">
            <v>10</v>
          </cell>
          <cell r="E99"/>
          <cell r="F99"/>
          <cell r="G99">
            <v>10</v>
          </cell>
          <cell r="H99"/>
          <cell r="I99"/>
          <cell r="J99"/>
          <cell r="K99">
            <v>0</v>
          </cell>
          <cell r="L99">
            <v>0</v>
          </cell>
          <cell r="M99">
            <v>0</v>
          </cell>
          <cell r="N99">
            <v>10</v>
          </cell>
          <cell r="O99">
            <v>0</v>
          </cell>
          <cell r="P99">
            <v>0</v>
          </cell>
          <cell r="Q99">
            <v>10</v>
          </cell>
          <cell r="R99">
            <v>0</v>
          </cell>
          <cell r="S99">
            <v>0</v>
          </cell>
        </row>
        <row r="100">
          <cell r="B100" t="e">
            <v>#N/A</v>
          </cell>
          <cell r="C100">
            <v>10</v>
          </cell>
          <cell r="D100">
            <v>10</v>
          </cell>
          <cell r="E100"/>
          <cell r="F100"/>
          <cell r="G100">
            <v>10</v>
          </cell>
          <cell r="H100"/>
          <cell r="I100"/>
          <cell r="J100"/>
          <cell r="K100">
            <v>0</v>
          </cell>
          <cell r="L100">
            <v>0</v>
          </cell>
          <cell r="M100">
            <v>0</v>
          </cell>
          <cell r="N100">
            <v>10</v>
          </cell>
          <cell r="O100">
            <v>0</v>
          </cell>
          <cell r="P100">
            <v>0</v>
          </cell>
          <cell r="Q100">
            <v>10</v>
          </cell>
          <cell r="R100">
            <v>0</v>
          </cell>
          <cell r="S100">
            <v>0</v>
          </cell>
        </row>
        <row r="101">
          <cell r="B101" t="e">
            <v>#N/A</v>
          </cell>
          <cell r="C101">
            <v>10</v>
          </cell>
          <cell r="D101">
            <v>10</v>
          </cell>
          <cell r="E101"/>
          <cell r="F101"/>
          <cell r="G101">
            <v>10</v>
          </cell>
          <cell r="H101"/>
          <cell r="I101"/>
          <cell r="J101"/>
          <cell r="K101">
            <v>0</v>
          </cell>
          <cell r="L101">
            <v>0</v>
          </cell>
          <cell r="M101">
            <v>0</v>
          </cell>
          <cell r="N101">
            <v>10</v>
          </cell>
          <cell r="O101">
            <v>0</v>
          </cell>
          <cell r="P101">
            <v>0</v>
          </cell>
          <cell r="Q101">
            <v>10</v>
          </cell>
          <cell r="R101">
            <v>0</v>
          </cell>
          <cell r="S101">
            <v>0</v>
          </cell>
        </row>
        <row r="102">
          <cell r="B102" t="e">
            <v>#N/A</v>
          </cell>
          <cell r="C102">
            <v>10</v>
          </cell>
          <cell r="D102">
            <v>10</v>
          </cell>
          <cell r="E102"/>
          <cell r="F102"/>
          <cell r="G102">
            <v>10</v>
          </cell>
          <cell r="H102"/>
          <cell r="I102"/>
          <cell r="J102"/>
          <cell r="K102">
            <v>0</v>
          </cell>
          <cell r="L102">
            <v>0</v>
          </cell>
          <cell r="M102">
            <v>0</v>
          </cell>
          <cell r="N102">
            <v>10</v>
          </cell>
          <cell r="O102">
            <v>0</v>
          </cell>
          <cell r="P102">
            <v>0</v>
          </cell>
          <cell r="Q102">
            <v>10</v>
          </cell>
          <cell r="R102">
            <v>0</v>
          </cell>
          <cell r="S102">
            <v>0</v>
          </cell>
        </row>
        <row r="103">
          <cell r="B103" t="e">
            <v>#N/A</v>
          </cell>
          <cell r="C103">
            <v>10</v>
          </cell>
          <cell r="D103">
            <v>10</v>
          </cell>
          <cell r="E103"/>
          <cell r="F103"/>
          <cell r="G103">
            <v>10</v>
          </cell>
          <cell r="H103"/>
          <cell r="I103"/>
          <cell r="J103"/>
          <cell r="K103">
            <v>0</v>
          </cell>
          <cell r="L103">
            <v>0</v>
          </cell>
          <cell r="M103">
            <v>0</v>
          </cell>
          <cell r="N103">
            <v>10</v>
          </cell>
          <cell r="O103">
            <v>0</v>
          </cell>
          <cell r="P103">
            <v>0</v>
          </cell>
          <cell r="Q103">
            <v>10</v>
          </cell>
          <cell r="R103">
            <v>0</v>
          </cell>
          <cell r="S103">
            <v>0</v>
          </cell>
        </row>
        <row r="104">
          <cell r="B104" t="e">
            <v>#N/A</v>
          </cell>
          <cell r="C104">
            <v>10</v>
          </cell>
          <cell r="D104">
            <v>10</v>
          </cell>
          <cell r="E104"/>
          <cell r="F104"/>
          <cell r="G104">
            <v>10</v>
          </cell>
          <cell r="H104"/>
          <cell r="I104"/>
          <cell r="J104"/>
          <cell r="K104">
            <v>0</v>
          </cell>
          <cell r="L104">
            <v>0</v>
          </cell>
          <cell r="M104">
            <v>0</v>
          </cell>
          <cell r="N104">
            <v>10</v>
          </cell>
          <cell r="O104">
            <v>0</v>
          </cell>
          <cell r="P104">
            <v>0</v>
          </cell>
          <cell r="Q104">
            <v>10</v>
          </cell>
          <cell r="R104">
            <v>0</v>
          </cell>
          <cell r="S104">
            <v>0</v>
          </cell>
        </row>
        <row r="105">
          <cell r="B105" t="e">
            <v>#N/A</v>
          </cell>
          <cell r="C105">
            <v>10</v>
          </cell>
          <cell r="D105">
            <v>10</v>
          </cell>
          <cell r="E105"/>
          <cell r="F105"/>
          <cell r="G105">
            <v>5</v>
          </cell>
          <cell r="H105">
            <v>5</v>
          </cell>
          <cell r="I105"/>
          <cell r="J105"/>
          <cell r="K105">
            <v>0</v>
          </cell>
          <cell r="L105">
            <v>0</v>
          </cell>
          <cell r="M105">
            <v>0</v>
          </cell>
          <cell r="N105">
            <v>10</v>
          </cell>
          <cell r="O105">
            <v>0</v>
          </cell>
          <cell r="P105">
            <v>0</v>
          </cell>
          <cell r="Q105">
            <v>10</v>
          </cell>
          <cell r="R105">
            <v>0</v>
          </cell>
          <cell r="S105">
            <v>0</v>
          </cell>
        </row>
        <row r="106">
          <cell r="B106" t="e">
            <v>#N/A</v>
          </cell>
          <cell r="C106">
            <v>10</v>
          </cell>
          <cell r="D106">
            <v>10</v>
          </cell>
          <cell r="E106"/>
          <cell r="F106"/>
          <cell r="G106">
            <v>5</v>
          </cell>
          <cell r="H106">
            <v>5</v>
          </cell>
          <cell r="I106"/>
          <cell r="J106"/>
          <cell r="K106">
            <v>0</v>
          </cell>
          <cell r="L106">
            <v>0</v>
          </cell>
          <cell r="M106">
            <v>0</v>
          </cell>
          <cell r="N106">
            <v>10</v>
          </cell>
          <cell r="O106">
            <v>0</v>
          </cell>
          <cell r="P106">
            <v>0</v>
          </cell>
          <cell r="Q106">
            <v>10</v>
          </cell>
          <cell r="R106">
            <v>0</v>
          </cell>
          <cell r="S106">
            <v>0</v>
          </cell>
        </row>
        <row r="107">
          <cell r="B107" t="e">
            <v>#N/A</v>
          </cell>
          <cell r="C107">
            <v>10</v>
          </cell>
          <cell r="D107">
            <v>10</v>
          </cell>
          <cell r="E107"/>
          <cell r="F107"/>
          <cell r="G107">
            <v>10</v>
          </cell>
          <cell r="H107"/>
          <cell r="I107"/>
          <cell r="J107"/>
          <cell r="K107">
            <v>0</v>
          </cell>
          <cell r="L107">
            <v>0</v>
          </cell>
          <cell r="M107">
            <v>0</v>
          </cell>
          <cell r="N107">
            <v>10</v>
          </cell>
          <cell r="O107">
            <v>0</v>
          </cell>
          <cell r="P107">
            <v>0</v>
          </cell>
          <cell r="Q107">
            <v>10</v>
          </cell>
          <cell r="R107">
            <v>0</v>
          </cell>
          <cell r="S107">
            <v>0</v>
          </cell>
        </row>
        <row r="108">
          <cell r="B108" t="e">
            <v>#N/A</v>
          </cell>
          <cell r="C108">
            <v>10</v>
          </cell>
          <cell r="D108">
            <v>10</v>
          </cell>
          <cell r="E108"/>
          <cell r="F108"/>
          <cell r="G108">
            <v>5</v>
          </cell>
          <cell r="H108">
            <v>5</v>
          </cell>
          <cell r="I108"/>
          <cell r="J108"/>
          <cell r="K108">
            <v>0</v>
          </cell>
          <cell r="L108">
            <v>0</v>
          </cell>
          <cell r="M108">
            <v>0</v>
          </cell>
          <cell r="N108">
            <v>10</v>
          </cell>
          <cell r="O108">
            <v>0</v>
          </cell>
          <cell r="P108">
            <v>0</v>
          </cell>
          <cell r="Q108">
            <v>10</v>
          </cell>
          <cell r="R108">
            <v>0</v>
          </cell>
          <cell r="S108">
            <v>0</v>
          </cell>
        </row>
        <row r="109">
          <cell r="B109" t="e">
            <v>#N/A</v>
          </cell>
          <cell r="C109">
            <v>10</v>
          </cell>
          <cell r="D109">
            <v>10</v>
          </cell>
          <cell r="E109"/>
          <cell r="F109"/>
          <cell r="G109"/>
          <cell r="H109">
            <v>10</v>
          </cell>
          <cell r="I109"/>
          <cell r="J109"/>
          <cell r="K109">
            <v>0</v>
          </cell>
          <cell r="L109">
            <v>0</v>
          </cell>
          <cell r="M109">
            <v>0</v>
          </cell>
          <cell r="N109">
            <v>10</v>
          </cell>
          <cell r="O109">
            <v>0</v>
          </cell>
          <cell r="P109">
            <v>0</v>
          </cell>
          <cell r="Q109">
            <v>10</v>
          </cell>
          <cell r="R109">
            <v>0</v>
          </cell>
          <cell r="S109">
            <v>0</v>
          </cell>
        </row>
        <row r="110">
          <cell r="B110" t="e">
            <v>#N/A</v>
          </cell>
          <cell r="C110">
            <v>10</v>
          </cell>
          <cell r="D110">
            <v>10</v>
          </cell>
          <cell r="E110"/>
          <cell r="F110"/>
          <cell r="G110"/>
          <cell r="H110">
            <v>10</v>
          </cell>
          <cell r="I110"/>
          <cell r="J110"/>
          <cell r="K110">
            <v>0</v>
          </cell>
          <cell r="L110">
            <v>0</v>
          </cell>
          <cell r="M110">
            <v>0</v>
          </cell>
          <cell r="N110">
            <v>10</v>
          </cell>
          <cell r="O110">
            <v>0</v>
          </cell>
          <cell r="P110">
            <v>0</v>
          </cell>
          <cell r="Q110">
            <v>10</v>
          </cell>
          <cell r="R110">
            <v>0</v>
          </cell>
          <cell r="S110">
            <v>0</v>
          </cell>
        </row>
        <row r="111">
          <cell r="B111" t="e">
            <v>#N/A</v>
          </cell>
          <cell r="C111">
            <v>10</v>
          </cell>
          <cell r="D111">
            <v>10</v>
          </cell>
          <cell r="E111"/>
          <cell r="F111"/>
          <cell r="G111">
            <v>10</v>
          </cell>
          <cell r="H111"/>
          <cell r="I111"/>
          <cell r="J111"/>
          <cell r="K111">
            <v>0</v>
          </cell>
          <cell r="L111">
            <v>0</v>
          </cell>
          <cell r="M111">
            <v>0</v>
          </cell>
          <cell r="N111">
            <v>10</v>
          </cell>
          <cell r="O111">
            <v>0</v>
          </cell>
          <cell r="P111">
            <v>0</v>
          </cell>
          <cell r="Q111">
            <v>10</v>
          </cell>
          <cell r="R111">
            <v>0</v>
          </cell>
          <cell r="S111">
            <v>0</v>
          </cell>
        </row>
        <row r="112">
          <cell r="B112" t="e">
            <v>#N/A</v>
          </cell>
          <cell r="C112">
            <v>5</v>
          </cell>
          <cell r="D112">
            <v>5</v>
          </cell>
          <cell r="E112"/>
          <cell r="F112"/>
          <cell r="G112">
            <v>5</v>
          </cell>
          <cell r="H112"/>
          <cell r="I112"/>
          <cell r="J112"/>
          <cell r="K112">
            <v>0</v>
          </cell>
          <cell r="L112">
            <v>0</v>
          </cell>
          <cell r="M112">
            <v>0</v>
          </cell>
          <cell r="N112">
            <v>5</v>
          </cell>
          <cell r="O112">
            <v>0</v>
          </cell>
          <cell r="P112">
            <v>0</v>
          </cell>
          <cell r="Q112">
            <v>5</v>
          </cell>
          <cell r="R112">
            <v>0</v>
          </cell>
          <cell r="S112">
            <v>0</v>
          </cell>
        </row>
        <row r="113">
          <cell r="B113" t="e">
            <v>#N/A</v>
          </cell>
          <cell r="C113">
            <v>5</v>
          </cell>
          <cell r="D113">
            <v>5</v>
          </cell>
          <cell r="E113"/>
          <cell r="F113"/>
          <cell r="G113">
            <v>5</v>
          </cell>
          <cell r="H113"/>
          <cell r="I113"/>
          <cell r="J113"/>
          <cell r="K113">
            <v>0</v>
          </cell>
          <cell r="L113">
            <v>0</v>
          </cell>
          <cell r="M113">
            <v>0</v>
          </cell>
          <cell r="N113">
            <v>5</v>
          </cell>
          <cell r="O113">
            <v>0</v>
          </cell>
          <cell r="P113">
            <v>0</v>
          </cell>
          <cell r="Q113">
            <v>5</v>
          </cell>
          <cell r="R113">
            <v>0</v>
          </cell>
          <cell r="S113">
            <v>0</v>
          </cell>
        </row>
        <row r="114">
          <cell r="B114" t="e">
            <v>#N/A</v>
          </cell>
          <cell r="C114">
            <v>5</v>
          </cell>
          <cell r="D114">
            <v>5</v>
          </cell>
          <cell r="E114"/>
          <cell r="F114"/>
          <cell r="G114"/>
          <cell r="H114">
            <v>5</v>
          </cell>
          <cell r="I114"/>
          <cell r="J114"/>
          <cell r="K114">
            <v>0</v>
          </cell>
          <cell r="L114">
            <v>0</v>
          </cell>
          <cell r="M114">
            <v>0</v>
          </cell>
          <cell r="N114">
            <v>5</v>
          </cell>
          <cell r="O114">
            <v>0</v>
          </cell>
          <cell r="P114">
            <v>0</v>
          </cell>
          <cell r="Q114">
            <v>5</v>
          </cell>
          <cell r="R114">
            <v>0</v>
          </cell>
          <cell r="S114">
            <v>0</v>
          </cell>
        </row>
        <row r="115">
          <cell r="B115" t="e">
            <v>#N/A</v>
          </cell>
          <cell r="C115">
            <v>5</v>
          </cell>
          <cell r="D115">
            <v>5</v>
          </cell>
          <cell r="E115"/>
          <cell r="F115"/>
          <cell r="G115"/>
          <cell r="H115">
            <v>5</v>
          </cell>
          <cell r="I115"/>
          <cell r="J115"/>
          <cell r="K115">
            <v>0</v>
          </cell>
          <cell r="L115">
            <v>0</v>
          </cell>
          <cell r="M115">
            <v>0</v>
          </cell>
          <cell r="N115">
            <v>5</v>
          </cell>
          <cell r="O115">
            <v>0</v>
          </cell>
          <cell r="P115">
            <v>0</v>
          </cell>
          <cell r="Q115">
            <v>5</v>
          </cell>
          <cell r="R115">
            <v>0</v>
          </cell>
          <cell r="S115">
            <v>0</v>
          </cell>
        </row>
        <row r="116">
          <cell r="B116" t="e">
            <v>#N/A</v>
          </cell>
          <cell r="C116">
            <v>20</v>
          </cell>
          <cell r="D116">
            <v>20</v>
          </cell>
          <cell r="E116"/>
          <cell r="F116"/>
          <cell r="G116">
            <v>10</v>
          </cell>
          <cell r="H116"/>
          <cell r="I116"/>
          <cell r="J116">
            <v>10</v>
          </cell>
          <cell r="K116">
            <v>0</v>
          </cell>
          <cell r="L116">
            <v>0</v>
          </cell>
          <cell r="M116">
            <v>0</v>
          </cell>
          <cell r="N116">
            <v>10</v>
          </cell>
          <cell r="O116">
            <v>0</v>
          </cell>
          <cell r="P116">
            <v>0</v>
          </cell>
          <cell r="Q116">
            <v>10</v>
          </cell>
          <cell r="R116">
            <v>0</v>
          </cell>
          <cell r="S116">
            <v>0</v>
          </cell>
        </row>
        <row r="117">
          <cell r="B117" t="str">
            <v>巴克莱银行有限公司</v>
          </cell>
          <cell r="C117">
            <v>20</v>
          </cell>
          <cell r="D117">
            <v>20</v>
          </cell>
          <cell r="E117"/>
          <cell r="F117"/>
          <cell r="G117">
            <v>10</v>
          </cell>
          <cell r="H117"/>
          <cell r="I117"/>
          <cell r="J117">
            <v>10</v>
          </cell>
          <cell r="K117">
            <v>0</v>
          </cell>
          <cell r="L117">
            <v>0</v>
          </cell>
          <cell r="M117">
            <v>0</v>
          </cell>
          <cell r="N117">
            <v>10</v>
          </cell>
          <cell r="O117">
            <v>0</v>
          </cell>
          <cell r="P117">
            <v>0</v>
          </cell>
          <cell r="Q117">
            <v>10</v>
          </cell>
          <cell r="R117">
            <v>0</v>
          </cell>
          <cell r="S117">
            <v>0</v>
          </cell>
          <cell r="T117">
            <v>0</v>
          </cell>
        </row>
        <row r="118">
          <cell r="B118" t="e">
            <v>#N/A</v>
          </cell>
          <cell r="C118">
            <v>20</v>
          </cell>
          <cell r="D118">
            <v>20</v>
          </cell>
          <cell r="E118"/>
          <cell r="F118"/>
          <cell r="G118">
            <v>10</v>
          </cell>
          <cell r="H118"/>
          <cell r="I118"/>
          <cell r="J118">
            <v>10</v>
          </cell>
          <cell r="K118">
            <v>0</v>
          </cell>
          <cell r="L118">
            <v>0</v>
          </cell>
          <cell r="M118">
            <v>0</v>
          </cell>
          <cell r="N118">
            <v>10</v>
          </cell>
          <cell r="O118">
            <v>0</v>
          </cell>
          <cell r="P118">
            <v>0</v>
          </cell>
          <cell r="Q118">
            <v>10</v>
          </cell>
          <cell r="R118">
            <v>0</v>
          </cell>
          <cell r="S118">
            <v>0</v>
          </cell>
        </row>
        <row r="119">
          <cell r="B119" t="e">
            <v>#N/A</v>
          </cell>
          <cell r="C119">
            <v>5</v>
          </cell>
          <cell r="D119">
            <v>5</v>
          </cell>
          <cell r="E119"/>
          <cell r="F119"/>
          <cell r="G119"/>
          <cell r="H119">
            <v>5</v>
          </cell>
          <cell r="I119"/>
          <cell r="J119"/>
          <cell r="K119">
            <v>0</v>
          </cell>
          <cell r="L119">
            <v>0</v>
          </cell>
          <cell r="M119">
            <v>0</v>
          </cell>
          <cell r="N119">
            <v>5</v>
          </cell>
          <cell r="O119">
            <v>0</v>
          </cell>
          <cell r="P119">
            <v>0</v>
          </cell>
          <cell r="Q119">
            <v>5</v>
          </cell>
          <cell r="R119">
            <v>0</v>
          </cell>
          <cell r="S119">
            <v>0</v>
          </cell>
        </row>
        <row r="120">
          <cell r="B120" t="e">
            <v>#N/A</v>
          </cell>
          <cell r="C120">
            <v>5</v>
          </cell>
          <cell r="D120">
            <v>5</v>
          </cell>
          <cell r="E120"/>
          <cell r="F120"/>
          <cell r="G120"/>
          <cell r="H120">
            <v>5</v>
          </cell>
          <cell r="I120"/>
          <cell r="J120"/>
          <cell r="K120">
            <v>0</v>
          </cell>
          <cell r="L120">
            <v>0</v>
          </cell>
          <cell r="M120">
            <v>0</v>
          </cell>
          <cell r="N120">
            <v>5</v>
          </cell>
          <cell r="O120">
            <v>0</v>
          </cell>
          <cell r="P120">
            <v>0</v>
          </cell>
          <cell r="Q120">
            <v>5</v>
          </cell>
          <cell r="R120">
            <v>0</v>
          </cell>
          <cell r="S120">
            <v>0</v>
          </cell>
        </row>
        <row r="121">
          <cell r="B121" t="e">
            <v>#N/A</v>
          </cell>
          <cell r="C121">
            <v>2</v>
          </cell>
          <cell r="D121">
            <v>2</v>
          </cell>
          <cell r="E121"/>
          <cell r="F121"/>
          <cell r="G121"/>
          <cell r="H121">
            <v>2</v>
          </cell>
          <cell r="I121"/>
          <cell r="J121"/>
          <cell r="K121">
            <v>0</v>
          </cell>
          <cell r="L121">
            <v>0</v>
          </cell>
          <cell r="M121">
            <v>0</v>
          </cell>
          <cell r="N121">
            <v>2</v>
          </cell>
          <cell r="O121">
            <v>0</v>
          </cell>
          <cell r="P121">
            <v>0</v>
          </cell>
          <cell r="Q121">
            <v>2</v>
          </cell>
          <cell r="R121">
            <v>0</v>
          </cell>
          <cell r="S121">
            <v>0</v>
          </cell>
        </row>
        <row r="122">
          <cell r="B122" t="e">
            <v>#N/A</v>
          </cell>
          <cell r="C122">
            <v>20</v>
          </cell>
          <cell r="D122">
            <v>20</v>
          </cell>
          <cell r="E122"/>
          <cell r="F122"/>
          <cell r="G122"/>
          <cell r="H122">
            <v>20</v>
          </cell>
          <cell r="I122"/>
          <cell r="J122"/>
          <cell r="K122">
            <v>0</v>
          </cell>
          <cell r="L122">
            <v>0</v>
          </cell>
          <cell r="M122">
            <v>0</v>
          </cell>
          <cell r="N122">
            <v>20</v>
          </cell>
          <cell r="O122">
            <v>0</v>
          </cell>
          <cell r="P122">
            <v>0</v>
          </cell>
          <cell r="Q122">
            <v>20</v>
          </cell>
          <cell r="R122">
            <v>0</v>
          </cell>
          <cell r="S122">
            <v>0</v>
          </cell>
        </row>
        <row r="123">
          <cell r="B123" t="e">
            <v>#N/A</v>
          </cell>
          <cell r="C123">
            <v>10</v>
          </cell>
          <cell r="D123">
            <v>10</v>
          </cell>
          <cell r="E123"/>
          <cell r="F123"/>
          <cell r="G123"/>
          <cell r="H123">
            <v>10</v>
          </cell>
          <cell r="I123"/>
          <cell r="J123"/>
          <cell r="K123">
            <v>0</v>
          </cell>
          <cell r="L123">
            <v>0</v>
          </cell>
          <cell r="M123">
            <v>0</v>
          </cell>
          <cell r="N123">
            <v>10</v>
          </cell>
          <cell r="O123">
            <v>0</v>
          </cell>
          <cell r="P123">
            <v>0</v>
          </cell>
          <cell r="Q123">
            <v>10</v>
          </cell>
          <cell r="R123">
            <v>0</v>
          </cell>
          <cell r="S123">
            <v>0</v>
          </cell>
        </row>
        <row r="124">
          <cell r="B124" t="e">
            <v>#N/A</v>
          </cell>
          <cell r="C124">
            <v>10</v>
          </cell>
          <cell r="D124">
            <v>10</v>
          </cell>
          <cell r="E124"/>
          <cell r="F124"/>
          <cell r="G124"/>
          <cell r="H124">
            <v>10</v>
          </cell>
          <cell r="I124"/>
          <cell r="J124"/>
          <cell r="K124">
            <v>0</v>
          </cell>
          <cell r="L124">
            <v>0</v>
          </cell>
          <cell r="M124">
            <v>0</v>
          </cell>
          <cell r="N124">
            <v>10</v>
          </cell>
          <cell r="O124">
            <v>0</v>
          </cell>
          <cell r="P124">
            <v>0</v>
          </cell>
          <cell r="Q124">
            <v>10</v>
          </cell>
          <cell r="R124">
            <v>0</v>
          </cell>
          <cell r="S124">
            <v>0</v>
          </cell>
        </row>
        <row r="125">
          <cell r="B125" t="str">
            <v>渣打银行(中国)有限公司</v>
          </cell>
          <cell r="C125">
            <v>10</v>
          </cell>
          <cell r="D125">
            <v>10</v>
          </cell>
          <cell r="E125"/>
          <cell r="F125"/>
          <cell r="G125"/>
          <cell r="H125">
            <v>10</v>
          </cell>
          <cell r="I125"/>
          <cell r="J125"/>
          <cell r="K125">
            <v>0</v>
          </cell>
          <cell r="L125">
            <v>0</v>
          </cell>
          <cell r="M125">
            <v>0</v>
          </cell>
          <cell r="N125">
            <v>10</v>
          </cell>
          <cell r="O125">
            <v>0</v>
          </cell>
          <cell r="P125">
            <v>0</v>
          </cell>
          <cell r="Q125">
            <v>10</v>
          </cell>
          <cell r="R125">
            <v>0</v>
          </cell>
          <cell r="S125">
            <v>0</v>
          </cell>
          <cell r="T125">
            <v>0</v>
          </cell>
        </row>
        <row r="126">
          <cell r="B126" t="e">
            <v>#N/A</v>
          </cell>
          <cell r="C126">
            <v>5</v>
          </cell>
          <cell r="D126">
            <v>5</v>
          </cell>
          <cell r="E126"/>
          <cell r="F126"/>
          <cell r="G126"/>
          <cell r="H126">
            <v>5</v>
          </cell>
          <cell r="I126"/>
          <cell r="J126"/>
          <cell r="K126">
            <v>0</v>
          </cell>
          <cell r="L126">
            <v>0</v>
          </cell>
          <cell r="M126">
            <v>0</v>
          </cell>
          <cell r="N126">
            <v>5</v>
          </cell>
          <cell r="O126">
            <v>0</v>
          </cell>
          <cell r="P126">
            <v>0</v>
          </cell>
          <cell r="Q126">
            <v>5</v>
          </cell>
          <cell r="R126">
            <v>0</v>
          </cell>
          <cell r="S126">
            <v>0</v>
          </cell>
        </row>
      </sheetData>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568"/>
  <sheetViews>
    <sheetView tabSelected="1" workbookViewId="0">
      <selection activeCell="D3" sqref="D3"/>
    </sheetView>
  </sheetViews>
  <sheetFormatPr defaultColWidth="9" defaultRowHeight="12"/>
  <cols>
    <col min="1" max="1" width="13.5" style="48" customWidth="1"/>
    <col min="2" max="2" width="17" style="47" bestFit="1" customWidth="1"/>
    <col min="3" max="3" width="41.375" style="47" bestFit="1" customWidth="1"/>
    <col min="4" max="4" width="9" style="47"/>
    <col min="5" max="19" width="9" style="48"/>
    <col min="20" max="20" width="9.125" style="48" bestFit="1" customWidth="1"/>
    <col min="21" max="21" width="13.625" style="48" bestFit="1" customWidth="1"/>
    <col min="22" max="22" width="9" style="48"/>
    <col min="23" max="23" width="9.125" style="48" bestFit="1" customWidth="1"/>
    <col min="24" max="24" width="9.875" style="48" customWidth="1"/>
    <col min="25" max="25" width="9.125" style="48" bestFit="1" customWidth="1"/>
    <col min="26" max="27" width="9.125" style="14" bestFit="1" customWidth="1"/>
    <col min="28" max="28" width="10.625" style="14" bestFit="1" customWidth="1"/>
    <col min="29" max="30" width="9.125" style="48" bestFit="1" customWidth="1"/>
    <col min="31" max="16384" width="9" style="48"/>
  </cols>
  <sheetData>
    <row r="1" spans="1:30" s="12" customFormat="1" ht="48">
      <c r="B1" s="1" t="s">
        <v>26</v>
      </c>
      <c r="C1" s="1" t="s">
        <v>27</v>
      </c>
      <c r="D1" s="35" t="s">
        <v>3</v>
      </c>
      <c r="E1" s="35" t="s">
        <v>8</v>
      </c>
      <c r="F1" s="35" t="s">
        <v>29</v>
      </c>
      <c r="G1" s="35" t="s">
        <v>30</v>
      </c>
      <c r="H1" s="35" t="s">
        <v>31</v>
      </c>
      <c r="I1" s="35" t="s">
        <v>39</v>
      </c>
      <c r="J1" s="35" t="s">
        <v>40</v>
      </c>
      <c r="K1" s="1" t="s">
        <v>41</v>
      </c>
      <c r="L1" s="1" t="s">
        <v>42</v>
      </c>
      <c r="M1" s="1" t="s">
        <v>43</v>
      </c>
      <c r="N1" s="1" t="s">
        <v>44</v>
      </c>
      <c r="O1" s="1" t="s">
        <v>1070</v>
      </c>
      <c r="P1" s="35" t="s">
        <v>12</v>
      </c>
      <c r="Q1" s="35" t="s">
        <v>13</v>
      </c>
      <c r="R1" s="35" t="s">
        <v>14</v>
      </c>
      <c r="S1" s="35" t="s">
        <v>15</v>
      </c>
      <c r="T1" s="1" t="s">
        <v>50</v>
      </c>
      <c r="U1" s="1" t="s">
        <v>51</v>
      </c>
      <c r="V1" s="1" t="s">
        <v>52</v>
      </c>
      <c r="W1" s="1" t="s">
        <v>53</v>
      </c>
      <c r="X1" s="1" t="s">
        <v>54</v>
      </c>
      <c r="Y1" s="1" t="s">
        <v>55</v>
      </c>
      <c r="Z1" s="1" t="s">
        <v>56</v>
      </c>
      <c r="AA1" s="1" t="s">
        <v>57</v>
      </c>
      <c r="AB1" s="1" t="s">
        <v>1056</v>
      </c>
      <c r="AC1" s="35" t="s">
        <v>1057</v>
      </c>
      <c r="AD1" s="35" t="s">
        <v>1071</v>
      </c>
    </row>
    <row r="2" spans="1:30" s="46" customFormat="1" ht="24">
      <c r="A2" s="1" t="s">
        <v>1110</v>
      </c>
      <c r="B2" s="87" t="s">
        <v>1109</v>
      </c>
      <c r="C2" s="8" t="str">
        <f>IF([1]!b_info_issuer(B2)="0","",IFERROR([1]!b_info_issuer(B2),""))</f>
        <v>香港上海汇丰银行有限公司</v>
      </c>
      <c r="D2" s="11" t="str">
        <f>IF([1]!b_info_latestissurercreditrating(B2)="0","",IFERROR([1]!b_info_latestissurercreditrating(B2),""))</f>
        <v>AAA</v>
      </c>
      <c r="E2" s="27" t="str">
        <f>IFERROR(([1]!b_stm07_bs($B2,47,$A2,1,100000000))/[1]!b_stm07_bs($B2,109,$A2,1,100000000),"")</f>
        <v/>
      </c>
      <c r="F2" s="18" t="str">
        <f>IFERROR(([1]!s_stmnote_bank_26($B2,$A2,1,100000000)-[1]!s_stmnote_bank_26($B2,#REF!,1,100000000)+#REF!)/[1]!s_stmnote_bank_1n($B2,#REF!,1,100000000),"")</f>
        <v/>
      </c>
      <c r="G2" s="21" t="str">
        <f>IFERROR(H2+K2/100,"")</f>
        <v/>
      </c>
      <c r="H2" s="18" t="str">
        <f>IFERROR([1]!s_stmnote_bank($B2,"34",$A2,100000000)/[1]!s_stmnote_bank_1n(B2,$A2,1,100000000),"")</f>
        <v/>
      </c>
      <c r="I2" s="25">
        <f>[1]!b_stm07_bs(B2,74,$A2,1,100000000)</f>
        <v>0</v>
      </c>
      <c r="J2" s="25">
        <f>[1]!b_stm07_bs(B2,109,$A2,1,100000000)</f>
        <v>0</v>
      </c>
      <c r="K2" s="10">
        <f>[1]!s_stmnote_bank_5n(B2,$A2,1)</f>
        <v>0</v>
      </c>
      <c r="L2" s="25">
        <f>[1]!s_stmnote_bank_23n(B2,$A2,1)</f>
        <v>0</v>
      </c>
      <c r="M2" s="25">
        <f>[1]!s_stmnote_bank_capadequacyratio(B2,$A2,1)</f>
        <v>0</v>
      </c>
      <c r="N2" s="25">
        <f>[1]!s_stmnote_bank_capadequacyratio_ct1(B2,$A2,1)</f>
        <v>0</v>
      </c>
      <c r="O2" s="6">
        <f>IF(OR([1]!s_fa_roe(B2,20201231)="0",[1]!s_fa_roe(B2,20211231)="0",[1]!s_fa_roe(B2,20221231)="0"),"",IFERROR(([1]!s_fa_roe(B2,20221231)+[1]!s_fa_roe(B2,20201231)+[1]!s_fa_roe(B2,20211231))/3,""))</f>
        <v>0</v>
      </c>
      <c r="P2" s="28" t="str">
        <f>IFERROR(([1]!s_stmnote_bank_65(B2,$A2,1,2,4,100000000)+[1]!s_stmnote_bank_65(B2,$A2,1,2,6,100000000))/[1]!s_stmnote_bank_1n(B2,$A2,1,100000000),"")</f>
        <v/>
      </c>
      <c r="Q2" s="28" t="str">
        <f>IFERROR([1]!s_stmnote_bank_614(B2,$A2,1,2,100000000)/[1]!s_stmnote_bank_647(B2,$A2,1,2,100000000),"")</f>
        <v/>
      </c>
      <c r="R2" s="28" t="str">
        <f>IFERROR(([1]!b_stm07_bs(B2,104,$A2,1,100000000)+[1]!b_stm07_bs(B2,106,$A2,1,100000000)+[1]!b_stm07_bs(B2,76,$A2,1,100000000)+[1]!b_stm07_bs(B2,108,$A2,1,100000000)+[1]!b_stm07_bs(B2,95,$A2,1,100000000))/[1]!b_stm07_bs(B2,128,$A2,1,100000000),"")</f>
        <v/>
      </c>
      <c r="S2" s="28" t="str">
        <f>IFERROR(([1]!s_stmnote_bank_614(B2,$A2,1,2,100000000)+[1]!b_stm07_bs(B2,104,$A2,1,100000000)+[1]!b_stm07_bs(B2,106,$A2,1,100000000)+[1]!b_stm07_bs(B2,76,$A2,1,100000000)+[1]!b_stm07_bs(B2,108,$A2,1,100000000)+[1]!b_stm07_bs(B2,95,$A2,1,100000000))/[1]!b_stm07_bs(B2,128,$A2,1,100000000),"")</f>
        <v/>
      </c>
      <c r="T2" s="11" t="str">
        <f>[1]!b_issuer_shareholder(B2,"",1)</f>
        <v>汇丰控股有限公司</v>
      </c>
      <c r="U2" s="10">
        <f>[1]!b_issuer_propofshareholder(B2,"",1)</f>
        <v>100</v>
      </c>
      <c r="V2" s="33" t="str">
        <f>LEFT(C2,2)</f>
        <v>香港</v>
      </c>
      <c r="W2" s="33" t="str">
        <f>[1]!s_info_city(B2)</f>
        <v>香港特别行政区</v>
      </c>
      <c r="X2" s="10">
        <f>IF([1]!s_stmnote_bank_17n(B2,$A2,1)="0","",[1]!s_stmnote_bank_17n(B2,$A2,1))</f>
        <v>0</v>
      </c>
      <c r="Y2" s="10">
        <f>IF([1]!s_stmnote_bank_18n(B2,$A2,1)="0","",[1]!s_stmnote_bank_18n(B2,$A2,1))</f>
        <v>0</v>
      </c>
      <c r="Z2" s="41">
        <f>IF([1]!s_stmnote_bank_58(B2,$A2,1)="0","",[1]!s_stmnote_bank_58(B2,$A2,1))</f>
        <v>0</v>
      </c>
      <c r="AA2" s="52">
        <f>IF([1]!s_stmnote_bank_60(B2,$A2,1)="0","",[1]!s_stmnote_bank_60(B2,$A2,1))</f>
        <v>0</v>
      </c>
      <c r="AB2" s="52">
        <f>[1]!s_stmnote_bank_5444(B2,$A2,1)</f>
        <v>0</v>
      </c>
      <c r="AC2" s="38">
        <f>[1]!s_stmnote_bank_129n($B2,$A2,1)</f>
        <v>0</v>
      </c>
      <c r="AD2" s="54">
        <f>[1]!s_stmnote_bank_30(B2,$A2,1)</f>
        <v>0</v>
      </c>
    </row>
    <row r="3" spans="1:30" s="46" customFormat="1" ht="24">
      <c r="A3" s="1" t="s">
        <v>1110</v>
      </c>
      <c r="B3" s="87" t="s">
        <v>1111</v>
      </c>
      <c r="C3" s="8">
        <f>IF([1]!b_info_issuer(B3)="0","",IFERROR([1]!b_info_issuer(B3),""))</f>
        <v>0</v>
      </c>
      <c r="D3" s="11">
        <f>IF([1]!b_info_latestissurercreditrating(B3)="0","",IFERROR([1]!b_info_latestissurercreditrating(B3),""))</f>
        <v>0</v>
      </c>
      <c r="E3" s="27" t="str">
        <f>IFERROR(([1]!b_stm07_bs($B3,47,$A3,1,100000000))/[1]!b_stm07_bs($B3,109,$A3,1,100000000),"")</f>
        <v/>
      </c>
      <c r="F3" s="18" t="str">
        <f>IFERROR(([1]!s_stmnote_bank_26($B3,$A3,1,100000000)-[1]!s_stmnote_bank_26($B3,#REF!,1,100000000)+#REF!)/[1]!s_stmnote_bank_1n($B3,#REF!,1,100000000),"")</f>
        <v/>
      </c>
      <c r="G3" s="21" t="str">
        <f t="shared" ref="G3:G66" si="0">IFERROR(H3+K3/100,"")</f>
        <v/>
      </c>
      <c r="H3" s="18" t="str">
        <f>IFERROR([1]!s_stmnote_bank($B3,"34",$A3,100000000)/[1]!s_stmnote_bank_1n(B3,$A3,1,100000000),"")</f>
        <v/>
      </c>
      <c r="I3" s="25">
        <f>[1]!b_stm07_bs(B3,74,$A3,1,100000000)</f>
        <v>0</v>
      </c>
      <c r="J3" s="25">
        <f>[1]!b_stm07_bs(B3,109,$A3,1,100000000)</f>
        <v>0</v>
      </c>
      <c r="K3" s="10">
        <f>[1]!s_stmnote_bank_5n(B3,$A3,1)</f>
        <v>0</v>
      </c>
      <c r="L3" s="25">
        <f>[1]!s_stmnote_bank_23n(B3,$A3,1)</f>
        <v>0</v>
      </c>
      <c r="M3" s="25">
        <f>[1]!s_stmnote_bank_capadequacyratio(B3,$A3,1)</f>
        <v>0</v>
      </c>
      <c r="N3" s="25">
        <f>[1]!s_stmnote_bank_capadequacyratio_ct1(B3,$A3,1)</f>
        <v>0</v>
      </c>
      <c r="O3" s="6">
        <f>IF(OR([1]!s_fa_roe(B3,20201231)="0",[1]!s_fa_roe(B3,20211231)="0",[1]!s_fa_roe(B3,20221231)="0"),"",IFERROR(([1]!s_fa_roe(B3,20221231)+[1]!s_fa_roe(B3,20201231)+[1]!s_fa_roe(B3,20211231))/3,""))</f>
        <v>0</v>
      </c>
      <c r="P3" s="28" t="str">
        <f>IFERROR(([1]!s_stmnote_bank_65(B3,$A3,1,2,4,100000000)+[1]!s_stmnote_bank_65(B3,$A3,1,2,6,100000000))/[1]!s_stmnote_bank_1n(B3,$A3,1,100000000),"")</f>
        <v/>
      </c>
      <c r="Q3" s="28" t="str">
        <f>IFERROR([1]!s_stmnote_bank_614(B3,$A3,1,2,100000000)/[1]!s_stmnote_bank_647(B3,$A3,1,2,100000000),"")</f>
        <v/>
      </c>
      <c r="R3" s="28" t="str">
        <f>IFERROR(([1]!b_stm07_bs(B3,104,$A3,1,100000000)+[1]!b_stm07_bs(B3,106,$A3,1,100000000)+[1]!b_stm07_bs(B3,76,$A3,1,100000000)+[1]!b_stm07_bs(B3,108,$A3,1,100000000)+[1]!b_stm07_bs(B3,95,$A3,1,100000000))/[1]!b_stm07_bs(B3,128,$A3,1,100000000),"")</f>
        <v/>
      </c>
      <c r="S3" s="28" t="str">
        <f>IFERROR(([1]!s_stmnote_bank_614(B3,$A3,1,2,100000000)+[1]!b_stm07_bs(B3,104,$A3,1,100000000)+[1]!b_stm07_bs(B3,106,$A3,1,100000000)+[1]!b_stm07_bs(B3,76,$A3,1,100000000)+[1]!b_stm07_bs(B3,108,$A3,1,100000000)+[1]!b_stm07_bs(B3,95,$A3,1,100000000))/[1]!b_stm07_bs(B3,128,$A3,1,100000000),"")</f>
        <v/>
      </c>
      <c r="T3" s="11">
        <f>[1]!b_issuer_shareholder(B3,"",1)</f>
        <v>0</v>
      </c>
      <c r="U3" s="10">
        <f>[1]!b_issuer_propofshareholder(B3,"",1)</f>
        <v>0</v>
      </c>
      <c r="V3" s="33" t="str">
        <f t="shared" ref="V3:V66" si="1">LEFT(C3,2)</f>
        <v>0</v>
      </c>
      <c r="W3" s="33">
        <f>[1]!s_info_city(B3)</f>
        <v>0</v>
      </c>
      <c r="X3" s="10">
        <f>IF([1]!s_stmnote_bank_17n(B3,$A3,1)="0","",[1]!s_stmnote_bank_17n(B3,$A3,1))</f>
        <v>0</v>
      </c>
      <c r="Y3" s="10">
        <f>IF([1]!s_stmnote_bank_18n(B3,$A3,1)="0","",[1]!s_stmnote_bank_18n(B3,$A3,1))</f>
        <v>0</v>
      </c>
      <c r="Z3" s="41">
        <f>IF([1]!s_stmnote_bank_58(B3,$A3,1)="0","",[1]!s_stmnote_bank_58(B3,$A3,1))</f>
        <v>0</v>
      </c>
      <c r="AA3" s="52">
        <f>IF([1]!s_stmnote_bank_60(B3,$A3,1)="0","",[1]!s_stmnote_bank_60(B3,$A3,1))</f>
        <v>0</v>
      </c>
      <c r="AB3" s="52">
        <f>[1]!s_stmnote_bank_5444(B3,$A3,1)</f>
        <v>0</v>
      </c>
      <c r="AC3" s="38">
        <f>[1]!s_stmnote_bank_129n($B3,$A3,1)</f>
        <v>0</v>
      </c>
      <c r="AD3" s="54">
        <f>[1]!s_stmnote_bank_30(B3,$A3,1)</f>
        <v>0</v>
      </c>
    </row>
    <row r="4" spans="1:30" s="46" customFormat="1" ht="24">
      <c r="A4" s="1" t="s">
        <v>1110</v>
      </c>
      <c r="B4" s="87" t="s">
        <v>1112</v>
      </c>
      <c r="C4" s="8">
        <f>IF([1]!b_info_issuer(B4)="0","",IFERROR([1]!b_info_issuer(B4),""))</f>
        <v>0</v>
      </c>
      <c r="D4" s="11">
        <f>IF([1]!b_info_latestissurercreditrating(B4)="0","",IFERROR([1]!b_info_latestissurercreditrating(B4),""))</f>
        <v>0</v>
      </c>
      <c r="E4" s="27" t="str">
        <f>IFERROR(([1]!b_stm07_bs($B4,47,$A4,1,100000000))/[1]!b_stm07_bs($B4,109,$A4,1,100000000),"")</f>
        <v/>
      </c>
      <c r="F4" s="18" t="str">
        <f>IFERROR(([1]!s_stmnote_bank_26($B4,$A4,1,100000000)-[1]!s_stmnote_bank_26($B4,#REF!,1,100000000)+#REF!)/[1]!s_stmnote_bank_1n($B4,#REF!,1,100000000),"")</f>
        <v/>
      </c>
      <c r="G4" s="21" t="str">
        <f t="shared" si="0"/>
        <v/>
      </c>
      <c r="H4" s="18" t="str">
        <f>IFERROR([1]!s_stmnote_bank($B4,"34",$A4,100000000)/[1]!s_stmnote_bank_1n(B4,$A4,1,100000000),"")</f>
        <v/>
      </c>
      <c r="I4" s="25">
        <f>[1]!b_stm07_bs(B4,74,$A4,1,100000000)</f>
        <v>0</v>
      </c>
      <c r="J4" s="25">
        <f>[1]!b_stm07_bs(B4,109,$A4,1,100000000)</f>
        <v>0</v>
      </c>
      <c r="K4" s="10">
        <f>[1]!s_stmnote_bank_5n(B4,$A4,1)</f>
        <v>0</v>
      </c>
      <c r="L4" s="25">
        <f>[1]!s_stmnote_bank_23n(B4,$A4,1)</f>
        <v>0</v>
      </c>
      <c r="M4" s="25">
        <f>[1]!s_stmnote_bank_capadequacyratio(B4,$A4,1)</f>
        <v>0</v>
      </c>
      <c r="N4" s="25">
        <f>[1]!s_stmnote_bank_capadequacyratio_ct1(B4,$A4,1)</f>
        <v>0</v>
      </c>
      <c r="O4" s="6">
        <f>IF(OR([1]!s_fa_roe(B4,20201231)="0",[1]!s_fa_roe(B4,20211231)="0",[1]!s_fa_roe(B4,20221231)="0"),"",IFERROR(([1]!s_fa_roe(B4,20221231)+[1]!s_fa_roe(B4,20201231)+[1]!s_fa_roe(B4,20211231))/3,""))</f>
        <v>0</v>
      </c>
      <c r="P4" s="28" t="str">
        <f>IFERROR(([1]!s_stmnote_bank_65(B4,$A4,1,2,4,100000000)+[1]!s_stmnote_bank_65(B4,$A4,1,2,6,100000000))/[1]!s_stmnote_bank_1n(B4,$A4,1,100000000),"")</f>
        <v/>
      </c>
      <c r="Q4" s="28" t="str">
        <f>IFERROR([1]!s_stmnote_bank_614(B4,$A4,1,2,100000000)/[1]!s_stmnote_bank_647(B4,$A4,1,2,100000000),"")</f>
        <v/>
      </c>
      <c r="R4" s="28" t="str">
        <f>IFERROR(([1]!b_stm07_bs(B4,104,$A4,1,100000000)+[1]!b_stm07_bs(B4,106,$A4,1,100000000)+[1]!b_stm07_bs(B4,76,$A4,1,100000000)+[1]!b_stm07_bs(B4,108,$A4,1,100000000)+[1]!b_stm07_bs(B4,95,$A4,1,100000000))/[1]!b_stm07_bs(B4,128,$A4,1,100000000),"")</f>
        <v/>
      </c>
      <c r="S4" s="28" t="str">
        <f>IFERROR(([1]!s_stmnote_bank_614(B4,$A4,1,2,100000000)+[1]!b_stm07_bs(B4,104,$A4,1,100000000)+[1]!b_stm07_bs(B4,106,$A4,1,100000000)+[1]!b_stm07_bs(B4,76,$A4,1,100000000)+[1]!b_stm07_bs(B4,108,$A4,1,100000000)+[1]!b_stm07_bs(B4,95,$A4,1,100000000))/[1]!b_stm07_bs(B4,128,$A4,1,100000000),"")</f>
        <v/>
      </c>
      <c r="T4" s="11">
        <f>[1]!b_issuer_shareholder(B4,"",1)</f>
        <v>0</v>
      </c>
      <c r="U4" s="10">
        <f>[1]!b_issuer_propofshareholder(B4,"",1)</f>
        <v>0</v>
      </c>
      <c r="V4" s="33" t="str">
        <f t="shared" si="1"/>
        <v>0</v>
      </c>
      <c r="W4" s="33">
        <f>[1]!s_info_city(B4)</f>
        <v>0</v>
      </c>
      <c r="X4" s="10">
        <f>IF([1]!s_stmnote_bank_17n(B4,$A4,1)="0","",[1]!s_stmnote_bank_17n(B4,$A4,1))</f>
        <v>0</v>
      </c>
      <c r="Y4" s="10">
        <f>IF([1]!s_stmnote_bank_18n(B4,$A4,1)="0","",[1]!s_stmnote_bank_18n(B4,$A4,1))</f>
        <v>0</v>
      </c>
      <c r="Z4" s="41">
        <f>IF([1]!s_stmnote_bank_58(B4,$A4,1)="0","",[1]!s_stmnote_bank_58(B4,$A4,1))</f>
        <v>0</v>
      </c>
      <c r="AA4" s="52">
        <f>IF([1]!s_stmnote_bank_60(B4,$A4,1)="0","",[1]!s_stmnote_bank_60(B4,$A4,1))</f>
        <v>0</v>
      </c>
      <c r="AB4" s="52">
        <f>[1]!s_stmnote_bank_5444(B4,$A4,1)</f>
        <v>0</v>
      </c>
      <c r="AC4" s="38">
        <f>[1]!s_stmnote_bank_129n($B4,$A4,1)</f>
        <v>0</v>
      </c>
      <c r="AD4" s="54">
        <f>[1]!s_stmnote_bank_30(B4,$A4,1)</f>
        <v>0</v>
      </c>
    </row>
    <row r="5" spans="1:30" s="46" customFormat="1" ht="24">
      <c r="A5" s="1" t="s">
        <v>1110</v>
      </c>
      <c r="B5" s="87" t="s">
        <v>1113</v>
      </c>
      <c r="C5" s="8">
        <f>IF([1]!b_info_issuer(B5)="0","",IFERROR([1]!b_info_issuer(B5),""))</f>
        <v>0</v>
      </c>
      <c r="D5" s="11">
        <f>IF([1]!b_info_latestissurercreditrating(B5)="0","",IFERROR([1]!b_info_latestissurercreditrating(B5),""))</f>
        <v>0</v>
      </c>
      <c r="E5" s="27" t="str">
        <f>IFERROR(([1]!b_stm07_bs($B5,47,$A5,1,100000000))/[1]!b_stm07_bs($B5,109,$A5,1,100000000),"")</f>
        <v/>
      </c>
      <c r="F5" s="18" t="str">
        <f>IFERROR(([1]!s_stmnote_bank_26($B5,$A5,1,100000000)-[1]!s_stmnote_bank_26($B5,#REF!,1,100000000)+#REF!)/[1]!s_stmnote_bank_1n($B5,#REF!,1,100000000),"")</f>
        <v/>
      </c>
      <c r="G5" s="21" t="str">
        <f t="shared" si="0"/>
        <v/>
      </c>
      <c r="H5" s="18" t="str">
        <f>IFERROR([1]!s_stmnote_bank($B5,"34",$A5,100000000)/[1]!s_stmnote_bank_1n(B5,$A5,1,100000000),"")</f>
        <v/>
      </c>
      <c r="I5" s="25">
        <f>[1]!b_stm07_bs(B5,74,$A5,1,100000000)</f>
        <v>0</v>
      </c>
      <c r="J5" s="25">
        <f>[1]!b_stm07_bs(B5,109,$A5,1,100000000)</f>
        <v>0</v>
      </c>
      <c r="K5" s="10">
        <f>[1]!s_stmnote_bank_5n(B5,$A5,1)</f>
        <v>0</v>
      </c>
      <c r="L5" s="25">
        <f>[1]!s_stmnote_bank_23n(B5,$A5,1)</f>
        <v>0</v>
      </c>
      <c r="M5" s="25">
        <f>[1]!s_stmnote_bank_capadequacyratio(B5,$A5,1)</f>
        <v>0</v>
      </c>
      <c r="N5" s="25">
        <f>[1]!s_stmnote_bank_capadequacyratio_ct1(B5,$A5,1)</f>
        <v>0</v>
      </c>
      <c r="O5" s="6">
        <f>IF(OR([1]!s_fa_roe(B5,20201231)="0",[1]!s_fa_roe(B5,20211231)="0",[1]!s_fa_roe(B5,20221231)="0"),"",IFERROR(([1]!s_fa_roe(B5,20221231)+[1]!s_fa_roe(B5,20201231)+[1]!s_fa_roe(B5,20211231))/3,""))</f>
        <v>0</v>
      </c>
      <c r="P5" s="28" t="str">
        <f>IFERROR(([1]!s_stmnote_bank_65(B5,$A5,1,2,4,100000000)+[1]!s_stmnote_bank_65(B5,$A5,1,2,6,100000000))/[1]!s_stmnote_bank_1n(B5,$A5,1,100000000),"")</f>
        <v/>
      </c>
      <c r="Q5" s="28" t="str">
        <f>IFERROR([1]!s_stmnote_bank_614(B5,$A5,1,2,100000000)/[1]!s_stmnote_bank_647(B5,$A5,1,2,100000000),"")</f>
        <v/>
      </c>
      <c r="R5" s="28" t="str">
        <f>IFERROR(([1]!b_stm07_bs(B5,104,$A5,1,100000000)+[1]!b_stm07_bs(B5,106,$A5,1,100000000)+[1]!b_stm07_bs(B5,76,$A5,1,100000000)+[1]!b_stm07_bs(B5,108,$A5,1,100000000)+[1]!b_stm07_bs(B5,95,$A5,1,100000000))/[1]!b_stm07_bs(B5,128,$A5,1,100000000),"")</f>
        <v/>
      </c>
      <c r="S5" s="28" t="str">
        <f>IFERROR(([1]!s_stmnote_bank_614(B5,$A5,1,2,100000000)+[1]!b_stm07_bs(B5,104,$A5,1,100000000)+[1]!b_stm07_bs(B5,106,$A5,1,100000000)+[1]!b_stm07_bs(B5,76,$A5,1,100000000)+[1]!b_stm07_bs(B5,108,$A5,1,100000000)+[1]!b_stm07_bs(B5,95,$A5,1,100000000))/[1]!b_stm07_bs(B5,128,$A5,1,100000000),"")</f>
        <v/>
      </c>
      <c r="T5" s="11">
        <f>[1]!b_issuer_shareholder(B5,"",1)</f>
        <v>0</v>
      </c>
      <c r="U5" s="10">
        <f>[1]!b_issuer_propofshareholder(B5,"",1)</f>
        <v>0</v>
      </c>
      <c r="V5" s="33" t="str">
        <f t="shared" si="1"/>
        <v>0</v>
      </c>
      <c r="W5" s="33">
        <f>[1]!s_info_city(B5)</f>
        <v>0</v>
      </c>
      <c r="X5" s="10">
        <f>IF([1]!s_stmnote_bank_17n(B5,$A5,1)="0","",[1]!s_stmnote_bank_17n(B5,$A5,1))</f>
        <v>0</v>
      </c>
      <c r="Y5" s="10">
        <f>IF([1]!s_stmnote_bank_18n(B5,$A5,1)="0","",[1]!s_stmnote_bank_18n(B5,$A5,1))</f>
        <v>0</v>
      </c>
      <c r="Z5" s="41">
        <f>IF([1]!s_stmnote_bank_58(B5,$A5,1)="0","",[1]!s_stmnote_bank_58(B5,$A5,1))</f>
        <v>0</v>
      </c>
      <c r="AA5" s="52">
        <f>IF([1]!s_stmnote_bank_60(B5,$A5,1)="0","",[1]!s_stmnote_bank_60(B5,$A5,1))</f>
        <v>0</v>
      </c>
      <c r="AB5" s="52">
        <f>[1]!s_stmnote_bank_5444(B5,$A5,1)</f>
        <v>0</v>
      </c>
      <c r="AC5" s="38">
        <f>[1]!s_stmnote_bank_129n($B5,$A5,1)</f>
        <v>0</v>
      </c>
      <c r="AD5" s="54">
        <f>[1]!s_stmnote_bank_30(B5,$A5,1)</f>
        <v>0</v>
      </c>
    </row>
    <row r="6" spans="1:30" s="46" customFormat="1" ht="24">
      <c r="A6" s="1" t="s">
        <v>1110</v>
      </c>
      <c r="B6" s="87" t="s">
        <v>1114</v>
      </c>
      <c r="C6" s="8">
        <f>IF([1]!b_info_issuer(B6)="0","",IFERROR([1]!b_info_issuer(B6),""))</f>
        <v>0</v>
      </c>
      <c r="D6" s="11">
        <f>IF([1]!b_info_latestissurercreditrating(B6)="0","",IFERROR([1]!b_info_latestissurercreditrating(B6),""))</f>
        <v>0</v>
      </c>
      <c r="E6" s="27" t="str">
        <f>IFERROR(([1]!b_stm07_bs($B6,47,$A6,1,100000000))/[1]!b_stm07_bs($B6,109,$A6,1,100000000),"")</f>
        <v/>
      </c>
      <c r="F6" s="18" t="str">
        <f>IFERROR(([1]!s_stmnote_bank_26($B6,$A6,1,100000000)-[1]!s_stmnote_bank_26($B6,#REF!,1,100000000)+#REF!)/[1]!s_stmnote_bank_1n($B6,#REF!,1,100000000),"")</f>
        <v/>
      </c>
      <c r="G6" s="21" t="str">
        <f t="shared" si="0"/>
        <v/>
      </c>
      <c r="H6" s="18" t="str">
        <f>IFERROR([1]!s_stmnote_bank($B6,"34",$A6,100000000)/[1]!s_stmnote_bank_1n(B6,$A6,1,100000000),"")</f>
        <v/>
      </c>
      <c r="I6" s="25">
        <f>[1]!b_stm07_bs(B6,74,$A6,1,100000000)</f>
        <v>0</v>
      </c>
      <c r="J6" s="25">
        <f>[1]!b_stm07_bs(B6,109,$A6,1,100000000)</f>
        <v>0</v>
      </c>
      <c r="K6" s="10">
        <f>[1]!s_stmnote_bank_5n(B6,$A6,1)</f>
        <v>0</v>
      </c>
      <c r="L6" s="25">
        <f>[1]!s_stmnote_bank_23n(B6,$A6,1)</f>
        <v>0</v>
      </c>
      <c r="M6" s="25">
        <f>[1]!s_stmnote_bank_capadequacyratio(B6,$A6,1)</f>
        <v>0</v>
      </c>
      <c r="N6" s="25">
        <f>[1]!s_stmnote_bank_capadequacyratio_ct1(B6,$A6,1)</f>
        <v>0</v>
      </c>
      <c r="O6" s="6">
        <f>IF(OR([1]!s_fa_roe(B6,20201231)="0",[1]!s_fa_roe(B6,20211231)="0",[1]!s_fa_roe(B6,20221231)="0"),"",IFERROR(([1]!s_fa_roe(B6,20221231)+[1]!s_fa_roe(B6,20201231)+[1]!s_fa_roe(B6,20211231))/3,""))</f>
        <v>0</v>
      </c>
      <c r="P6" s="28" t="str">
        <f>IFERROR(([1]!s_stmnote_bank_65(B6,$A6,1,2,4,100000000)+[1]!s_stmnote_bank_65(B6,$A6,1,2,6,100000000))/[1]!s_stmnote_bank_1n(B6,$A6,1,100000000),"")</f>
        <v/>
      </c>
      <c r="Q6" s="28" t="str">
        <f>IFERROR([1]!s_stmnote_bank_614(B6,$A6,1,2,100000000)/[1]!s_stmnote_bank_647(B6,$A6,1,2,100000000),"")</f>
        <v/>
      </c>
      <c r="R6" s="28" t="str">
        <f>IFERROR(([1]!b_stm07_bs(B6,104,$A6,1,100000000)+[1]!b_stm07_bs(B6,106,$A6,1,100000000)+[1]!b_stm07_bs(B6,76,$A6,1,100000000)+[1]!b_stm07_bs(B6,108,$A6,1,100000000)+[1]!b_stm07_bs(B6,95,$A6,1,100000000))/[1]!b_stm07_bs(B6,128,$A6,1,100000000),"")</f>
        <v/>
      </c>
      <c r="S6" s="28" t="str">
        <f>IFERROR(([1]!s_stmnote_bank_614(B6,$A6,1,2,100000000)+[1]!b_stm07_bs(B6,104,$A6,1,100000000)+[1]!b_stm07_bs(B6,106,$A6,1,100000000)+[1]!b_stm07_bs(B6,76,$A6,1,100000000)+[1]!b_stm07_bs(B6,108,$A6,1,100000000)+[1]!b_stm07_bs(B6,95,$A6,1,100000000))/[1]!b_stm07_bs(B6,128,$A6,1,100000000),"")</f>
        <v/>
      </c>
      <c r="T6" s="11">
        <f>[1]!b_issuer_shareholder(B6,"",1)</f>
        <v>0</v>
      </c>
      <c r="U6" s="10">
        <f>[1]!b_issuer_propofshareholder(B6,"",1)</f>
        <v>0</v>
      </c>
      <c r="V6" s="33" t="str">
        <f t="shared" si="1"/>
        <v>0</v>
      </c>
      <c r="W6" s="33">
        <f>[1]!s_info_city(B6)</f>
        <v>0</v>
      </c>
      <c r="X6" s="10">
        <f>IF([1]!s_stmnote_bank_17n(B6,$A6,1)="0","",[1]!s_stmnote_bank_17n(B6,$A6,1))</f>
        <v>0</v>
      </c>
      <c r="Y6" s="10">
        <f>IF([1]!s_stmnote_bank_18n(B6,$A6,1)="0","",[1]!s_stmnote_bank_18n(B6,$A6,1))</f>
        <v>0</v>
      </c>
      <c r="Z6" s="41">
        <f>IF([1]!s_stmnote_bank_58(B6,$A6,1)="0","",[1]!s_stmnote_bank_58(B6,$A6,1))</f>
        <v>0</v>
      </c>
      <c r="AA6" s="52">
        <f>IF([1]!s_stmnote_bank_60(B6,$A6,1)="0","",[1]!s_stmnote_bank_60(B6,$A6,1))</f>
        <v>0</v>
      </c>
      <c r="AB6" s="52">
        <f>[1]!s_stmnote_bank_5444(B6,$A6,1)</f>
        <v>0</v>
      </c>
      <c r="AC6" s="38">
        <f>[1]!s_stmnote_bank_129n($B6,$A6,1)</f>
        <v>0</v>
      </c>
      <c r="AD6" s="54">
        <f>[1]!s_stmnote_bank_30(B6,$A6,1)</f>
        <v>0</v>
      </c>
    </row>
    <row r="7" spans="1:30" s="46" customFormat="1" ht="24">
      <c r="A7" s="1" t="s">
        <v>1110</v>
      </c>
      <c r="B7" s="87" t="s">
        <v>1115</v>
      </c>
      <c r="C7" s="8">
        <f>IF([1]!b_info_issuer(B7)="0","",IFERROR([1]!b_info_issuer(B7),""))</f>
        <v>0</v>
      </c>
      <c r="D7" s="11">
        <f>IF([1]!b_info_latestissurercreditrating(B7)="0","",IFERROR([1]!b_info_latestissurercreditrating(B7),""))</f>
        <v>0</v>
      </c>
      <c r="E7" s="27" t="str">
        <f>IFERROR(([1]!b_stm07_bs($B7,47,$A7,1,100000000))/[1]!b_stm07_bs($B7,109,$A7,1,100000000),"")</f>
        <v/>
      </c>
      <c r="F7" s="18" t="str">
        <f>IFERROR(([1]!s_stmnote_bank_26($B7,$A7,1,100000000)-[1]!s_stmnote_bank_26($B7,#REF!,1,100000000)+#REF!)/[1]!s_stmnote_bank_1n($B7,#REF!,1,100000000),"")</f>
        <v/>
      </c>
      <c r="G7" s="21" t="str">
        <f t="shared" si="0"/>
        <v/>
      </c>
      <c r="H7" s="18" t="str">
        <f>IFERROR([1]!s_stmnote_bank($B7,"34",$A7,100000000)/[1]!s_stmnote_bank_1n(B7,$A7,1,100000000),"")</f>
        <v/>
      </c>
      <c r="I7" s="25">
        <f>[1]!b_stm07_bs(B7,74,$A7,1,100000000)</f>
        <v>0</v>
      </c>
      <c r="J7" s="25">
        <f>[1]!b_stm07_bs(B7,109,$A7,1,100000000)</f>
        <v>0</v>
      </c>
      <c r="K7" s="10">
        <f>[1]!s_stmnote_bank_5n(B7,$A7,1)</f>
        <v>0</v>
      </c>
      <c r="L7" s="25">
        <f>[1]!s_stmnote_bank_23n(B7,$A7,1)</f>
        <v>0</v>
      </c>
      <c r="M7" s="25">
        <f>[1]!s_stmnote_bank_capadequacyratio(B7,$A7,1)</f>
        <v>0</v>
      </c>
      <c r="N7" s="25">
        <f>[1]!s_stmnote_bank_capadequacyratio_ct1(B7,$A7,1)</f>
        <v>0</v>
      </c>
      <c r="O7" s="6">
        <f>IF(OR([1]!s_fa_roe(B7,20201231)="0",[1]!s_fa_roe(B7,20211231)="0",[1]!s_fa_roe(B7,20221231)="0"),"",IFERROR(([1]!s_fa_roe(B7,20221231)+[1]!s_fa_roe(B7,20201231)+[1]!s_fa_roe(B7,20211231))/3,""))</f>
        <v>0</v>
      </c>
      <c r="P7" s="28" t="str">
        <f>IFERROR(([1]!s_stmnote_bank_65(B7,$A7,1,2,4,100000000)+[1]!s_stmnote_bank_65(B7,$A7,1,2,6,100000000))/[1]!s_stmnote_bank_1n(B7,$A7,1,100000000),"")</f>
        <v/>
      </c>
      <c r="Q7" s="28" t="str">
        <f>IFERROR([1]!s_stmnote_bank_614(B7,$A7,1,2,100000000)/[1]!s_stmnote_bank_647(B7,$A7,1,2,100000000),"")</f>
        <v/>
      </c>
      <c r="R7" s="28" t="str">
        <f>IFERROR(([1]!b_stm07_bs(B7,104,$A7,1,100000000)+[1]!b_stm07_bs(B7,106,$A7,1,100000000)+[1]!b_stm07_bs(B7,76,$A7,1,100000000)+[1]!b_stm07_bs(B7,108,$A7,1,100000000)+[1]!b_stm07_bs(B7,95,$A7,1,100000000))/[1]!b_stm07_bs(B7,128,$A7,1,100000000),"")</f>
        <v/>
      </c>
      <c r="S7" s="28" t="str">
        <f>IFERROR(([1]!s_stmnote_bank_614(B7,$A7,1,2,100000000)+[1]!b_stm07_bs(B7,104,$A7,1,100000000)+[1]!b_stm07_bs(B7,106,$A7,1,100000000)+[1]!b_stm07_bs(B7,76,$A7,1,100000000)+[1]!b_stm07_bs(B7,108,$A7,1,100000000)+[1]!b_stm07_bs(B7,95,$A7,1,100000000))/[1]!b_stm07_bs(B7,128,$A7,1,100000000),"")</f>
        <v/>
      </c>
      <c r="T7" s="11">
        <f>[1]!b_issuer_shareholder(B7,"",1)</f>
        <v>0</v>
      </c>
      <c r="U7" s="10">
        <f>[1]!b_issuer_propofshareholder(B7,"",1)</f>
        <v>0</v>
      </c>
      <c r="V7" s="33" t="str">
        <f t="shared" si="1"/>
        <v>0</v>
      </c>
      <c r="W7" s="33">
        <f>[1]!s_info_city(B7)</f>
        <v>0</v>
      </c>
      <c r="X7" s="10">
        <f>IF([1]!s_stmnote_bank_17n(B7,$A7,1)="0","",[1]!s_stmnote_bank_17n(B7,$A7,1))</f>
        <v>0</v>
      </c>
      <c r="Y7" s="10">
        <f>IF([1]!s_stmnote_bank_18n(B7,$A7,1)="0","",[1]!s_stmnote_bank_18n(B7,$A7,1))</f>
        <v>0</v>
      </c>
      <c r="Z7" s="41">
        <f>IF([1]!s_stmnote_bank_58(B7,$A7,1)="0","",[1]!s_stmnote_bank_58(B7,$A7,1))</f>
        <v>0</v>
      </c>
      <c r="AA7" s="52">
        <f>IF([1]!s_stmnote_bank_60(B7,$A7,1)="0","",[1]!s_stmnote_bank_60(B7,$A7,1))</f>
        <v>0</v>
      </c>
      <c r="AB7" s="52">
        <f>[1]!s_stmnote_bank_5444(B7,$A7,1)</f>
        <v>0</v>
      </c>
      <c r="AC7" s="38">
        <f>[1]!s_stmnote_bank_129n($B7,$A7,1)</f>
        <v>0</v>
      </c>
      <c r="AD7" s="54">
        <f>[1]!s_stmnote_bank_30(B7,$A7,1)</f>
        <v>0</v>
      </c>
    </row>
    <row r="8" spans="1:30" s="46" customFormat="1" ht="24">
      <c r="A8" s="1" t="s">
        <v>1110</v>
      </c>
      <c r="B8" s="87" t="s">
        <v>1116</v>
      </c>
      <c r="C8" s="8">
        <f>IF([1]!b_info_issuer(B8)="0","",IFERROR([1]!b_info_issuer(B8),""))</f>
        <v>0</v>
      </c>
      <c r="D8" s="11">
        <f>IF([1]!b_info_latestissurercreditrating(B8)="0","",IFERROR([1]!b_info_latestissurercreditrating(B8),""))</f>
        <v>0</v>
      </c>
      <c r="E8" s="27" t="str">
        <f>IFERROR(([1]!b_stm07_bs($B8,47,$A8,1,100000000))/[1]!b_stm07_bs($B8,109,$A8,1,100000000),"")</f>
        <v/>
      </c>
      <c r="F8" s="18" t="str">
        <f>IFERROR(([1]!s_stmnote_bank_26($B8,$A8,1,100000000)-[1]!s_stmnote_bank_26($B8,#REF!,1,100000000)+#REF!)/[1]!s_stmnote_bank_1n($B8,#REF!,1,100000000),"")</f>
        <v/>
      </c>
      <c r="G8" s="21" t="str">
        <f t="shared" si="0"/>
        <v/>
      </c>
      <c r="H8" s="18" t="str">
        <f>IFERROR([1]!s_stmnote_bank($B8,"34",$A8,100000000)/[1]!s_stmnote_bank_1n(B8,$A8,1,100000000),"")</f>
        <v/>
      </c>
      <c r="I8" s="25">
        <f>[1]!b_stm07_bs(B8,74,$A8,1,100000000)</f>
        <v>0</v>
      </c>
      <c r="J8" s="25">
        <f>[1]!b_stm07_bs(B8,109,$A8,1,100000000)</f>
        <v>0</v>
      </c>
      <c r="K8" s="10">
        <f>[1]!s_stmnote_bank_5n(B8,$A8,1)</f>
        <v>0</v>
      </c>
      <c r="L8" s="25">
        <f>[1]!s_stmnote_bank_23n(B8,$A8,1)</f>
        <v>0</v>
      </c>
      <c r="M8" s="25">
        <f>[1]!s_stmnote_bank_capadequacyratio(B8,$A8,1)</f>
        <v>0</v>
      </c>
      <c r="N8" s="25">
        <f>[1]!s_stmnote_bank_capadequacyratio_ct1(B8,$A8,1)</f>
        <v>0</v>
      </c>
      <c r="O8" s="6">
        <f>IF(OR([1]!s_fa_roe(B8,20201231)="0",[1]!s_fa_roe(B8,20211231)="0",[1]!s_fa_roe(B8,20221231)="0"),"",IFERROR(([1]!s_fa_roe(B8,20221231)+[1]!s_fa_roe(B8,20201231)+[1]!s_fa_roe(B8,20211231))/3,""))</f>
        <v>0</v>
      </c>
      <c r="P8" s="28" t="str">
        <f>IFERROR(([1]!s_stmnote_bank_65(B8,$A8,1,2,4,100000000)+[1]!s_stmnote_bank_65(B8,$A8,1,2,6,100000000))/[1]!s_stmnote_bank_1n(B8,$A8,1,100000000),"")</f>
        <v/>
      </c>
      <c r="Q8" s="28" t="str">
        <f>IFERROR([1]!s_stmnote_bank_614(B8,$A8,1,2,100000000)/[1]!s_stmnote_bank_647(B8,$A8,1,2,100000000),"")</f>
        <v/>
      </c>
      <c r="R8" s="28" t="str">
        <f>IFERROR(([1]!b_stm07_bs(B8,104,$A8,1,100000000)+[1]!b_stm07_bs(B8,106,$A8,1,100000000)+[1]!b_stm07_bs(B8,76,$A8,1,100000000)+[1]!b_stm07_bs(B8,108,$A8,1,100000000)+[1]!b_stm07_bs(B8,95,$A8,1,100000000))/[1]!b_stm07_bs(B8,128,$A8,1,100000000),"")</f>
        <v/>
      </c>
      <c r="S8" s="28" t="str">
        <f>IFERROR(([1]!s_stmnote_bank_614(B8,$A8,1,2,100000000)+[1]!b_stm07_bs(B8,104,$A8,1,100000000)+[1]!b_stm07_bs(B8,106,$A8,1,100000000)+[1]!b_stm07_bs(B8,76,$A8,1,100000000)+[1]!b_stm07_bs(B8,108,$A8,1,100000000)+[1]!b_stm07_bs(B8,95,$A8,1,100000000))/[1]!b_stm07_bs(B8,128,$A8,1,100000000),"")</f>
        <v/>
      </c>
      <c r="T8" s="11">
        <f>[1]!b_issuer_shareholder(B8,"",1)</f>
        <v>0</v>
      </c>
      <c r="U8" s="10">
        <f>[1]!b_issuer_propofshareholder(B8,"",1)</f>
        <v>0</v>
      </c>
      <c r="V8" s="33" t="str">
        <f t="shared" si="1"/>
        <v>0</v>
      </c>
      <c r="W8" s="33">
        <f>[1]!s_info_city(B8)</f>
        <v>0</v>
      </c>
      <c r="X8" s="10">
        <f>IF([1]!s_stmnote_bank_17n(B8,$A8,1)="0","",[1]!s_stmnote_bank_17n(B8,$A8,1))</f>
        <v>0</v>
      </c>
      <c r="Y8" s="10">
        <f>IF([1]!s_stmnote_bank_18n(B8,$A8,1)="0","",[1]!s_stmnote_bank_18n(B8,$A8,1))</f>
        <v>0</v>
      </c>
      <c r="Z8" s="41">
        <f>IF([1]!s_stmnote_bank_58(B8,$A8,1)="0","",[1]!s_stmnote_bank_58(B8,$A8,1))</f>
        <v>0</v>
      </c>
      <c r="AA8" s="52">
        <f>IF([1]!s_stmnote_bank_60(B8,$A8,1)="0","",[1]!s_stmnote_bank_60(B8,$A8,1))</f>
        <v>0</v>
      </c>
      <c r="AB8" s="52">
        <f>[1]!s_stmnote_bank_5444(B8,$A8,1)</f>
        <v>0</v>
      </c>
      <c r="AC8" s="38">
        <f>[1]!s_stmnote_bank_129n($B8,$A8,1)</f>
        <v>0</v>
      </c>
      <c r="AD8" s="54">
        <f>[1]!s_stmnote_bank_30(B8,$A8,1)</f>
        <v>0</v>
      </c>
    </row>
    <row r="9" spans="1:30" s="46" customFormat="1" ht="24">
      <c r="A9" s="1" t="s">
        <v>1110</v>
      </c>
      <c r="B9" s="87" t="s">
        <v>1117</v>
      </c>
      <c r="C9" s="8">
        <f>IF([1]!b_info_issuer(B9)="0","",IFERROR([1]!b_info_issuer(B9),""))</f>
        <v>0</v>
      </c>
      <c r="D9" s="11">
        <f>IF([1]!b_info_latestissurercreditrating(B9)="0","",IFERROR([1]!b_info_latestissurercreditrating(B9),""))</f>
        <v>0</v>
      </c>
      <c r="E9" s="27" t="str">
        <f>IFERROR(([1]!b_stm07_bs($B9,47,$A9,1,100000000))/[1]!b_stm07_bs($B9,109,$A9,1,100000000),"")</f>
        <v/>
      </c>
      <c r="F9" s="18" t="str">
        <f>IFERROR(([1]!s_stmnote_bank_26($B9,$A9,1,100000000)-[1]!s_stmnote_bank_26($B9,#REF!,1,100000000)+#REF!)/[1]!s_stmnote_bank_1n($B9,#REF!,1,100000000),"")</f>
        <v/>
      </c>
      <c r="G9" s="21" t="str">
        <f t="shared" si="0"/>
        <v/>
      </c>
      <c r="H9" s="18" t="str">
        <f>IFERROR([1]!s_stmnote_bank($B9,"34",$A9,100000000)/[1]!s_stmnote_bank_1n(B9,$A9,1,100000000),"")</f>
        <v/>
      </c>
      <c r="I9" s="25">
        <f>[1]!b_stm07_bs(B9,74,$A9,1,100000000)</f>
        <v>0</v>
      </c>
      <c r="J9" s="25">
        <f>[1]!b_stm07_bs(B9,109,$A9,1,100000000)</f>
        <v>0</v>
      </c>
      <c r="K9" s="10">
        <f>[1]!s_stmnote_bank_5n(B9,$A9,1)</f>
        <v>0</v>
      </c>
      <c r="L9" s="25">
        <f>[1]!s_stmnote_bank_23n(B9,$A9,1)</f>
        <v>0</v>
      </c>
      <c r="M9" s="25">
        <f>[1]!s_stmnote_bank_capadequacyratio(B9,$A9,1)</f>
        <v>0</v>
      </c>
      <c r="N9" s="25">
        <f>[1]!s_stmnote_bank_capadequacyratio_ct1(B9,$A9,1)</f>
        <v>0</v>
      </c>
      <c r="O9" s="6">
        <f>IF(OR([1]!s_fa_roe(B9,20201231)="0",[1]!s_fa_roe(B9,20211231)="0",[1]!s_fa_roe(B9,20221231)="0"),"",IFERROR(([1]!s_fa_roe(B9,20221231)+[1]!s_fa_roe(B9,20201231)+[1]!s_fa_roe(B9,20211231))/3,""))</f>
        <v>0</v>
      </c>
      <c r="P9" s="28" t="str">
        <f>IFERROR(([1]!s_stmnote_bank_65(B9,$A9,1,2,4,100000000)+[1]!s_stmnote_bank_65(B9,$A9,1,2,6,100000000))/[1]!s_stmnote_bank_1n(B9,$A9,1,100000000),"")</f>
        <v/>
      </c>
      <c r="Q9" s="28" t="str">
        <f>IFERROR([1]!s_stmnote_bank_614(B9,$A9,1,2,100000000)/[1]!s_stmnote_bank_647(B9,$A9,1,2,100000000),"")</f>
        <v/>
      </c>
      <c r="R9" s="28" t="str">
        <f>IFERROR(([1]!b_stm07_bs(B9,104,$A9,1,100000000)+[1]!b_stm07_bs(B9,106,$A9,1,100000000)+[1]!b_stm07_bs(B9,76,$A9,1,100000000)+[1]!b_stm07_bs(B9,108,$A9,1,100000000)+[1]!b_stm07_bs(B9,95,$A9,1,100000000))/[1]!b_stm07_bs(B9,128,$A9,1,100000000),"")</f>
        <v/>
      </c>
      <c r="S9" s="28" t="str">
        <f>IFERROR(([1]!s_stmnote_bank_614(B9,$A9,1,2,100000000)+[1]!b_stm07_bs(B9,104,$A9,1,100000000)+[1]!b_stm07_bs(B9,106,$A9,1,100000000)+[1]!b_stm07_bs(B9,76,$A9,1,100000000)+[1]!b_stm07_bs(B9,108,$A9,1,100000000)+[1]!b_stm07_bs(B9,95,$A9,1,100000000))/[1]!b_stm07_bs(B9,128,$A9,1,100000000),"")</f>
        <v/>
      </c>
      <c r="T9" s="11">
        <f>[1]!b_issuer_shareholder(B9,"",1)</f>
        <v>0</v>
      </c>
      <c r="U9" s="10">
        <f>[1]!b_issuer_propofshareholder(B9,"",1)</f>
        <v>0</v>
      </c>
      <c r="V9" s="33" t="str">
        <f t="shared" si="1"/>
        <v>0</v>
      </c>
      <c r="W9" s="33">
        <f>[1]!s_info_city(B9)</f>
        <v>0</v>
      </c>
      <c r="X9" s="10">
        <f>IF([1]!s_stmnote_bank_17n(B9,$A9,1)="0","",[1]!s_stmnote_bank_17n(B9,$A9,1))</f>
        <v>0</v>
      </c>
      <c r="Y9" s="10">
        <f>IF([1]!s_stmnote_bank_18n(B9,$A9,1)="0","",[1]!s_stmnote_bank_18n(B9,$A9,1))</f>
        <v>0</v>
      </c>
      <c r="Z9" s="41">
        <f>IF([1]!s_stmnote_bank_58(B9,$A9,1)="0","",[1]!s_stmnote_bank_58(B9,$A9,1))</f>
        <v>0</v>
      </c>
      <c r="AA9" s="52">
        <f>IF([1]!s_stmnote_bank_60(B9,$A9,1)="0","",[1]!s_stmnote_bank_60(B9,$A9,1))</f>
        <v>0</v>
      </c>
      <c r="AB9" s="52">
        <f>[1]!s_stmnote_bank_5444(B9,$A9,1)</f>
        <v>0</v>
      </c>
      <c r="AC9" s="38">
        <f>[1]!s_stmnote_bank_129n($B9,$A9,1)</f>
        <v>0</v>
      </c>
      <c r="AD9" s="54">
        <f>[1]!s_stmnote_bank_30(B9,$A9,1)</f>
        <v>0</v>
      </c>
    </row>
    <row r="10" spans="1:30" s="46" customFormat="1" ht="24">
      <c r="A10" s="1" t="s">
        <v>1110</v>
      </c>
      <c r="B10" s="87" t="s">
        <v>1118</v>
      </c>
      <c r="C10" s="8">
        <f>IF([1]!b_info_issuer(B10)="0","",IFERROR([1]!b_info_issuer(B10),""))</f>
        <v>0</v>
      </c>
      <c r="D10" s="11">
        <f>IF([1]!b_info_latestissurercreditrating(B10)="0","",IFERROR([1]!b_info_latestissurercreditrating(B10),""))</f>
        <v>0</v>
      </c>
      <c r="E10" s="27" t="str">
        <f>IFERROR(([1]!b_stm07_bs($B10,47,$A10,1,100000000))/[1]!b_stm07_bs($B10,109,$A10,1,100000000),"")</f>
        <v/>
      </c>
      <c r="F10" s="18" t="str">
        <f>IFERROR(([1]!s_stmnote_bank_26($B10,$A10,1,100000000)-[1]!s_stmnote_bank_26($B10,#REF!,1,100000000)+#REF!)/[1]!s_stmnote_bank_1n($B10,#REF!,1,100000000),"")</f>
        <v/>
      </c>
      <c r="G10" s="21" t="str">
        <f t="shared" si="0"/>
        <v/>
      </c>
      <c r="H10" s="18" t="str">
        <f>IFERROR([1]!s_stmnote_bank($B10,"34",$A10,100000000)/[1]!s_stmnote_bank_1n(B10,$A10,1,100000000),"")</f>
        <v/>
      </c>
      <c r="I10" s="25">
        <f>[1]!b_stm07_bs(B10,74,$A10,1,100000000)</f>
        <v>0</v>
      </c>
      <c r="J10" s="25">
        <f>[1]!b_stm07_bs(B10,109,$A10,1,100000000)</f>
        <v>0</v>
      </c>
      <c r="K10" s="10">
        <f>[1]!s_stmnote_bank_5n(B10,$A10,1)</f>
        <v>0</v>
      </c>
      <c r="L10" s="25">
        <f>[1]!s_stmnote_bank_23n(B10,$A10,1)</f>
        <v>0</v>
      </c>
      <c r="M10" s="25">
        <f>[1]!s_stmnote_bank_capadequacyratio(B10,$A10,1)</f>
        <v>0</v>
      </c>
      <c r="N10" s="25">
        <f>[1]!s_stmnote_bank_capadequacyratio_ct1(B10,$A10,1)</f>
        <v>0</v>
      </c>
      <c r="O10" s="6">
        <f>IF(OR([1]!s_fa_roe(B10,20201231)="0",[1]!s_fa_roe(B10,20211231)="0",[1]!s_fa_roe(B10,20221231)="0"),"",IFERROR(([1]!s_fa_roe(B10,20221231)+[1]!s_fa_roe(B10,20201231)+[1]!s_fa_roe(B10,20211231))/3,""))</f>
        <v>0</v>
      </c>
      <c r="P10" s="28" t="str">
        <f>IFERROR(([1]!s_stmnote_bank_65(B10,$A10,1,2,4,100000000)+[1]!s_stmnote_bank_65(B10,$A10,1,2,6,100000000))/[1]!s_stmnote_bank_1n(B10,$A10,1,100000000),"")</f>
        <v/>
      </c>
      <c r="Q10" s="28" t="str">
        <f>IFERROR([1]!s_stmnote_bank_614(B10,$A10,1,2,100000000)/[1]!s_stmnote_bank_647(B10,$A10,1,2,100000000),"")</f>
        <v/>
      </c>
      <c r="R10" s="28" t="str">
        <f>IFERROR(([1]!b_stm07_bs(B10,104,$A10,1,100000000)+[1]!b_stm07_bs(B10,106,$A10,1,100000000)+[1]!b_stm07_bs(B10,76,$A10,1,100000000)+[1]!b_stm07_bs(B10,108,$A10,1,100000000)+[1]!b_stm07_bs(B10,95,$A10,1,100000000))/[1]!b_stm07_bs(B10,128,$A10,1,100000000),"")</f>
        <v/>
      </c>
      <c r="S10" s="28" t="str">
        <f>IFERROR(([1]!s_stmnote_bank_614(B10,$A10,1,2,100000000)+[1]!b_stm07_bs(B10,104,$A10,1,100000000)+[1]!b_stm07_bs(B10,106,$A10,1,100000000)+[1]!b_stm07_bs(B10,76,$A10,1,100000000)+[1]!b_stm07_bs(B10,108,$A10,1,100000000)+[1]!b_stm07_bs(B10,95,$A10,1,100000000))/[1]!b_stm07_bs(B10,128,$A10,1,100000000),"")</f>
        <v/>
      </c>
      <c r="T10" s="11">
        <f>[1]!b_issuer_shareholder(B10,"",1)</f>
        <v>0</v>
      </c>
      <c r="U10" s="10">
        <f>[1]!b_issuer_propofshareholder(B10,"",1)</f>
        <v>0</v>
      </c>
      <c r="V10" s="33" t="str">
        <f t="shared" si="1"/>
        <v>0</v>
      </c>
      <c r="W10" s="33">
        <f>[1]!s_info_city(B10)</f>
        <v>0</v>
      </c>
      <c r="X10" s="10">
        <f>IF([1]!s_stmnote_bank_17n(B10,$A10,1)="0","",[1]!s_stmnote_bank_17n(B10,$A10,1))</f>
        <v>0</v>
      </c>
      <c r="Y10" s="10">
        <f>IF([1]!s_stmnote_bank_18n(B10,$A10,1)="0","",[1]!s_stmnote_bank_18n(B10,$A10,1))</f>
        <v>0</v>
      </c>
      <c r="Z10" s="41">
        <f>IF([1]!s_stmnote_bank_58(B10,$A10,1)="0","",[1]!s_stmnote_bank_58(B10,$A10,1))</f>
        <v>0</v>
      </c>
      <c r="AA10" s="52">
        <f>IF([1]!s_stmnote_bank_60(B10,$A10,1)="0","",[1]!s_stmnote_bank_60(B10,$A10,1))</f>
        <v>0</v>
      </c>
      <c r="AB10" s="52">
        <f>[1]!s_stmnote_bank_5444(B10,$A10,1)</f>
        <v>0</v>
      </c>
      <c r="AC10" s="38">
        <f>[1]!s_stmnote_bank_129n($B10,$A10,1)</f>
        <v>0</v>
      </c>
      <c r="AD10" s="54">
        <f>[1]!s_stmnote_bank_30(B10,$A10,1)</f>
        <v>0</v>
      </c>
    </row>
    <row r="11" spans="1:30" s="46" customFormat="1" ht="24">
      <c r="A11" s="1" t="s">
        <v>1110</v>
      </c>
      <c r="B11" s="87" t="s">
        <v>1119</v>
      </c>
      <c r="C11" s="8">
        <f>IF([1]!b_info_issuer(B11)="0","",IFERROR([1]!b_info_issuer(B11),""))</f>
        <v>0</v>
      </c>
      <c r="D11" s="11">
        <f>IF([1]!b_info_latestissurercreditrating(B11)="0","",IFERROR([1]!b_info_latestissurercreditrating(B11),""))</f>
        <v>0</v>
      </c>
      <c r="E11" s="27" t="str">
        <f>IFERROR(([1]!b_stm07_bs($B11,47,$A11,1,100000000))/[1]!b_stm07_bs($B11,109,$A11,1,100000000),"")</f>
        <v/>
      </c>
      <c r="F11" s="18" t="str">
        <f>IFERROR(([1]!s_stmnote_bank_26($B11,$A11,1,100000000)-[1]!s_stmnote_bank_26($B11,#REF!,1,100000000)+#REF!)/[1]!s_stmnote_bank_1n($B11,#REF!,1,100000000),"")</f>
        <v/>
      </c>
      <c r="G11" s="21" t="str">
        <f t="shared" si="0"/>
        <v/>
      </c>
      <c r="H11" s="18" t="str">
        <f>IFERROR([1]!s_stmnote_bank($B11,"34",$A11,100000000)/[1]!s_stmnote_bank_1n(B11,$A11,1,100000000),"")</f>
        <v/>
      </c>
      <c r="I11" s="25">
        <f>[1]!b_stm07_bs(B11,74,$A11,1,100000000)</f>
        <v>0</v>
      </c>
      <c r="J11" s="25">
        <f>[1]!b_stm07_bs(B11,109,$A11,1,100000000)</f>
        <v>0</v>
      </c>
      <c r="K11" s="10">
        <f>[1]!s_stmnote_bank_5n(B11,$A11,1)</f>
        <v>0</v>
      </c>
      <c r="L11" s="25">
        <f>[1]!s_stmnote_bank_23n(B11,$A11,1)</f>
        <v>0</v>
      </c>
      <c r="M11" s="25">
        <f>[1]!s_stmnote_bank_capadequacyratio(B11,$A11,1)</f>
        <v>0</v>
      </c>
      <c r="N11" s="25">
        <f>[1]!s_stmnote_bank_capadequacyratio_ct1(B11,$A11,1)</f>
        <v>0</v>
      </c>
      <c r="O11" s="6">
        <f>IF(OR([1]!s_fa_roe(B11,20201231)="0",[1]!s_fa_roe(B11,20211231)="0",[1]!s_fa_roe(B11,20221231)="0"),"",IFERROR(([1]!s_fa_roe(B11,20221231)+[1]!s_fa_roe(B11,20201231)+[1]!s_fa_roe(B11,20211231))/3,""))</f>
        <v>0</v>
      </c>
      <c r="P11" s="28" t="str">
        <f>IFERROR(([1]!s_stmnote_bank_65(B11,$A11,1,2,4,100000000)+[1]!s_stmnote_bank_65(B11,$A11,1,2,6,100000000))/[1]!s_stmnote_bank_1n(B11,$A11,1,100000000),"")</f>
        <v/>
      </c>
      <c r="Q11" s="28" t="str">
        <f>IFERROR([1]!s_stmnote_bank_614(B11,$A11,1,2,100000000)/[1]!s_stmnote_bank_647(B11,$A11,1,2,100000000),"")</f>
        <v/>
      </c>
      <c r="R11" s="28" t="str">
        <f>IFERROR(([1]!b_stm07_bs(B11,104,$A11,1,100000000)+[1]!b_stm07_bs(B11,106,$A11,1,100000000)+[1]!b_stm07_bs(B11,76,$A11,1,100000000)+[1]!b_stm07_bs(B11,108,$A11,1,100000000)+[1]!b_stm07_bs(B11,95,$A11,1,100000000))/[1]!b_stm07_bs(B11,128,$A11,1,100000000),"")</f>
        <v/>
      </c>
      <c r="S11" s="28" t="str">
        <f>IFERROR(([1]!s_stmnote_bank_614(B11,$A11,1,2,100000000)+[1]!b_stm07_bs(B11,104,$A11,1,100000000)+[1]!b_stm07_bs(B11,106,$A11,1,100000000)+[1]!b_stm07_bs(B11,76,$A11,1,100000000)+[1]!b_stm07_bs(B11,108,$A11,1,100000000)+[1]!b_stm07_bs(B11,95,$A11,1,100000000))/[1]!b_stm07_bs(B11,128,$A11,1,100000000),"")</f>
        <v/>
      </c>
      <c r="T11" s="11">
        <f>[1]!b_issuer_shareholder(B11,"",1)</f>
        <v>0</v>
      </c>
      <c r="U11" s="10">
        <f>[1]!b_issuer_propofshareholder(B11,"",1)</f>
        <v>0</v>
      </c>
      <c r="V11" s="33" t="str">
        <f t="shared" si="1"/>
        <v>0</v>
      </c>
      <c r="W11" s="33">
        <f>[1]!s_info_city(B11)</f>
        <v>0</v>
      </c>
      <c r="X11" s="10">
        <f>IF([1]!s_stmnote_bank_17n(B11,$A11,1)="0","",[1]!s_stmnote_bank_17n(B11,$A11,1))</f>
        <v>0</v>
      </c>
      <c r="Y11" s="10">
        <f>IF([1]!s_stmnote_bank_18n(B11,$A11,1)="0","",[1]!s_stmnote_bank_18n(B11,$A11,1))</f>
        <v>0</v>
      </c>
      <c r="Z11" s="41">
        <f>IF([1]!s_stmnote_bank_58(B11,$A11,1)="0","",[1]!s_stmnote_bank_58(B11,$A11,1))</f>
        <v>0</v>
      </c>
      <c r="AA11" s="52">
        <f>IF([1]!s_stmnote_bank_60(B11,$A11,1)="0","",[1]!s_stmnote_bank_60(B11,$A11,1))</f>
        <v>0</v>
      </c>
      <c r="AB11" s="52">
        <f>[1]!s_stmnote_bank_5444(B11,$A11,1)</f>
        <v>0</v>
      </c>
      <c r="AC11" s="38">
        <f>[1]!s_stmnote_bank_129n($B11,$A11,1)</f>
        <v>0</v>
      </c>
      <c r="AD11" s="54">
        <f>[1]!s_stmnote_bank_30(B11,$A11,1)</f>
        <v>0</v>
      </c>
    </row>
    <row r="12" spans="1:30" s="46" customFormat="1" ht="24">
      <c r="A12" s="1" t="s">
        <v>1110</v>
      </c>
      <c r="B12" s="87" t="s">
        <v>1120</v>
      </c>
      <c r="C12" s="8">
        <f>IF([1]!b_info_issuer(B12)="0","",IFERROR([1]!b_info_issuer(B12),""))</f>
        <v>0</v>
      </c>
      <c r="D12" s="11">
        <f>IF([1]!b_info_latestissurercreditrating(B12)="0","",IFERROR([1]!b_info_latestissurercreditrating(B12),""))</f>
        <v>0</v>
      </c>
      <c r="E12" s="27" t="str">
        <f>IFERROR(([1]!b_stm07_bs($B12,47,$A12,1,100000000))/[1]!b_stm07_bs($B12,109,$A12,1,100000000),"")</f>
        <v/>
      </c>
      <c r="F12" s="18" t="str">
        <f>IFERROR(([1]!s_stmnote_bank_26($B12,$A12,1,100000000)-[1]!s_stmnote_bank_26($B12,#REF!,1,100000000)+#REF!)/[1]!s_stmnote_bank_1n($B12,#REF!,1,100000000),"")</f>
        <v/>
      </c>
      <c r="G12" s="21" t="str">
        <f t="shared" si="0"/>
        <v/>
      </c>
      <c r="H12" s="18" t="str">
        <f>IFERROR([1]!s_stmnote_bank($B12,"34",$A12,100000000)/[1]!s_stmnote_bank_1n(B12,$A12,1,100000000),"")</f>
        <v/>
      </c>
      <c r="I12" s="25">
        <f>[1]!b_stm07_bs(B12,74,$A12,1,100000000)</f>
        <v>0</v>
      </c>
      <c r="J12" s="25">
        <f>[1]!b_stm07_bs(B12,109,$A12,1,100000000)</f>
        <v>0</v>
      </c>
      <c r="K12" s="10">
        <f>[1]!s_stmnote_bank_5n(B12,$A12,1)</f>
        <v>0</v>
      </c>
      <c r="L12" s="25">
        <f>[1]!s_stmnote_bank_23n(B12,$A12,1)</f>
        <v>0</v>
      </c>
      <c r="M12" s="25">
        <f>[1]!s_stmnote_bank_capadequacyratio(B12,$A12,1)</f>
        <v>0</v>
      </c>
      <c r="N12" s="25">
        <f>[1]!s_stmnote_bank_capadequacyratio_ct1(B12,$A12,1)</f>
        <v>0</v>
      </c>
      <c r="O12" s="6">
        <f>IF(OR([1]!s_fa_roe(B12,20201231)="0",[1]!s_fa_roe(B12,20211231)="0",[1]!s_fa_roe(B12,20221231)="0"),"",IFERROR(([1]!s_fa_roe(B12,20221231)+[1]!s_fa_roe(B12,20201231)+[1]!s_fa_roe(B12,20211231))/3,""))</f>
        <v>0</v>
      </c>
      <c r="P12" s="28" t="str">
        <f>IFERROR(([1]!s_stmnote_bank_65(B12,$A12,1,2,4,100000000)+[1]!s_stmnote_bank_65(B12,$A12,1,2,6,100000000))/[1]!s_stmnote_bank_1n(B12,$A12,1,100000000),"")</f>
        <v/>
      </c>
      <c r="Q12" s="28" t="str">
        <f>IFERROR([1]!s_stmnote_bank_614(B12,$A12,1,2,100000000)/[1]!s_stmnote_bank_647(B12,$A12,1,2,100000000),"")</f>
        <v/>
      </c>
      <c r="R12" s="28" t="str">
        <f>IFERROR(([1]!b_stm07_bs(B12,104,$A12,1,100000000)+[1]!b_stm07_bs(B12,106,$A12,1,100000000)+[1]!b_stm07_bs(B12,76,$A12,1,100000000)+[1]!b_stm07_bs(B12,108,$A12,1,100000000)+[1]!b_stm07_bs(B12,95,$A12,1,100000000))/[1]!b_stm07_bs(B12,128,$A12,1,100000000),"")</f>
        <v/>
      </c>
      <c r="S12" s="28" t="str">
        <f>IFERROR(([1]!s_stmnote_bank_614(B12,$A12,1,2,100000000)+[1]!b_stm07_bs(B12,104,$A12,1,100000000)+[1]!b_stm07_bs(B12,106,$A12,1,100000000)+[1]!b_stm07_bs(B12,76,$A12,1,100000000)+[1]!b_stm07_bs(B12,108,$A12,1,100000000)+[1]!b_stm07_bs(B12,95,$A12,1,100000000))/[1]!b_stm07_bs(B12,128,$A12,1,100000000),"")</f>
        <v/>
      </c>
      <c r="T12" s="11">
        <f>[1]!b_issuer_shareholder(B12,"",1)</f>
        <v>0</v>
      </c>
      <c r="U12" s="10">
        <f>[1]!b_issuer_propofshareholder(B12,"",1)</f>
        <v>0</v>
      </c>
      <c r="V12" s="33" t="str">
        <f t="shared" si="1"/>
        <v>0</v>
      </c>
      <c r="W12" s="33">
        <f>[1]!s_info_city(B12)</f>
        <v>0</v>
      </c>
      <c r="X12" s="10">
        <f>IF([1]!s_stmnote_bank_17n(B12,$A12,1)="0","",[1]!s_stmnote_bank_17n(B12,$A12,1))</f>
        <v>0</v>
      </c>
      <c r="Y12" s="10">
        <f>IF([1]!s_stmnote_bank_18n(B12,$A12,1)="0","",[1]!s_stmnote_bank_18n(B12,$A12,1))</f>
        <v>0</v>
      </c>
      <c r="Z12" s="41">
        <f>IF([1]!s_stmnote_bank_58(B12,$A12,1)="0","",[1]!s_stmnote_bank_58(B12,$A12,1))</f>
        <v>0</v>
      </c>
      <c r="AA12" s="52">
        <f>IF([1]!s_stmnote_bank_60(B12,$A12,1)="0","",[1]!s_stmnote_bank_60(B12,$A12,1))</f>
        <v>0</v>
      </c>
      <c r="AB12" s="52">
        <f>[1]!s_stmnote_bank_5444(B12,$A12,1)</f>
        <v>0</v>
      </c>
      <c r="AC12" s="38">
        <f>[1]!s_stmnote_bank_129n($B12,$A12,1)</f>
        <v>0</v>
      </c>
      <c r="AD12" s="54">
        <f>[1]!s_stmnote_bank_30(B12,$A12,1)</f>
        <v>0</v>
      </c>
    </row>
    <row r="13" spans="1:30" s="46" customFormat="1" ht="24">
      <c r="A13" s="1" t="s">
        <v>1110</v>
      </c>
      <c r="B13" s="87" t="s">
        <v>1121</v>
      </c>
      <c r="C13" s="8">
        <f>IF([1]!b_info_issuer(B13)="0","",IFERROR([1]!b_info_issuer(B13),""))</f>
        <v>0</v>
      </c>
      <c r="D13" s="11">
        <f>IF([1]!b_info_latestissurercreditrating(B13)="0","",IFERROR([1]!b_info_latestissurercreditrating(B13),""))</f>
        <v>0</v>
      </c>
      <c r="E13" s="27" t="str">
        <f>IFERROR(([1]!b_stm07_bs($B13,47,$A13,1,100000000))/[1]!b_stm07_bs($B13,109,$A13,1,100000000),"")</f>
        <v/>
      </c>
      <c r="F13" s="18" t="str">
        <f>IFERROR(([1]!s_stmnote_bank_26($B13,$A13,1,100000000)-[1]!s_stmnote_bank_26($B13,#REF!,1,100000000)+#REF!)/[1]!s_stmnote_bank_1n($B13,#REF!,1,100000000),"")</f>
        <v/>
      </c>
      <c r="G13" s="21" t="str">
        <f t="shared" si="0"/>
        <v/>
      </c>
      <c r="H13" s="18" t="str">
        <f>IFERROR([1]!s_stmnote_bank($B13,"34",$A13,100000000)/[1]!s_stmnote_bank_1n(B13,$A13,1,100000000),"")</f>
        <v/>
      </c>
      <c r="I13" s="25">
        <f>[1]!b_stm07_bs(B13,74,$A13,1,100000000)</f>
        <v>0</v>
      </c>
      <c r="J13" s="25">
        <f>[1]!b_stm07_bs(B13,109,$A13,1,100000000)</f>
        <v>0</v>
      </c>
      <c r="K13" s="10">
        <f>[1]!s_stmnote_bank_5n(B13,$A13,1)</f>
        <v>0</v>
      </c>
      <c r="L13" s="25">
        <f>[1]!s_stmnote_bank_23n(B13,$A13,1)</f>
        <v>0</v>
      </c>
      <c r="M13" s="25">
        <f>[1]!s_stmnote_bank_capadequacyratio(B13,$A13,1)</f>
        <v>0</v>
      </c>
      <c r="N13" s="25">
        <f>[1]!s_stmnote_bank_capadequacyratio_ct1(B13,$A13,1)</f>
        <v>0</v>
      </c>
      <c r="O13" s="6">
        <f>IF(OR([1]!s_fa_roe(B13,20201231)="0",[1]!s_fa_roe(B13,20211231)="0",[1]!s_fa_roe(B13,20221231)="0"),"",IFERROR(([1]!s_fa_roe(B13,20221231)+[1]!s_fa_roe(B13,20201231)+[1]!s_fa_roe(B13,20211231))/3,""))</f>
        <v>0</v>
      </c>
      <c r="P13" s="28" t="str">
        <f>IFERROR(([1]!s_stmnote_bank_65(B13,$A13,1,2,4,100000000)+[1]!s_stmnote_bank_65(B13,$A13,1,2,6,100000000))/[1]!s_stmnote_bank_1n(B13,$A13,1,100000000),"")</f>
        <v/>
      </c>
      <c r="Q13" s="28" t="str">
        <f>IFERROR([1]!s_stmnote_bank_614(B13,$A13,1,2,100000000)/[1]!s_stmnote_bank_647(B13,$A13,1,2,100000000),"")</f>
        <v/>
      </c>
      <c r="R13" s="28" t="str">
        <f>IFERROR(([1]!b_stm07_bs(B13,104,$A13,1,100000000)+[1]!b_stm07_bs(B13,106,$A13,1,100000000)+[1]!b_stm07_bs(B13,76,$A13,1,100000000)+[1]!b_stm07_bs(B13,108,$A13,1,100000000)+[1]!b_stm07_bs(B13,95,$A13,1,100000000))/[1]!b_stm07_bs(B13,128,$A13,1,100000000),"")</f>
        <v/>
      </c>
      <c r="S13" s="28" t="str">
        <f>IFERROR(([1]!s_stmnote_bank_614(B13,$A13,1,2,100000000)+[1]!b_stm07_bs(B13,104,$A13,1,100000000)+[1]!b_stm07_bs(B13,106,$A13,1,100000000)+[1]!b_stm07_bs(B13,76,$A13,1,100000000)+[1]!b_stm07_bs(B13,108,$A13,1,100000000)+[1]!b_stm07_bs(B13,95,$A13,1,100000000))/[1]!b_stm07_bs(B13,128,$A13,1,100000000),"")</f>
        <v/>
      </c>
      <c r="T13" s="11">
        <f>[1]!b_issuer_shareholder(B13,"",1)</f>
        <v>0</v>
      </c>
      <c r="U13" s="10">
        <f>[1]!b_issuer_propofshareholder(B13,"",1)</f>
        <v>0</v>
      </c>
      <c r="V13" s="33" t="str">
        <f t="shared" si="1"/>
        <v>0</v>
      </c>
      <c r="W13" s="33">
        <f>[1]!s_info_city(B13)</f>
        <v>0</v>
      </c>
      <c r="X13" s="10">
        <f>IF([1]!s_stmnote_bank_17n(B13,$A13,1)="0","",[1]!s_stmnote_bank_17n(B13,$A13,1))</f>
        <v>0</v>
      </c>
      <c r="Y13" s="10">
        <f>IF([1]!s_stmnote_bank_18n(B13,$A13,1)="0","",[1]!s_stmnote_bank_18n(B13,$A13,1))</f>
        <v>0</v>
      </c>
      <c r="Z13" s="41">
        <f>IF([1]!s_stmnote_bank_58(B13,$A13,1)="0","",[1]!s_stmnote_bank_58(B13,$A13,1))</f>
        <v>0</v>
      </c>
      <c r="AA13" s="52">
        <f>IF([1]!s_stmnote_bank_60(B13,$A13,1)="0","",[1]!s_stmnote_bank_60(B13,$A13,1))</f>
        <v>0</v>
      </c>
      <c r="AB13" s="52">
        <f>[1]!s_stmnote_bank_5444(B13,$A13,1)</f>
        <v>0</v>
      </c>
      <c r="AC13" s="38">
        <f>[1]!s_stmnote_bank_129n($B13,$A13,1)</f>
        <v>0</v>
      </c>
      <c r="AD13" s="54">
        <f>[1]!s_stmnote_bank_30(B13,$A13,1)</f>
        <v>0</v>
      </c>
    </row>
    <row r="14" spans="1:30" s="46" customFormat="1" ht="24">
      <c r="A14" s="1" t="s">
        <v>1110</v>
      </c>
      <c r="B14" s="87" t="s">
        <v>1122</v>
      </c>
      <c r="C14" s="8">
        <f>IF([1]!b_info_issuer(B14)="0","",IFERROR([1]!b_info_issuer(B14),""))</f>
        <v>0</v>
      </c>
      <c r="D14" s="11">
        <f>IF([1]!b_info_latestissurercreditrating(B14)="0","",IFERROR([1]!b_info_latestissurercreditrating(B14),""))</f>
        <v>0</v>
      </c>
      <c r="E14" s="27" t="str">
        <f>IFERROR(([1]!b_stm07_bs($B14,47,$A14,1,100000000))/[1]!b_stm07_bs($B14,109,$A14,1,100000000),"")</f>
        <v/>
      </c>
      <c r="F14" s="18" t="str">
        <f>IFERROR(([1]!s_stmnote_bank_26($B14,$A14,1,100000000)-[1]!s_stmnote_bank_26($B14,#REF!,1,100000000)+#REF!)/[1]!s_stmnote_bank_1n($B14,#REF!,1,100000000),"")</f>
        <v/>
      </c>
      <c r="G14" s="21" t="str">
        <f t="shared" si="0"/>
        <v/>
      </c>
      <c r="H14" s="18" t="str">
        <f>IFERROR([1]!s_stmnote_bank($B14,"34",$A14,100000000)/[1]!s_stmnote_bank_1n(B14,$A14,1,100000000),"")</f>
        <v/>
      </c>
      <c r="I14" s="25">
        <f>[1]!b_stm07_bs(B14,74,$A14,1,100000000)</f>
        <v>0</v>
      </c>
      <c r="J14" s="25">
        <f>[1]!b_stm07_bs(B14,109,$A14,1,100000000)</f>
        <v>0</v>
      </c>
      <c r="K14" s="10">
        <f>[1]!s_stmnote_bank_5n(B14,$A14,1)</f>
        <v>0</v>
      </c>
      <c r="L14" s="25">
        <f>[1]!s_stmnote_bank_23n(B14,$A14,1)</f>
        <v>0</v>
      </c>
      <c r="M14" s="25">
        <f>[1]!s_stmnote_bank_capadequacyratio(B14,$A14,1)</f>
        <v>0</v>
      </c>
      <c r="N14" s="25">
        <f>[1]!s_stmnote_bank_capadequacyratio_ct1(B14,$A14,1)</f>
        <v>0</v>
      </c>
      <c r="O14" s="6">
        <f>IF(OR([1]!s_fa_roe(B14,20201231)="0",[1]!s_fa_roe(B14,20211231)="0",[1]!s_fa_roe(B14,20221231)="0"),"",IFERROR(([1]!s_fa_roe(B14,20221231)+[1]!s_fa_roe(B14,20201231)+[1]!s_fa_roe(B14,20211231))/3,""))</f>
        <v>0</v>
      </c>
      <c r="P14" s="28" t="str">
        <f>IFERROR(([1]!s_stmnote_bank_65(B14,$A14,1,2,4,100000000)+[1]!s_stmnote_bank_65(B14,$A14,1,2,6,100000000))/[1]!s_stmnote_bank_1n(B14,$A14,1,100000000),"")</f>
        <v/>
      </c>
      <c r="Q14" s="28" t="str">
        <f>IFERROR([1]!s_stmnote_bank_614(B14,$A14,1,2,100000000)/[1]!s_stmnote_bank_647(B14,$A14,1,2,100000000),"")</f>
        <v/>
      </c>
      <c r="R14" s="28" t="str">
        <f>IFERROR(([1]!b_stm07_bs(B14,104,$A14,1,100000000)+[1]!b_stm07_bs(B14,106,$A14,1,100000000)+[1]!b_stm07_bs(B14,76,$A14,1,100000000)+[1]!b_stm07_bs(B14,108,$A14,1,100000000)+[1]!b_stm07_bs(B14,95,$A14,1,100000000))/[1]!b_stm07_bs(B14,128,$A14,1,100000000),"")</f>
        <v/>
      </c>
      <c r="S14" s="28" t="str">
        <f>IFERROR(([1]!s_stmnote_bank_614(B14,$A14,1,2,100000000)+[1]!b_stm07_bs(B14,104,$A14,1,100000000)+[1]!b_stm07_bs(B14,106,$A14,1,100000000)+[1]!b_stm07_bs(B14,76,$A14,1,100000000)+[1]!b_stm07_bs(B14,108,$A14,1,100000000)+[1]!b_stm07_bs(B14,95,$A14,1,100000000))/[1]!b_stm07_bs(B14,128,$A14,1,100000000),"")</f>
        <v/>
      </c>
      <c r="T14" s="11">
        <f>[1]!b_issuer_shareholder(B14,"",1)</f>
        <v>0</v>
      </c>
      <c r="U14" s="10">
        <f>[1]!b_issuer_propofshareholder(B14,"",1)</f>
        <v>0</v>
      </c>
      <c r="V14" s="33" t="str">
        <f t="shared" si="1"/>
        <v>0</v>
      </c>
      <c r="W14" s="33">
        <f>[1]!s_info_city(B14)</f>
        <v>0</v>
      </c>
      <c r="X14" s="10">
        <f>IF([1]!s_stmnote_bank_17n(B14,$A14,1)="0","",[1]!s_stmnote_bank_17n(B14,$A14,1))</f>
        <v>0</v>
      </c>
      <c r="Y14" s="10">
        <f>IF([1]!s_stmnote_bank_18n(B14,$A14,1)="0","",[1]!s_stmnote_bank_18n(B14,$A14,1))</f>
        <v>0</v>
      </c>
      <c r="Z14" s="41">
        <f>IF([1]!s_stmnote_bank_58(B14,$A14,1)="0","",[1]!s_stmnote_bank_58(B14,$A14,1))</f>
        <v>0</v>
      </c>
      <c r="AA14" s="52">
        <f>IF([1]!s_stmnote_bank_60(B14,$A14,1)="0","",[1]!s_stmnote_bank_60(B14,$A14,1))</f>
        <v>0</v>
      </c>
      <c r="AB14" s="52">
        <f>[1]!s_stmnote_bank_5444(B14,$A14,1)</f>
        <v>0</v>
      </c>
      <c r="AC14" s="38">
        <f>[1]!s_stmnote_bank_129n($B14,$A14,1)</f>
        <v>0</v>
      </c>
      <c r="AD14" s="54">
        <f>[1]!s_stmnote_bank_30(B14,$A14,1)</f>
        <v>0</v>
      </c>
    </row>
    <row r="15" spans="1:30" s="46" customFormat="1" ht="24">
      <c r="A15" s="1" t="s">
        <v>1110</v>
      </c>
      <c r="B15" s="87" t="s">
        <v>1123</v>
      </c>
      <c r="C15" s="8">
        <f>IF([1]!b_info_issuer(B15)="0","",IFERROR([1]!b_info_issuer(B15),""))</f>
        <v>0</v>
      </c>
      <c r="D15" s="11">
        <f>IF([1]!b_info_latestissurercreditrating(B15)="0","",IFERROR([1]!b_info_latestissurercreditrating(B15),""))</f>
        <v>0</v>
      </c>
      <c r="E15" s="27" t="str">
        <f>IFERROR(([1]!b_stm07_bs($B15,47,$A15,1,100000000))/[1]!b_stm07_bs($B15,109,$A15,1,100000000),"")</f>
        <v/>
      </c>
      <c r="F15" s="18" t="str">
        <f>IFERROR(([1]!s_stmnote_bank_26($B15,$A15,1,100000000)-[1]!s_stmnote_bank_26($B15,#REF!,1,100000000)+#REF!)/[1]!s_stmnote_bank_1n($B15,#REF!,1,100000000),"")</f>
        <v/>
      </c>
      <c r="G15" s="21" t="str">
        <f t="shared" si="0"/>
        <v/>
      </c>
      <c r="H15" s="18" t="str">
        <f>IFERROR([1]!s_stmnote_bank($B15,"34",$A15,100000000)/[1]!s_stmnote_bank_1n(B15,$A15,1,100000000),"")</f>
        <v/>
      </c>
      <c r="I15" s="25">
        <f>[1]!b_stm07_bs(B15,74,$A15,1,100000000)</f>
        <v>0</v>
      </c>
      <c r="J15" s="25">
        <f>[1]!b_stm07_bs(B15,109,$A15,1,100000000)</f>
        <v>0</v>
      </c>
      <c r="K15" s="10">
        <f>[1]!s_stmnote_bank_5n(B15,$A15,1)</f>
        <v>0</v>
      </c>
      <c r="L15" s="25">
        <f>[1]!s_stmnote_bank_23n(B15,$A15,1)</f>
        <v>0</v>
      </c>
      <c r="M15" s="25">
        <f>[1]!s_stmnote_bank_capadequacyratio(B15,$A15,1)</f>
        <v>0</v>
      </c>
      <c r="N15" s="25">
        <f>[1]!s_stmnote_bank_capadequacyratio_ct1(B15,$A15,1)</f>
        <v>0</v>
      </c>
      <c r="O15" s="6">
        <f>IF(OR([1]!s_fa_roe(B15,20201231)="0",[1]!s_fa_roe(B15,20211231)="0",[1]!s_fa_roe(B15,20221231)="0"),"",IFERROR(([1]!s_fa_roe(B15,20221231)+[1]!s_fa_roe(B15,20201231)+[1]!s_fa_roe(B15,20211231))/3,""))</f>
        <v>0</v>
      </c>
      <c r="P15" s="28" t="str">
        <f>IFERROR(([1]!s_stmnote_bank_65(B15,$A15,1,2,4,100000000)+[1]!s_stmnote_bank_65(B15,$A15,1,2,6,100000000))/[1]!s_stmnote_bank_1n(B15,$A15,1,100000000),"")</f>
        <v/>
      </c>
      <c r="Q15" s="28" t="str">
        <f>IFERROR([1]!s_stmnote_bank_614(B15,$A15,1,2,100000000)/[1]!s_stmnote_bank_647(B15,$A15,1,2,100000000),"")</f>
        <v/>
      </c>
      <c r="R15" s="28" t="str">
        <f>IFERROR(([1]!b_stm07_bs(B15,104,$A15,1,100000000)+[1]!b_stm07_bs(B15,106,$A15,1,100000000)+[1]!b_stm07_bs(B15,76,$A15,1,100000000)+[1]!b_stm07_bs(B15,108,$A15,1,100000000)+[1]!b_stm07_bs(B15,95,$A15,1,100000000))/[1]!b_stm07_bs(B15,128,$A15,1,100000000),"")</f>
        <v/>
      </c>
      <c r="S15" s="28" t="str">
        <f>IFERROR(([1]!s_stmnote_bank_614(B15,$A15,1,2,100000000)+[1]!b_stm07_bs(B15,104,$A15,1,100000000)+[1]!b_stm07_bs(B15,106,$A15,1,100000000)+[1]!b_stm07_bs(B15,76,$A15,1,100000000)+[1]!b_stm07_bs(B15,108,$A15,1,100000000)+[1]!b_stm07_bs(B15,95,$A15,1,100000000))/[1]!b_stm07_bs(B15,128,$A15,1,100000000),"")</f>
        <v/>
      </c>
      <c r="T15" s="11">
        <f>[1]!b_issuer_shareholder(B15,"",1)</f>
        <v>0</v>
      </c>
      <c r="U15" s="10">
        <f>[1]!b_issuer_propofshareholder(B15,"",1)</f>
        <v>0</v>
      </c>
      <c r="V15" s="33" t="str">
        <f t="shared" si="1"/>
        <v>0</v>
      </c>
      <c r="W15" s="33">
        <f>[1]!s_info_city(B15)</f>
        <v>0</v>
      </c>
      <c r="X15" s="10">
        <f>IF([1]!s_stmnote_bank_17n(B15,$A15,1)="0","",[1]!s_stmnote_bank_17n(B15,$A15,1))</f>
        <v>0</v>
      </c>
      <c r="Y15" s="10">
        <f>IF([1]!s_stmnote_bank_18n(B15,$A15,1)="0","",[1]!s_stmnote_bank_18n(B15,$A15,1))</f>
        <v>0</v>
      </c>
      <c r="Z15" s="41">
        <f>IF([1]!s_stmnote_bank_58(B15,$A15,1)="0","",[1]!s_stmnote_bank_58(B15,$A15,1))</f>
        <v>0</v>
      </c>
      <c r="AA15" s="52">
        <f>IF([1]!s_stmnote_bank_60(B15,$A15,1)="0","",[1]!s_stmnote_bank_60(B15,$A15,1))</f>
        <v>0</v>
      </c>
      <c r="AB15" s="52">
        <f>[1]!s_stmnote_bank_5444(B15,$A15,1)</f>
        <v>0</v>
      </c>
      <c r="AC15" s="38">
        <f>[1]!s_stmnote_bank_129n($B15,$A15,1)</f>
        <v>0</v>
      </c>
      <c r="AD15" s="54">
        <f>[1]!s_stmnote_bank_30(B15,$A15,1)</f>
        <v>0</v>
      </c>
    </row>
    <row r="16" spans="1:30" s="46" customFormat="1" ht="24">
      <c r="A16" s="1" t="s">
        <v>1110</v>
      </c>
      <c r="B16" s="87" t="s">
        <v>1124</v>
      </c>
      <c r="C16" s="8">
        <f>IF([1]!b_info_issuer(B16)="0","",IFERROR([1]!b_info_issuer(B16),""))</f>
        <v>0</v>
      </c>
      <c r="D16" s="11">
        <f>IF([1]!b_info_latestissurercreditrating(B16)="0","",IFERROR([1]!b_info_latestissurercreditrating(B16),""))</f>
        <v>0</v>
      </c>
      <c r="E16" s="27" t="str">
        <f>IFERROR(([1]!b_stm07_bs($B16,47,$A16,1,100000000))/[1]!b_stm07_bs($B16,109,$A16,1,100000000),"")</f>
        <v/>
      </c>
      <c r="F16" s="18" t="str">
        <f>IFERROR(([1]!s_stmnote_bank_26($B16,$A16,1,100000000)-[1]!s_stmnote_bank_26($B16,#REF!,1,100000000)+#REF!)/[1]!s_stmnote_bank_1n($B16,#REF!,1,100000000),"")</f>
        <v/>
      </c>
      <c r="G16" s="21" t="str">
        <f t="shared" si="0"/>
        <v/>
      </c>
      <c r="H16" s="18" t="str">
        <f>IFERROR([1]!s_stmnote_bank($B16,"34",$A16,100000000)/[1]!s_stmnote_bank_1n(B16,$A16,1,100000000),"")</f>
        <v/>
      </c>
      <c r="I16" s="25">
        <f>[1]!b_stm07_bs(B16,74,$A16,1,100000000)</f>
        <v>0</v>
      </c>
      <c r="J16" s="25">
        <f>[1]!b_stm07_bs(B16,109,$A16,1,100000000)</f>
        <v>0</v>
      </c>
      <c r="K16" s="10">
        <f>[1]!s_stmnote_bank_5n(B16,$A16,1)</f>
        <v>0</v>
      </c>
      <c r="L16" s="25">
        <f>[1]!s_stmnote_bank_23n(B16,$A16,1)</f>
        <v>0</v>
      </c>
      <c r="M16" s="25">
        <f>[1]!s_stmnote_bank_capadequacyratio(B16,$A16,1)</f>
        <v>0</v>
      </c>
      <c r="N16" s="25">
        <f>[1]!s_stmnote_bank_capadequacyratio_ct1(B16,$A16,1)</f>
        <v>0</v>
      </c>
      <c r="O16" s="6">
        <f>IF(OR([1]!s_fa_roe(B16,20201231)="0",[1]!s_fa_roe(B16,20211231)="0",[1]!s_fa_roe(B16,20221231)="0"),"",IFERROR(([1]!s_fa_roe(B16,20221231)+[1]!s_fa_roe(B16,20201231)+[1]!s_fa_roe(B16,20211231))/3,""))</f>
        <v>0</v>
      </c>
      <c r="P16" s="28" t="str">
        <f>IFERROR(([1]!s_stmnote_bank_65(B16,$A16,1,2,4,100000000)+[1]!s_stmnote_bank_65(B16,$A16,1,2,6,100000000))/[1]!s_stmnote_bank_1n(B16,$A16,1,100000000),"")</f>
        <v/>
      </c>
      <c r="Q16" s="28" t="str">
        <f>IFERROR([1]!s_stmnote_bank_614(B16,$A16,1,2,100000000)/[1]!s_stmnote_bank_647(B16,$A16,1,2,100000000),"")</f>
        <v/>
      </c>
      <c r="R16" s="28" t="str">
        <f>IFERROR(([1]!b_stm07_bs(B16,104,$A16,1,100000000)+[1]!b_stm07_bs(B16,106,$A16,1,100000000)+[1]!b_stm07_bs(B16,76,$A16,1,100000000)+[1]!b_stm07_bs(B16,108,$A16,1,100000000)+[1]!b_stm07_bs(B16,95,$A16,1,100000000))/[1]!b_stm07_bs(B16,128,$A16,1,100000000),"")</f>
        <v/>
      </c>
      <c r="S16" s="28" t="str">
        <f>IFERROR(([1]!s_stmnote_bank_614(B16,$A16,1,2,100000000)+[1]!b_stm07_bs(B16,104,$A16,1,100000000)+[1]!b_stm07_bs(B16,106,$A16,1,100000000)+[1]!b_stm07_bs(B16,76,$A16,1,100000000)+[1]!b_stm07_bs(B16,108,$A16,1,100000000)+[1]!b_stm07_bs(B16,95,$A16,1,100000000))/[1]!b_stm07_bs(B16,128,$A16,1,100000000),"")</f>
        <v/>
      </c>
      <c r="T16" s="11">
        <f>[1]!b_issuer_shareholder(B16,"",1)</f>
        <v>0</v>
      </c>
      <c r="U16" s="10">
        <f>[1]!b_issuer_propofshareholder(B16,"",1)</f>
        <v>0</v>
      </c>
      <c r="V16" s="33" t="str">
        <f t="shared" si="1"/>
        <v>0</v>
      </c>
      <c r="W16" s="33">
        <f>[1]!s_info_city(B16)</f>
        <v>0</v>
      </c>
      <c r="X16" s="10">
        <f>IF([1]!s_stmnote_bank_17n(B16,$A16,1)="0","",[1]!s_stmnote_bank_17n(B16,$A16,1))</f>
        <v>0</v>
      </c>
      <c r="Y16" s="10">
        <f>IF([1]!s_stmnote_bank_18n(B16,$A16,1)="0","",[1]!s_stmnote_bank_18n(B16,$A16,1))</f>
        <v>0</v>
      </c>
      <c r="Z16" s="41">
        <f>IF([1]!s_stmnote_bank_58(B16,$A16,1)="0","",[1]!s_stmnote_bank_58(B16,$A16,1))</f>
        <v>0</v>
      </c>
      <c r="AA16" s="52">
        <f>IF([1]!s_stmnote_bank_60(B16,$A16,1)="0","",[1]!s_stmnote_bank_60(B16,$A16,1))</f>
        <v>0</v>
      </c>
      <c r="AB16" s="52">
        <f>[1]!s_stmnote_bank_5444(B16,$A16,1)</f>
        <v>0</v>
      </c>
      <c r="AC16" s="38">
        <f>[1]!s_stmnote_bank_129n($B16,$A16,1)</f>
        <v>0</v>
      </c>
      <c r="AD16" s="54">
        <f>[1]!s_stmnote_bank_30(B16,$A16,1)</f>
        <v>0</v>
      </c>
    </row>
    <row r="17" spans="1:30" s="46" customFormat="1" ht="24">
      <c r="A17" s="1" t="s">
        <v>1110</v>
      </c>
      <c r="B17" s="87" t="s">
        <v>1125</v>
      </c>
      <c r="C17" s="8">
        <f>IF([1]!b_info_issuer(B17)="0","",IFERROR([1]!b_info_issuer(B17),""))</f>
        <v>0</v>
      </c>
      <c r="D17" s="11">
        <f>IF([1]!b_info_latestissurercreditrating(B17)="0","",IFERROR([1]!b_info_latestissurercreditrating(B17),""))</f>
        <v>0</v>
      </c>
      <c r="E17" s="27" t="str">
        <f>IFERROR(([1]!b_stm07_bs($B17,47,$A17,1,100000000))/[1]!b_stm07_bs($B17,109,$A17,1,100000000),"")</f>
        <v/>
      </c>
      <c r="F17" s="18" t="str">
        <f>IFERROR(([1]!s_stmnote_bank_26($B17,$A17,1,100000000)-[1]!s_stmnote_bank_26($B17,#REF!,1,100000000)+#REF!)/[1]!s_stmnote_bank_1n($B17,#REF!,1,100000000),"")</f>
        <v/>
      </c>
      <c r="G17" s="21" t="str">
        <f t="shared" si="0"/>
        <v/>
      </c>
      <c r="H17" s="18" t="str">
        <f>IFERROR([1]!s_stmnote_bank($B17,"34",$A17,100000000)/[1]!s_stmnote_bank_1n(B17,$A17,1,100000000),"")</f>
        <v/>
      </c>
      <c r="I17" s="25">
        <f>[1]!b_stm07_bs(B17,74,$A17,1,100000000)</f>
        <v>0</v>
      </c>
      <c r="J17" s="25">
        <f>[1]!b_stm07_bs(B17,109,$A17,1,100000000)</f>
        <v>0</v>
      </c>
      <c r="K17" s="10">
        <f>[1]!s_stmnote_bank_5n(B17,$A17,1)</f>
        <v>0</v>
      </c>
      <c r="L17" s="25">
        <f>[1]!s_stmnote_bank_23n(B17,$A17,1)</f>
        <v>0</v>
      </c>
      <c r="M17" s="25">
        <f>[1]!s_stmnote_bank_capadequacyratio(B17,$A17,1)</f>
        <v>0</v>
      </c>
      <c r="N17" s="25">
        <f>[1]!s_stmnote_bank_capadequacyratio_ct1(B17,$A17,1)</f>
        <v>0</v>
      </c>
      <c r="O17" s="6">
        <f>IF(OR([1]!s_fa_roe(B17,20201231)="0",[1]!s_fa_roe(B17,20211231)="0",[1]!s_fa_roe(B17,20221231)="0"),"",IFERROR(([1]!s_fa_roe(B17,20221231)+[1]!s_fa_roe(B17,20201231)+[1]!s_fa_roe(B17,20211231))/3,""))</f>
        <v>0</v>
      </c>
      <c r="P17" s="28" t="str">
        <f>IFERROR(([1]!s_stmnote_bank_65(B17,$A17,1,2,4,100000000)+[1]!s_stmnote_bank_65(B17,$A17,1,2,6,100000000))/[1]!s_stmnote_bank_1n(B17,$A17,1,100000000),"")</f>
        <v/>
      </c>
      <c r="Q17" s="28" t="str">
        <f>IFERROR([1]!s_stmnote_bank_614(B17,$A17,1,2,100000000)/[1]!s_stmnote_bank_647(B17,$A17,1,2,100000000),"")</f>
        <v/>
      </c>
      <c r="R17" s="28" t="str">
        <f>IFERROR(([1]!b_stm07_bs(B17,104,$A17,1,100000000)+[1]!b_stm07_bs(B17,106,$A17,1,100000000)+[1]!b_stm07_bs(B17,76,$A17,1,100000000)+[1]!b_stm07_bs(B17,108,$A17,1,100000000)+[1]!b_stm07_bs(B17,95,$A17,1,100000000))/[1]!b_stm07_bs(B17,128,$A17,1,100000000),"")</f>
        <v/>
      </c>
      <c r="S17" s="28" t="str">
        <f>IFERROR(([1]!s_stmnote_bank_614(B17,$A17,1,2,100000000)+[1]!b_stm07_bs(B17,104,$A17,1,100000000)+[1]!b_stm07_bs(B17,106,$A17,1,100000000)+[1]!b_stm07_bs(B17,76,$A17,1,100000000)+[1]!b_stm07_bs(B17,108,$A17,1,100000000)+[1]!b_stm07_bs(B17,95,$A17,1,100000000))/[1]!b_stm07_bs(B17,128,$A17,1,100000000),"")</f>
        <v/>
      </c>
      <c r="T17" s="11">
        <f>[1]!b_issuer_shareholder(B17,"",1)</f>
        <v>0</v>
      </c>
      <c r="U17" s="10">
        <f>[1]!b_issuer_propofshareholder(B17,"",1)</f>
        <v>0</v>
      </c>
      <c r="V17" s="33" t="str">
        <f t="shared" si="1"/>
        <v>0</v>
      </c>
      <c r="W17" s="33">
        <f>[1]!s_info_city(B17)</f>
        <v>0</v>
      </c>
      <c r="X17" s="10">
        <f>IF([1]!s_stmnote_bank_17n(B17,$A17,1)="0","",[1]!s_stmnote_bank_17n(B17,$A17,1))</f>
        <v>0</v>
      </c>
      <c r="Y17" s="10">
        <f>IF([1]!s_stmnote_bank_18n(B17,$A17,1)="0","",[1]!s_stmnote_bank_18n(B17,$A17,1))</f>
        <v>0</v>
      </c>
      <c r="Z17" s="41">
        <f>IF([1]!s_stmnote_bank_58(B17,$A17,1)="0","",[1]!s_stmnote_bank_58(B17,$A17,1))</f>
        <v>0</v>
      </c>
      <c r="AA17" s="52">
        <f>IF([1]!s_stmnote_bank_60(B17,$A17,1)="0","",[1]!s_stmnote_bank_60(B17,$A17,1))</f>
        <v>0</v>
      </c>
      <c r="AB17" s="52">
        <f>[1]!s_stmnote_bank_5444(B17,$A17,1)</f>
        <v>0</v>
      </c>
      <c r="AC17" s="38">
        <f>[1]!s_stmnote_bank_129n($B17,$A17,1)</f>
        <v>0</v>
      </c>
      <c r="AD17" s="54">
        <f>[1]!s_stmnote_bank_30(B17,$A17,1)</f>
        <v>0</v>
      </c>
    </row>
    <row r="18" spans="1:30" s="46" customFormat="1" ht="24">
      <c r="A18" s="1" t="s">
        <v>1110</v>
      </c>
      <c r="B18" s="87" t="s">
        <v>1126</v>
      </c>
      <c r="C18" s="8">
        <f>IF([1]!b_info_issuer(B18)="0","",IFERROR([1]!b_info_issuer(B18),""))</f>
        <v>0</v>
      </c>
      <c r="D18" s="11">
        <f>IF([1]!b_info_latestissurercreditrating(B18)="0","",IFERROR([1]!b_info_latestissurercreditrating(B18),""))</f>
        <v>0</v>
      </c>
      <c r="E18" s="27" t="str">
        <f>IFERROR(([1]!b_stm07_bs($B18,47,$A18,1,100000000))/[1]!b_stm07_bs($B18,109,$A18,1,100000000),"")</f>
        <v/>
      </c>
      <c r="F18" s="18" t="str">
        <f>IFERROR(([1]!s_stmnote_bank_26($B18,$A18,1,100000000)-[1]!s_stmnote_bank_26($B18,#REF!,1,100000000)+#REF!)/[1]!s_stmnote_bank_1n($B18,#REF!,1,100000000),"")</f>
        <v/>
      </c>
      <c r="G18" s="21" t="str">
        <f t="shared" si="0"/>
        <v/>
      </c>
      <c r="H18" s="18" t="str">
        <f>IFERROR([1]!s_stmnote_bank($B18,"34",$A18,100000000)/[1]!s_stmnote_bank_1n(B18,$A18,1,100000000),"")</f>
        <v/>
      </c>
      <c r="I18" s="25">
        <f>[1]!b_stm07_bs(B18,74,$A18,1,100000000)</f>
        <v>0</v>
      </c>
      <c r="J18" s="25">
        <f>[1]!b_stm07_bs(B18,109,$A18,1,100000000)</f>
        <v>0</v>
      </c>
      <c r="K18" s="10">
        <f>[1]!s_stmnote_bank_5n(B18,$A18,1)</f>
        <v>0</v>
      </c>
      <c r="L18" s="25">
        <f>[1]!s_stmnote_bank_23n(B18,$A18,1)</f>
        <v>0</v>
      </c>
      <c r="M18" s="25">
        <f>[1]!s_stmnote_bank_capadequacyratio(B18,$A18,1)</f>
        <v>0</v>
      </c>
      <c r="N18" s="25">
        <f>[1]!s_stmnote_bank_capadequacyratio_ct1(B18,$A18,1)</f>
        <v>0</v>
      </c>
      <c r="O18" s="6">
        <f>IF(OR([1]!s_fa_roe(B18,20201231)="0",[1]!s_fa_roe(B18,20211231)="0",[1]!s_fa_roe(B18,20221231)="0"),"",IFERROR(([1]!s_fa_roe(B18,20221231)+[1]!s_fa_roe(B18,20201231)+[1]!s_fa_roe(B18,20211231))/3,""))</f>
        <v>0</v>
      </c>
      <c r="P18" s="28" t="str">
        <f>IFERROR(([1]!s_stmnote_bank_65(B18,$A18,1,2,4,100000000)+[1]!s_stmnote_bank_65(B18,$A18,1,2,6,100000000))/[1]!s_stmnote_bank_1n(B18,$A18,1,100000000),"")</f>
        <v/>
      </c>
      <c r="Q18" s="28" t="str">
        <f>IFERROR([1]!s_stmnote_bank_614(B18,$A18,1,2,100000000)/[1]!s_stmnote_bank_647(B18,$A18,1,2,100000000),"")</f>
        <v/>
      </c>
      <c r="R18" s="28" t="str">
        <f>IFERROR(([1]!b_stm07_bs(B18,104,$A18,1,100000000)+[1]!b_stm07_bs(B18,106,$A18,1,100000000)+[1]!b_stm07_bs(B18,76,$A18,1,100000000)+[1]!b_stm07_bs(B18,108,$A18,1,100000000)+[1]!b_stm07_bs(B18,95,$A18,1,100000000))/[1]!b_stm07_bs(B18,128,$A18,1,100000000),"")</f>
        <v/>
      </c>
      <c r="S18" s="28" t="str">
        <f>IFERROR(([1]!s_stmnote_bank_614(B18,$A18,1,2,100000000)+[1]!b_stm07_bs(B18,104,$A18,1,100000000)+[1]!b_stm07_bs(B18,106,$A18,1,100000000)+[1]!b_stm07_bs(B18,76,$A18,1,100000000)+[1]!b_stm07_bs(B18,108,$A18,1,100000000)+[1]!b_stm07_bs(B18,95,$A18,1,100000000))/[1]!b_stm07_bs(B18,128,$A18,1,100000000),"")</f>
        <v/>
      </c>
      <c r="T18" s="11">
        <f>[1]!b_issuer_shareholder(B18,"",1)</f>
        <v>0</v>
      </c>
      <c r="U18" s="10">
        <f>[1]!b_issuer_propofshareholder(B18,"",1)</f>
        <v>0</v>
      </c>
      <c r="V18" s="33" t="str">
        <f t="shared" si="1"/>
        <v>0</v>
      </c>
      <c r="W18" s="33">
        <f>[1]!s_info_city(B18)</f>
        <v>0</v>
      </c>
      <c r="X18" s="10">
        <f>IF([1]!s_stmnote_bank_17n(B18,$A18,1)="0","",[1]!s_stmnote_bank_17n(B18,$A18,1))</f>
        <v>0</v>
      </c>
      <c r="Y18" s="10">
        <f>IF([1]!s_stmnote_bank_18n(B18,$A18,1)="0","",[1]!s_stmnote_bank_18n(B18,$A18,1))</f>
        <v>0</v>
      </c>
      <c r="Z18" s="41">
        <f>IF([1]!s_stmnote_bank_58(B18,$A18,1)="0","",[1]!s_stmnote_bank_58(B18,$A18,1))</f>
        <v>0</v>
      </c>
      <c r="AA18" s="52">
        <f>IF([1]!s_stmnote_bank_60(B18,$A18,1)="0","",[1]!s_stmnote_bank_60(B18,$A18,1))</f>
        <v>0</v>
      </c>
      <c r="AB18" s="52">
        <f>[1]!s_stmnote_bank_5444(B18,$A18,1)</f>
        <v>0</v>
      </c>
      <c r="AC18" s="38">
        <f>[1]!s_stmnote_bank_129n($B18,$A18,1)</f>
        <v>0</v>
      </c>
      <c r="AD18" s="54">
        <f>[1]!s_stmnote_bank_30(B18,$A18,1)</f>
        <v>0</v>
      </c>
    </row>
    <row r="19" spans="1:30" s="46" customFormat="1" ht="24">
      <c r="A19" s="1" t="s">
        <v>1110</v>
      </c>
      <c r="B19" s="87" t="s">
        <v>1127</v>
      </c>
      <c r="C19" s="8">
        <f>IF([1]!b_info_issuer(B19)="0","",IFERROR([1]!b_info_issuer(B19),""))</f>
        <v>0</v>
      </c>
      <c r="D19" s="11">
        <f>IF([1]!b_info_latestissurercreditrating(B19)="0","",IFERROR([1]!b_info_latestissurercreditrating(B19),""))</f>
        <v>0</v>
      </c>
      <c r="E19" s="27" t="str">
        <f>IFERROR(([1]!b_stm07_bs($B19,47,$A19,1,100000000))/[1]!b_stm07_bs($B19,109,$A19,1,100000000),"")</f>
        <v/>
      </c>
      <c r="F19" s="18" t="str">
        <f>IFERROR(([1]!s_stmnote_bank_26($B19,$A19,1,100000000)-[1]!s_stmnote_bank_26($B19,#REF!,1,100000000)+#REF!)/[1]!s_stmnote_bank_1n($B19,#REF!,1,100000000),"")</f>
        <v/>
      </c>
      <c r="G19" s="21" t="str">
        <f t="shared" si="0"/>
        <v/>
      </c>
      <c r="H19" s="18" t="str">
        <f>IFERROR([1]!s_stmnote_bank($B19,"34",$A19,100000000)/[1]!s_stmnote_bank_1n(B19,$A19,1,100000000),"")</f>
        <v/>
      </c>
      <c r="I19" s="25">
        <f>[1]!b_stm07_bs(B19,74,$A19,1,100000000)</f>
        <v>0</v>
      </c>
      <c r="J19" s="25">
        <f>[1]!b_stm07_bs(B19,109,$A19,1,100000000)</f>
        <v>0</v>
      </c>
      <c r="K19" s="10">
        <f>[1]!s_stmnote_bank_5n(B19,$A19,1)</f>
        <v>0</v>
      </c>
      <c r="L19" s="25">
        <f>[1]!s_stmnote_bank_23n(B19,$A19,1)</f>
        <v>0</v>
      </c>
      <c r="M19" s="25">
        <f>[1]!s_stmnote_bank_capadequacyratio(B19,$A19,1)</f>
        <v>0</v>
      </c>
      <c r="N19" s="25">
        <f>[1]!s_stmnote_bank_capadequacyratio_ct1(B19,$A19,1)</f>
        <v>0</v>
      </c>
      <c r="O19" s="6">
        <f>IF(OR([1]!s_fa_roe(B19,20201231)="0",[1]!s_fa_roe(B19,20211231)="0",[1]!s_fa_roe(B19,20221231)="0"),"",IFERROR(([1]!s_fa_roe(B19,20221231)+[1]!s_fa_roe(B19,20201231)+[1]!s_fa_roe(B19,20211231))/3,""))</f>
        <v>0</v>
      </c>
      <c r="P19" s="28" t="str">
        <f>IFERROR(([1]!s_stmnote_bank_65(B19,$A19,1,2,4,100000000)+[1]!s_stmnote_bank_65(B19,$A19,1,2,6,100000000))/[1]!s_stmnote_bank_1n(B19,$A19,1,100000000),"")</f>
        <v/>
      </c>
      <c r="Q19" s="28" t="str">
        <f>IFERROR([1]!s_stmnote_bank_614(B19,$A19,1,2,100000000)/[1]!s_stmnote_bank_647(B19,$A19,1,2,100000000),"")</f>
        <v/>
      </c>
      <c r="R19" s="28" t="str">
        <f>IFERROR(([1]!b_stm07_bs(B19,104,$A19,1,100000000)+[1]!b_stm07_bs(B19,106,$A19,1,100000000)+[1]!b_stm07_bs(B19,76,$A19,1,100000000)+[1]!b_stm07_bs(B19,108,$A19,1,100000000)+[1]!b_stm07_bs(B19,95,$A19,1,100000000))/[1]!b_stm07_bs(B19,128,$A19,1,100000000),"")</f>
        <v/>
      </c>
      <c r="S19" s="28" t="str">
        <f>IFERROR(([1]!s_stmnote_bank_614(B19,$A19,1,2,100000000)+[1]!b_stm07_bs(B19,104,$A19,1,100000000)+[1]!b_stm07_bs(B19,106,$A19,1,100000000)+[1]!b_stm07_bs(B19,76,$A19,1,100000000)+[1]!b_stm07_bs(B19,108,$A19,1,100000000)+[1]!b_stm07_bs(B19,95,$A19,1,100000000))/[1]!b_stm07_bs(B19,128,$A19,1,100000000),"")</f>
        <v/>
      </c>
      <c r="T19" s="11">
        <f>[1]!b_issuer_shareholder(B19,"",1)</f>
        <v>0</v>
      </c>
      <c r="U19" s="10">
        <f>[1]!b_issuer_propofshareholder(B19,"",1)</f>
        <v>0</v>
      </c>
      <c r="V19" s="33" t="str">
        <f t="shared" si="1"/>
        <v>0</v>
      </c>
      <c r="W19" s="33">
        <f>[1]!s_info_city(B19)</f>
        <v>0</v>
      </c>
      <c r="X19" s="10">
        <f>IF([1]!s_stmnote_bank_17n(B19,$A19,1)="0","",[1]!s_stmnote_bank_17n(B19,$A19,1))</f>
        <v>0</v>
      </c>
      <c r="Y19" s="10">
        <f>IF([1]!s_stmnote_bank_18n(B19,$A19,1)="0","",[1]!s_stmnote_bank_18n(B19,$A19,1))</f>
        <v>0</v>
      </c>
      <c r="Z19" s="41">
        <f>IF([1]!s_stmnote_bank_58(B19,$A19,1)="0","",[1]!s_stmnote_bank_58(B19,$A19,1))</f>
        <v>0</v>
      </c>
      <c r="AA19" s="52">
        <f>IF([1]!s_stmnote_bank_60(B19,$A19,1)="0","",[1]!s_stmnote_bank_60(B19,$A19,1))</f>
        <v>0</v>
      </c>
      <c r="AB19" s="52">
        <f>[1]!s_stmnote_bank_5444(B19,$A19,1)</f>
        <v>0</v>
      </c>
      <c r="AC19" s="38">
        <f>[1]!s_stmnote_bank_129n($B19,$A19,1)</f>
        <v>0</v>
      </c>
      <c r="AD19" s="54">
        <f>[1]!s_stmnote_bank_30(B19,$A19,1)</f>
        <v>0</v>
      </c>
    </row>
    <row r="20" spans="1:30" s="46" customFormat="1" ht="24">
      <c r="A20" s="1" t="s">
        <v>1110</v>
      </c>
      <c r="B20" s="87" t="s">
        <v>1128</v>
      </c>
      <c r="C20" s="8">
        <f>IF([1]!b_info_issuer(B20)="0","",IFERROR([1]!b_info_issuer(B20),""))</f>
        <v>0</v>
      </c>
      <c r="D20" s="11">
        <f>IF([1]!b_info_latestissurercreditrating(B20)="0","",IFERROR([1]!b_info_latestissurercreditrating(B20),""))</f>
        <v>0</v>
      </c>
      <c r="E20" s="27" t="str">
        <f>IFERROR(([1]!b_stm07_bs($B20,47,$A20,1,100000000))/[1]!b_stm07_bs($B20,109,$A20,1,100000000),"")</f>
        <v/>
      </c>
      <c r="F20" s="18" t="str">
        <f>IFERROR(([1]!s_stmnote_bank_26($B20,$A20,1,100000000)-[1]!s_stmnote_bank_26($B20,#REF!,1,100000000)+#REF!)/[1]!s_stmnote_bank_1n($B20,#REF!,1,100000000),"")</f>
        <v/>
      </c>
      <c r="G20" s="21" t="str">
        <f t="shared" si="0"/>
        <v/>
      </c>
      <c r="H20" s="18" t="str">
        <f>IFERROR([1]!s_stmnote_bank($B20,"34",$A20,100000000)/[1]!s_stmnote_bank_1n(B20,$A20,1,100000000),"")</f>
        <v/>
      </c>
      <c r="I20" s="25">
        <f>[1]!b_stm07_bs(B20,74,$A20,1,100000000)</f>
        <v>0</v>
      </c>
      <c r="J20" s="25">
        <f>[1]!b_stm07_bs(B20,109,$A20,1,100000000)</f>
        <v>0</v>
      </c>
      <c r="K20" s="10">
        <f>[1]!s_stmnote_bank_5n(B20,$A20,1)</f>
        <v>0</v>
      </c>
      <c r="L20" s="25">
        <f>[1]!s_stmnote_bank_23n(B20,$A20,1)</f>
        <v>0</v>
      </c>
      <c r="M20" s="25">
        <f>[1]!s_stmnote_bank_capadequacyratio(B20,$A20,1)</f>
        <v>0</v>
      </c>
      <c r="N20" s="25">
        <f>[1]!s_stmnote_bank_capadequacyratio_ct1(B20,$A20,1)</f>
        <v>0</v>
      </c>
      <c r="O20" s="6">
        <f>IF(OR([1]!s_fa_roe(B20,20201231)="0",[1]!s_fa_roe(B20,20211231)="0",[1]!s_fa_roe(B20,20221231)="0"),"",IFERROR(([1]!s_fa_roe(B20,20221231)+[1]!s_fa_roe(B20,20201231)+[1]!s_fa_roe(B20,20211231))/3,""))</f>
        <v>0</v>
      </c>
      <c r="P20" s="28" t="str">
        <f>IFERROR(([1]!s_stmnote_bank_65(B20,$A20,1,2,4,100000000)+[1]!s_stmnote_bank_65(B20,$A20,1,2,6,100000000))/[1]!s_stmnote_bank_1n(B20,$A20,1,100000000),"")</f>
        <v/>
      </c>
      <c r="Q20" s="28" t="str">
        <f>IFERROR([1]!s_stmnote_bank_614(B20,$A20,1,2,100000000)/[1]!s_stmnote_bank_647(B20,$A20,1,2,100000000),"")</f>
        <v/>
      </c>
      <c r="R20" s="28" t="str">
        <f>IFERROR(([1]!b_stm07_bs(B20,104,$A20,1,100000000)+[1]!b_stm07_bs(B20,106,$A20,1,100000000)+[1]!b_stm07_bs(B20,76,$A20,1,100000000)+[1]!b_stm07_bs(B20,108,$A20,1,100000000)+[1]!b_stm07_bs(B20,95,$A20,1,100000000))/[1]!b_stm07_bs(B20,128,$A20,1,100000000),"")</f>
        <v/>
      </c>
      <c r="S20" s="28" t="str">
        <f>IFERROR(([1]!s_stmnote_bank_614(B20,$A20,1,2,100000000)+[1]!b_stm07_bs(B20,104,$A20,1,100000000)+[1]!b_stm07_bs(B20,106,$A20,1,100000000)+[1]!b_stm07_bs(B20,76,$A20,1,100000000)+[1]!b_stm07_bs(B20,108,$A20,1,100000000)+[1]!b_stm07_bs(B20,95,$A20,1,100000000))/[1]!b_stm07_bs(B20,128,$A20,1,100000000),"")</f>
        <v/>
      </c>
      <c r="T20" s="11">
        <f>[1]!b_issuer_shareholder(B20,"",1)</f>
        <v>0</v>
      </c>
      <c r="U20" s="10">
        <f>[1]!b_issuer_propofshareholder(B20,"",1)</f>
        <v>0</v>
      </c>
      <c r="V20" s="33" t="str">
        <f t="shared" si="1"/>
        <v>0</v>
      </c>
      <c r="W20" s="33">
        <f>[1]!s_info_city(B20)</f>
        <v>0</v>
      </c>
      <c r="X20" s="10">
        <f>IF([1]!s_stmnote_bank_17n(B20,$A20,1)="0","",[1]!s_stmnote_bank_17n(B20,$A20,1))</f>
        <v>0</v>
      </c>
      <c r="Y20" s="10">
        <f>IF([1]!s_stmnote_bank_18n(B20,$A20,1)="0","",[1]!s_stmnote_bank_18n(B20,$A20,1))</f>
        <v>0</v>
      </c>
      <c r="Z20" s="41">
        <f>IF([1]!s_stmnote_bank_58(B20,$A20,1)="0","",[1]!s_stmnote_bank_58(B20,$A20,1))</f>
        <v>0</v>
      </c>
      <c r="AA20" s="52">
        <f>IF([1]!s_stmnote_bank_60(B20,$A20,1)="0","",[1]!s_stmnote_bank_60(B20,$A20,1))</f>
        <v>0</v>
      </c>
      <c r="AB20" s="52">
        <f>[1]!s_stmnote_bank_5444(B20,$A20,1)</f>
        <v>0</v>
      </c>
      <c r="AC20" s="38">
        <f>[1]!s_stmnote_bank_129n($B20,$A20,1)</f>
        <v>0</v>
      </c>
      <c r="AD20" s="54">
        <f>[1]!s_stmnote_bank_30(B20,$A20,1)</f>
        <v>0</v>
      </c>
    </row>
    <row r="21" spans="1:30" s="46" customFormat="1" ht="24">
      <c r="A21" s="1" t="s">
        <v>1110</v>
      </c>
      <c r="B21" s="87" t="s">
        <v>1129</v>
      </c>
      <c r="C21" s="8">
        <f>IF([1]!b_info_issuer(B21)="0","",IFERROR([1]!b_info_issuer(B21),""))</f>
        <v>0</v>
      </c>
      <c r="D21" s="11">
        <f>IF([1]!b_info_latestissurercreditrating(B21)="0","",IFERROR([1]!b_info_latestissurercreditrating(B21),""))</f>
        <v>0</v>
      </c>
      <c r="E21" s="27" t="str">
        <f>IFERROR(([1]!b_stm07_bs($B21,47,$A21,1,100000000))/[1]!b_stm07_bs($B21,109,$A21,1,100000000),"")</f>
        <v/>
      </c>
      <c r="F21" s="18" t="str">
        <f>IFERROR(([1]!s_stmnote_bank_26($B21,$A21,1,100000000)-[1]!s_stmnote_bank_26($B21,#REF!,1,100000000)+#REF!)/[1]!s_stmnote_bank_1n($B21,#REF!,1,100000000),"")</f>
        <v/>
      </c>
      <c r="G21" s="21" t="str">
        <f t="shared" si="0"/>
        <v/>
      </c>
      <c r="H21" s="18" t="str">
        <f>IFERROR([1]!s_stmnote_bank($B21,"34",$A21,100000000)/[1]!s_stmnote_bank_1n(B21,$A21,1,100000000),"")</f>
        <v/>
      </c>
      <c r="I21" s="25">
        <f>[1]!b_stm07_bs(B21,74,$A21,1,100000000)</f>
        <v>0</v>
      </c>
      <c r="J21" s="25">
        <f>[1]!b_stm07_bs(B21,109,$A21,1,100000000)</f>
        <v>0</v>
      </c>
      <c r="K21" s="10">
        <f>[1]!s_stmnote_bank_5n(B21,$A21,1)</f>
        <v>0</v>
      </c>
      <c r="L21" s="25">
        <f>[1]!s_stmnote_bank_23n(B21,$A21,1)</f>
        <v>0</v>
      </c>
      <c r="M21" s="25">
        <f>[1]!s_stmnote_bank_capadequacyratio(B21,$A21,1)</f>
        <v>0</v>
      </c>
      <c r="N21" s="25">
        <f>[1]!s_stmnote_bank_capadequacyratio_ct1(B21,$A21,1)</f>
        <v>0</v>
      </c>
      <c r="O21" s="6">
        <f>IF(OR([1]!s_fa_roe(B21,20201231)="0",[1]!s_fa_roe(B21,20211231)="0",[1]!s_fa_roe(B21,20221231)="0"),"",IFERROR(([1]!s_fa_roe(B21,20221231)+[1]!s_fa_roe(B21,20201231)+[1]!s_fa_roe(B21,20211231))/3,""))</f>
        <v>0</v>
      </c>
      <c r="P21" s="28" t="str">
        <f>IFERROR(([1]!s_stmnote_bank_65(B21,$A21,1,2,4,100000000)+[1]!s_stmnote_bank_65(B21,$A21,1,2,6,100000000))/[1]!s_stmnote_bank_1n(B21,$A21,1,100000000),"")</f>
        <v/>
      </c>
      <c r="Q21" s="28" t="str">
        <f>IFERROR([1]!s_stmnote_bank_614(B21,$A21,1,2,100000000)/[1]!s_stmnote_bank_647(B21,$A21,1,2,100000000),"")</f>
        <v/>
      </c>
      <c r="R21" s="28" t="str">
        <f>IFERROR(([1]!b_stm07_bs(B21,104,$A21,1,100000000)+[1]!b_stm07_bs(B21,106,$A21,1,100000000)+[1]!b_stm07_bs(B21,76,$A21,1,100000000)+[1]!b_stm07_bs(B21,108,$A21,1,100000000)+[1]!b_stm07_bs(B21,95,$A21,1,100000000))/[1]!b_stm07_bs(B21,128,$A21,1,100000000),"")</f>
        <v/>
      </c>
      <c r="S21" s="28" t="str">
        <f>IFERROR(([1]!s_stmnote_bank_614(B21,$A21,1,2,100000000)+[1]!b_stm07_bs(B21,104,$A21,1,100000000)+[1]!b_stm07_bs(B21,106,$A21,1,100000000)+[1]!b_stm07_bs(B21,76,$A21,1,100000000)+[1]!b_stm07_bs(B21,108,$A21,1,100000000)+[1]!b_stm07_bs(B21,95,$A21,1,100000000))/[1]!b_stm07_bs(B21,128,$A21,1,100000000),"")</f>
        <v/>
      </c>
      <c r="T21" s="11">
        <f>[1]!b_issuer_shareholder(B21,"",1)</f>
        <v>0</v>
      </c>
      <c r="U21" s="10">
        <f>[1]!b_issuer_propofshareholder(B21,"",1)</f>
        <v>0</v>
      </c>
      <c r="V21" s="33" t="str">
        <f t="shared" si="1"/>
        <v>0</v>
      </c>
      <c r="W21" s="33">
        <f>[1]!s_info_city(B21)</f>
        <v>0</v>
      </c>
      <c r="X21" s="10">
        <f>IF([1]!s_stmnote_bank_17n(B21,$A21,1)="0","",[1]!s_stmnote_bank_17n(B21,$A21,1))</f>
        <v>0</v>
      </c>
      <c r="Y21" s="10">
        <f>IF([1]!s_stmnote_bank_18n(B21,$A21,1)="0","",[1]!s_stmnote_bank_18n(B21,$A21,1))</f>
        <v>0</v>
      </c>
      <c r="Z21" s="41">
        <f>IF([1]!s_stmnote_bank_58(B21,$A21,1)="0","",[1]!s_stmnote_bank_58(B21,$A21,1))</f>
        <v>0</v>
      </c>
      <c r="AA21" s="52">
        <f>IF([1]!s_stmnote_bank_60(B21,$A21,1)="0","",[1]!s_stmnote_bank_60(B21,$A21,1))</f>
        <v>0</v>
      </c>
      <c r="AB21" s="52">
        <f>[1]!s_stmnote_bank_5444(B21,$A21,1)</f>
        <v>0</v>
      </c>
      <c r="AC21" s="38">
        <f>[1]!s_stmnote_bank_129n($B21,$A21,1)</f>
        <v>0</v>
      </c>
      <c r="AD21" s="54">
        <f>[1]!s_stmnote_bank_30(B21,$A21,1)</f>
        <v>0</v>
      </c>
    </row>
    <row r="22" spans="1:30" s="46" customFormat="1" ht="24">
      <c r="A22" s="1" t="s">
        <v>1110</v>
      </c>
      <c r="B22" s="87" t="s">
        <v>1130</v>
      </c>
      <c r="C22" s="8">
        <f>IF([1]!b_info_issuer(B22)="0","",IFERROR([1]!b_info_issuer(B22),""))</f>
        <v>0</v>
      </c>
      <c r="D22" s="11">
        <f>IF([1]!b_info_latestissurercreditrating(B22)="0","",IFERROR([1]!b_info_latestissurercreditrating(B22),""))</f>
        <v>0</v>
      </c>
      <c r="E22" s="27" t="str">
        <f>IFERROR(([1]!b_stm07_bs($B22,47,$A22,1,100000000))/[1]!b_stm07_bs($B22,109,$A22,1,100000000),"")</f>
        <v/>
      </c>
      <c r="F22" s="18" t="str">
        <f>IFERROR(([1]!s_stmnote_bank_26($B22,$A22,1,100000000)-[1]!s_stmnote_bank_26($B22,#REF!,1,100000000)+#REF!)/[1]!s_stmnote_bank_1n($B22,#REF!,1,100000000),"")</f>
        <v/>
      </c>
      <c r="G22" s="21" t="str">
        <f t="shared" si="0"/>
        <v/>
      </c>
      <c r="H22" s="18" t="str">
        <f>IFERROR([1]!s_stmnote_bank($B22,"34",$A22,100000000)/[1]!s_stmnote_bank_1n(B22,$A22,1,100000000),"")</f>
        <v/>
      </c>
      <c r="I22" s="25">
        <f>[1]!b_stm07_bs(B22,74,$A22,1,100000000)</f>
        <v>0</v>
      </c>
      <c r="J22" s="25">
        <f>[1]!b_stm07_bs(B22,109,$A22,1,100000000)</f>
        <v>0</v>
      </c>
      <c r="K22" s="10">
        <f>[1]!s_stmnote_bank_5n(B22,$A22,1)</f>
        <v>0</v>
      </c>
      <c r="L22" s="25">
        <f>[1]!s_stmnote_bank_23n(B22,$A22,1)</f>
        <v>0</v>
      </c>
      <c r="M22" s="25">
        <f>[1]!s_stmnote_bank_capadequacyratio(B22,$A22,1)</f>
        <v>0</v>
      </c>
      <c r="N22" s="25">
        <f>[1]!s_stmnote_bank_capadequacyratio_ct1(B22,$A22,1)</f>
        <v>0</v>
      </c>
      <c r="O22" s="6">
        <f>IF(OR([1]!s_fa_roe(B22,20201231)="0",[1]!s_fa_roe(B22,20211231)="0",[1]!s_fa_roe(B22,20221231)="0"),"",IFERROR(([1]!s_fa_roe(B22,20221231)+[1]!s_fa_roe(B22,20201231)+[1]!s_fa_roe(B22,20211231))/3,""))</f>
        <v>0</v>
      </c>
      <c r="P22" s="28" t="str">
        <f>IFERROR(([1]!s_stmnote_bank_65(B22,$A22,1,2,4,100000000)+[1]!s_stmnote_bank_65(B22,$A22,1,2,6,100000000))/[1]!s_stmnote_bank_1n(B22,$A22,1,100000000),"")</f>
        <v/>
      </c>
      <c r="Q22" s="28" t="str">
        <f>IFERROR([1]!s_stmnote_bank_614(B22,$A22,1,2,100000000)/[1]!s_stmnote_bank_647(B22,$A22,1,2,100000000),"")</f>
        <v/>
      </c>
      <c r="R22" s="28" t="str">
        <f>IFERROR(([1]!b_stm07_bs(B22,104,$A22,1,100000000)+[1]!b_stm07_bs(B22,106,$A22,1,100000000)+[1]!b_stm07_bs(B22,76,$A22,1,100000000)+[1]!b_stm07_bs(B22,108,$A22,1,100000000)+[1]!b_stm07_bs(B22,95,$A22,1,100000000))/[1]!b_stm07_bs(B22,128,$A22,1,100000000),"")</f>
        <v/>
      </c>
      <c r="S22" s="28" t="str">
        <f>IFERROR(([1]!s_stmnote_bank_614(B22,$A22,1,2,100000000)+[1]!b_stm07_bs(B22,104,$A22,1,100000000)+[1]!b_stm07_bs(B22,106,$A22,1,100000000)+[1]!b_stm07_bs(B22,76,$A22,1,100000000)+[1]!b_stm07_bs(B22,108,$A22,1,100000000)+[1]!b_stm07_bs(B22,95,$A22,1,100000000))/[1]!b_stm07_bs(B22,128,$A22,1,100000000),"")</f>
        <v/>
      </c>
      <c r="T22" s="11">
        <f>[1]!b_issuer_shareholder(B22,"",1)</f>
        <v>0</v>
      </c>
      <c r="U22" s="10">
        <f>[1]!b_issuer_propofshareholder(B22,"",1)</f>
        <v>0</v>
      </c>
      <c r="V22" s="33" t="str">
        <f t="shared" si="1"/>
        <v>0</v>
      </c>
      <c r="W22" s="33">
        <f>[1]!s_info_city(B22)</f>
        <v>0</v>
      </c>
      <c r="X22" s="10">
        <f>IF([1]!s_stmnote_bank_17n(B22,$A22,1)="0","",[1]!s_stmnote_bank_17n(B22,$A22,1))</f>
        <v>0</v>
      </c>
      <c r="Y22" s="10">
        <f>IF([1]!s_stmnote_bank_18n(B22,$A22,1)="0","",[1]!s_stmnote_bank_18n(B22,$A22,1))</f>
        <v>0</v>
      </c>
      <c r="Z22" s="41">
        <f>IF([1]!s_stmnote_bank_58(B22,$A22,1)="0","",[1]!s_stmnote_bank_58(B22,$A22,1))</f>
        <v>0</v>
      </c>
      <c r="AA22" s="52">
        <f>IF([1]!s_stmnote_bank_60(B22,$A22,1)="0","",[1]!s_stmnote_bank_60(B22,$A22,1))</f>
        <v>0</v>
      </c>
      <c r="AB22" s="52">
        <f>[1]!s_stmnote_bank_5444(B22,$A22,1)</f>
        <v>0</v>
      </c>
      <c r="AC22" s="38">
        <f>[1]!s_stmnote_bank_129n($B22,$A22,1)</f>
        <v>0</v>
      </c>
      <c r="AD22" s="54">
        <f>[1]!s_stmnote_bank_30(B22,$A22,1)</f>
        <v>0</v>
      </c>
    </row>
    <row r="23" spans="1:30" s="46" customFormat="1" ht="24">
      <c r="A23" s="1" t="s">
        <v>1110</v>
      </c>
      <c r="B23" s="87" t="s">
        <v>1131</v>
      </c>
      <c r="C23" s="8">
        <f>IF([1]!b_info_issuer(B23)="0","",IFERROR([1]!b_info_issuer(B23),""))</f>
        <v>0</v>
      </c>
      <c r="D23" s="11">
        <f>IF([1]!b_info_latestissurercreditrating(B23)="0","",IFERROR([1]!b_info_latestissurercreditrating(B23),""))</f>
        <v>0</v>
      </c>
      <c r="E23" s="27" t="str">
        <f>IFERROR(([1]!b_stm07_bs($B23,47,$A23,1,100000000))/[1]!b_stm07_bs($B23,109,$A23,1,100000000),"")</f>
        <v/>
      </c>
      <c r="F23" s="18" t="str">
        <f>IFERROR(([1]!s_stmnote_bank_26($B23,$A23,1,100000000)-[1]!s_stmnote_bank_26($B23,#REF!,1,100000000)+#REF!)/[1]!s_stmnote_bank_1n($B23,#REF!,1,100000000),"")</f>
        <v/>
      </c>
      <c r="G23" s="21" t="str">
        <f t="shared" si="0"/>
        <v/>
      </c>
      <c r="H23" s="18" t="str">
        <f>IFERROR([1]!s_stmnote_bank($B23,"34",$A23,100000000)/[1]!s_stmnote_bank_1n(B23,$A23,1,100000000),"")</f>
        <v/>
      </c>
      <c r="I23" s="25">
        <f>[1]!b_stm07_bs(B23,74,$A23,1,100000000)</f>
        <v>0</v>
      </c>
      <c r="J23" s="25">
        <f>[1]!b_stm07_bs(B23,109,$A23,1,100000000)</f>
        <v>0</v>
      </c>
      <c r="K23" s="10">
        <f>[1]!s_stmnote_bank_5n(B23,$A23,1)</f>
        <v>0</v>
      </c>
      <c r="L23" s="25">
        <f>[1]!s_stmnote_bank_23n(B23,$A23,1)</f>
        <v>0</v>
      </c>
      <c r="M23" s="25">
        <f>[1]!s_stmnote_bank_capadequacyratio(B23,$A23,1)</f>
        <v>0</v>
      </c>
      <c r="N23" s="25">
        <f>[1]!s_stmnote_bank_capadequacyratio_ct1(B23,$A23,1)</f>
        <v>0</v>
      </c>
      <c r="O23" s="6">
        <f>IF(OR([1]!s_fa_roe(B23,20201231)="0",[1]!s_fa_roe(B23,20211231)="0",[1]!s_fa_roe(B23,20221231)="0"),"",IFERROR(([1]!s_fa_roe(B23,20221231)+[1]!s_fa_roe(B23,20201231)+[1]!s_fa_roe(B23,20211231))/3,""))</f>
        <v>0</v>
      </c>
      <c r="P23" s="28" t="str">
        <f>IFERROR(([1]!s_stmnote_bank_65(B23,$A23,1,2,4,100000000)+[1]!s_stmnote_bank_65(B23,$A23,1,2,6,100000000))/[1]!s_stmnote_bank_1n(B23,$A23,1,100000000),"")</f>
        <v/>
      </c>
      <c r="Q23" s="28" t="str">
        <f>IFERROR([1]!s_stmnote_bank_614(B23,$A23,1,2,100000000)/[1]!s_stmnote_bank_647(B23,$A23,1,2,100000000),"")</f>
        <v/>
      </c>
      <c r="R23" s="28" t="str">
        <f>IFERROR(([1]!b_stm07_bs(B23,104,$A23,1,100000000)+[1]!b_stm07_bs(B23,106,$A23,1,100000000)+[1]!b_stm07_bs(B23,76,$A23,1,100000000)+[1]!b_stm07_bs(B23,108,$A23,1,100000000)+[1]!b_stm07_bs(B23,95,$A23,1,100000000))/[1]!b_stm07_bs(B23,128,$A23,1,100000000),"")</f>
        <v/>
      </c>
      <c r="S23" s="28" t="str">
        <f>IFERROR(([1]!s_stmnote_bank_614(B23,$A23,1,2,100000000)+[1]!b_stm07_bs(B23,104,$A23,1,100000000)+[1]!b_stm07_bs(B23,106,$A23,1,100000000)+[1]!b_stm07_bs(B23,76,$A23,1,100000000)+[1]!b_stm07_bs(B23,108,$A23,1,100000000)+[1]!b_stm07_bs(B23,95,$A23,1,100000000))/[1]!b_stm07_bs(B23,128,$A23,1,100000000),"")</f>
        <v/>
      </c>
      <c r="T23" s="11">
        <f>[1]!b_issuer_shareholder(B23,"",1)</f>
        <v>0</v>
      </c>
      <c r="U23" s="10">
        <f>[1]!b_issuer_propofshareholder(B23,"",1)</f>
        <v>0</v>
      </c>
      <c r="V23" s="33" t="str">
        <f t="shared" si="1"/>
        <v>0</v>
      </c>
      <c r="W23" s="33">
        <f>[1]!s_info_city(B23)</f>
        <v>0</v>
      </c>
      <c r="X23" s="10">
        <f>IF([1]!s_stmnote_bank_17n(B23,$A23,1)="0","",[1]!s_stmnote_bank_17n(B23,$A23,1))</f>
        <v>0</v>
      </c>
      <c r="Y23" s="10">
        <f>IF([1]!s_stmnote_bank_18n(B23,$A23,1)="0","",[1]!s_stmnote_bank_18n(B23,$A23,1))</f>
        <v>0</v>
      </c>
      <c r="Z23" s="41">
        <f>IF([1]!s_stmnote_bank_58(B23,$A23,1)="0","",[1]!s_stmnote_bank_58(B23,$A23,1))</f>
        <v>0</v>
      </c>
      <c r="AA23" s="52">
        <f>IF([1]!s_stmnote_bank_60(B23,$A23,1)="0","",[1]!s_stmnote_bank_60(B23,$A23,1))</f>
        <v>0</v>
      </c>
      <c r="AB23" s="52">
        <f>[1]!s_stmnote_bank_5444(B23,$A23,1)</f>
        <v>0</v>
      </c>
      <c r="AC23" s="38">
        <f>[1]!s_stmnote_bank_129n($B23,$A23,1)</f>
        <v>0</v>
      </c>
      <c r="AD23" s="54">
        <f>[1]!s_stmnote_bank_30(B23,$A23,1)</f>
        <v>0</v>
      </c>
    </row>
    <row r="24" spans="1:30" s="46" customFormat="1" ht="24">
      <c r="A24" s="1" t="s">
        <v>1110</v>
      </c>
      <c r="B24" s="87" t="s">
        <v>1132</v>
      </c>
      <c r="C24" s="8">
        <f>IF([1]!b_info_issuer(B24)="0","",IFERROR([1]!b_info_issuer(B24),""))</f>
        <v>0</v>
      </c>
      <c r="D24" s="11">
        <f>IF([1]!b_info_latestissurercreditrating(B24)="0","",IFERROR([1]!b_info_latestissurercreditrating(B24),""))</f>
        <v>0</v>
      </c>
      <c r="E24" s="27" t="str">
        <f>IFERROR(([1]!b_stm07_bs($B24,47,$A24,1,100000000))/[1]!b_stm07_bs($B24,109,$A24,1,100000000),"")</f>
        <v/>
      </c>
      <c r="F24" s="18" t="str">
        <f>IFERROR(([1]!s_stmnote_bank_26($B24,$A24,1,100000000)-[1]!s_stmnote_bank_26($B24,#REF!,1,100000000)+#REF!)/[1]!s_stmnote_bank_1n($B24,#REF!,1,100000000),"")</f>
        <v/>
      </c>
      <c r="G24" s="21" t="str">
        <f t="shared" si="0"/>
        <v/>
      </c>
      <c r="H24" s="18" t="str">
        <f>IFERROR([1]!s_stmnote_bank($B24,"34",$A24,100000000)/[1]!s_stmnote_bank_1n(B24,$A24,1,100000000),"")</f>
        <v/>
      </c>
      <c r="I24" s="25">
        <f>[1]!b_stm07_bs(B24,74,$A24,1,100000000)</f>
        <v>0</v>
      </c>
      <c r="J24" s="25">
        <f>[1]!b_stm07_bs(B24,109,$A24,1,100000000)</f>
        <v>0</v>
      </c>
      <c r="K24" s="10">
        <f>[1]!s_stmnote_bank_5n(B24,$A24,1)</f>
        <v>0</v>
      </c>
      <c r="L24" s="25">
        <f>[1]!s_stmnote_bank_23n(B24,$A24,1)</f>
        <v>0</v>
      </c>
      <c r="M24" s="25">
        <f>[1]!s_stmnote_bank_capadequacyratio(B24,$A24,1)</f>
        <v>0</v>
      </c>
      <c r="N24" s="25">
        <f>[1]!s_stmnote_bank_capadequacyratio_ct1(B24,$A24,1)</f>
        <v>0</v>
      </c>
      <c r="O24" s="6">
        <f>IF(OR([1]!s_fa_roe(B24,20201231)="0",[1]!s_fa_roe(B24,20211231)="0",[1]!s_fa_roe(B24,20221231)="0"),"",IFERROR(([1]!s_fa_roe(B24,20221231)+[1]!s_fa_roe(B24,20201231)+[1]!s_fa_roe(B24,20211231))/3,""))</f>
        <v>0</v>
      </c>
      <c r="P24" s="28" t="str">
        <f>IFERROR(([1]!s_stmnote_bank_65(B24,$A24,1,2,4,100000000)+[1]!s_stmnote_bank_65(B24,$A24,1,2,6,100000000))/[1]!s_stmnote_bank_1n(B24,$A24,1,100000000),"")</f>
        <v/>
      </c>
      <c r="Q24" s="28" t="str">
        <f>IFERROR([1]!s_stmnote_bank_614(B24,$A24,1,2,100000000)/[1]!s_stmnote_bank_647(B24,$A24,1,2,100000000),"")</f>
        <v/>
      </c>
      <c r="R24" s="28" t="str">
        <f>IFERROR(([1]!b_stm07_bs(B24,104,$A24,1,100000000)+[1]!b_stm07_bs(B24,106,$A24,1,100000000)+[1]!b_stm07_bs(B24,76,$A24,1,100000000)+[1]!b_stm07_bs(B24,108,$A24,1,100000000)+[1]!b_stm07_bs(B24,95,$A24,1,100000000))/[1]!b_stm07_bs(B24,128,$A24,1,100000000),"")</f>
        <v/>
      </c>
      <c r="S24" s="28" t="str">
        <f>IFERROR(([1]!s_stmnote_bank_614(B24,$A24,1,2,100000000)+[1]!b_stm07_bs(B24,104,$A24,1,100000000)+[1]!b_stm07_bs(B24,106,$A24,1,100000000)+[1]!b_stm07_bs(B24,76,$A24,1,100000000)+[1]!b_stm07_bs(B24,108,$A24,1,100000000)+[1]!b_stm07_bs(B24,95,$A24,1,100000000))/[1]!b_stm07_bs(B24,128,$A24,1,100000000),"")</f>
        <v/>
      </c>
      <c r="T24" s="11">
        <f>[1]!b_issuer_shareholder(B24,"",1)</f>
        <v>0</v>
      </c>
      <c r="U24" s="10">
        <f>[1]!b_issuer_propofshareholder(B24,"",1)</f>
        <v>0</v>
      </c>
      <c r="V24" s="33" t="str">
        <f t="shared" si="1"/>
        <v>0</v>
      </c>
      <c r="W24" s="33">
        <f>[1]!s_info_city(B24)</f>
        <v>0</v>
      </c>
      <c r="X24" s="10">
        <f>IF([1]!s_stmnote_bank_17n(B24,$A24,1)="0","",[1]!s_stmnote_bank_17n(B24,$A24,1))</f>
        <v>0</v>
      </c>
      <c r="Y24" s="10">
        <f>IF([1]!s_stmnote_bank_18n(B24,$A24,1)="0","",[1]!s_stmnote_bank_18n(B24,$A24,1))</f>
        <v>0</v>
      </c>
      <c r="Z24" s="41">
        <f>IF([1]!s_stmnote_bank_58(B24,$A24,1)="0","",[1]!s_stmnote_bank_58(B24,$A24,1))</f>
        <v>0</v>
      </c>
      <c r="AA24" s="52">
        <f>IF([1]!s_stmnote_bank_60(B24,$A24,1)="0","",[1]!s_stmnote_bank_60(B24,$A24,1))</f>
        <v>0</v>
      </c>
      <c r="AB24" s="52">
        <f>[1]!s_stmnote_bank_5444(B24,$A24,1)</f>
        <v>0</v>
      </c>
      <c r="AC24" s="38">
        <f>[1]!s_stmnote_bank_129n($B24,$A24,1)</f>
        <v>0</v>
      </c>
      <c r="AD24" s="54">
        <f>[1]!s_stmnote_bank_30(B24,$A24,1)</f>
        <v>0</v>
      </c>
    </row>
    <row r="25" spans="1:30" ht="24">
      <c r="A25" s="1" t="s">
        <v>1110</v>
      </c>
      <c r="B25" s="87" t="s">
        <v>1133</v>
      </c>
      <c r="C25" s="8">
        <f>IF([1]!b_info_issuer(B25)="0","",IFERROR([1]!b_info_issuer(B25),""))</f>
        <v>0</v>
      </c>
      <c r="D25" s="11">
        <f>IF([1]!b_info_latestissurercreditrating(B25)="0","",IFERROR([1]!b_info_latestissurercreditrating(B25),""))</f>
        <v>0</v>
      </c>
      <c r="E25" s="27" t="str">
        <f>IFERROR(([1]!b_stm07_bs($B25,47,$A25,1,100000000))/[1]!b_stm07_bs($B25,109,$A25,1,100000000),"")</f>
        <v/>
      </c>
      <c r="F25" s="18" t="str">
        <f>IFERROR(([1]!s_stmnote_bank_26($B25,$A25,1,100000000)-[1]!s_stmnote_bank_26($B25,#REF!,1,100000000)+#REF!)/[1]!s_stmnote_bank_1n($B25,#REF!,1,100000000),"")</f>
        <v/>
      </c>
      <c r="G25" s="21" t="str">
        <f t="shared" si="0"/>
        <v/>
      </c>
      <c r="H25" s="18" t="str">
        <f>IFERROR([1]!s_stmnote_bank($B25,"34",$A25,100000000)/[1]!s_stmnote_bank_1n(B25,$A25,1,100000000),"")</f>
        <v/>
      </c>
      <c r="I25" s="25">
        <f>[1]!b_stm07_bs(B25,74,$A25,1,100000000)</f>
        <v>0</v>
      </c>
      <c r="J25" s="25">
        <f>[1]!b_stm07_bs(B25,109,$A25,1,100000000)</f>
        <v>0</v>
      </c>
      <c r="K25" s="10">
        <f>[1]!s_stmnote_bank_5n(B25,$A25,1)</f>
        <v>0</v>
      </c>
      <c r="L25" s="25">
        <f>[1]!s_stmnote_bank_23n(B25,$A25,1)</f>
        <v>0</v>
      </c>
      <c r="M25" s="25">
        <f>[1]!s_stmnote_bank_capadequacyratio(B25,$A25,1)</f>
        <v>0</v>
      </c>
      <c r="N25" s="25">
        <f>[1]!s_stmnote_bank_capadequacyratio_ct1(B25,$A25,1)</f>
        <v>0</v>
      </c>
      <c r="O25" s="6">
        <f>IF(OR([1]!s_fa_roe(B25,20201231)="0",[1]!s_fa_roe(B25,20211231)="0",[1]!s_fa_roe(B25,20221231)="0"),"",IFERROR(([1]!s_fa_roe(B25,20221231)+[1]!s_fa_roe(B25,20201231)+[1]!s_fa_roe(B25,20211231))/3,""))</f>
        <v>0</v>
      </c>
      <c r="P25" s="28" t="str">
        <f>IFERROR(([1]!s_stmnote_bank_65(B25,$A25,1,2,4,100000000)+[1]!s_stmnote_bank_65(B25,$A25,1,2,6,100000000))/[1]!s_stmnote_bank_1n(B25,$A25,1,100000000),"")</f>
        <v/>
      </c>
      <c r="Q25" s="28" t="str">
        <f>IFERROR([1]!s_stmnote_bank_614(B25,$A25,1,2,100000000)/[1]!s_stmnote_bank_647(B25,$A25,1,2,100000000),"")</f>
        <v/>
      </c>
      <c r="R25" s="28" t="str">
        <f>IFERROR(([1]!b_stm07_bs(B25,104,$A25,1,100000000)+[1]!b_stm07_bs(B25,106,$A25,1,100000000)+[1]!b_stm07_bs(B25,76,$A25,1,100000000)+[1]!b_stm07_bs(B25,108,$A25,1,100000000)+[1]!b_stm07_bs(B25,95,$A25,1,100000000))/[1]!b_stm07_bs(B25,128,$A25,1,100000000),"")</f>
        <v/>
      </c>
      <c r="S25" s="28" t="str">
        <f>IFERROR(([1]!s_stmnote_bank_614(B25,$A25,1,2,100000000)+[1]!b_stm07_bs(B25,104,$A25,1,100000000)+[1]!b_stm07_bs(B25,106,$A25,1,100000000)+[1]!b_stm07_bs(B25,76,$A25,1,100000000)+[1]!b_stm07_bs(B25,108,$A25,1,100000000)+[1]!b_stm07_bs(B25,95,$A25,1,100000000))/[1]!b_stm07_bs(B25,128,$A25,1,100000000),"")</f>
        <v/>
      </c>
      <c r="T25" s="11">
        <f>[1]!b_issuer_shareholder(B25,"",1)</f>
        <v>0</v>
      </c>
      <c r="U25" s="10">
        <f>[1]!b_issuer_propofshareholder(B25,"",1)</f>
        <v>0</v>
      </c>
      <c r="V25" s="33" t="str">
        <f t="shared" si="1"/>
        <v>0</v>
      </c>
      <c r="W25" s="33">
        <f>[1]!s_info_city(B25)</f>
        <v>0</v>
      </c>
      <c r="X25" s="10">
        <f>IF([1]!s_stmnote_bank_17n(B25,$A25,1)="0","",[1]!s_stmnote_bank_17n(B25,$A25,1))</f>
        <v>0</v>
      </c>
      <c r="Y25" s="10">
        <f>IF([1]!s_stmnote_bank_18n(B25,$A25,1)="0","",[1]!s_stmnote_bank_18n(B25,$A25,1))</f>
        <v>0</v>
      </c>
      <c r="Z25" s="41">
        <f>IF([1]!s_stmnote_bank_58(B25,$A25,1)="0","",[1]!s_stmnote_bank_58(B25,$A25,1))</f>
        <v>0</v>
      </c>
      <c r="AA25" s="52">
        <f>IF([1]!s_stmnote_bank_60(B25,$A25,1)="0","",[1]!s_stmnote_bank_60(B25,$A25,1))</f>
        <v>0</v>
      </c>
      <c r="AB25" s="52">
        <f>[1]!s_stmnote_bank_5444(B25,$A25,1)</f>
        <v>0</v>
      </c>
      <c r="AC25" s="38">
        <f>[1]!s_stmnote_bank_129n($B25,$A25,1)</f>
        <v>0</v>
      </c>
      <c r="AD25" s="54">
        <f>[1]!s_stmnote_bank_30(B25,$A25,1)</f>
        <v>0</v>
      </c>
    </row>
    <row r="26" spans="1:30" s="46" customFormat="1" ht="24">
      <c r="A26" s="1" t="s">
        <v>1110</v>
      </c>
      <c r="B26" s="87" t="s">
        <v>1134</v>
      </c>
      <c r="C26" s="8">
        <f>IF([1]!b_info_issuer(B26)="0","",IFERROR([1]!b_info_issuer(B26),""))</f>
        <v>0</v>
      </c>
      <c r="D26" s="11">
        <f>IF([1]!b_info_latestissurercreditrating(B26)="0","",IFERROR([1]!b_info_latestissurercreditrating(B26),""))</f>
        <v>0</v>
      </c>
      <c r="E26" s="27" t="str">
        <f>IFERROR(([1]!b_stm07_bs($B26,47,$A26,1,100000000))/[1]!b_stm07_bs($B26,109,$A26,1,100000000),"")</f>
        <v/>
      </c>
      <c r="F26" s="18" t="str">
        <f>IFERROR(([1]!s_stmnote_bank_26($B26,$A26,1,100000000)-[1]!s_stmnote_bank_26($B26,#REF!,1,100000000)+#REF!)/[1]!s_stmnote_bank_1n($B26,#REF!,1,100000000),"")</f>
        <v/>
      </c>
      <c r="G26" s="21" t="str">
        <f t="shared" si="0"/>
        <v/>
      </c>
      <c r="H26" s="18" t="str">
        <f>IFERROR([1]!s_stmnote_bank($B26,"34",$A26,100000000)/[1]!s_stmnote_bank_1n(B26,$A26,1,100000000),"")</f>
        <v/>
      </c>
      <c r="I26" s="25">
        <f>[1]!b_stm07_bs(B26,74,$A26,1,100000000)</f>
        <v>0</v>
      </c>
      <c r="J26" s="25">
        <f>[1]!b_stm07_bs(B26,109,$A26,1,100000000)</f>
        <v>0</v>
      </c>
      <c r="K26" s="10">
        <f>[1]!s_stmnote_bank_5n(B26,$A26,1)</f>
        <v>0</v>
      </c>
      <c r="L26" s="25">
        <f>[1]!s_stmnote_bank_23n(B26,$A26,1)</f>
        <v>0</v>
      </c>
      <c r="M26" s="25">
        <f>[1]!s_stmnote_bank_capadequacyratio(B26,$A26,1)</f>
        <v>0</v>
      </c>
      <c r="N26" s="25">
        <f>[1]!s_stmnote_bank_capadequacyratio_ct1(B26,$A26,1)</f>
        <v>0</v>
      </c>
      <c r="O26" s="6">
        <f>IF(OR([1]!s_fa_roe(B26,20201231)="0",[1]!s_fa_roe(B26,20211231)="0",[1]!s_fa_roe(B26,20221231)="0"),"",IFERROR(([1]!s_fa_roe(B26,20221231)+[1]!s_fa_roe(B26,20201231)+[1]!s_fa_roe(B26,20211231))/3,""))</f>
        <v>0</v>
      </c>
      <c r="P26" s="28" t="str">
        <f>IFERROR(([1]!s_stmnote_bank_65(B26,$A26,1,2,4,100000000)+[1]!s_stmnote_bank_65(B26,$A26,1,2,6,100000000))/[1]!s_stmnote_bank_1n(B26,$A26,1,100000000),"")</f>
        <v/>
      </c>
      <c r="Q26" s="28" t="str">
        <f>IFERROR([1]!s_stmnote_bank_614(B26,$A26,1,2,100000000)/[1]!s_stmnote_bank_647(B26,$A26,1,2,100000000),"")</f>
        <v/>
      </c>
      <c r="R26" s="28" t="str">
        <f>IFERROR(([1]!b_stm07_bs(B26,104,$A26,1,100000000)+[1]!b_stm07_bs(B26,106,$A26,1,100000000)+[1]!b_stm07_bs(B26,76,$A26,1,100000000)+[1]!b_stm07_bs(B26,108,$A26,1,100000000)+[1]!b_stm07_bs(B26,95,$A26,1,100000000))/[1]!b_stm07_bs(B26,128,$A26,1,100000000),"")</f>
        <v/>
      </c>
      <c r="S26" s="28" t="str">
        <f>IFERROR(([1]!s_stmnote_bank_614(B26,$A26,1,2,100000000)+[1]!b_stm07_bs(B26,104,$A26,1,100000000)+[1]!b_stm07_bs(B26,106,$A26,1,100000000)+[1]!b_stm07_bs(B26,76,$A26,1,100000000)+[1]!b_stm07_bs(B26,108,$A26,1,100000000)+[1]!b_stm07_bs(B26,95,$A26,1,100000000))/[1]!b_stm07_bs(B26,128,$A26,1,100000000),"")</f>
        <v/>
      </c>
      <c r="T26" s="11">
        <f>[1]!b_issuer_shareholder(B26,"",1)</f>
        <v>0</v>
      </c>
      <c r="U26" s="10">
        <f>[1]!b_issuer_propofshareholder(B26,"",1)</f>
        <v>0</v>
      </c>
      <c r="V26" s="33" t="str">
        <f t="shared" si="1"/>
        <v>0</v>
      </c>
      <c r="W26" s="33">
        <f>[1]!s_info_city(B26)</f>
        <v>0</v>
      </c>
      <c r="X26" s="10">
        <f>IF([1]!s_stmnote_bank_17n(B26,$A26,1)="0","",[1]!s_stmnote_bank_17n(B26,$A26,1))</f>
        <v>0</v>
      </c>
      <c r="Y26" s="10">
        <f>IF([1]!s_stmnote_bank_18n(B26,$A26,1)="0","",[1]!s_stmnote_bank_18n(B26,$A26,1))</f>
        <v>0</v>
      </c>
      <c r="Z26" s="41">
        <f>IF([1]!s_stmnote_bank_58(B26,$A26,1)="0","",[1]!s_stmnote_bank_58(B26,$A26,1))</f>
        <v>0</v>
      </c>
      <c r="AA26" s="52">
        <f>IF([1]!s_stmnote_bank_60(B26,$A26,1)="0","",[1]!s_stmnote_bank_60(B26,$A26,1))</f>
        <v>0</v>
      </c>
      <c r="AB26" s="52">
        <f>[1]!s_stmnote_bank_5444(B26,$A26,1)</f>
        <v>0</v>
      </c>
      <c r="AC26" s="38">
        <f>[1]!s_stmnote_bank_129n($B26,$A26,1)</f>
        <v>0</v>
      </c>
      <c r="AD26" s="54">
        <f>[1]!s_stmnote_bank_30(B26,$A26,1)</f>
        <v>0</v>
      </c>
    </row>
    <row r="27" spans="1:30" s="46" customFormat="1" ht="24">
      <c r="A27" s="1" t="s">
        <v>1110</v>
      </c>
      <c r="B27" s="87" t="s">
        <v>1135</v>
      </c>
      <c r="C27" s="8">
        <f>IF([1]!b_info_issuer(B27)="0","",IFERROR([1]!b_info_issuer(B27),""))</f>
        <v>0</v>
      </c>
      <c r="D27" s="11">
        <f>IF([1]!b_info_latestissurercreditrating(B27)="0","",IFERROR([1]!b_info_latestissurercreditrating(B27),""))</f>
        <v>0</v>
      </c>
      <c r="E27" s="27" t="str">
        <f>IFERROR(([1]!b_stm07_bs($B27,47,$A27,1,100000000))/[1]!b_stm07_bs($B27,109,$A27,1,100000000),"")</f>
        <v/>
      </c>
      <c r="F27" s="18" t="str">
        <f>IFERROR(([1]!s_stmnote_bank_26($B27,$A27,1,100000000)-[1]!s_stmnote_bank_26($B27,#REF!,1,100000000)+#REF!)/[1]!s_stmnote_bank_1n($B27,#REF!,1,100000000),"")</f>
        <v/>
      </c>
      <c r="G27" s="21" t="str">
        <f t="shared" si="0"/>
        <v/>
      </c>
      <c r="H27" s="18" t="str">
        <f>IFERROR([1]!s_stmnote_bank($B27,"34",$A27,100000000)/[1]!s_stmnote_bank_1n(B27,$A27,1,100000000),"")</f>
        <v/>
      </c>
      <c r="I27" s="25">
        <f>[1]!b_stm07_bs(B27,74,$A27,1,100000000)</f>
        <v>0</v>
      </c>
      <c r="J27" s="25">
        <f>[1]!b_stm07_bs(B27,109,$A27,1,100000000)</f>
        <v>0</v>
      </c>
      <c r="K27" s="10">
        <f>[1]!s_stmnote_bank_5n(B27,$A27,1)</f>
        <v>0</v>
      </c>
      <c r="L27" s="25">
        <f>[1]!s_stmnote_bank_23n(B27,$A27,1)</f>
        <v>0</v>
      </c>
      <c r="M27" s="25">
        <f>[1]!s_stmnote_bank_capadequacyratio(B27,$A27,1)</f>
        <v>0</v>
      </c>
      <c r="N27" s="25">
        <f>[1]!s_stmnote_bank_capadequacyratio_ct1(B27,$A27,1)</f>
        <v>0</v>
      </c>
      <c r="O27" s="6">
        <f>IF(OR([1]!s_fa_roe(B27,20201231)="0",[1]!s_fa_roe(B27,20211231)="0",[1]!s_fa_roe(B27,20221231)="0"),"",IFERROR(([1]!s_fa_roe(B27,20221231)+[1]!s_fa_roe(B27,20201231)+[1]!s_fa_roe(B27,20211231))/3,""))</f>
        <v>0</v>
      </c>
      <c r="P27" s="28" t="str">
        <f>IFERROR(([1]!s_stmnote_bank_65(B27,$A27,1,2,4,100000000)+[1]!s_stmnote_bank_65(B27,$A27,1,2,6,100000000))/[1]!s_stmnote_bank_1n(B27,$A27,1,100000000),"")</f>
        <v/>
      </c>
      <c r="Q27" s="28" t="str">
        <f>IFERROR([1]!s_stmnote_bank_614(B27,$A27,1,2,100000000)/[1]!s_stmnote_bank_647(B27,$A27,1,2,100000000),"")</f>
        <v/>
      </c>
      <c r="R27" s="28" t="str">
        <f>IFERROR(([1]!b_stm07_bs(B27,104,$A27,1,100000000)+[1]!b_stm07_bs(B27,106,$A27,1,100000000)+[1]!b_stm07_bs(B27,76,$A27,1,100000000)+[1]!b_stm07_bs(B27,108,$A27,1,100000000)+[1]!b_stm07_bs(B27,95,$A27,1,100000000))/[1]!b_stm07_bs(B27,128,$A27,1,100000000),"")</f>
        <v/>
      </c>
      <c r="S27" s="28" t="str">
        <f>IFERROR(([1]!s_stmnote_bank_614(B27,$A27,1,2,100000000)+[1]!b_stm07_bs(B27,104,$A27,1,100000000)+[1]!b_stm07_bs(B27,106,$A27,1,100000000)+[1]!b_stm07_bs(B27,76,$A27,1,100000000)+[1]!b_stm07_bs(B27,108,$A27,1,100000000)+[1]!b_stm07_bs(B27,95,$A27,1,100000000))/[1]!b_stm07_bs(B27,128,$A27,1,100000000),"")</f>
        <v/>
      </c>
      <c r="T27" s="11">
        <f>[1]!b_issuer_shareholder(B27,"",1)</f>
        <v>0</v>
      </c>
      <c r="U27" s="10">
        <f>[1]!b_issuer_propofshareholder(B27,"",1)</f>
        <v>0</v>
      </c>
      <c r="V27" s="33" t="str">
        <f t="shared" si="1"/>
        <v>0</v>
      </c>
      <c r="W27" s="33">
        <f>[1]!s_info_city(B27)</f>
        <v>0</v>
      </c>
      <c r="X27" s="10">
        <f>IF([1]!s_stmnote_bank_17n(B27,$A27,1)="0","",[1]!s_stmnote_bank_17n(B27,$A27,1))</f>
        <v>0</v>
      </c>
      <c r="Y27" s="10">
        <f>IF([1]!s_stmnote_bank_18n(B27,$A27,1)="0","",[1]!s_stmnote_bank_18n(B27,$A27,1))</f>
        <v>0</v>
      </c>
      <c r="Z27" s="41">
        <f>IF([1]!s_stmnote_bank_58(B27,$A27,1)="0","",[1]!s_stmnote_bank_58(B27,$A27,1))</f>
        <v>0</v>
      </c>
      <c r="AA27" s="52">
        <f>IF([1]!s_stmnote_bank_60(B27,$A27,1)="0","",[1]!s_stmnote_bank_60(B27,$A27,1))</f>
        <v>0</v>
      </c>
      <c r="AB27" s="52">
        <f>[1]!s_stmnote_bank_5444(B27,$A27,1)</f>
        <v>0</v>
      </c>
      <c r="AC27" s="38">
        <f>[1]!s_stmnote_bank_129n($B27,$A27,1)</f>
        <v>0</v>
      </c>
      <c r="AD27" s="54">
        <f>[1]!s_stmnote_bank_30(B27,$A27,1)</f>
        <v>0</v>
      </c>
    </row>
    <row r="28" spans="1:30" s="46" customFormat="1" ht="24">
      <c r="A28" s="1" t="s">
        <v>1110</v>
      </c>
      <c r="B28" s="87" t="s">
        <v>1136</v>
      </c>
      <c r="C28" s="8">
        <f>IF([1]!b_info_issuer(B28)="0","",IFERROR([1]!b_info_issuer(B28),""))</f>
        <v>0</v>
      </c>
      <c r="D28" s="11">
        <f>IF([1]!b_info_latestissurercreditrating(B28)="0","",IFERROR([1]!b_info_latestissurercreditrating(B28),""))</f>
        <v>0</v>
      </c>
      <c r="E28" s="27" t="str">
        <f>IFERROR(([1]!b_stm07_bs($B28,47,$A28,1,100000000))/[1]!b_stm07_bs($B28,109,$A28,1,100000000),"")</f>
        <v/>
      </c>
      <c r="F28" s="18" t="str">
        <f>IFERROR(([1]!s_stmnote_bank_26($B28,$A28,1,100000000)-[1]!s_stmnote_bank_26($B28,#REF!,1,100000000)+#REF!)/[1]!s_stmnote_bank_1n($B28,#REF!,1,100000000),"")</f>
        <v/>
      </c>
      <c r="G28" s="21" t="str">
        <f t="shared" si="0"/>
        <v/>
      </c>
      <c r="H28" s="18" t="str">
        <f>IFERROR([1]!s_stmnote_bank($B28,"34",$A28,100000000)/[1]!s_stmnote_bank_1n(B28,$A28,1,100000000),"")</f>
        <v/>
      </c>
      <c r="I28" s="25">
        <f>[1]!b_stm07_bs(B28,74,$A28,1,100000000)</f>
        <v>0</v>
      </c>
      <c r="J28" s="25">
        <f>[1]!b_stm07_bs(B28,109,$A28,1,100000000)</f>
        <v>0</v>
      </c>
      <c r="K28" s="10">
        <f>[1]!s_stmnote_bank_5n(B28,$A28,1)</f>
        <v>0</v>
      </c>
      <c r="L28" s="25">
        <f>[1]!s_stmnote_bank_23n(B28,$A28,1)</f>
        <v>0</v>
      </c>
      <c r="M28" s="25">
        <f>[1]!s_stmnote_bank_capadequacyratio(B28,$A28,1)</f>
        <v>0</v>
      </c>
      <c r="N28" s="25">
        <f>[1]!s_stmnote_bank_capadequacyratio_ct1(B28,$A28,1)</f>
        <v>0</v>
      </c>
      <c r="O28" s="6">
        <f>IF(OR([1]!s_fa_roe(B28,20201231)="0",[1]!s_fa_roe(B28,20211231)="0",[1]!s_fa_roe(B28,20221231)="0"),"",IFERROR(([1]!s_fa_roe(B28,20221231)+[1]!s_fa_roe(B28,20201231)+[1]!s_fa_roe(B28,20211231))/3,""))</f>
        <v>0</v>
      </c>
      <c r="P28" s="28" t="str">
        <f>IFERROR(([1]!s_stmnote_bank_65(B28,$A28,1,2,4,100000000)+[1]!s_stmnote_bank_65(B28,$A28,1,2,6,100000000))/[1]!s_stmnote_bank_1n(B28,$A28,1,100000000),"")</f>
        <v/>
      </c>
      <c r="Q28" s="28" t="str">
        <f>IFERROR([1]!s_stmnote_bank_614(B28,$A28,1,2,100000000)/[1]!s_stmnote_bank_647(B28,$A28,1,2,100000000),"")</f>
        <v/>
      </c>
      <c r="R28" s="28" t="str">
        <f>IFERROR(([1]!b_stm07_bs(B28,104,$A28,1,100000000)+[1]!b_stm07_bs(B28,106,$A28,1,100000000)+[1]!b_stm07_bs(B28,76,$A28,1,100000000)+[1]!b_stm07_bs(B28,108,$A28,1,100000000)+[1]!b_stm07_bs(B28,95,$A28,1,100000000))/[1]!b_stm07_bs(B28,128,$A28,1,100000000),"")</f>
        <v/>
      </c>
      <c r="S28" s="28" t="str">
        <f>IFERROR(([1]!s_stmnote_bank_614(B28,$A28,1,2,100000000)+[1]!b_stm07_bs(B28,104,$A28,1,100000000)+[1]!b_stm07_bs(B28,106,$A28,1,100000000)+[1]!b_stm07_bs(B28,76,$A28,1,100000000)+[1]!b_stm07_bs(B28,108,$A28,1,100000000)+[1]!b_stm07_bs(B28,95,$A28,1,100000000))/[1]!b_stm07_bs(B28,128,$A28,1,100000000),"")</f>
        <v/>
      </c>
      <c r="T28" s="11">
        <f>[1]!b_issuer_shareholder(B28,"",1)</f>
        <v>0</v>
      </c>
      <c r="U28" s="10">
        <f>[1]!b_issuer_propofshareholder(B28,"",1)</f>
        <v>0</v>
      </c>
      <c r="V28" s="33" t="str">
        <f t="shared" si="1"/>
        <v>0</v>
      </c>
      <c r="W28" s="33">
        <f>[1]!s_info_city(B28)</f>
        <v>0</v>
      </c>
      <c r="X28" s="10">
        <f>IF([1]!s_stmnote_bank_17n(B28,$A28,1)="0","",[1]!s_stmnote_bank_17n(B28,$A28,1))</f>
        <v>0</v>
      </c>
      <c r="Y28" s="10">
        <f>IF([1]!s_stmnote_bank_18n(B28,$A28,1)="0","",[1]!s_stmnote_bank_18n(B28,$A28,1))</f>
        <v>0</v>
      </c>
      <c r="Z28" s="41">
        <f>IF([1]!s_stmnote_bank_58(B28,$A28,1)="0","",[1]!s_stmnote_bank_58(B28,$A28,1))</f>
        <v>0</v>
      </c>
      <c r="AA28" s="52">
        <f>IF([1]!s_stmnote_bank_60(B28,$A28,1)="0","",[1]!s_stmnote_bank_60(B28,$A28,1))</f>
        <v>0</v>
      </c>
      <c r="AB28" s="52">
        <f>[1]!s_stmnote_bank_5444(B28,$A28,1)</f>
        <v>0</v>
      </c>
      <c r="AC28" s="38">
        <f>[1]!s_stmnote_bank_129n($B28,$A28,1)</f>
        <v>0</v>
      </c>
      <c r="AD28" s="54">
        <f>[1]!s_stmnote_bank_30(B28,$A28,1)</f>
        <v>0</v>
      </c>
    </row>
    <row r="29" spans="1:30" ht="24">
      <c r="A29" s="1" t="s">
        <v>1110</v>
      </c>
      <c r="B29" s="87" t="s">
        <v>1137</v>
      </c>
      <c r="C29" s="8">
        <f>IF([1]!b_info_issuer(B29)="0","",IFERROR([1]!b_info_issuer(B29),""))</f>
        <v>0</v>
      </c>
      <c r="D29" s="11">
        <f>IF([1]!b_info_latestissurercreditrating(B29)="0","",IFERROR([1]!b_info_latestissurercreditrating(B29),""))</f>
        <v>0</v>
      </c>
      <c r="E29" s="27" t="str">
        <f>IFERROR(([1]!b_stm07_bs($B29,47,$A29,1,100000000))/[1]!b_stm07_bs($B29,109,$A29,1,100000000),"")</f>
        <v/>
      </c>
      <c r="F29" s="18" t="str">
        <f>IFERROR(([1]!s_stmnote_bank_26($B29,$A29,1,100000000)-[1]!s_stmnote_bank_26($B29,#REF!,1,100000000)+#REF!)/[1]!s_stmnote_bank_1n($B29,#REF!,1,100000000),"")</f>
        <v/>
      </c>
      <c r="G29" s="21" t="str">
        <f t="shared" si="0"/>
        <v/>
      </c>
      <c r="H29" s="18" t="str">
        <f>IFERROR([1]!s_stmnote_bank($B29,"34",$A29,100000000)/[1]!s_stmnote_bank_1n(B29,$A29,1,100000000),"")</f>
        <v/>
      </c>
      <c r="I29" s="25">
        <f>[1]!b_stm07_bs(B29,74,$A29,1,100000000)</f>
        <v>0</v>
      </c>
      <c r="J29" s="25">
        <f>[1]!b_stm07_bs(B29,109,$A29,1,100000000)</f>
        <v>0</v>
      </c>
      <c r="K29" s="10">
        <f>[1]!s_stmnote_bank_5n(B29,$A29,1)</f>
        <v>0</v>
      </c>
      <c r="L29" s="25">
        <f>[1]!s_stmnote_bank_23n(B29,$A29,1)</f>
        <v>0</v>
      </c>
      <c r="M29" s="25">
        <f>[1]!s_stmnote_bank_capadequacyratio(B29,$A29,1)</f>
        <v>0</v>
      </c>
      <c r="N29" s="25">
        <f>[1]!s_stmnote_bank_capadequacyratio_ct1(B29,$A29,1)</f>
        <v>0</v>
      </c>
      <c r="O29" s="6">
        <f>IF(OR([1]!s_fa_roe(B29,20201231)="0",[1]!s_fa_roe(B29,20211231)="0",[1]!s_fa_roe(B29,20221231)="0"),"",IFERROR(([1]!s_fa_roe(B29,20221231)+[1]!s_fa_roe(B29,20201231)+[1]!s_fa_roe(B29,20211231))/3,""))</f>
        <v>0</v>
      </c>
      <c r="P29" s="28" t="str">
        <f>IFERROR(([1]!s_stmnote_bank_65(B29,$A29,1,2,4,100000000)+[1]!s_stmnote_bank_65(B29,$A29,1,2,6,100000000))/[1]!s_stmnote_bank_1n(B29,$A29,1,100000000),"")</f>
        <v/>
      </c>
      <c r="Q29" s="28" t="str">
        <f>IFERROR([1]!s_stmnote_bank_614(B29,$A29,1,2,100000000)/[1]!s_stmnote_bank_647(B29,$A29,1,2,100000000),"")</f>
        <v/>
      </c>
      <c r="R29" s="28" t="str">
        <f>IFERROR(([1]!b_stm07_bs(B29,104,$A29,1,100000000)+[1]!b_stm07_bs(B29,106,$A29,1,100000000)+[1]!b_stm07_bs(B29,76,$A29,1,100000000)+[1]!b_stm07_bs(B29,108,$A29,1,100000000)+[1]!b_stm07_bs(B29,95,$A29,1,100000000))/[1]!b_stm07_bs(B29,128,$A29,1,100000000),"")</f>
        <v/>
      </c>
      <c r="S29" s="28" t="str">
        <f>IFERROR(([1]!s_stmnote_bank_614(B29,$A29,1,2,100000000)+[1]!b_stm07_bs(B29,104,$A29,1,100000000)+[1]!b_stm07_bs(B29,106,$A29,1,100000000)+[1]!b_stm07_bs(B29,76,$A29,1,100000000)+[1]!b_stm07_bs(B29,108,$A29,1,100000000)+[1]!b_stm07_bs(B29,95,$A29,1,100000000))/[1]!b_stm07_bs(B29,128,$A29,1,100000000),"")</f>
        <v/>
      </c>
      <c r="T29" s="11">
        <f>[1]!b_issuer_shareholder(B29,"",1)</f>
        <v>0</v>
      </c>
      <c r="U29" s="10">
        <f>[1]!b_issuer_propofshareholder(B29,"",1)</f>
        <v>0</v>
      </c>
      <c r="V29" s="33" t="str">
        <f t="shared" si="1"/>
        <v>0</v>
      </c>
      <c r="W29" s="33">
        <f>[1]!s_info_city(B29)</f>
        <v>0</v>
      </c>
      <c r="X29" s="10">
        <f>IF([1]!s_stmnote_bank_17n(B29,$A29,1)="0","",[1]!s_stmnote_bank_17n(B29,$A29,1))</f>
        <v>0</v>
      </c>
      <c r="Y29" s="10">
        <f>IF([1]!s_stmnote_bank_18n(B29,$A29,1)="0","",[1]!s_stmnote_bank_18n(B29,$A29,1))</f>
        <v>0</v>
      </c>
      <c r="Z29" s="41">
        <f>IF([1]!s_stmnote_bank_58(B29,$A29,1)="0","",[1]!s_stmnote_bank_58(B29,$A29,1))</f>
        <v>0</v>
      </c>
      <c r="AA29" s="52">
        <f>IF([1]!s_stmnote_bank_60(B29,$A29,1)="0","",[1]!s_stmnote_bank_60(B29,$A29,1))</f>
        <v>0</v>
      </c>
      <c r="AB29" s="52">
        <f>[1]!s_stmnote_bank_5444(B29,$A29,1)</f>
        <v>0</v>
      </c>
      <c r="AC29" s="38">
        <f>[1]!s_stmnote_bank_129n($B29,$A29,1)</f>
        <v>0</v>
      </c>
      <c r="AD29" s="54">
        <f>[1]!s_stmnote_bank_30(B29,$A29,1)</f>
        <v>0</v>
      </c>
    </row>
    <row r="30" spans="1:30" ht="24">
      <c r="A30" s="1" t="s">
        <v>1110</v>
      </c>
      <c r="B30" s="87" t="s">
        <v>1138</v>
      </c>
      <c r="C30" s="8">
        <f>IF([1]!b_info_issuer(B30)="0","",IFERROR([1]!b_info_issuer(B30),""))</f>
        <v>0</v>
      </c>
      <c r="D30" s="11">
        <f>IF([1]!b_info_latestissurercreditrating(B30)="0","",IFERROR([1]!b_info_latestissurercreditrating(B30),""))</f>
        <v>0</v>
      </c>
      <c r="E30" s="27" t="str">
        <f>IFERROR(([1]!b_stm07_bs($B30,47,$A30,1,100000000))/[1]!b_stm07_bs($B30,109,$A30,1,100000000),"")</f>
        <v/>
      </c>
      <c r="F30" s="18" t="str">
        <f>IFERROR(([1]!s_stmnote_bank_26($B30,$A30,1,100000000)-[1]!s_stmnote_bank_26($B30,#REF!,1,100000000)+#REF!)/[1]!s_stmnote_bank_1n($B30,#REF!,1,100000000),"")</f>
        <v/>
      </c>
      <c r="G30" s="21" t="str">
        <f t="shared" si="0"/>
        <v/>
      </c>
      <c r="H30" s="18" t="str">
        <f>IFERROR([1]!s_stmnote_bank($B30,"34",$A30,100000000)/[1]!s_stmnote_bank_1n(B30,$A30,1,100000000),"")</f>
        <v/>
      </c>
      <c r="I30" s="25">
        <f>[1]!b_stm07_bs(B30,74,$A30,1,100000000)</f>
        <v>0</v>
      </c>
      <c r="J30" s="25">
        <f>[1]!b_stm07_bs(B30,109,$A30,1,100000000)</f>
        <v>0</v>
      </c>
      <c r="K30" s="10">
        <f>[1]!s_stmnote_bank_5n(B30,$A30,1)</f>
        <v>0</v>
      </c>
      <c r="L30" s="25">
        <f>[1]!s_stmnote_bank_23n(B30,$A30,1)</f>
        <v>0</v>
      </c>
      <c r="M30" s="25">
        <f>[1]!s_stmnote_bank_capadequacyratio(B30,$A30,1)</f>
        <v>0</v>
      </c>
      <c r="N30" s="25">
        <f>[1]!s_stmnote_bank_capadequacyratio_ct1(B30,$A30,1)</f>
        <v>0</v>
      </c>
      <c r="O30" s="6">
        <f>IF(OR([1]!s_fa_roe(B30,20201231)="0",[1]!s_fa_roe(B30,20211231)="0",[1]!s_fa_roe(B30,20221231)="0"),"",IFERROR(([1]!s_fa_roe(B30,20221231)+[1]!s_fa_roe(B30,20201231)+[1]!s_fa_roe(B30,20211231))/3,""))</f>
        <v>0</v>
      </c>
      <c r="P30" s="28" t="str">
        <f>IFERROR(([1]!s_stmnote_bank_65(B30,$A30,1,2,4,100000000)+[1]!s_stmnote_bank_65(B30,$A30,1,2,6,100000000))/[1]!s_stmnote_bank_1n(B30,$A30,1,100000000),"")</f>
        <v/>
      </c>
      <c r="Q30" s="28" t="str">
        <f>IFERROR([1]!s_stmnote_bank_614(B30,$A30,1,2,100000000)/[1]!s_stmnote_bank_647(B30,$A30,1,2,100000000),"")</f>
        <v/>
      </c>
      <c r="R30" s="28" t="str">
        <f>IFERROR(([1]!b_stm07_bs(B30,104,$A30,1,100000000)+[1]!b_stm07_bs(B30,106,$A30,1,100000000)+[1]!b_stm07_bs(B30,76,$A30,1,100000000)+[1]!b_stm07_bs(B30,108,$A30,1,100000000)+[1]!b_stm07_bs(B30,95,$A30,1,100000000))/[1]!b_stm07_bs(B30,128,$A30,1,100000000),"")</f>
        <v/>
      </c>
      <c r="S30" s="28" t="str">
        <f>IFERROR(([1]!s_stmnote_bank_614(B30,$A30,1,2,100000000)+[1]!b_stm07_bs(B30,104,$A30,1,100000000)+[1]!b_stm07_bs(B30,106,$A30,1,100000000)+[1]!b_stm07_bs(B30,76,$A30,1,100000000)+[1]!b_stm07_bs(B30,108,$A30,1,100000000)+[1]!b_stm07_bs(B30,95,$A30,1,100000000))/[1]!b_stm07_bs(B30,128,$A30,1,100000000),"")</f>
        <v/>
      </c>
      <c r="T30" s="11">
        <f>[1]!b_issuer_shareholder(B30,"",1)</f>
        <v>0</v>
      </c>
      <c r="U30" s="10">
        <f>[1]!b_issuer_propofshareholder(B30,"",1)</f>
        <v>0</v>
      </c>
      <c r="V30" s="33" t="str">
        <f t="shared" si="1"/>
        <v>0</v>
      </c>
      <c r="W30" s="33">
        <f>[1]!s_info_city(B30)</f>
        <v>0</v>
      </c>
      <c r="X30" s="10">
        <f>IF([1]!s_stmnote_bank_17n(B30,$A30,1)="0","",[1]!s_stmnote_bank_17n(B30,$A30,1))</f>
        <v>0</v>
      </c>
      <c r="Y30" s="10">
        <f>IF([1]!s_stmnote_bank_18n(B30,$A30,1)="0","",[1]!s_stmnote_bank_18n(B30,$A30,1))</f>
        <v>0</v>
      </c>
      <c r="Z30" s="41">
        <f>IF([1]!s_stmnote_bank_58(B30,$A30,1)="0","",[1]!s_stmnote_bank_58(B30,$A30,1))</f>
        <v>0</v>
      </c>
      <c r="AA30" s="52">
        <f>IF([1]!s_stmnote_bank_60(B30,$A30,1)="0","",[1]!s_stmnote_bank_60(B30,$A30,1))</f>
        <v>0</v>
      </c>
      <c r="AB30" s="52">
        <f>[1]!s_stmnote_bank_5444(B30,$A30,1)</f>
        <v>0</v>
      </c>
      <c r="AC30" s="38">
        <f>[1]!s_stmnote_bank_129n($B30,$A30,1)</f>
        <v>0</v>
      </c>
      <c r="AD30" s="54">
        <f>[1]!s_stmnote_bank_30(B30,$A30,1)</f>
        <v>0</v>
      </c>
    </row>
    <row r="31" spans="1:30" ht="24">
      <c r="A31" s="1" t="s">
        <v>1110</v>
      </c>
      <c r="B31" s="87" t="s">
        <v>1139</v>
      </c>
      <c r="C31" s="8">
        <f>IF([1]!b_info_issuer(B31)="0","",IFERROR([1]!b_info_issuer(B31),""))</f>
        <v>0</v>
      </c>
      <c r="D31" s="11">
        <f>IF([1]!b_info_latestissurercreditrating(B31)="0","",IFERROR([1]!b_info_latestissurercreditrating(B31),""))</f>
        <v>0</v>
      </c>
      <c r="E31" s="27" t="str">
        <f>IFERROR(([1]!b_stm07_bs($B31,47,$A31,1,100000000))/[1]!b_stm07_bs($B31,109,$A31,1,100000000),"")</f>
        <v/>
      </c>
      <c r="F31" s="18" t="str">
        <f>IFERROR(([1]!s_stmnote_bank_26($B31,$A31,1,100000000)-[1]!s_stmnote_bank_26($B31,#REF!,1,100000000)+#REF!)/[1]!s_stmnote_bank_1n($B31,#REF!,1,100000000),"")</f>
        <v/>
      </c>
      <c r="G31" s="21" t="str">
        <f t="shared" si="0"/>
        <v/>
      </c>
      <c r="H31" s="18" t="str">
        <f>IFERROR([1]!s_stmnote_bank($B31,"34",$A31,100000000)/[1]!s_stmnote_bank_1n(B31,$A31,1,100000000),"")</f>
        <v/>
      </c>
      <c r="I31" s="25">
        <f>[1]!b_stm07_bs(B31,74,$A31,1,100000000)</f>
        <v>0</v>
      </c>
      <c r="J31" s="25">
        <f>[1]!b_stm07_bs(B31,109,$A31,1,100000000)</f>
        <v>0</v>
      </c>
      <c r="K31" s="10">
        <f>[1]!s_stmnote_bank_5n(B31,$A31,1)</f>
        <v>0</v>
      </c>
      <c r="L31" s="25">
        <f>[1]!s_stmnote_bank_23n(B31,$A31,1)</f>
        <v>0</v>
      </c>
      <c r="M31" s="25">
        <f>[1]!s_stmnote_bank_capadequacyratio(B31,$A31,1)</f>
        <v>0</v>
      </c>
      <c r="N31" s="25">
        <f>[1]!s_stmnote_bank_capadequacyratio_ct1(B31,$A31,1)</f>
        <v>0</v>
      </c>
      <c r="O31" s="6">
        <f>IF(OR([1]!s_fa_roe(B31,20201231)="0",[1]!s_fa_roe(B31,20211231)="0",[1]!s_fa_roe(B31,20221231)="0"),"",IFERROR(([1]!s_fa_roe(B31,20221231)+[1]!s_fa_roe(B31,20201231)+[1]!s_fa_roe(B31,20211231))/3,""))</f>
        <v>0</v>
      </c>
      <c r="P31" s="28" t="str">
        <f>IFERROR(([1]!s_stmnote_bank_65(B31,$A31,1,2,4,100000000)+[1]!s_stmnote_bank_65(B31,$A31,1,2,6,100000000))/[1]!s_stmnote_bank_1n(B31,$A31,1,100000000),"")</f>
        <v/>
      </c>
      <c r="Q31" s="28" t="str">
        <f>IFERROR([1]!s_stmnote_bank_614(B31,$A31,1,2,100000000)/[1]!s_stmnote_bank_647(B31,$A31,1,2,100000000),"")</f>
        <v/>
      </c>
      <c r="R31" s="28" t="str">
        <f>IFERROR(([1]!b_stm07_bs(B31,104,$A31,1,100000000)+[1]!b_stm07_bs(B31,106,$A31,1,100000000)+[1]!b_stm07_bs(B31,76,$A31,1,100000000)+[1]!b_stm07_bs(B31,108,$A31,1,100000000)+[1]!b_stm07_bs(B31,95,$A31,1,100000000))/[1]!b_stm07_bs(B31,128,$A31,1,100000000),"")</f>
        <v/>
      </c>
      <c r="S31" s="28" t="str">
        <f>IFERROR(([1]!s_stmnote_bank_614(B31,$A31,1,2,100000000)+[1]!b_stm07_bs(B31,104,$A31,1,100000000)+[1]!b_stm07_bs(B31,106,$A31,1,100000000)+[1]!b_stm07_bs(B31,76,$A31,1,100000000)+[1]!b_stm07_bs(B31,108,$A31,1,100000000)+[1]!b_stm07_bs(B31,95,$A31,1,100000000))/[1]!b_stm07_bs(B31,128,$A31,1,100000000),"")</f>
        <v/>
      </c>
      <c r="T31" s="11">
        <f>[1]!b_issuer_shareholder(B31,"",1)</f>
        <v>0</v>
      </c>
      <c r="U31" s="10">
        <f>[1]!b_issuer_propofshareholder(B31,"",1)</f>
        <v>0</v>
      </c>
      <c r="V31" s="33" t="str">
        <f t="shared" si="1"/>
        <v>0</v>
      </c>
      <c r="W31" s="33">
        <f>[1]!s_info_city(B31)</f>
        <v>0</v>
      </c>
      <c r="X31" s="10">
        <f>IF([1]!s_stmnote_bank_17n(B31,$A31,1)="0","",[1]!s_stmnote_bank_17n(B31,$A31,1))</f>
        <v>0</v>
      </c>
      <c r="Y31" s="10">
        <f>IF([1]!s_stmnote_bank_18n(B31,$A31,1)="0","",[1]!s_stmnote_bank_18n(B31,$A31,1))</f>
        <v>0</v>
      </c>
      <c r="Z31" s="41">
        <f>IF([1]!s_stmnote_bank_58(B31,$A31,1)="0","",[1]!s_stmnote_bank_58(B31,$A31,1))</f>
        <v>0</v>
      </c>
      <c r="AA31" s="52">
        <f>IF([1]!s_stmnote_bank_60(B31,$A31,1)="0","",[1]!s_stmnote_bank_60(B31,$A31,1))</f>
        <v>0</v>
      </c>
      <c r="AB31" s="52">
        <f>[1]!s_stmnote_bank_5444(B31,$A31,1)</f>
        <v>0</v>
      </c>
      <c r="AC31" s="38">
        <f>[1]!s_stmnote_bank_129n($B31,$A31,1)</f>
        <v>0</v>
      </c>
      <c r="AD31" s="54">
        <f>[1]!s_stmnote_bank_30(B31,$A31,1)</f>
        <v>0</v>
      </c>
    </row>
    <row r="32" spans="1:30" ht="24">
      <c r="A32" s="1" t="s">
        <v>1110</v>
      </c>
      <c r="B32" s="87" t="s">
        <v>1140</v>
      </c>
      <c r="C32" s="8">
        <f>IF([1]!b_info_issuer(B32)="0","",IFERROR([1]!b_info_issuer(B32),""))</f>
        <v>0</v>
      </c>
      <c r="D32" s="11">
        <f>IF([1]!b_info_latestissurercreditrating(B32)="0","",IFERROR([1]!b_info_latestissurercreditrating(B32),""))</f>
        <v>0</v>
      </c>
      <c r="E32" s="27" t="str">
        <f>IFERROR(([1]!b_stm07_bs($B32,47,$A32,1,100000000))/[1]!b_stm07_bs($B32,109,$A32,1,100000000),"")</f>
        <v/>
      </c>
      <c r="F32" s="18" t="str">
        <f>IFERROR(([1]!s_stmnote_bank_26($B32,$A32,1,100000000)-[1]!s_stmnote_bank_26($B32,#REF!,1,100000000)+#REF!)/[1]!s_stmnote_bank_1n($B32,#REF!,1,100000000),"")</f>
        <v/>
      </c>
      <c r="G32" s="21" t="str">
        <f t="shared" si="0"/>
        <v/>
      </c>
      <c r="H32" s="18" t="str">
        <f>IFERROR([1]!s_stmnote_bank($B32,"34",$A32,100000000)/[1]!s_stmnote_bank_1n(B32,$A32,1,100000000),"")</f>
        <v/>
      </c>
      <c r="I32" s="25">
        <f>[1]!b_stm07_bs(B32,74,$A32,1,100000000)</f>
        <v>0</v>
      </c>
      <c r="J32" s="25">
        <f>[1]!b_stm07_bs(B32,109,$A32,1,100000000)</f>
        <v>0</v>
      </c>
      <c r="K32" s="10">
        <f>[1]!s_stmnote_bank_5n(B32,$A32,1)</f>
        <v>0</v>
      </c>
      <c r="L32" s="25">
        <f>[1]!s_stmnote_bank_23n(B32,$A32,1)</f>
        <v>0</v>
      </c>
      <c r="M32" s="25">
        <f>[1]!s_stmnote_bank_capadequacyratio(B32,$A32,1)</f>
        <v>0</v>
      </c>
      <c r="N32" s="25">
        <f>[1]!s_stmnote_bank_capadequacyratio_ct1(B32,$A32,1)</f>
        <v>0</v>
      </c>
      <c r="O32" s="6">
        <f>IF(OR([1]!s_fa_roe(B32,20201231)="0",[1]!s_fa_roe(B32,20211231)="0",[1]!s_fa_roe(B32,20221231)="0"),"",IFERROR(([1]!s_fa_roe(B32,20221231)+[1]!s_fa_roe(B32,20201231)+[1]!s_fa_roe(B32,20211231))/3,""))</f>
        <v>0</v>
      </c>
      <c r="P32" s="28" t="str">
        <f>IFERROR(([1]!s_stmnote_bank_65(B32,$A32,1,2,4,100000000)+[1]!s_stmnote_bank_65(B32,$A32,1,2,6,100000000))/[1]!s_stmnote_bank_1n(B32,$A32,1,100000000),"")</f>
        <v/>
      </c>
      <c r="Q32" s="28" t="str">
        <f>IFERROR([1]!s_stmnote_bank_614(B32,$A32,1,2,100000000)/[1]!s_stmnote_bank_647(B32,$A32,1,2,100000000),"")</f>
        <v/>
      </c>
      <c r="R32" s="28" t="str">
        <f>IFERROR(([1]!b_stm07_bs(B32,104,$A32,1,100000000)+[1]!b_stm07_bs(B32,106,$A32,1,100000000)+[1]!b_stm07_bs(B32,76,$A32,1,100000000)+[1]!b_stm07_bs(B32,108,$A32,1,100000000)+[1]!b_stm07_bs(B32,95,$A32,1,100000000))/[1]!b_stm07_bs(B32,128,$A32,1,100000000),"")</f>
        <v/>
      </c>
      <c r="S32" s="28" t="str">
        <f>IFERROR(([1]!s_stmnote_bank_614(B32,$A32,1,2,100000000)+[1]!b_stm07_bs(B32,104,$A32,1,100000000)+[1]!b_stm07_bs(B32,106,$A32,1,100000000)+[1]!b_stm07_bs(B32,76,$A32,1,100000000)+[1]!b_stm07_bs(B32,108,$A32,1,100000000)+[1]!b_stm07_bs(B32,95,$A32,1,100000000))/[1]!b_stm07_bs(B32,128,$A32,1,100000000),"")</f>
        <v/>
      </c>
      <c r="T32" s="11">
        <f>[1]!b_issuer_shareholder(B32,"",1)</f>
        <v>0</v>
      </c>
      <c r="U32" s="10">
        <f>[1]!b_issuer_propofshareholder(B32,"",1)</f>
        <v>0</v>
      </c>
      <c r="V32" s="33" t="str">
        <f t="shared" si="1"/>
        <v>0</v>
      </c>
      <c r="W32" s="33">
        <f>[1]!s_info_city(B32)</f>
        <v>0</v>
      </c>
      <c r="X32" s="10">
        <f>IF([1]!s_stmnote_bank_17n(B32,$A32,1)="0","",[1]!s_stmnote_bank_17n(B32,$A32,1))</f>
        <v>0</v>
      </c>
      <c r="Y32" s="10">
        <f>IF([1]!s_stmnote_bank_18n(B32,$A32,1)="0","",[1]!s_stmnote_bank_18n(B32,$A32,1))</f>
        <v>0</v>
      </c>
      <c r="Z32" s="41">
        <f>IF([1]!s_stmnote_bank_58(B32,$A32,1)="0","",[1]!s_stmnote_bank_58(B32,$A32,1))</f>
        <v>0</v>
      </c>
      <c r="AA32" s="52">
        <f>IF([1]!s_stmnote_bank_60(B32,$A32,1)="0","",[1]!s_stmnote_bank_60(B32,$A32,1))</f>
        <v>0</v>
      </c>
      <c r="AB32" s="52">
        <f>[1]!s_stmnote_bank_5444(B32,$A32,1)</f>
        <v>0</v>
      </c>
      <c r="AC32" s="38">
        <f>[1]!s_stmnote_bank_129n($B32,$A32,1)</f>
        <v>0</v>
      </c>
      <c r="AD32" s="54">
        <f>[1]!s_stmnote_bank_30(B32,$A32,1)</f>
        <v>0</v>
      </c>
    </row>
    <row r="33" spans="1:30" ht="24">
      <c r="A33" s="1" t="s">
        <v>1110</v>
      </c>
      <c r="B33" s="87" t="s">
        <v>1141</v>
      </c>
      <c r="C33" s="8">
        <f>IF([1]!b_info_issuer(B33)="0","",IFERROR([1]!b_info_issuer(B33),""))</f>
        <v>0</v>
      </c>
      <c r="D33" s="11">
        <f>IF([1]!b_info_latestissurercreditrating(B33)="0","",IFERROR([1]!b_info_latestissurercreditrating(B33),""))</f>
        <v>0</v>
      </c>
      <c r="E33" s="27" t="str">
        <f>IFERROR(([1]!b_stm07_bs($B33,47,$A33,1,100000000))/[1]!b_stm07_bs($B33,109,$A33,1,100000000),"")</f>
        <v/>
      </c>
      <c r="F33" s="18" t="str">
        <f>IFERROR(([1]!s_stmnote_bank_26($B33,$A33,1,100000000)-[1]!s_stmnote_bank_26($B33,#REF!,1,100000000)+#REF!)/[1]!s_stmnote_bank_1n($B33,#REF!,1,100000000),"")</f>
        <v/>
      </c>
      <c r="G33" s="21" t="str">
        <f t="shared" si="0"/>
        <v/>
      </c>
      <c r="H33" s="18" t="str">
        <f>IFERROR([1]!s_stmnote_bank($B33,"34",$A33,100000000)/[1]!s_stmnote_bank_1n(B33,$A33,1,100000000),"")</f>
        <v/>
      </c>
      <c r="I33" s="25">
        <f>[1]!b_stm07_bs(B33,74,$A33,1,100000000)</f>
        <v>0</v>
      </c>
      <c r="J33" s="25">
        <f>[1]!b_stm07_bs(B33,109,$A33,1,100000000)</f>
        <v>0</v>
      </c>
      <c r="K33" s="10">
        <f>[1]!s_stmnote_bank_5n(B33,$A33,1)</f>
        <v>0</v>
      </c>
      <c r="L33" s="25">
        <f>[1]!s_stmnote_bank_23n(B33,$A33,1)</f>
        <v>0</v>
      </c>
      <c r="M33" s="25">
        <f>[1]!s_stmnote_bank_capadequacyratio(B33,$A33,1)</f>
        <v>0</v>
      </c>
      <c r="N33" s="25">
        <f>[1]!s_stmnote_bank_capadequacyratio_ct1(B33,$A33,1)</f>
        <v>0</v>
      </c>
      <c r="O33" s="6">
        <f>IF(OR([1]!s_fa_roe(B33,20201231)="0",[1]!s_fa_roe(B33,20211231)="0",[1]!s_fa_roe(B33,20221231)="0"),"",IFERROR(([1]!s_fa_roe(B33,20221231)+[1]!s_fa_roe(B33,20201231)+[1]!s_fa_roe(B33,20211231))/3,""))</f>
        <v>0</v>
      </c>
      <c r="P33" s="28" t="str">
        <f>IFERROR(([1]!s_stmnote_bank_65(B33,$A33,1,2,4,100000000)+[1]!s_stmnote_bank_65(B33,$A33,1,2,6,100000000))/[1]!s_stmnote_bank_1n(B33,$A33,1,100000000),"")</f>
        <v/>
      </c>
      <c r="Q33" s="28" t="str">
        <f>IFERROR([1]!s_stmnote_bank_614(B33,$A33,1,2,100000000)/[1]!s_stmnote_bank_647(B33,$A33,1,2,100000000),"")</f>
        <v/>
      </c>
      <c r="R33" s="28" t="str">
        <f>IFERROR(([1]!b_stm07_bs(B33,104,$A33,1,100000000)+[1]!b_stm07_bs(B33,106,$A33,1,100000000)+[1]!b_stm07_bs(B33,76,$A33,1,100000000)+[1]!b_stm07_bs(B33,108,$A33,1,100000000)+[1]!b_stm07_bs(B33,95,$A33,1,100000000))/[1]!b_stm07_bs(B33,128,$A33,1,100000000),"")</f>
        <v/>
      </c>
      <c r="S33" s="28" t="str">
        <f>IFERROR(([1]!s_stmnote_bank_614(B33,$A33,1,2,100000000)+[1]!b_stm07_bs(B33,104,$A33,1,100000000)+[1]!b_stm07_bs(B33,106,$A33,1,100000000)+[1]!b_stm07_bs(B33,76,$A33,1,100000000)+[1]!b_stm07_bs(B33,108,$A33,1,100000000)+[1]!b_stm07_bs(B33,95,$A33,1,100000000))/[1]!b_stm07_bs(B33,128,$A33,1,100000000),"")</f>
        <v/>
      </c>
      <c r="T33" s="11">
        <f>[1]!b_issuer_shareholder(B33,"",1)</f>
        <v>0</v>
      </c>
      <c r="U33" s="10">
        <f>[1]!b_issuer_propofshareholder(B33,"",1)</f>
        <v>0</v>
      </c>
      <c r="V33" s="33" t="str">
        <f t="shared" si="1"/>
        <v>0</v>
      </c>
      <c r="W33" s="33">
        <f>[1]!s_info_city(B33)</f>
        <v>0</v>
      </c>
      <c r="X33" s="10">
        <f>IF([1]!s_stmnote_bank_17n(B33,$A33,1)="0","",[1]!s_stmnote_bank_17n(B33,$A33,1))</f>
        <v>0</v>
      </c>
      <c r="Y33" s="10">
        <f>IF([1]!s_stmnote_bank_18n(B33,$A33,1)="0","",[1]!s_stmnote_bank_18n(B33,$A33,1))</f>
        <v>0</v>
      </c>
      <c r="Z33" s="41">
        <f>IF([1]!s_stmnote_bank_58(B33,$A33,1)="0","",[1]!s_stmnote_bank_58(B33,$A33,1))</f>
        <v>0</v>
      </c>
      <c r="AA33" s="52">
        <f>IF([1]!s_stmnote_bank_60(B33,$A33,1)="0","",[1]!s_stmnote_bank_60(B33,$A33,1))</f>
        <v>0</v>
      </c>
      <c r="AB33" s="52">
        <f>[1]!s_stmnote_bank_5444(B33,$A33,1)</f>
        <v>0</v>
      </c>
      <c r="AC33" s="38">
        <f>[1]!s_stmnote_bank_129n($B33,$A33,1)</f>
        <v>0</v>
      </c>
      <c r="AD33" s="54">
        <f>[1]!s_stmnote_bank_30(B33,$A33,1)</f>
        <v>0</v>
      </c>
    </row>
    <row r="34" spans="1:30" ht="24">
      <c r="A34" s="1" t="s">
        <v>1110</v>
      </c>
      <c r="B34" s="87" t="s">
        <v>1142</v>
      </c>
      <c r="C34" s="8">
        <f>IF([1]!b_info_issuer(B34)="0","",IFERROR([1]!b_info_issuer(B34),""))</f>
        <v>0</v>
      </c>
      <c r="D34" s="11">
        <f>IF([1]!b_info_latestissurercreditrating(B34)="0","",IFERROR([1]!b_info_latestissurercreditrating(B34),""))</f>
        <v>0</v>
      </c>
      <c r="E34" s="27" t="str">
        <f>IFERROR(([1]!b_stm07_bs($B34,47,$A34,1,100000000))/[1]!b_stm07_bs($B34,109,$A34,1,100000000),"")</f>
        <v/>
      </c>
      <c r="F34" s="18" t="str">
        <f>IFERROR(([1]!s_stmnote_bank_26($B34,$A34,1,100000000)-[1]!s_stmnote_bank_26($B34,#REF!,1,100000000)+#REF!)/[1]!s_stmnote_bank_1n($B34,#REF!,1,100000000),"")</f>
        <v/>
      </c>
      <c r="G34" s="21" t="str">
        <f t="shared" si="0"/>
        <v/>
      </c>
      <c r="H34" s="18" t="str">
        <f>IFERROR([1]!s_stmnote_bank($B34,"34",$A34,100000000)/[1]!s_stmnote_bank_1n(B34,$A34,1,100000000),"")</f>
        <v/>
      </c>
      <c r="I34" s="25">
        <f>[1]!b_stm07_bs(B34,74,$A34,1,100000000)</f>
        <v>0</v>
      </c>
      <c r="J34" s="25">
        <f>[1]!b_stm07_bs(B34,109,$A34,1,100000000)</f>
        <v>0</v>
      </c>
      <c r="K34" s="10">
        <f>[1]!s_stmnote_bank_5n(B34,$A34,1)</f>
        <v>0</v>
      </c>
      <c r="L34" s="25">
        <f>[1]!s_stmnote_bank_23n(B34,$A34,1)</f>
        <v>0</v>
      </c>
      <c r="M34" s="25">
        <f>[1]!s_stmnote_bank_capadequacyratio(B34,$A34,1)</f>
        <v>0</v>
      </c>
      <c r="N34" s="25">
        <f>[1]!s_stmnote_bank_capadequacyratio_ct1(B34,$A34,1)</f>
        <v>0</v>
      </c>
      <c r="O34" s="6">
        <f>IF(OR([1]!s_fa_roe(B34,20201231)="0",[1]!s_fa_roe(B34,20211231)="0",[1]!s_fa_roe(B34,20221231)="0"),"",IFERROR(([1]!s_fa_roe(B34,20221231)+[1]!s_fa_roe(B34,20201231)+[1]!s_fa_roe(B34,20211231))/3,""))</f>
        <v>0</v>
      </c>
      <c r="P34" s="28" t="str">
        <f>IFERROR(([1]!s_stmnote_bank_65(B34,$A34,1,2,4,100000000)+[1]!s_stmnote_bank_65(B34,$A34,1,2,6,100000000))/[1]!s_stmnote_bank_1n(B34,$A34,1,100000000),"")</f>
        <v/>
      </c>
      <c r="Q34" s="28" t="str">
        <f>IFERROR([1]!s_stmnote_bank_614(B34,$A34,1,2,100000000)/[1]!s_stmnote_bank_647(B34,$A34,1,2,100000000),"")</f>
        <v/>
      </c>
      <c r="R34" s="28" t="str">
        <f>IFERROR(([1]!b_stm07_bs(B34,104,$A34,1,100000000)+[1]!b_stm07_bs(B34,106,$A34,1,100000000)+[1]!b_stm07_bs(B34,76,$A34,1,100000000)+[1]!b_stm07_bs(B34,108,$A34,1,100000000)+[1]!b_stm07_bs(B34,95,$A34,1,100000000))/[1]!b_stm07_bs(B34,128,$A34,1,100000000),"")</f>
        <v/>
      </c>
      <c r="S34" s="28" t="str">
        <f>IFERROR(([1]!s_stmnote_bank_614(B34,$A34,1,2,100000000)+[1]!b_stm07_bs(B34,104,$A34,1,100000000)+[1]!b_stm07_bs(B34,106,$A34,1,100000000)+[1]!b_stm07_bs(B34,76,$A34,1,100000000)+[1]!b_stm07_bs(B34,108,$A34,1,100000000)+[1]!b_stm07_bs(B34,95,$A34,1,100000000))/[1]!b_stm07_bs(B34,128,$A34,1,100000000),"")</f>
        <v/>
      </c>
      <c r="T34" s="11">
        <f>[1]!b_issuer_shareholder(B34,"",1)</f>
        <v>0</v>
      </c>
      <c r="U34" s="10">
        <f>[1]!b_issuer_propofshareholder(B34,"",1)</f>
        <v>0</v>
      </c>
      <c r="V34" s="33" t="str">
        <f t="shared" si="1"/>
        <v>0</v>
      </c>
      <c r="W34" s="33">
        <f>[1]!s_info_city(B34)</f>
        <v>0</v>
      </c>
      <c r="X34" s="10">
        <f>IF([1]!s_stmnote_bank_17n(B34,$A34,1)="0","",[1]!s_stmnote_bank_17n(B34,$A34,1))</f>
        <v>0</v>
      </c>
      <c r="Y34" s="10">
        <f>IF([1]!s_stmnote_bank_18n(B34,$A34,1)="0","",[1]!s_stmnote_bank_18n(B34,$A34,1))</f>
        <v>0</v>
      </c>
      <c r="Z34" s="41">
        <f>IF([1]!s_stmnote_bank_58(B34,$A34,1)="0","",[1]!s_stmnote_bank_58(B34,$A34,1))</f>
        <v>0</v>
      </c>
      <c r="AA34" s="52">
        <f>IF([1]!s_stmnote_bank_60(B34,$A34,1)="0","",[1]!s_stmnote_bank_60(B34,$A34,1))</f>
        <v>0</v>
      </c>
      <c r="AB34" s="52">
        <f>[1]!s_stmnote_bank_5444(B34,$A34,1)</f>
        <v>0</v>
      </c>
      <c r="AC34" s="38">
        <f>[1]!s_stmnote_bank_129n($B34,$A34,1)</f>
        <v>0</v>
      </c>
      <c r="AD34" s="54">
        <f>[1]!s_stmnote_bank_30(B34,$A34,1)</f>
        <v>0</v>
      </c>
    </row>
    <row r="35" spans="1:30" ht="24">
      <c r="A35" s="1" t="s">
        <v>1110</v>
      </c>
      <c r="B35" s="87" t="s">
        <v>1143</v>
      </c>
      <c r="C35" s="8">
        <f>IF([1]!b_info_issuer(B35)="0","",IFERROR([1]!b_info_issuer(B35),""))</f>
        <v>0</v>
      </c>
      <c r="D35" s="11">
        <f>IF([1]!b_info_latestissurercreditrating(B35)="0","",IFERROR([1]!b_info_latestissurercreditrating(B35),""))</f>
        <v>0</v>
      </c>
      <c r="E35" s="27" t="str">
        <f>IFERROR(([1]!b_stm07_bs($B35,47,$A35,1,100000000))/[1]!b_stm07_bs($B35,109,$A35,1,100000000),"")</f>
        <v/>
      </c>
      <c r="F35" s="18" t="str">
        <f>IFERROR(([1]!s_stmnote_bank_26($B35,$A35,1,100000000)-[1]!s_stmnote_bank_26($B35,#REF!,1,100000000)+#REF!)/[1]!s_stmnote_bank_1n($B35,#REF!,1,100000000),"")</f>
        <v/>
      </c>
      <c r="G35" s="21" t="str">
        <f t="shared" si="0"/>
        <v/>
      </c>
      <c r="H35" s="18" t="str">
        <f>IFERROR([1]!s_stmnote_bank($B35,"34",$A35,100000000)/[1]!s_stmnote_bank_1n(B35,$A35,1,100000000),"")</f>
        <v/>
      </c>
      <c r="I35" s="25">
        <f>[1]!b_stm07_bs(B35,74,$A35,1,100000000)</f>
        <v>0</v>
      </c>
      <c r="J35" s="25">
        <f>[1]!b_stm07_bs(B35,109,$A35,1,100000000)</f>
        <v>0</v>
      </c>
      <c r="K35" s="10">
        <f>[1]!s_stmnote_bank_5n(B35,$A35,1)</f>
        <v>0</v>
      </c>
      <c r="L35" s="25">
        <f>[1]!s_stmnote_bank_23n(B35,$A35,1)</f>
        <v>0</v>
      </c>
      <c r="M35" s="25">
        <f>[1]!s_stmnote_bank_capadequacyratio(B35,$A35,1)</f>
        <v>0</v>
      </c>
      <c r="N35" s="25">
        <f>[1]!s_stmnote_bank_capadequacyratio_ct1(B35,$A35,1)</f>
        <v>0</v>
      </c>
      <c r="O35" s="6">
        <f>IF(OR([1]!s_fa_roe(B35,20201231)="0",[1]!s_fa_roe(B35,20211231)="0",[1]!s_fa_roe(B35,20221231)="0"),"",IFERROR(([1]!s_fa_roe(B35,20221231)+[1]!s_fa_roe(B35,20201231)+[1]!s_fa_roe(B35,20211231))/3,""))</f>
        <v>0</v>
      </c>
      <c r="P35" s="28" t="str">
        <f>IFERROR(([1]!s_stmnote_bank_65(B35,$A35,1,2,4,100000000)+[1]!s_stmnote_bank_65(B35,$A35,1,2,6,100000000))/[1]!s_stmnote_bank_1n(B35,$A35,1,100000000),"")</f>
        <v/>
      </c>
      <c r="Q35" s="28" t="str">
        <f>IFERROR([1]!s_stmnote_bank_614(B35,$A35,1,2,100000000)/[1]!s_stmnote_bank_647(B35,$A35,1,2,100000000),"")</f>
        <v/>
      </c>
      <c r="R35" s="28" t="str">
        <f>IFERROR(([1]!b_stm07_bs(B35,104,$A35,1,100000000)+[1]!b_stm07_bs(B35,106,$A35,1,100000000)+[1]!b_stm07_bs(B35,76,$A35,1,100000000)+[1]!b_stm07_bs(B35,108,$A35,1,100000000)+[1]!b_stm07_bs(B35,95,$A35,1,100000000))/[1]!b_stm07_bs(B35,128,$A35,1,100000000),"")</f>
        <v/>
      </c>
      <c r="S35" s="28" t="str">
        <f>IFERROR(([1]!s_stmnote_bank_614(B35,$A35,1,2,100000000)+[1]!b_stm07_bs(B35,104,$A35,1,100000000)+[1]!b_stm07_bs(B35,106,$A35,1,100000000)+[1]!b_stm07_bs(B35,76,$A35,1,100000000)+[1]!b_stm07_bs(B35,108,$A35,1,100000000)+[1]!b_stm07_bs(B35,95,$A35,1,100000000))/[1]!b_stm07_bs(B35,128,$A35,1,100000000),"")</f>
        <v/>
      </c>
      <c r="T35" s="11">
        <f>[1]!b_issuer_shareholder(B35,"",1)</f>
        <v>0</v>
      </c>
      <c r="U35" s="10">
        <f>[1]!b_issuer_propofshareholder(B35,"",1)</f>
        <v>0</v>
      </c>
      <c r="V35" s="33" t="str">
        <f t="shared" si="1"/>
        <v>0</v>
      </c>
      <c r="W35" s="33">
        <f>[1]!s_info_city(B35)</f>
        <v>0</v>
      </c>
      <c r="X35" s="10">
        <f>IF([1]!s_stmnote_bank_17n(B35,$A35,1)="0","",[1]!s_stmnote_bank_17n(B35,$A35,1))</f>
        <v>0</v>
      </c>
      <c r="Y35" s="10">
        <f>IF([1]!s_stmnote_bank_18n(B35,$A35,1)="0","",[1]!s_stmnote_bank_18n(B35,$A35,1))</f>
        <v>0</v>
      </c>
      <c r="Z35" s="41">
        <f>IF([1]!s_stmnote_bank_58(B35,$A35,1)="0","",[1]!s_stmnote_bank_58(B35,$A35,1))</f>
        <v>0</v>
      </c>
      <c r="AA35" s="52">
        <f>IF([1]!s_stmnote_bank_60(B35,$A35,1)="0","",[1]!s_stmnote_bank_60(B35,$A35,1))</f>
        <v>0</v>
      </c>
      <c r="AB35" s="52">
        <f>[1]!s_stmnote_bank_5444(B35,$A35,1)</f>
        <v>0</v>
      </c>
      <c r="AC35" s="38">
        <f>[1]!s_stmnote_bank_129n($B35,$A35,1)</f>
        <v>0</v>
      </c>
      <c r="AD35" s="54">
        <f>[1]!s_stmnote_bank_30(B35,$A35,1)</f>
        <v>0</v>
      </c>
    </row>
    <row r="36" spans="1:30" ht="24">
      <c r="A36" s="1" t="s">
        <v>1110</v>
      </c>
      <c r="B36" s="87" t="s">
        <v>1144</v>
      </c>
      <c r="C36" s="8">
        <f>IF([1]!b_info_issuer(B36)="0","",IFERROR([1]!b_info_issuer(B36),""))</f>
        <v>0</v>
      </c>
      <c r="D36" s="11">
        <f>IF([1]!b_info_latestissurercreditrating(B36)="0","",IFERROR([1]!b_info_latestissurercreditrating(B36),""))</f>
        <v>0</v>
      </c>
      <c r="E36" s="27" t="str">
        <f>IFERROR(([1]!b_stm07_bs($B36,47,$A36,1,100000000))/[1]!b_stm07_bs($B36,109,$A36,1,100000000),"")</f>
        <v/>
      </c>
      <c r="F36" s="18" t="str">
        <f>IFERROR(([1]!s_stmnote_bank_26($B36,$A36,1,100000000)-[1]!s_stmnote_bank_26($B36,#REF!,1,100000000)+#REF!)/[1]!s_stmnote_bank_1n($B36,#REF!,1,100000000),"")</f>
        <v/>
      </c>
      <c r="G36" s="21" t="str">
        <f t="shared" si="0"/>
        <v/>
      </c>
      <c r="H36" s="18" t="str">
        <f>IFERROR([1]!s_stmnote_bank($B36,"34",$A36,100000000)/[1]!s_stmnote_bank_1n(B36,$A36,1,100000000),"")</f>
        <v/>
      </c>
      <c r="I36" s="25">
        <f>[1]!b_stm07_bs(B36,74,$A36,1,100000000)</f>
        <v>0</v>
      </c>
      <c r="J36" s="25">
        <f>[1]!b_stm07_bs(B36,109,$A36,1,100000000)</f>
        <v>0</v>
      </c>
      <c r="K36" s="10">
        <f>[1]!s_stmnote_bank_5n(B36,$A36,1)</f>
        <v>0</v>
      </c>
      <c r="L36" s="25">
        <f>[1]!s_stmnote_bank_23n(B36,$A36,1)</f>
        <v>0</v>
      </c>
      <c r="M36" s="25">
        <f>[1]!s_stmnote_bank_capadequacyratio(B36,$A36,1)</f>
        <v>0</v>
      </c>
      <c r="N36" s="25">
        <f>[1]!s_stmnote_bank_capadequacyratio_ct1(B36,$A36,1)</f>
        <v>0</v>
      </c>
      <c r="O36" s="6">
        <f>IF(OR([1]!s_fa_roe(B36,20201231)="0",[1]!s_fa_roe(B36,20211231)="0",[1]!s_fa_roe(B36,20221231)="0"),"",IFERROR(([1]!s_fa_roe(B36,20221231)+[1]!s_fa_roe(B36,20201231)+[1]!s_fa_roe(B36,20211231))/3,""))</f>
        <v>0</v>
      </c>
      <c r="P36" s="28" t="str">
        <f>IFERROR(([1]!s_stmnote_bank_65(B36,$A36,1,2,4,100000000)+[1]!s_stmnote_bank_65(B36,$A36,1,2,6,100000000))/[1]!s_stmnote_bank_1n(B36,$A36,1,100000000),"")</f>
        <v/>
      </c>
      <c r="Q36" s="28" t="str">
        <f>IFERROR([1]!s_stmnote_bank_614(B36,$A36,1,2,100000000)/[1]!s_stmnote_bank_647(B36,$A36,1,2,100000000),"")</f>
        <v/>
      </c>
      <c r="R36" s="28" t="str">
        <f>IFERROR(([1]!b_stm07_bs(B36,104,$A36,1,100000000)+[1]!b_stm07_bs(B36,106,$A36,1,100000000)+[1]!b_stm07_bs(B36,76,$A36,1,100000000)+[1]!b_stm07_bs(B36,108,$A36,1,100000000)+[1]!b_stm07_bs(B36,95,$A36,1,100000000))/[1]!b_stm07_bs(B36,128,$A36,1,100000000),"")</f>
        <v/>
      </c>
      <c r="S36" s="28" t="str">
        <f>IFERROR(([1]!s_stmnote_bank_614(B36,$A36,1,2,100000000)+[1]!b_stm07_bs(B36,104,$A36,1,100000000)+[1]!b_stm07_bs(B36,106,$A36,1,100000000)+[1]!b_stm07_bs(B36,76,$A36,1,100000000)+[1]!b_stm07_bs(B36,108,$A36,1,100000000)+[1]!b_stm07_bs(B36,95,$A36,1,100000000))/[1]!b_stm07_bs(B36,128,$A36,1,100000000),"")</f>
        <v/>
      </c>
      <c r="T36" s="11">
        <f>[1]!b_issuer_shareholder(B36,"",1)</f>
        <v>0</v>
      </c>
      <c r="U36" s="10">
        <f>[1]!b_issuer_propofshareholder(B36,"",1)</f>
        <v>0</v>
      </c>
      <c r="V36" s="33" t="str">
        <f t="shared" si="1"/>
        <v>0</v>
      </c>
      <c r="W36" s="33">
        <f>[1]!s_info_city(B36)</f>
        <v>0</v>
      </c>
      <c r="X36" s="10">
        <f>IF([1]!s_stmnote_bank_17n(B36,$A36,1)="0","",[1]!s_stmnote_bank_17n(B36,$A36,1))</f>
        <v>0</v>
      </c>
      <c r="Y36" s="10">
        <f>IF([1]!s_stmnote_bank_18n(B36,$A36,1)="0","",[1]!s_stmnote_bank_18n(B36,$A36,1))</f>
        <v>0</v>
      </c>
      <c r="Z36" s="41">
        <f>IF([1]!s_stmnote_bank_58(B36,$A36,1)="0","",[1]!s_stmnote_bank_58(B36,$A36,1))</f>
        <v>0</v>
      </c>
      <c r="AA36" s="52">
        <f>IF([1]!s_stmnote_bank_60(B36,$A36,1)="0","",[1]!s_stmnote_bank_60(B36,$A36,1))</f>
        <v>0</v>
      </c>
      <c r="AB36" s="52">
        <f>[1]!s_stmnote_bank_5444(B36,$A36,1)</f>
        <v>0</v>
      </c>
      <c r="AC36" s="38">
        <f>[1]!s_stmnote_bank_129n($B36,$A36,1)</f>
        <v>0</v>
      </c>
      <c r="AD36" s="54">
        <f>[1]!s_stmnote_bank_30(B36,$A36,1)</f>
        <v>0</v>
      </c>
    </row>
    <row r="37" spans="1:30" ht="24">
      <c r="A37" s="1" t="s">
        <v>1110</v>
      </c>
      <c r="B37" s="87" t="s">
        <v>1145</v>
      </c>
      <c r="C37" s="8">
        <f>IF([1]!b_info_issuer(B37)="0","",IFERROR([1]!b_info_issuer(B37),""))</f>
        <v>0</v>
      </c>
      <c r="D37" s="11">
        <f>IF([1]!b_info_latestissurercreditrating(B37)="0","",IFERROR([1]!b_info_latestissurercreditrating(B37),""))</f>
        <v>0</v>
      </c>
      <c r="E37" s="27" t="str">
        <f>IFERROR(([1]!b_stm07_bs($B37,47,$A37,1,100000000))/[1]!b_stm07_bs($B37,109,$A37,1,100000000),"")</f>
        <v/>
      </c>
      <c r="F37" s="18" t="str">
        <f>IFERROR(([1]!s_stmnote_bank_26($B37,$A37,1,100000000)-[1]!s_stmnote_bank_26($B37,#REF!,1,100000000)+#REF!)/[1]!s_stmnote_bank_1n($B37,#REF!,1,100000000),"")</f>
        <v/>
      </c>
      <c r="G37" s="21" t="str">
        <f t="shared" si="0"/>
        <v/>
      </c>
      <c r="H37" s="18" t="str">
        <f>IFERROR([1]!s_stmnote_bank($B37,"34",$A37,100000000)/[1]!s_stmnote_bank_1n(B37,$A37,1,100000000),"")</f>
        <v/>
      </c>
      <c r="I37" s="25">
        <f>[1]!b_stm07_bs(B37,74,$A37,1,100000000)</f>
        <v>0</v>
      </c>
      <c r="J37" s="25">
        <f>[1]!b_stm07_bs(B37,109,$A37,1,100000000)</f>
        <v>0</v>
      </c>
      <c r="K37" s="10">
        <f>[1]!s_stmnote_bank_5n(B37,$A37,1)</f>
        <v>0</v>
      </c>
      <c r="L37" s="25">
        <f>[1]!s_stmnote_bank_23n(B37,$A37,1)</f>
        <v>0</v>
      </c>
      <c r="M37" s="25">
        <f>[1]!s_stmnote_bank_capadequacyratio(B37,$A37,1)</f>
        <v>0</v>
      </c>
      <c r="N37" s="25">
        <f>[1]!s_stmnote_bank_capadequacyratio_ct1(B37,$A37,1)</f>
        <v>0</v>
      </c>
      <c r="O37" s="6">
        <f>IF(OR([1]!s_fa_roe(B37,20201231)="0",[1]!s_fa_roe(B37,20211231)="0",[1]!s_fa_roe(B37,20221231)="0"),"",IFERROR(([1]!s_fa_roe(B37,20221231)+[1]!s_fa_roe(B37,20201231)+[1]!s_fa_roe(B37,20211231))/3,""))</f>
        <v>0</v>
      </c>
      <c r="P37" s="28" t="str">
        <f>IFERROR(([1]!s_stmnote_bank_65(B37,$A37,1,2,4,100000000)+[1]!s_stmnote_bank_65(B37,$A37,1,2,6,100000000))/[1]!s_stmnote_bank_1n(B37,$A37,1,100000000),"")</f>
        <v/>
      </c>
      <c r="Q37" s="28" t="str">
        <f>IFERROR([1]!s_stmnote_bank_614(B37,$A37,1,2,100000000)/[1]!s_stmnote_bank_647(B37,$A37,1,2,100000000),"")</f>
        <v/>
      </c>
      <c r="R37" s="28" t="str">
        <f>IFERROR(([1]!b_stm07_bs(B37,104,$A37,1,100000000)+[1]!b_stm07_bs(B37,106,$A37,1,100000000)+[1]!b_stm07_bs(B37,76,$A37,1,100000000)+[1]!b_stm07_bs(B37,108,$A37,1,100000000)+[1]!b_stm07_bs(B37,95,$A37,1,100000000))/[1]!b_stm07_bs(B37,128,$A37,1,100000000),"")</f>
        <v/>
      </c>
      <c r="S37" s="28" t="str">
        <f>IFERROR(([1]!s_stmnote_bank_614(B37,$A37,1,2,100000000)+[1]!b_stm07_bs(B37,104,$A37,1,100000000)+[1]!b_stm07_bs(B37,106,$A37,1,100000000)+[1]!b_stm07_bs(B37,76,$A37,1,100000000)+[1]!b_stm07_bs(B37,108,$A37,1,100000000)+[1]!b_stm07_bs(B37,95,$A37,1,100000000))/[1]!b_stm07_bs(B37,128,$A37,1,100000000),"")</f>
        <v/>
      </c>
      <c r="T37" s="11">
        <f>[1]!b_issuer_shareholder(B37,"",1)</f>
        <v>0</v>
      </c>
      <c r="U37" s="10">
        <f>[1]!b_issuer_propofshareholder(B37,"",1)</f>
        <v>0</v>
      </c>
      <c r="V37" s="33" t="str">
        <f t="shared" si="1"/>
        <v>0</v>
      </c>
      <c r="W37" s="33">
        <f>[1]!s_info_city(B37)</f>
        <v>0</v>
      </c>
      <c r="X37" s="10">
        <f>IF([1]!s_stmnote_bank_17n(B37,$A37,1)="0","",[1]!s_stmnote_bank_17n(B37,$A37,1))</f>
        <v>0</v>
      </c>
      <c r="Y37" s="10">
        <f>IF([1]!s_stmnote_bank_18n(B37,$A37,1)="0","",[1]!s_stmnote_bank_18n(B37,$A37,1))</f>
        <v>0</v>
      </c>
      <c r="Z37" s="41">
        <f>IF([1]!s_stmnote_bank_58(B37,$A37,1)="0","",[1]!s_stmnote_bank_58(B37,$A37,1))</f>
        <v>0</v>
      </c>
      <c r="AA37" s="52">
        <f>IF([1]!s_stmnote_bank_60(B37,$A37,1)="0","",[1]!s_stmnote_bank_60(B37,$A37,1))</f>
        <v>0</v>
      </c>
      <c r="AB37" s="52">
        <f>[1]!s_stmnote_bank_5444(B37,$A37,1)</f>
        <v>0</v>
      </c>
      <c r="AC37" s="38">
        <f>[1]!s_stmnote_bank_129n($B37,$A37,1)</f>
        <v>0</v>
      </c>
      <c r="AD37" s="54">
        <f>[1]!s_stmnote_bank_30(B37,$A37,1)</f>
        <v>0</v>
      </c>
    </row>
    <row r="38" spans="1:30" s="46" customFormat="1" ht="24">
      <c r="A38" s="1" t="s">
        <v>1110</v>
      </c>
      <c r="B38" s="87" t="s">
        <v>1146</v>
      </c>
      <c r="C38" s="8">
        <f>IF([1]!b_info_issuer(B38)="0","",IFERROR([1]!b_info_issuer(B38),""))</f>
        <v>0</v>
      </c>
      <c r="D38" s="11">
        <f>IF([1]!b_info_latestissurercreditrating(B38)="0","",IFERROR([1]!b_info_latestissurercreditrating(B38),""))</f>
        <v>0</v>
      </c>
      <c r="E38" s="27" t="str">
        <f>IFERROR(([1]!b_stm07_bs($B38,47,$A38,1,100000000))/[1]!b_stm07_bs($B38,109,$A38,1,100000000),"")</f>
        <v/>
      </c>
      <c r="F38" s="18" t="str">
        <f>IFERROR(([1]!s_stmnote_bank_26($B38,$A38,1,100000000)-[1]!s_stmnote_bank_26($B38,#REF!,1,100000000)+#REF!)/[1]!s_stmnote_bank_1n($B38,#REF!,1,100000000),"")</f>
        <v/>
      </c>
      <c r="G38" s="21" t="str">
        <f t="shared" si="0"/>
        <v/>
      </c>
      <c r="H38" s="18" t="str">
        <f>IFERROR([1]!s_stmnote_bank($B38,"34",$A38,100000000)/[1]!s_stmnote_bank_1n(B38,$A38,1,100000000),"")</f>
        <v/>
      </c>
      <c r="I38" s="25">
        <f>[1]!b_stm07_bs(B38,74,$A38,1,100000000)</f>
        <v>0</v>
      </c>
      <c r="J38" s="25">
        <f>[1]!b_stm07_bs(B38,109,$A38,1,100000000)</f>
        <v>0</v>
      </c>
      <c r="K38" s="10">
        <f>[1]!s_stmnote_bank_5n(B38,$A38,1)</f>
        <v>0</v>
      </c>
      <c r="L38" s="25">
        <f>[1]!s_stmnote_bank_23n(B38,$A38,1)</f>
        <v>0</v>
      </c>
      <c r="M38" s="25">
        <f>[1]!s_stmnote_bank_capadequacyratio(B38,$A38,1)</f>
        <v>0</v>
      </c>
      <c r="N38" s="25">
        <f>[1]!s_stmnote_bank_capadequacyratio_ct1(B38,$A38,1)</f>
        <v>0</v>
      </c>
      <c r="O38" s="6">
        <f>IF(OR([1]!s_fa_roe(B38,20201231)="0",[1]!s_fa_roe(B38,20211231)="0",[1]!s_fa_roe(B38,20221231)="0"),"",IFERROR(([1]!s_fa_roe(B38,20221231)+[1]!s_fa_roe(B38,20201231)+[1]!s_fa_roe(B38,20211231))/3,""))</f>
        <v>0</v>
      </c>
      <c r="P38" s="28" t="str">
        <f>IFERROR(([1]!s_stmnote_bank_65(B38,$A38,1,2,4,100000000)+[1]!s_stmnote_bank_65(B38,$A38,1,2,6,100000000))/[1]!s_stmnote_bank_1n(B38,$A38,1,100000000),"")</f>
        <v/>
      </c>
      <c r="Q38" s="28" t="str">
        <f>IFERROR([1]!s_stmnote_bank_614(B38,$A38,1,2,100000000)/[1]!s_stmnote_bank_647(B38,$A38,1,2,100000000),"")</f>
        <v/>
      </c>
      <c r="R38" s="28" t="str">
        <f>IFERROR(([1]!b_stm07_bs(B38,104,$A38,1,100000000)+[1]!b_stm07_bs(B38,106,$A38,1,100000000)+[1]!b_stm07_bs(B38,76,$A38,1,100000000)+[1]!b_stm07_bs(B38,108,$A38,1,100000000)+[1]!b_stm07_bs(B38,95,$A38,1,100000000))/[1]!b_stm07_bs(B38,128,$A38,1,100000000),"")</f>
        <v/>
      </c>
      <c r="S38" s="28" t="str">
        <f>IFERROR(([1]!s_stmnote_bank_614(B38,$A38,1,2,100000000)+[1]!b_stm07_bs(B38,104,$A38,1,100000000)+[1]!b_stm07_bs(B38,106,$A38,1,100000000)+[1]!b_stm07_bs(B38,76,$A38,1,100000000)+[1]!b_stm07_bs(B38,108,$A38,1,100000000)+[1]!b_stm07_bs(B38,95,$A38,1,100000000))/[1]!b_stm07_bs(B38,128,$A38,1,100000000),"")</f>
        <v/>
      </c>
      <c r="T38" s="11">
        <f>[1]!b_issuer_shareholder(B38,"",1)</f>
        <v>0</v>
      </c>
      <c r="U38" s="10">
        <f>[1]!b_issuer_propofshareholder(B38,"",1)</f>
        <v>0</v>
      </c>
      <c r="V38" s="33" t="str">
        <f t="shared" si="1"/>
        <v>0</v>
      </c>
      <c r="W38" s="33">
        <f>[1]!s_info_city(B38)</f>
        <v>0</v>
      </c>
      <c r="X38" s="10">
        <f>IF([1]!s_stmnote_bank_17n(B38,$A38,1)="0","",[1]!s_stmnote_bank_17n(B38,$A38,1))</f>
        <v>0</v>
      </c>
      <c r="Y38" s="10">
        <f>IF([1]!s_stmnote_bank_18n(B38,$A38,1)="0","",[1]!s_stmnote_bank_18n(B38,$A38,1))</f>
        <v>0</v>
      </c>
      <c r="Z38" s="41">
        <f>IF([1]!s_stmnote_bank_58(B38,$A38,1)="0","",[1]!s_stmnote_bank_58(B38,$A38,1))</f>
        <v>0</v>
      </c>
      <c r="AA38" s="52">
        <f>IF([1]!s_stmnote_bank_60(B38,$A38,1)="0","",[1]!s_stmnote_bank_60(B38,$A38,1))</f>
        <v>0</v>
      </c>
      <c r="AB38" s="52">
        <f>[1]!s_stmnote_bank_5444(B38,$A38,1)</f>
        <v>0</v>
      </c>
      <c r="AC38" s="38">
        <f>[1]!s_stmnote_bank_129n($B38,$A38,1)</f>
        <v>0</v>
      </c>
      <c r="AD38" s="54">
        <f>[1]!s_stmnote_bank_30(B38,$A38,1)</f>
        <v>0</v>
      </c>
    </row>
    <row r="39" spans="1:30" s="46" customFormat="1" ht="24">
      <c r="A39" s="1" t="s">
        <v>1110</v>
      </c>
      <c r="B39" s="87" t="s">
        <v>1147</v>
      </c>
      <c r="C39" s="8">
        <f>IF([1]!b_info_issuer(B39)="0","",IFERROR([1]!b_info_issuer(B39),""))</f>
        <v>0</v>
      </c>
      <c r="D39" s="11">
        <f>IF([1]!b_info_latestissurercreditrating(B39)="0","",IFERROR([1]!b_info_latestissurercreditrating(B39),""))</f>
        <v>0</v>
      </c>
      <c r="E39" s="27" t="str">
        <f>IFERROR(([1]!b_stm07_bs($B39,47,$A39,1,100000000))/[1]!b_stm07_bs($B39,109,$A39,1,100000000),"")</f>
        <v/>
      </c>
      <c r="F39" s="18" t="str">
        <f>IFERROR(([1]!s_stmnote_bank_26($B39,$A39,1,100000000)-[1]!s_stmnote_bank_26($B39,#REF!,1,100000000)+#REF!)/[1]!s_stmnote_bank_1n($B39,#REF!,1,100000000),"")</f>
        <v/>
      </c>
      <c r="G39" s="21" t="str">
        <f t="shared" si="0"/>
        <v/>
      </c>
      <c r="H39" s="18" t="str">
        <f>IFERROR([1]!s_stmnote_bank($B39,"34",$A39,100000000)/[1]!s_stmnote_bank_1n(B39,$A39,1,100000000),"")</f>
        <v/>
      </c>
      <c r="I39" s="25">
        <f>[1]!b_stm07_bs(B39,74,$A39,1,100000000)</f>
        <v>0</v>
      </c>
      <c r="J39" s="25">
        <f>[1]!b_stm07_bs(B39,109,$A39,1,100000000)</f>
        <v>0</v>
      </c>
      <c r="K39" s="10">
        <f>[1]!s_stmnote_bank_5n(B39,$A39,1)</f>
        <v>0</v>
      </c>
      <c r="L39" s="25">
        <f>[1]!s_stmnote_bank_23n(B39,$A39,1)</f>
        <v>0</v>
      </c>
      <c r="M39" s="25">
        <f>[1]!s_stmnote_bank_capadequacyratio(B39,$A39,1)</f>
        <v>0</v>
      </c>
      <c r="N39" s="25">
        <f>[1]!s_stmnote_bank_capadequacyratio_ct1(B39,$A39,1)</f>
        <v>0</v>
      </c>
      <c r="O39" s="6">
        <f>IF(OR([1]!s_fa_roe(B39,20201231)="0",[1]!s_fa_roe(B39,20211231)="0",[1]!s_fa_roe(B39,20221231)="0"),"",IFERROR(([1]!s_fa_roe(B39,20221231)+[1]!s_fa_roe(B39,20201231)+[1]!s_fa_roe(B39,20211231))/3,""))</f>
        <v>0</v>
      </c>
      <c r="P39" s="28" t="str">
        <f>IFERROR(([1]!s_stmnote_bank_65(B39,$A39,1,2,4,100000000)+[1]!s_stmnote_bank_65(B39,$A39,1,2,6,100000000))/[1]!s_stmnote_bank_1n(B39,$A39,1,100000000),"")</f>
        <v/>
      </c>
      <c r="Q39" s="28" t="str">
        <f>IFERROR([1]!s_stmnote_bank_614(B39,$A39,1,2,100000000)/[1]!s_stmnote_bank_647(B39,$A39,1,2,100000000),"")</f>
        <v/>
      </c>
      <c r="R39" s="28" t="str">
        <f>IFERROR(([1]!b_stm07_bs(B39,104,$A39,1,100000000)+[1]!b_stm07_bs(B39,106,$A39,1,100000000)+[1]!b_stm07_bs(B39,76,$A39,1,100000000)+[1]!b_stm07_bs(B39,108,$A39,1,100000000)+[1]!b_stm07_bs(B39,95,$A39,1,100000000))/[1]!b_stm07_bs(B39,128,$A39,1,100000000),"")</f>
        <v/>
      </c>
      <c r="S39" s="28" t="str">
        <f>IFERROR(([1]!s_stmnote_bank_614(B39,$A39,1,2,100000000)+[1]!b_stm07_bs(B39,104,$A39,1,100000000)+[1]!b_stm07_bs(B39,106,$A39,1,100000000)+[1]!b_stm07_bs(B39,76,$A39,1,100000000)+[1]!b_stm07_bs(B39,108,$A39,1,100000000)+[1]!b_stm07_bs(B39,95,$A39,1,100000000))/[1]!b_stm07_bs(B39,128,$A39,1,100000000),"")</f>
        <v/>
      </c>
      <c r="T39" s="11">
        <f>[1]!b_issuer_shareholder(B39,"",1)</f>
        <v>0</v>
      </c>
      <c r="U39" s="10">
        <f>[1]!b_issuer_propofshareholder(B39,"",1)</f>
        <v>0</v>
      </c>
      <c r="V39" s="33" t="str">
        <f t="shared" si="1"/>
        <v>0</v>
      </c>
      <c r="W39" s="33">
        <f>[1]!s_info_city(B39)</f>
        <v>0</v>
      </c>
      <c r="X39" s="10">
        <f>IF([1]!s_stmnote_bank_17n(B39,$A39,1)="0","",[1]!s_stmnote_bank_17n(B39,$A39,1))</f>
        <v>0</v>
      </c>
      <c r="Y39" s="10">
        <f>IF([1]!s_stmnote_bank_18n(B39,$A39,1)="0","",[1]!s_stmnote_bank_18n(B39,$A39,1))</f>
        <v>0</v>
      </c>
      <c r="Z39" s="41">
        <f>IF([1]!s_stmnote_bank_58(B39,$A39,1)="0","",[1]!s_stmnote_bank_58(B39,$A39,1))</f>
        <v>0</v>
      </c>
      <c r="AA39" s="52">
        <f>IF([1]!s_stmnote_bank_60(B39,$A39,1)="0","",[1]!s_stmnote_bank_60(B39,$A39,1))</f>
        <v>0</v>
      </c>
      <c r="AB39" s="52">
        <f>[1]!s_stmnote_bank_5444(B39,$A39,1)</f>
        <v>0</v>
      </c>
      <c r="AC39" s="38">
        <f>[1]!s_stmnote_bank_129n($B39,$A39,1)</f>
        <v>0</v>
      </c>
      <c r="AD39" s="54">
        <f>[1]!s_stmnote_bank_30(B39,$A39,1)</f>
        <v>0</v>
      </c>
    </row>
    <row r="40" spans="1:30" s="46" customFormat="1" ht="24">
      <c r="A40" s="1" t="s">
        <v>1110</v>
      </c>
      <c r="B40" s="87" t="s">
        <v>1148</v>
      </c>
      <c r="C40" s="8">
        <f>IF([1]!b_info_issuer(B40)="0","",IFERROR([1]!b_info_issuer(B40),""))</f>
        <v>0</v>
      </c>
      <c r="D40" s="11">
        <f>IF([1]!b_info_latestissurercreditrating(B40)="0","",IFERROR([1]!b_info_latestissurercreditrating(B40),""))</f>
        <v>0</v>
      </c>
      <c r="E40" s="27" t="str">
        <f>IFERROR(([1]!b_stm07_bs($B40,47,$A40,1,100000000))/[1]!b_stm07_bs($B40,109,$A40,1,100000000),"")</f>
        <v/>
      </c>
      <c r="F40" s="18" t="str">
        <f>IFERROR(([1]!s_stmnote_bank_26($B40,$A40,1,100000000)-[1]!s_stmnote_bank_26($B40,#REF!,1,100000000)+#REF!)/[1]!s_stmnote_bank_1n($B40,#REF!,1,100000000),"")</f>
        <v/>
      </c>
      <c r="G40" s="21" t="str">
        <f t="shared" si="0"/>
        <v/>
      </c>
      <c r="H40" s="18" t="str">
        <f>IFERROR([1]!s_stmnote_bank($B40,"34",$A40,100000000)/[1]!s_stmnote_bank_1n(B40,$A40,1,100000000),"")</f>
        <v/>
      </c>
      <c r="I40" s="25">
        <f>[1]!b_stm07_bs(B40,74,$A40,1,100000000)</f>
        <v>0</v>
      </c>
      <c r="J40" s="25">
        <f>[1]!b_stm07_bs(B40,109,$A40,1,100000000)</f>
        <v>0</v>
      </c>
      <c r="K40" s="10">
        <f>[1]!s_stmnote_bank_5n(B40,$A40,1)</f>
        <v>0</v>
      </c>
      <c r="L40" s="25">
        <f>[1]!s_stmnote_bank_23n(B40,$A40,1)</f>
        <v>0</v>
      </c>
      <c r="M40" s="25">
        <f>[1]!s_stmnote_bank_capadequacyratio(B40,$A40,1)</f>
        <v>0</v>
      </c>
      <c r="N40" s="25">
        <f>[1]!s_stmnote_bank_capadequacyratio_ct1(B40,$A40,1)</f>
        <v>0</v>
      </c>
      <c r="O40" s="6">
        <f>IF(OR([1]!s_fa_roe(B40,20201231)="0",[1]!s_fa_roe(B40,20211231)="0",[1]!s_fa_roe(B40,20221231)="0"),"",IFERROR(([1]!s_fa_roe(B40,20221231)+[1]!s_fa_roe(B40,20201231)+[1]!s_fa_roe(B40,20211231))/3,""))</f>
        <v>0</v>
      </c>
      <c r="P40" s="28" t="str">
        <f>IFERROR(([1]!s_stmnote_bank_65(B40,$A40,1,2,4,100000000)+[1]!s_stmnote_bank_65(B40,$A40,1,2,6,100000000))/[1]!s_stmnote_bank_1n(B40,$A40,1,100000000),"")</f>
        <v/>
      </c>
      <c r="Q40" s="28" t="str">
        <f>IFERROR([1]!s_stmnote_bank_614(B40,$A40,1,2,100000000)/[1]!s_stmnote_bank_647(B40,$A40,1,2,100000000),"")</f>
        <v/>
      </c>
      <c r="R40" s="28" t="str">
        <f>IFERROR(([1]!b_stm07_bs(B40,104,$A40,1,100000000)+[1]!b_stm07_bs(B40,106,$A40,1,100000000)+[1]!b_stm07_bs(B40,76,$A40,1,100000000)+[1]!b_stm07_bs(B40,108,$A40,1,100000000)+[1]!b_stm07_bs(B40,95,$A40,1,100000000))/[1]!b_stm07_bs(B40,128,$A40,1,100000000),"")</f>
        <v/>
      </c>
      <c r="S40" s="28" t="str">
        <f>IFERROR(([1]!s_stmnote_bank_614(B40,$A40,1,2,100000000)+[1]!b_stm07_bs(B40,104,$A40,1,100000000)+[1]!b_stm07_bs(B40,106,$A40,1,100000000)+[1]!b_stm07_bs(B40,76,$A40,1,100000000)+[1]!b_stm07_bs(B40,108,$A40,1,100000000)+[1]!b_stm07_bs(B40,95,$A40,1,100000000))/[1]!b_stm07_bs(B40,128,$A40,1,100000000),"")</f>
        <v/>
      </c>
      <c r="T40" s="11">
        <f>[1]!b_issuer_shareholder(B40,"",1)</f>
        <v>0</v>
      </c>
      <c r="U40" s="10">
        <f>[1]!b_issuer_propofshareholder(B40,"",1)</f>
        <v>0</v>
      </c>
      <c r="V40" s="33" t="str">
        <f t="shared" si="1"/>
        <v>0</v>
      </c>
      <c r="W40" s="33">
        <f>[1]!s_info_city(B40)</f>
        <v>0</v>
      </c>
      <c r="X40" s="10">
        <f>IF([1]!s_stmnote_bank_17n(B40,$A40,1)="0","",[1]!s_stmnote_bank_17n(B40,$A40,1))</f>
        <v>0</v>
      </c>
      <c r="Y40" s="10">
        <f>IF([1]!s_stmnote_bank_18n(B40,$A40,1)="0","",[1]!s_stmnote_bank_18n(B40,$A40,1))</f>
        <v>0</v>
      </c>
      <c r="Z40" s="41">
        <f>IF([1]!s_stmnote_bank_58(B40,$A40,1)="0","",[1]!s_stmnote_bank_58(B40,$A40,1))</f>
        <v>0</v>
      </c>
      <c r="AA40" s="52">
        <f>IF([1]!s_stmnote_bank_60(B40,$A40,1)="0","",[1]!s_stmnote_bank_60(B40,$A40,1))</f>
        <v>0</v>
      </c>
      <c r="AB40" s="52">
        <f>[1]!s_stmnote_bank_5444(B40,$A40,1)</f>
        <v>0</v>
      </c>
      <c r="AC40" s="38">
        <f>[1]!s_stmnote_bank_129n($B40,$A40,1)</f>
        <v>0</v>
      </c>
      <c r="AD40" s="54">
        <f>[1]!s_stmnote_bank_30(B40,$A40,1)</f>
        <v>0</v>
      </c>
    </row>
    <row r="41" spans="1:30" ht="24">
      <c r="A41" s="1" t="s">
        <v>1110</v>
      </c>
      <c r="B41" s="87" t="s">
        <v>1149</v>
      </c>
      <c r="C41" s="8">
        <f>IF([1]!b_info_issuer(B41)="0","",IFERROR([1]!b_info_issuer(B41),""))</f>
        <v>0</v>
      </c>
      <c r="D41" s="11">
        <f>IF([1]!b_info_latestissurercreditrating(B41)="0","",IFERROR([1]!b_info_latestissurercreditrating(B41),""))</f>
        <v>0</v>
      </c>
      <c r="E41" s="27" t="str">
        <f>IFERROR(([1]!b_stm07_bs($B41,47,$A41,1,100000000))/[1]!b_stm07_bs($B41,109,$A41,1,100000000),"")</f>
        <v/>
      </c>
      <c r="F41" s="18" t="str">
        <f>IFERROR(([1]!s_stmnote_bank_26($B41,$A41,1,100000000)-[1]!s_stmnote_bank_26($B41,#REF!,1,100000000)+#REF!)/[1]!s_stmnote_bank_1n($B41,#REF!,1,100000000),"")</f>
        <v/>
      </c>
      <c r="G41" s="21" t="str">
        <f t="shared" si="0"/>
        <v/>
      </c>
      <c r="H41" s="18" t="str">
        <f>IFERROR([1]!s_stmnote_bank($B41,"34",$A41,100000000)/[1]!s_stmnote_bank_1n(B41,$A41,1,100000000),"")</f>
        <v/>
      </c>
      <c r="I41" s="25">
        <f>[1]!b_stm07_bs(B41,74,$A41,1,100000000)</f>
        <v>0</v>
      </c>
      <c r="J41" s="25">
        <f>[1]!b_stm07_bs(B41,109,$A41,1,100000000)</f>
        <v>0</v>
      </c>
      <c r="K41" s="10">
        <f>[1]!s_stmnote_bank_5n(B41,$A41,1)</f>
        <v>0</v>
      </c>
      <c r="L41" s="25">
        <f>[1]!s_stmnote_bank_23n(B41,$A41,1)</f>
        <v>0</v>
      </c>
      <c r="M41" s="25">
        <f>[1]!s_stmnote_bank_capadequacyratio(B41,$A41,1)</f>
        <v>0</v>
      </c>
      <c r="N41" s="25">
        <f>[1]!s_stmnote_bank_capadequacyratio_ct1(B41,$A41,1)</f>
        <v>0</v>
      </c>
      <c r="O41" s="6">
        <f>IF(OR([1]!s_fa_roe(B41,20201231)="0",[1]!s_fa_roe(B41,20211231)="0",[1]!s_fa_roe(B41,20221231)="0"),"",IFERROR(([1]!s_fa_roe(B41,20221231)+[1]!s_fa_roe(B41,20201231)+[1]!s_fa_roe(B41,20211231))/3,""))</f>
        <v>0</v>
      </c>
      <c r="P41" s="28" t="str">
        <f>IFERROR(([1]!s_stmnote_bank_65(B41,$A41,1,2,4,100000000)+[1]!s_stmnote_bank_65(B41,$A41,1,2,6,100000000))/[1]!s_stmnote_bank_1n(B41,$A41,1,100000000),"")</f>
        <v/>
      </c>
      <c r="Q41" s="28" t="str">
        <f>IFERROR([1]!s_stmnote_bank_614(B41,$A41,1,2,100000000)/[1]!s_stmnote_bank_647(B41,$A41,1,2,100000000),"")</f>
        <v/>
      </c>
      <c r="R41" s="28" t="str">
        <f>IFERROR(([1]!b_stm07_bs(B41,104,$A41,1,100000000)+[1]!b_stm07_bs(B41,106,$A41,1,100000000)+[1]!b_stm07_bs(B41,76,$A41,1,100000000)+[1]!b_stm07_bs(B41,108,$A41,1,100000000)+[1]!b_stm07_bs(B41,95,$A41,1,100000000))/[1]!b_stm07_bs(B41,128,$A41,1,100000000),"")</f>
        <v/>
      </c>
      <c r="S41" s="28" t="str">
        <f>IFERROR(([1]!s_stmnote_bank_614(B41,$A41,1,2,100000000)+[1]!b_stm07_bs(B41,104,$A41,1,100000000)+[1]!b_stm07_bs(B41,106,$A41,1,100000000)+[1]!b_stm07_bs(B41,76,$A41,1,100000000)+[1]!b_stm07_bs(B41,108,$A41,1,100000000)+[1]!b_stm07_bs(B41,95,$A41,1,100000000))/[1]!b_stm07_bs(B41,128,$A41,1,100000000),"")</f>
        <v/>
      </c>
      <c r="T41" s="11">
        <f>[1]!b_issuer_shareholder(B41,"",1)</f>
        <v>0</v>
      </c>
      <c r="U41" s="10">
        <f>[1]!b_issuer_propofshareholder(B41,"",1)</f>
        <v>0</v>
      </c>
      <c r="V41" s="33" t="str">
        <f t="shared" si="1"/>
        <v>0</v>
      </c>
      <c r="W41" s="33">
        <f>[1]!s_info_city(B41)</f>
        <v>0</v>
      </c>
      <c r="X41" s="10">
        <f>IF([1]!s_stmnote_bank_17n(B41,$A41,1)="0","",[1]!s_stmnote_bank_17n(B41,$A41,1))</f>
        <v>0</v>
      </c>
      <c r="Y41" s="10">
        <f>IF([1]!s_stmnote_bank_18n(B41,$A41,1)="0","",[1]!s_stmnote_bank_18n(B41,$A41,1))</f>
        <v>0</v>
      </c>
      <c r="Z41" s="41">
        <f>IF([1]!s_stmnote_bank_58(B41,$A41,1)="0","",[1]!s_stmnote_bank_58(B41,$A41,1))</f>
        <v>0</v>
      </c>
      <c r="AA41" s="52">
        <f>IF([1]!s_stmnote_bank_60(B41,$A41,1)="0","",[1]!s_stmnote_bank_60(B41,$A41,1))</f>
        <v>0</v>
      </c>
      <c r="AB41" s="52">
        <f>[1]!s_stmnote_bank_5444(B41,$A41,1)</f>
        <v>0</v>
      </c>
      <c r="AC41" s="38">
        <f>[1]!s_stmnote_bank_129n($B41,$A41,1)</f>
        <v>0</v>
      </c>
      <c r="AD41" s="54">
        <f>[1]!s_stmnote_bank_30(B41,$A41,1)</f>
        <v>0</v>
      </c>
    </row>
    <row r="42" spans="1:30" s="46" customFormat="1" ht="24">
      <c r="A42" s="1" t="s">
        <v>1110</v>
      </c>
      <c r="B42" s="87" t="s">
        <v>1150</v>
      </c>
      <c r="C42" s="8">
        <f>IF([1]!b_info_issuer(B42)="0","",IFERROR([1]!b_info_issuer(B42),""))</f>
        <v>0</v>
      </c>
      <c r="D42" s="11">
        <f>IF([1]!b_info_latestissurercreditrating(B42)="0","",IFERROR([1]!b_info_latestissurercreditrating(B42),""))</f>
        <v>0</v>
      </c>
      <c r="E42" s="27" t="str">
        <f>IFERROR(([1]!b_stm07_bs($B42,47,$A42,1,100000000))/[1]!b_stm07_bs($B42,109,$A42,1,100000000),"")</f>
        <v/>
      </c>
      <c r="F42" s="18" t="str">
        <f>IFERROR(([1]!s_stmnote_bank_26($B42,$A42,1,100000000)-[1]!s_stmnote_bank_26($B42,#REF!,1,100000000)+#REF!)/[1]!s_stmnote_bank_1n($B42,#REF!,1,100000000),"")</f>
        <v/>
      </c>
      <c r="G42" s="21" t="str">
        <f t="shared" si="0"/>
        <v/>
      </c>
      <c r="H42" s="18" t="str">
        <f>IFERROR([1]!s_stmnote_bank($B42,"34",$A42,100000000)/[1]!s_stmnote_bank_1n(B42,$A42,1,100000000),"")</f>
        <v/>
      </c>
      <c r="I42" s="25">
        <f>[1]!b_stm07_bs(B42,74,$A42,1,100000000)</f>
        <v>0</v>
      </c>
      <c r="J42" s="25">
        <f>[1]!b_stm07_bs(B42,109,$A42,1,100000000)</f>
        <v>0</v>
      </c>
      <c r="K42" s="10">
        <f>[1]!s_stmnote_bank_5n(B42,$A42,1)</f>
        <v>0</v>
      </c>
      <c r="L42" s="25">
        <f>[1]!s_stmnote_bank_23n(B42,$A42,1)</f>
        <v>0</v>
      </c>
      <c r="M42" s="25">
        <f>[1]!s_stmnote_bank_capadequacyratio(B42,$A42,1)</f>
        <v>0</v>
      </c>
      <c r="N42" s="25">
        <f>[1]!s_stmnote_bank_capadequacyratio_ct1(B42,$A42,1)</f>
        <v>0</v>
      </c>
      <c r="O42" s="6">
        <f>IF(OR([1]!s_fa_roe(B42,20201231)="0",[1]!s_fa_roe(B42,20211231)="0",[1]!s_fa_roe(B42,20221231)="0"),"",IFERROR(([1]!s_fa_roe(B42,20221231)+[1]!s_fa_roe(B42,20201231)+[1]!s_fa_roe(B42,20211231))/3,""))</f>
        <v>0</v>
      </c>
      <c r="P42" s="28" t="str">
        <f>IFERROR(([1]!s_stmnote_bank_65(B42,$A42,1,2,4,100000000)+[1]!s_stmnote_bank_65(B42,$A42,1,2,6,100000000))/[1]!s_stmnote_bank_1n(B42,$A42,1,100000000),"")</f>
        <v/>
      </c>
      <c r="Q42" s="28" t="str">
        <f>IFERROR([1]!s_stmnote_bank_614(B42,$A42,1,2,100000000)/[1]!s_stmnote_bank_647(B42,$A42,1,2,100000000),"")</f>
        <v/>
      </c>
      <c r="R42" s="28" t="str">
        <f>IFERROR(([1]!b_stm07_bs(B42,104,$A42,1,100000000)+[1]!b_stm07_bs(B42,106,$A42,1,100000000)+[1]!b_stm07_bs(B42,76,$A42,1,100000000)+[1]!b_stm07_bs(B42,108,$A42,1,100000000)+[1]!b_stm07_bs(B42,95,$A42,1,100000000))/[1]!b_stm07_bs(B42,128,$A42,1,100000000),"")</f>
        <v/>
      </c>
      <c r="S42" s="28" t="str">
        <f>IFERROR(([1]!s_stmnote_bank_614(B42,$A42,1,2,100000000)+[1]!b_stm07_bs(B42,104,$A42,1,100000000)+[1]!b_stm07_bs(B42,106,$A42,1,100000000)+[1]!b_stm07_bs(B42,76,$A42,1,100000000)+[1]!b_stm07_bs(B42,108,$A42,1,100000000)+[1]!b_stm07_bs(B42,95,$A42,1,100000000))/[1]!b_stm07_bs(B42,128,$A42,1,100000000),"")</f>
        <v/>
      </c>
      <c r="T42" s="11">
        <f>[1]!b_issuer_shareholder(B42,"",1)</f>
        <v>0</v>
      </c>
      <c r="U42" s="10">
        <f>[1]!b_issuer_propofshareholder(B42,"",1)</f>
        <v>0</v>
      </c>
      <c r="V42" s="33" t="str">
        <f t="shared" si="1"/>
        <v>0</v>
      </c>
      <c r="W42" s="33">
        <f>[1]!s_info_city(B42)</f>
        <v>0</v>
      </c>
      <c r="X42" s="10">
        <f>IF([1]!s_stmnote_bank_17n(B42,$A42,1)="0","",[1]!s_stmnote_bank_17n(B42,$A42,1))</f>
        <v>0</v>
      </c>
      <c r="Y42" s="10">
        <f>IF([1]!s_stmnote_bank_18n(B42,$A42,1)="0","",[1]!s_stmnote_bank_18n(B42,$A42,1))</f>
        <v>0</v>
      </c>
      <c r="Z42" s="41">
        <f>IF([1]!s_stmnote_bank_58(B42,$A42,1)="0","",[1]!s_stmnote_bank_58(B42,$A42,1))</f>
        <v>0</v>
      </c>
      <c r="AA42" s="52">
        <f>IF([1]!s_stmnote_bank_60(B42,$A42,1)="0","",[1]!s_stmnote_bank_60(B42,$A42,1))</f>
        <v>0</v>
      </c>
      <c r="AB42" s="52">
        <f>[1]!s_stmnote_bank_5444(B42,$A42,1)</f>
        <v>0</v>
      </c>
      <c r="AC42" s="38">
        <f>[1]!s_stmnote_bank_129n($B42,$A42,1)</f>
        <v>0</v>
      </c>
      <c r="AD42" s="54">
        <f>[1]!s_stmnote_bank_30(B42,$A42,1)</f>
        <v>0</v>
      </c>
    </row>
    <row r="43" spans="1:30" s="46" customFormat="1" ht="24">
      <c r="A43" s="1" t="s">
        <v>1110</v>
      </c>
      <c r="B43" s="87" t="s">
        <v>1151</v>
      </c>
      <c r="C43" s="8">
        <f>IF([1]!b_info_issuer(B43)="0","",IFERROR([1]!b_info_issuer(B43),""))</f>
        <v>0</v>
      </c>
      <c r="D43" s="11">
        <f>IF([1]!b_info_latestissurercreditrating(B43)="0","",IFERROR([1]!b_info_latestissurercreditrating(B43),""))</f>
        <v>0</v>
      </c>
      <c r="E43" s="27" t="str">
        <f>IFERROR(([1]!b_stm07_bs($B43,47,$A43,1,100000000))/[1]!b_stm07_bs($B43,109,$A43,1,100000000),"")</f>
        <v/>
      </c>
      <c r="F43" s="18" t="str">
        <f>IFERROR(([1]!s_stmnote_bank_26($B43,$A43,1,100000000)-[1]!s_stmnote_bank_26($B43,#REF!,1,100000000)+#REF!)/[1]!s_stmnote_bank_1n($B43,#REF!,1,100000000),"")</f>
        <v/>
      </c>
      <c r="G43" s="21" t="str">
        <f t="shared" si="0"/>
        <v/>
      </c>
      <c r="H43" s="18" t="str">
        <f>IFERROR([1]!s_stmnote_bank($B43,"34",$A43,100000000)/[1]!s_stmnote_bank_1n(B43,$A43,1,100000000),"")</f>
        <v/>
      </c>
      <c r="I43" s="25">
        <f>[1]!b_stm07_bs(B43,74,$A43,1,100000000)</f>
        <v>0</v>
      </c>
      <c r="J43" s="25">
        <f>[1]!b_stm07_bs(B43,109,$A43,1,100000000)</f>
        <v>0</v>
      </c>
      <c r="K43" s="10">
        <f>[1]!s_stmnote_bank_5n(B43,$A43,1)</f>
        <v>0</v>
      </c>
      <c r="L43" s="25">
        <f>[1]!s_stmnote_bank_23n(B43,$A43,1)</f>
        <v>0</v>
      </c>
      <c r="M43" s="25">
        <f>[1]!s_stmnote_bank_capadequacyratio(B43,$A43,1)</f>
        <v>0</v>
      </c>
      <c r="N43" s="25">
        <f>[1]!s_stmnote_bank_capadequacyratio_ct1(B43,$A43,1)</f>
        <v>0</v>
      </c>
      <c r="O43" s="6">
        <f>IF(OR([1]!s_fa_roe(B43,20201231)="0",[1]!s_fa_roe(B43,20211231)="0",[1]!s_fa_roe(B43,20221231)="0"),"",IFERROR(([1]!s_fa_roe(B43,20221231)+[1]!s_fa_roe(B43,20201231)+[1]!s_fa_roe(B43,20211231))/3,""))</f>
        <v>0</v>
      </c>
      <c r="P43" s="28" t="str">
        <f>IFERROR(([1]!s_stmnote_bank_65(B43,$A43,1,2,4,100000000)+[1]!s_stmnote_bank_65(B43,$A43,1,2,6,100000000))/[1]!s_stmnote_bank_1n(B43,$A43,1,100000000),"")</f>
        <v/>
      </c>
      <c r="Q43" s="28" t="str">
        <f>IFERROR([1]!s_stmnote_bank_614(B43,$A43,1,2,100000000)/[1]!s_stmnote_bank_647(B43,$A43,1,2,100000000),"")</f>
        <v/>
      </c>
      <c r="R43" s="28" t="str">
        <f>IFERROR(([1]!b_stm07_bs(B43,104,$A43,1,100000000)+[1]!b_stm07_bs(B43,106,$A43,1,100000000)+[1]!b_stm07_bs(B43,76,$A43,1,100000000)+[1]!b_stm07_bs(B43,108,$A43,1,100000000)+[1]!b_stm07_bs(B43,95,$A43,1,100000000))/[1]!b_stm07_bs(B43,128,$A43,1,100000000),"")</f>
        <v/>
      </c>
      <c r="S43" s="28" t="str">
        <f>IFERROR(([1]!s_stmnote_bank_614(B43,$A43,1,2,100000000)+[1]!b_stm07_bs(B43,104,$A43,1,100000000)+[1]!b_stm07_bs(B43,106,$A43,1,100000000)+[1]!b_stm07_bs(B43,76,$A43,1,100000000)+[1]!b_stm07_bs(B43,108,$A43,1,100000000)+[1]!b_stm07_bs(B43,95,$A43,1,100000000))/[1]!b_stm07_bs(B43,128,$A43,1,100000000),"")</f>
        <v/>
      </c>
      <c r="T43" s="11">
        <f>[1]!b_issuer_shareholder(B43,"",1)</f>
        <v>0</v>
      </c>
      <c r="U43" s="10">
        <f>[1]!b_issuer_propofshareholder(B43,"",1)</f>
        <v>0</v>
      </c>
      <c r="V43" s="33" t="str">
        <f t="shared" si="1"/>
        <v>0</v>
      </c>
      <c r="W43" s="33">
        <f>[1]!s_info_city(B43)</f>
        <v>0</v>
      </c>
      <c r="X43" s="10">
        <f>IF([1]!s_stmnote_bank_17n(B43,$A43,1)="0","",[1]!s_stmnote_bank_17n(B43,$A43,1))</f>
        <v>0</v>
      </c>
      <c r="Y43" s="10">
        <f>IF([1]!s_stmnote_bank_18n(B43,$A43,1)="0","",[1]!s_stmnote_bank_18n(B43,$A43,1))</f>
        <v>0</v>
      </c>
      <c r="Z43" s="41">
        <f>IF([1]!s_stmnote_bank_58(B43,$A43,1)="0","",[1]!s_stmnote_bank_58(B43,$A43,1))</f>
        <v>0</v>
      </c>
      <c r="AA43" s="52">
        <f>IF([1]!s_stmnote_bank_60(B43,$A43,1)="0","",[1]!s_stmnote_bank_60(B43,$A43,1))</f>
        <v>0</v>
      </c>
      <c r="AB43" s="52">
        <f>[1]!s_stmnote_bank_5444(B43,$A43,1)</f>
        <v>0</v>
      </c>
      <c r="AC43" s="38">
        <f>[1]!s_stmnote_bank_129n($B43,$A43,1)</f>
        <v>0</v>
      </c>
      <c r="AD43" s="54">
        <f>[1]!s_stmnote_bank_30(B43,$A43,1)</f>
        <v>0</v>
      </c>
    </row>
    <row r="44" spans="1:30" ht="24">
      <c r="A44" s="1" t="s">
        <v>1110</v>
      </c>
      <c r="B44" s="87" t="s">
        <v>1152</v>
      </c>
      <c r="C44" s="8">
        <f>IF([1]!b_info_issuer(B44)="0","",IFERROR([1]!b_info_issuer(B44),""))</f>
        <v>0</v>
      </c>
      <c r="D44" s="11">
        <f>IF([1]!b_info_latestissurercreditrating(B44)="0","",IFERROR([1]!b_info_latestissurercreditrating(B44),""))</f>
        <v>0</v>
      </c>
      <c r="E44" s="27" t="str">
        <f>IFERROR(([1]!b_stm07_bs($B44,47,$A44,1,100000000))/[1]!b_stm07_bs($B44,109,$A44,1,100000000),"")</f>
        <v/>
      </c>
      <c r="F44" s="18" t="str">
        <f>IFERROR(([1]!s_stmnote_bank_26($B44,$A44,1,100000000)-[1]!s_stmnote_bank_26($B44,#REF!,1,100000000)+#REF!)/[1]!s_stmnote_bank_1n($B44,#REF!,1,100000000),"")</f>
        <v/>
      </c>
      <c r="G44" s="21" t="str">
        <f t="shared" si="0"/>
        <v/>
      </c>
      <c r="H44" s="18" t="str">
        <f>IFERROR([1]!s_stmnote_bank($B44,"34",$A44,100000000)/[1]!s_stmnote_bank_1n(B44,$A44,1,100000000),"")</f>
        <v/>
      </c>
      <c r="I44" s="25">
        <f>[1]!b_stm07_bs(B44,74,$A44,1,100000000)</f>
        <v>0</v>
      </c>
      <c r="J44" s="25">
        <f>[1]!b_stm07_bs(B44,109,$A44,1,100000000)</f>
        <v>0</v>
      </c>
      <c r="K44" s="10">
        <f>[1]!s_stmnote_bank_5n(B44,$A44,1)</f>
        <v>0</v>
      </c>
      <c r="L44" s="25">
        <f>[1]!s_stmnote_bank_23n(B44,$A44,1)</f>
        <v>0</v>
      </c>
      <c r="M44" s="25">
        <f>[1]!s_stmnote_bank_capadequacyratio(B44,$A44,1)</f>
        <v>0</v>
      </c>
      <c r="N44" s="25">
        <f>[1]!s_stmnote_bank_capadequacyratio_ct1(B44,$A44,1)</f>
        <v>0</v>
      </c>
      <c r="O44" s="6">
        <f>IF(OR([1]!s_fa_roe(B44,20201231)="0",[1]!s_fa_roe(B44,20211231)="0",[1]!s_fa_roe(B44,20221231)="0"),"",IFERROR(([1]!s_fa_roe(B44,20221231)+[1]!s_fa_roe(B44,20201231)+[1]!s_fa_roe(B44,20211231))/3,""))</f>
        <v>0</v>
      </c>
      <c r="P44" s="28" t="str">
        <f>IFERROR(([1]!s_stmnote_bank_65(B44,$A44,1,2,4,100000000)+[1]!s_stmnote_bank_65(B44,$A44,1,2,6,100000000))/[1]!s_stmnote_bank_1n(B44,$A44,1,100000000),"")</f>
        <v/>
      </c>
      <c r="Q44" s="28" t="str">
        <f>IFERROR([1]!s_stmnote_bank_614(B44,$A44,1,2,100000000)/[1]!s_stmnote_bank_647(B44,$A44,1,2,100000000),"")</f>
        <v/>
      </c>
      <c r="R44" s="28" t="str">
        <f>IFERROR(([1]!b_stm07_bs(B44,104,$A44,1,100000000)+[1]!b_stm07_bs(B44,106,$A44,1,100000000)+[1]!b_stm07_bs(B44,76,$A44,1,100000000)+[1]!b_stm07_bs(B44,108,$A44,1,100000000)+[1]!b_stm07_bs(B44,95,$A44,1,100000000))/[1]!b_stm07_bs(B44,128,$A44,1,100000000),"")</f>
        <v/>
      </c>
      <c r="S44" s="28" t="str">
        <f>IFERROR(([1]!s_stmnote_bank_614(B44,$A44,1,2,100000000)+[1]!b_stm07_bs(B44,104,$A44,1,100000000)+[1]!b_stm07_bs(B44,106,$A44,1,100000000)+[1]!b_stm07_bs(B44,76,$A44,1,100000000)+[1]!b_stm07_bs(B44,108,$A44,1,100000000)+[1]!b_stm07_bs(B44,95,$A44,1,100000000))/[1]!b_stm07_bs(B44,128,$A44,1,100000000),"")</f>
        <v/>
      </c>
      <c r="T44" s="11">
        <f>[1]!b_issuer_shareholder(B44,"",1)</f>
        <v>0</v>
      </c>
      <c r="U44" s="10">
        <f>[1]!b_issuer_propofshareholder(B44,"",1)</f>
        <v>0</v>
      </c>
      <c r="V44" s="33" t="str">
        <f t="shared" si="1"/>
        <v>0</v>
      </c>
      <c r="W44" s="33">
        <f>[1]!s_info_city(B44)</f>
        <v>0</v>
      </c>
      <c r="X44" s="10">
        <f>IF([1]!s_stmnote_bank_17n(B44,$A44,1)="0","",[1]!s_stmnote_bank_17n(B44,$A44,1))</f>
        <v>0</v>
      </c>
      <c r="Y44" s="10">
        <f>IF([1]!s_stmnote_bank_18n(B44,$A44,1)="0","",[1]!s_stmnote_bank_18n(B44,$A44,1))</f>
        <v>0</v>
      </c>
      <c r="Z44" s="41">
        <f>IF([1]!s_stmnote_bank_58(B44,$A44,1)="0","",[1]!s_stmnote_bank_58(B44,$A44,1))</f>
        <v>0</v>
      </c>
      <c r="AA44" s="52">
        <f>IF([1]!s_stmnote_bank_60(B44,$A44,1)="0","",[1]!s_stmnote_bank_60(B44,$A44,1))</f>
        <v>0</v>
      </c>
      <c r="AB44" s="52">
        <f>[1]!s_stmnote_bank_5444(B44,$A44,1)</f>
        <v>0</v>
      </c>
      <c r="AC44" s="38">
        <f>[1]!s_stmnote_bank_129n($B44,$A44,1)</f>
        <v>0</v>
      </c>
      <c r="AD44" s="54">
        <f>[1]!s_stmnote_bank_30(B44,$A44,1)</f>
        <v>0</v>
      </c>
    </row>
    <row r="45" spans="1:30" s="46" customFormat="1" ht="24">
      <c r="A45" s="1" t="s">
        <v>1110</v>
      </c>
      <c r="B45" s="87" t="s">
        <v>1153</v>
      </c>
      <c r="C45" s="8">
        <f>IF([1]!b_info_issuer(B45)="0","",IFERROR([1]!b_info_issuer(B45),""))</f>
        <v>0</v>
      </c>
      <c r="D45" s="11">
        <f>IF([1]!b_info_latestissurercreditrating(B45)="0","",IFERROR([1]!b_info_latestissurercreditrating(B45),""))</f>
        <v>0</v>
      </c>
      <c r="E45" s="27" t="str">
        <f>IFERROR(([1]!b_stm07_bs($B45,47,$A45,1,100000000))/[1]!b_stm07_bs($B45,109,$A45,1,100000000),"")</f>
        <v/>
      </c>
      <c r="F45" s="18" t="str">
        <f>IFERROR(([1]!s_stmnote_bank_26($B45,$A45,1,100000000)-[1]!s_stmnote_bank_26($B45,#REF!,1,100000000)+#REF!)/[1]!s_stmnote_bank_1n($B45,#REF!,1,100000000),"")</f>
        <v/>
      </c>
      <c r="G45" s="21" t="str">
        <f t="shared" si="0"/>
        <v/>
      </c>
      <c r="H45" s="18" t="str">
        <f>IFERROR([1]!s_stmnote_bank($B45,"34",$A45,100000000)/[1]!s_stmnote_bank_1n(B45,$A45,1,100000000),"")</f>
        <v/>
      </c>
      <c r="I45" s="25">
        <f>[1]!b_stm07_bs(B45,74,$A45,1,100000000)</f>
        <v>0</v>
      </c>
      <c r="J45" s="25">
        <f>[1]!b_stm07_bs(B45,109,$A45,1,100000000)</f>
        <v>0</v>
      </c>
      <c r="K45" s="10">
        <f>[1]!s_stmnote_bank_5n(B45,$A45,1)</f>
        <v>0</v>
      </c>
      <c r="L45" s="25">
        <f>[1]!s_stmnote_bank_23n(B45,$A45,1)</f>
        <v>0</v>
      </c>
      <c r="M45" s="25">
        <f>[1]!s_stmnote_bank_capadequacyratio(B45,$A45,1)</f>
        <v>0</v>
      </c>
      <c r="N45" s="25">
        <f>[1]!s_stmnote_bank_capadequacyratio_ct1(B45,$A45,1)</f>
        <v>0</v>
      </c>
      <c r="O45" s="6">
        <f>IF(OR([1]!s_fa_roe(B45,20201231)="0",[1]!s_fa_roe(B45,20211231)="0",[1]!s_fa_roe(B45,20221231)="0"),"",IFERROR(([1]!s_fa_roe(B45,20221231)+[1]!s_fa_roe(B45,20201231)+[1]!s_fa_roe(B45,20211231))/3,""))</f>
        <v>0</v>
      </c>
      <c r="P45" s="28" t="str">
        <f>IFERROR(([1]!s_stmnote_bank_65(B45,$A45,1,2,4,100000000)+[1]!s_stmnote_bank_65(B45,$A45,1,2,6,100000000))/[1]!s_stmnote_bank_1n(B45,$A45,1,100000000),"")</f>
        <v/>
      </c>
      <c r="Q45" s="28" t="str">
        <f>IFERROR([1]!s_stmnote_bank_614(B45,$A45,1,2,100000000)/[1]!s_stmnote_bank_647(B45,$A45,1,2,100000000),"")</f>
        <v/>
      </c>
      <c r="R45" s="28" t="str">
        <f>IFERROR(([1]!b_stm07_bs(B45,104,$A45,1,100000000)+[1]!b_stm07_bs(B45,106,$A45,1,100000000)+[1]!b_stm07_bs(B45,76,$A45,1,100000000)+[1]!b_stm07_bs(B45,108,$A45,1,100000000)+[1]!b_stm07_bs(B45,95,$A45,1,100000000))/[1]!b_stm07_bs(B45,128,$A45,1,100000000),"")</f>
        <v/>
      </c>
      <c r="S45" s="28" t="str">
        <f>IFERROR(([1]!s_stmnote_bank_614(B45,$A45,1,2,100000000)+[1]!b_stm07_bs(B45,104,$A45,1,100000000)+[1]!b_stm07_bs(B45,106,$A45,1,100000000)+[1]!b_stm07_bs(B45,76,$A45,1,100000000)+[1]!b_stm07_bs(B45,108,$A45,1,100000000)+[1]!b_stm07_bs(B45,95,$A45,1,100000000))/[1]!b_stm07_bs(B45,128,$A45,1,100000000),"")</f>
        <v/>
      </c>
      <c r="T45" s="11">
        <f>[1]!b_issuer_shareholder(B45,"",1)</f>
        <v>0</v>
      </c>
      <c r="U45" s="10">
        <f>[1]!b_issuer_propofshareholder(B45,"",1)</f>
        <v>0</v>
      </c>
      <c r="V45" s="33" t="str">
        <f t="shared" si="1"/>
        <v>0</v>
      </c>
      <c r="W45" s="33">
        <f>[1]!s_info_city(B45)</f>
        <v>0</v>
      </c>
      <c r="X45" s="10">
        <f>IF([1]!s_stmnote_bank_17n(B45,$A45,1)="0","",[1]!s_stmnote_bank_17n(B45,$A45,1))</f>
        <v>0</v>
      </c>
      <c r="Y45" s="10">
        <f>IF([1]!s_stmnote_bank_18n(B45,$A45,1)="0","",[1]!s_stmnote_bank_18n(B45,$A45,1))</f>
        <v>0</v>
      </c>
      <c r="Z45" s="41">
        <f>IF([1]!s_stmnote_bank_58(B45,$A45,1)="0","",[1]!s_stmnote_bank_58(B45,$A45,1))</f>
        <v>0</v>
      </c>
      <c r="AA45" s="52">
        <f>IF([1]!s_stmnote_bank_60(B45,$A45,1)="0","",[1]!s_stmnote_bank_60(B45,$A45,1))</f>
        <v>0</v>
      </c>
      <c r="AB45" s="52">
        <f>[1]!s_stmnote_bank_5444(B45,$A45,1)</f>
        <v>0</v>
      </c>
      <c r="AC45" s="38">
        <f>[1]!s_stmnote_bank_129n($B45,$A45,1)</f>
        <v>0</v>
      </c>
      <c r="AD45" s="54">
        <f>[1]!s_stmnote_bank_30(B45,$A45,1)</f>
        <v>0</v>
      </c>
    </row>
    <row r="46" spans="1:30" s="46" customFormat="1" ht="24">
      <c r="A46" s="1" t="s">
        <v>1110</v>
      </c>
      <c r="B46" s="87" t="s">
        <v>1154</v>
      </c>
      <c r="C46" s="8">
        <f>IF([1]!b_info_issuer(B46)="0","",IFERROR([1]!b_info_issuer(B46),""))</f>
        <v>0</v>
      </c>
      <c r="D46" s="11">
        <f>IF([1]!b_info_latestissurercreditrating(B46)="0","",IFERROR([1]!b_info_latestissurercreditrating(B46),""))</f>
        <v>0</v>
      </c>
      <c r="E46" s="27" t="str">
        <f>IFERROR(([1]!b_stm07_bs($B46,47,$A46,1,100000000))/[1]!b_stm07_bs($B46,109,$A46,1,100000000),"")</f>
        <v/>
      </c>
      <c r="F46" s="18" t="str">
        <f>IFERROR(([1]!s_stmnote_bank_26($B46,$A46,1,100000000)-[1]!s_stmnote_bank_26($B46,#REF!,1,100000000)+#REF!)/[1]!s_stmnote_bank_1n($B46,#REF!,1,100000000),"")</f>
        <v/>
      </c>
      <c r="G46" s="21" t="str">
        <f t="shared" si="0"/>
        <v/>
      </c>
      <c r="H46" s="18" t="str">
        <f>IFERROR([1]!s_stmnote_bank($B46,"34",$A46,100000000)/[1]!s_stmnote_bank_1n(B46,$A46,1,100000000),"")</f>
        <v/>
      </c>
      <c r="I46" s="25">
        <f>[1]!b_stm07_bs(B46,74,$A46,1,100000000)</f>
        <v>0</v>
      </c>
      <c r="J46" s="25">
        <f>[1]!b_stm07_bs(B46,109,$A46,1,100000000)</f>
        <v>0</v>
      </c>
      <c r="K46" s="10">
        <f>[1]!s_stmnote_bank_5n(B46,$A46,1)</f>
        <v>0</v>
      </c>
      <c r="L46" s="25">
        <f>[1]!s_stmnote_bank_23n(B46,$A46,1)</f>
        <v>0</v>
      </c>
      <c r="M46" s="25">
        <f>[1]!s_stmnote_bank_capadequacyratio(B46,$A46,1)</f>
        <v>0</v>
      </c>
      <c r="N46" s="25">
        <f>[1]!s_stmnote_bank_capadequacyratio_ct1(B46,$A46,1)</f>
        <v>0</v>
      </c>
      <c r="O46" s="6">
        <f>IF(OR([1]!s_fa_roe(B46,20201231)="0",[1]!s_fa_roe(B46,20211231)="0",[1]!s_fa_roe(B46,20221231)="0"),"",IFERROR(([1]!s_fa_roe(B46,20221231)+[1]!s_fa_roe(B46,20201231)+[1]!s_fa_roe(B46,20211231))/3,""))</f>
        <v>0</v>
      </c>
      <c r="P46" s="28" t="str">
        <f>IFERROR(([1]!s_stmnote_bank_65(B46,$A46,1,2,4,100000000)+[1]!s_stmnote_bank_65(B46,$A46,1,2,6,100000000))/[1]!s_stmnote_bank_1n(B46,$A46,1,100000000),"")</f>
        <v/>
      </c>
      <c r="Q46" s="28" t="str">
        <f>IFERROR([1]!s_stmnote_bank_614(B46,$A46,1,2,100000000)/[1]!s_stmnote_bank_647(B46,$A46,1,2,100000000),"")</f>
        <v/>
      </c>
      <c r="R46" s="28" t="str">
        <f>IFERROR(([1]!b_stm07_bs(B46,104,$A46,1,100000000)+[1]!b_stm07_bs(B46,106,$A46,1,100000000)+[1]!b_stm07_bs(B46,76,$A46,1,100000000)+[1]!b_stm07_bs(B46,108,$A46,1,100000000)+[1]!b_stm07_bs(B46,95,$A46,1,100000000))/[1]!b_stm07_bs(B46,128,$A46,1,100000000),"")</f>
        <v/>
      </c>
      <c r="S46" s="28" t="str">
        <f>IFERROR(([1]!s_stmnote_bank_614(B46,$A46,1,2,100000000)+[1]!b_stm07_bs(B46,104,$A46,1,100000000)+[1]!b_stm07_bs(B46,106,$A46,1,100000000)+[1]!b_stm07_bs(B46,76,$A46,1,100000000)+[1]!b_stm07_bs(B46,108,$A46,1,100000000)+[1]!b_stm07_bs(B46,95,$A46,1,100000000))/[1]!b_stm07_bs(B46,128,$A46,1,100000000),"")</f>
        <v/>
      </c>
      <c r="T46" s="11">
        <f>[1]!b_issuer_shareholder(B46,"",1)</f>
        <v>0</v>
      </c>
      <c r="U46" s="10">
        <f>[1]!b_issuer_propofshareholder(B46,"",1)</f>
        <v>0</v>
      </c>
      <c r="V46" s="33" t="str">
        <f t="shared" si="1"/>
        <v>0</v>
      </c>
      <c r="W46" s="33">
        <f>[1]!s_info_city(B46)</f>
        <v>0</v>
      </c>
      <c r="X46" s="10">
        <f>IF([1]!s_stmnote_bank_17n(B46,$A46,1)="0","",[1]!s_stmnote_bank_17n(B46,$A46,1))</f>
        <v>0</v>
      </c>
      <c r="Y46" s="10">
        <f>IF([1]!s_stmnote_bank_18n(B46,$A46,1)="0","",[1]!s_stmnote_bank_18n(B46,$A46,1))</f>
        <v>0</v>
      </c>
      <c r="Z46" s="41">
        <f>IF([1]!s_stmnote_bank_58(B46,$A46,1)="0","",[1]!s_stmnote_bank_58(B46,$A46,1))</f>
        <v>0</v>
      </c>
      <c r="AA46" s="52">
        <f>IF([1]!s_stmnote_bank_60(B46,$A46,1)="0","",[1]!s_stmnote_bank_60(B46,$A46,1))</f>
        <v>0</v>
      </c>
      <c r="AB46" s="52">
        <f>[1]!s_stmnote_bank_5444(B46,$A46,1)</f>
        <v>0</v>
      </c>
      <c r="AC46" s="38">
        <f>[1]!s_stmnote_bank_129n($B46,$A46,1)</f>
        <v>0</v>
      </c>
      <c r="AD46" s="54">
        <f>[1]!s_stmnote_bank_30(B46,$A46,1)</f>
        <v>0</v>
      </c>
    </row>
    <row r="47" spans="1:30" s="46" customFormat="1" ht="24">
      <c r="A47" s="1" t="s">
        <v>1110</v>
      </c>
      <c r="B47" s="87" t="s">
        <v>1155</v>
      </c>
      <c r="C47" s="8">
        <f>IF([1]!b_info_issuer(B47)="0","",IFERROR([1]!b_info_issuer(B47),""))</f>
        <v>0</v>
      </c>
      <c r="D47" s="11">
        <f>IF([1]!b_info_latestissurercreditrating(B47)="0","",IFERROR([1]!b_info_latestissurercreditrating(B47),""))</f>
        <v>0</v>
      </c>
      <c r="E47" s="27" t="str">
        <f>IFERROR(([1]!b_stm07_bs($B47,47,$A47,1,100000000))/[1]!b_stm07_bs($B47,109,$A47,1,100000000),"")</f>
        <v/>
      </c>
      <c r="F47" s="18" t="str">
        <f>IFERROR(([1]!s_stmnote_bank_26($B47,$A47,1,100000000)-[1]!s_stmnote_bank_26($B47,#REF!,1,100000000)+#REF!)/[1]!s_stmnote_bank_1n($B47,#REF!,1,100000000),"")</f>
        <v/>
      </c>
      <c r="G47" s="21" t="str">
        <f t="shared" si="0"/>
        <v/>
      </c>
      <c r="H47" s="18" t="str">
        <f>IFERROR([1]!s_stmnote_bank($B47,"34",$A47,100000000)/[1]!s_stmnote_bank_1n(B47,$A47,1,100000000),"")</f>
        <v/>
      </c>
      <c r="I47" s="25">
        <f>[1]!b_stm07_bs(B47,74,$A47,1,100000000)</f>
        <v>0</v>
      </c>
      <c r="J47" s="25">
        <f>[1]!b_stm07_bs(B47,109,$A47,1,100000000)</f>
        <v>0</v>
      </c>
      <c r="K47" s="10">
        <f>[1]!s_stmnote_bank_5n(B47,$A47,1)</f>
        <v>0</v>
      </c>
      <c r="L47" s="25">
        <f>[1]!s_stmnote_bank_23n(B47,$A47,1)</f>
        <v>0</v>
      </c>
      <c r="M47" s="25">
        <f>[1]!s_stmnote_bank_capadequacyratio(B47,$A47,1)</f>
        <v>0</v>
      </c>
      <c r="N47" s="25">
        <f>[1]!s_stmnote_bank_capadequacyratio_ct1(B47,$A47,1)</f>
        <v>0</v>
      </c>
      <c r="O47" s="6">
        <f>IF(OR([1]!s_fa_roe(B47,20201231)="0",[1]!s_fa_roe(B47,20211231)="0",[1]!s_fa_roe(B47,20221231)="0"),"",IFERROR(([1]!s_fa_roe(B47,20221231)+[1]!s_fa_roe(B47,20201231)+[1]!s_fa_roe(B47,20211231))/3,""))</f>
        <v>0</v>
      </c>
      <c r="P47" s="28" t="str">
        <f>IFERROR(([1]!s_stmnote_bank_65(B47,$A47,1,2,4,100000000)+[1]!s_stmnote_bank_65(B47,$A47,1,2,6,100000000))/[1]!s_stmnote_bank_1n(B47,$A47,1,100000000),"")</f>
        <v/>
      </c>
      <c r="Q47" s="28" t="str">
        <f>IFERROR([1]!s_stmnote_bank_614(B47,$A47,1,2,100000000)/[1]!s_stmnote_bank_647(B47,$A47,1,2,100000000),"")</f>
        <v/>
      </c>
      <c r="R47" s="28" t="str">
        <f>IFERROR(([1]!b_stm07_bs(B47,104,$A47,1,100000000)+[1]!b_stm07_bs(B47,106,$A47,1,100000000)+[1]!b_stm07_bs(B47,76,$A47,1,100000000)+[1]!b_stm07_bs(B47,108,$A47,1,100000000)+[1]!b_stm07_bs(B47,95,$A47,1,100000000))/[1]!b_stm07_bs(B47,128,$A47,1,100000000),"")</f>
        <v/>
      </c>
      <c r="S47" s="28" t="str">
        <f>IFERROR(([1]!s_stmnote_bank_614(B47,$A47,1,2,100000000)+[1]!b_stm07_bs(B47,104,$A47,1,100000000)+[1]!b_stm07_bs(B47,106,$A47,1,100000000)+[1]!b_stm07_bs(B47,76,$A47,1,100000000)+[1]!b_stm07_bs(B47,108,$A47,1,100000000)+[1]!b_stm07_bs(B47,95,$A47,1,100000000))/[1]!b_stm07_bs(B47,128,$A47,1,100000000),"")</f>
        <v/>
      </c>
      <c r="T47" s="11">
        <f>[1]!b_issuer_shareholder(B47,"",1)</f>
        <v>0</v>
      </c>
      <c r="U47" s="10">
        <f>[1]!b_issuer_propofshareholder(B47,"",1)</f>
        <v>0</v>
      </c>
      <c r="V47" s="33" t="str">
        <f t="shared" si="1"/>
        <v>0</v>
      </c>
      <c r="W47" s="33">
        <f>[1]!s_info_city(B47)</f>
        <v>0</v>
      </c>
      <c r="X47" s="10">
        <f>IF([1]!s_stmnote_bank_17n(B47,$A47,1)="0","",[1]!s_stmnote_bank_17n(B47,$A47,1))</f>
        <v>0</v>
      </c>
      <c r="Y47" s="10">
        <f>IF([1]!s_stmnote_bank_18n(B47,$A47,1)="0","",[1]!s_stmnote_bank_18n(B47,$A47,1))</f>
        <v>0</v>
      </c>
      <c r="Z47" s="41">
        <f>IF([1]!s_stmnote_bank_58(B47,$A47,1)="0","",[1]!s_stmnote_bank_58(B47,$A47,1))</f>
        <v>0</v>
      </c>
      <c r="AA47" s="52">
        <f>IF([1]!s_stmnote_bank_60(B47,$A47,1)="0","",[1]!s_stmnote_bank_60(B47,$A47,1))</f>
        <v>0</v>
      </c>
      <c r="AB47" s="52">
        <f>[1]!s_stmnote_bank_5444(B47,$A47,1)</f>
        <v>0</v>
      </c>
      <c r="AC47" s="38">
        <f>[1]!s_stmnote_bank_129n($B47,$A47,1)</f>
        <v>0</v>
      </c>
      <c r="AD47" s="54">
        <f>[1]!s_stmnote_bank_30(B47,$A47,1)</f>
        <v>0</v>
      </c>
    </row>
    <row r="48" spans="1:30" ht="24">
      <c r="A48" s="1" t="s">
        <v>1110</v>
      </c>
      <c r="B48" s="87" t="s">
        <v>1156</v>
      </c>
      <c r="C48" s="8">
        <f>IF([1]!b_info_issuer(B48)="0","",IFERROR([1]!b_info_issuer(B48),""))</f>
        <v>0</v>
      </c>
      <c r="D48" s="11">
        <f>IF([1]!b_info_latestissurercreditrating(B48)="0","",IFERROR([1]!b_info_latestissurercreditrating(B48),""))</f>
        <v>0</v>
      </c>
      <c r="E48" s="27" t="str">
        <f>IFERROR(([1]!b_stm07_bs($B48,47,$A48,1,100000000))/[1]!b_stm07_bs($B48,109,$A48,1,100000000),"")</f>
        <v/>
      </c>
      <c r="F48" s="18" t="str">
        <f>IFERROR(([1]!s_stmnote_bank_26($B48,$A48,1,100000000)-[1]!s_stmnote_bank_26($B48,#REF!,1,100000000)+#REF!)/[1]!s_stmnote_bank_1n($B48,#REF!,1,100000000),"")</f>
        <v/>
      </c>
      <c r="G48" s="21" t="str">
        <f t="shared" si="0"/>
        <v/>
      </c>
      <c r="H48" s="18" t="str">
        <f>IFERROR([1]!s_stmnote_bank($B48,"34",$A48,100000000)/[1]!s_stmnote_bank_1n(B48,$A48,1,100000000),"")</f>
        <v/>
      </c>
      <c r="I48" s="25">
        <f>[1]!b_stm07_bs(B48,74,$A48,1,100000000)</f>
        <v>0</v>
      </c>
      <c r="J48" s="25">
        <f>[1]!b_stm07_bs(B48,109,$A48,1,100000000)</f>
        <v>0</v>
      </c>
      <c r="K48" s="10">
        <f>[1]!s_stmnote_bank_5n(B48,$A48,1)</f>
        <v>0</v>
      </c>
      <c r="L48" s="25">
        <f>[1]!s_stmnote_bank_23n(B48,$A48,1)</f>
        <v>0</v>
      </c>
      <c r="M48" s="25">
        <f>[1]!s_stmnote_bank_capadequacyratio(B48,$A48,1)</f>
        <v>0</v>
      </c>
      <c r="N48" s="25">
        <f>[1]!s_stmnote_bank_capadequacyratio_ct1(B48,$A48,1)</f>
        <v>0</v>
      </c>
      <c r="O48" s="6">
        <f>IF(OR([1]!s_fa_roe(B48,20201231)="0",[1]!s_fa_roe(B48,20211231)="0",[1]!s_fa_roe(B48,20221231)="0"),"",IFERROR(([1]!s_fa_roe(B48,20221231)+[1]!s_fa_roe(B48,20201231)+[1]!s_fa_roe(B48,20211231))/3,""))</f>
        <v>0</v>
      </c>
      <c r="P48" s="28" t="str">
        <f>IFERROR(([1]!s_stmnote_bank_65(B48,$A48,1,2,4,100000000)+[1]!s_stmnote_bank_65(B48,$A48,1,2,6,100000000))/[1]!s_stmnote_bank_1n(B48,$A48,1,100000000),"")</f>
        <v/>
      </c>
      <c r="Q48" s="28" t="str">
        <f>IFERROR([1]!s_stmnote_bank_614(B48,$A48,1,2,100000000)/[1]!s_stmnote_bank_647(B48,$A48,1,2,100000000),"")</f>
        <v/>
      </c>
      <c r="R48" s="28" t="str">
        <f>IFERROR(([1]!b_stm07_bs(B48,104,$A48,1,100000000)+[1]!b_stm07_bs(B48,106,$A48,1,100000000)+[1]!b_stm07_bs(B48,76,$A48,1,100000000)+[1]!b_stm07_bs(B48,108,$A48,1,100000000)+[1]!b_stm07_bs(B48,95,$A48,1,100000000))/[1]!b_stm07_bs(B48,128,$A48,1,100000000),"")</f>
        <v/>
      </c>
      <c r="S48" s="28" t="str">
        <f>IFERROR(([1]!s_stmnote_bank_614(B48,$A48,1,2,100000000)+[1]!b_stm07_bs(B48,104,$A48,1,100000000)+[1]!b_stm07_bs(B48,106,$A48,1,100000000)+[1]!b_stm07_bs(B48,76,$A48,1,100000000)+[1]!b_stm07_bs(B48,108,$A48,1,100000000)+[1]!b_stm07_bs(B48,95,$A48,1,100000000))/[1]!b_stm07_bs(B48,128,$A48,1,100000000),"")</f>
        <v/>
      </c>
      <c r="T48" s="11">
        <f>[1]!b_issuer_shareholder(B48,"",1)</f>
        <v>0</v>
      </c>
      <c r="U48" s="10">
        <f>[1]!b_issuer_propofshareholder(B48,"",1)</f>
        <v>0</v>
      </c>
      <c r="V48" s="33" t="str">
        <f t="shared" si="1"/>
        <v>0</v>
      </c>
      <c r="W48" s="33">
        <f>[1]!s_info_city(B48)</f>
        <v>0</v>
      </c>
      <c r="X48" s="10">
        <f>IF([1]!s_stmnote_bank_17n(B48,$A48,1)="0","",[1]!s_stmnote_bank_17n(B48,$A48,1))</f>
        <v>0</v>
      </c>
      <c r="Y48" s="10">
        <f>IF([1]!s_stmnote_bank_18n(B48,$A48,1)="0","",[1]!s_stmnote_bank_18n(B48,$A48,1))</f>
        <v>0</v>
      </c>
      <c r="Z48" s="41">
        <f>IF([1]!s_stmnote_bank_58(B48,$A48,1)="0","",[1]!s_stmnote_bank_58(B48,$A48,1))</f>
        <v>0</v>
      </c>
      <c r="AA48" s="52">
        <f>IF([1]!s_stmnote_bank_60(B48,$A48,1)="0","",[1]!s_stmnote_bank_60(B48,$A48,1))</f>
        <v>0</v>
      </c>
      <c r="AB48" s="52">
        <f>[1]!s_stmnote_bank_5444(B48,$A48,1)</f>
        <v>0</v>
      </c>
      <c r="AC48" s="38">
        <f>[1]!s_stmnote_bank_129n($B48,$A48,1)</f>
        <v>0</v>
      </c>
      <c r="AD48" s="54">
        <f>[1]!s_stmnote_bank_30(B48,$A48,1)</f>
        <v>0</v>
      </c>
    </row>
    <row r="49" spans="1:30" s="46" customFormat="1" ht="24">
      <c r="A49" s="1" t="s">
        <v>1110</v>
      </c>
      <c r="B49" s="87" t="s">
        <v>1157</v>
      </c>
      <c r="C49" s="8">
        <f>IF([1]!b_info_issuer(B49)="0","",IFERROR([1]!b_info_issuer(B49),""))</f>
        <v>0</v>
      </c>
      <c r="D49" s="11">
        <f>IF([1]!b_info_latestissurercreditrating(B49)="0","",IFERROR([1]!b_info_latestissurercreditrating(B49),""))</f>
        <v>0</v>
      </c>
      <c r="E49" s="27" t="str">
        <f>IFERROR(([1]!b_stm07_bs($B49,47,$A49,1,100000000))/[1]!b_stm07_bs($B49,109,$A49,1,100000000),"")</f>
        <v/>
      </c>
      <c r="F49" s="18" t="str">
        <f>IFERROR(([1]!s_stmnote_bank_26($B49,$A49,1,100000000)-[1]!s_stmnote_bank_26($B49,#REF!,1,100000000)+#REF!)/[1]!s_stmnote_bank_1n($B49,#REF!,1,100000000),"")</f>
        <v/>
      </c>
      <c r="G49" s="21" t="str">
        <f t="shared" si="0"/>
        <v/>
      </c>
      <c r="H49" s="18" t="str">
        <f>IFERROR([1]!s_stmnote_bank($B49,"34",$A49,100000000)/[1]!s_stmnote_bank_1n(B49,$A49,1,100000000),"")</f>
        <v/>
      </c>
      <c r="I49" s="25">
        <f>[1]!b_stm07_bs(B49,74,$A49,1,100000000)</f>
        <v>0</v>
      </c>
      <c r="J49" s="25">
        <f>[1]!b_stm07_bs(B49,109,$A49,1,100000000)</f>
        <v>0</v>
      </c>
      <c r="K49" s="10">
        <f>[1]!s_stmnote_bank_5n(B49,$A49,1)</f>
        <v>0</v>
      </c>
      <c r="L49" s="25">
        <f>[1]!s_stmnote_bank_23n(B49,$A49,1)</f>
        <v>0</v>
      </c>
      <c r="M49" s="25">
        <f>[1]!s_stmnote_bank_capadequacyratio(B49,$A49,1)</f>
        <v>0</v>
      </c>
      <c r="N49" s="25">
        <f>[1]!s_stmnote_bank_capadequacyratio_ct1(B49,$A49,1)</f>
        <v>0</v>
      </c>
      <c r="O49" s="6">
        <f>IF(OR([1]!s_fa_roe(B49,20201231)="0",[1]!s_fa_roe(B49,20211231)="0",[1]!s_fa_roe(B49,20221231)="0"),"",IFERROR(([1]!s_fa_roe(B49,20221231)+[1]!s_fa_roe(B49,20201231)+[1]!s_fa_roe(B49,20211231))/3,""))</f>
        <v>0</v>
      </c>
      <c r="P49" s="28" t="str">
        <f>IFERROR(([1]!s_stmnote_bank_65(B49,$A49,1,2,4,100000000)+[1]!s_stmnote_bank_65(B49,$A49,1,2,6,100000000))/[1]!s_stmnote_bank_1n(B49,$A49,1,100000000),"")</f>
        <v/>
      </c>
      <c r="Q49" s="28" t="str">
        <f>IFERROR([1]!s_stmnote_bank_614(B49,$A49,1,2,100000000)/[1]!s_stmnote_bank_647(B49,$A49,1,2,100000000),"")</f>
        <v/>
      </c>
      <c r="R49" s="28" t="str">
        <f>IFERROR(([1]!b_stm07_bs(B49,104,$A49,1,100000000)+[1]!b_stm07_bs(B49,106,$A49,1,100000000)+[1]!b_stm07_bs(B49,76,$A49,1,100000000)+[1]!b_stm07_bs(B49,108,$A49,1,100000000)+[1]!b_stm07_bs(B49,95,$A49,1,100000000))/[1]!b_stm07_bs(B49,128,$A49,1,100000000),"")</f>
        <v/>
      </c>
      <c r="S49" s="28" t="str">
        <f>IFERROR(([1]!s_stmnote_bank_614(B49,$A49,1,2,100000000)+[1]!b_stm07_bs(B49,104,$A49,1,100000000)+[1]!b_stm07_bs(B49,106,$A49,1,100000000)+[1]!b_stm07_bs(B49,76,$A49,1,100000000)+[1]!b_stm07_bs(B49,108,$A49,1,100000000)+[1]!b_stm07_bs(B49,95,$A49,1,100000000))/[1]!b_stm07_bs(B49,128,$A49,1,100000000),"")</f>
        <v/>
      </c>
      <c r="T49" s="11">
        <f>[1]!b_issuer_shareholder(B49,"",1)</f>
        <v>0</v>
      </c>
      <c r="U49" s="10">
        <f>[1]!b_issuer_propofshareholder(B49,"",1)</f>
        <v>0</v>
      </c>
      <c r="V49" s="33" t="str">
        <f t="shared" si="1"/>
        <v>0</v>
      </c>
      <c r="W49" s="33">
        <f>[1]!s_info_city(B49)</f>
        <v>0</v>
      </c>
      <c r="X49" s="10">
        <f>IF([1]!s_stmnote_bank_17n(B49,$A49,1)="0","",[1]!s_stmnote_bank_17n(B49,$A49,1))</f>
        <v>0</v>
      </c>
      <c r="Y49" s="10">
        <f>IF([1]!s_stmnote_bank_18n(B49,$A49,1)="0","",[1]!s_stmnote_bank_18n(B49,$A49,1))</f>
        <v>0</v>
      </c>
      <c r="Z49" s="41">
        <f>IF([1]!s_stmnote_bank_58(B49,$A49,1)="0","",[1]!s_stmnote_bank_58(B49,$A49,1))</f>
        <v>0</v>
      </c>
      <c r="AA49" s="52">
        <f>IF([1]!s_stmnote_bank_60(B49,$A49,1)="0","",[1]!s_stmnote_bank_60(B49,$A49,1))</f>
        <v>0</v>
      </c>
      <c r="AB49" s="52">
        <f>[1]!s_stmnote_bank_5444(B49,$A49,1)</f>
        <v>0</v>
      </c>
      <c r="AC49" s="38">
        <f>[1]!s_stmnote_bank_129n($B49,$A49,1)</f>
        <v>0</v>
      </c>
      <c r="AD49" s="54">
        <f>[1]!s_stmnote_bank_30(B49,$A49,1)</f>
        <v>0</v>
      </c>
    </row>
    <row r="50" spans="1:30" s="46" customFormat="1" ht="24">
      <c r="A50" s="1" t="s">
        <v>1110</v>
      </c>
      <c r="B50" s="87" t="s">
        <v>1158</v>
      </c>
      <c r="C50" s="8">
        <f>IF([1]!b_info_issuer(B50)="0","",IFERROR([1]!b_info_issuer(B50),""))</f>
        <v>0</v>
      </c>
      <c r="D50" s="11">
        <f>IF([1]!b_info_latestissurercreditrating(B50)="0","",IFERROR([1]!b_info_latestissurercreditrating(B50),""))</f>
        <v>0</v>
      </c>
      <c r="E50" s="27" t="str">
        <f>IFERROR(([1]!b_stm07_bs($B50,47,$A50,1,100000000))/[1]!b_stm07_bs($B50,109,$A50,1,100000000),"")</f>
        <v/>
      </c>
      <c r="F50" s="18" t="str">
        <f>IFERROR(([1]!s_stmnote_bank_26($B50,$A50,1,100000000)-[1]!s_stmnote_bank_26($B50,#REF!,1,100000000)+#REF!)/[1]!s_stmnote_bank_1n($B50,#REF!,1,100000000),"")</f>
        <v/>
      </c>
      <c r="G50" s="21" t="str">
        <f t="shared" si="0"/>
        <v/>
      </c>
      <c r="H50" s="18" t="str">
        <f>IFERROR([1]!s_stmnote_bank($B50,"34",$A50,100000000)/[1]!s_stmnote_bank_1n(B50,$A50,1,100000000),"")</f>
        <v/>
      </c>
      <c r="I50" s="25">
        <f>[1]!b_stm07_bs(B50,74,$A50,1,100000000)</f>
        <v>0</v>
      </c>
      <c r="J50" s="25">
        <f>[1]!b_stm07_bs(B50,109,$A50,1,100000000)</f>
        <v>0</v>
      </c>
      <c r="K50" s="10">
        <f>[1]!s_stmnote_bank_5n(B50,$A50,1)</f>
        <v>0</v>
      </c>
      <c r="L50" s="25">
        <f>[1]!s_stmnote_bank_23n(B50,$A50,1)</f>
        <v>0</v>
      </c>
      <c r="M50" s="25">
        <f>[1]!s_stmnote_bank_capadequacyratio(B50,$A50,1)</f>
        <v>0</v>
      </c>
      <c r="N50" s="25">
        <f>[1]!s_stmnote_bank_capadequacyratio_ct1(B50,$A50,1)</f>
        <v>0</v>
      </c>
      <c r="O50" s="6">
        <f>IF(OR([1]!s_fa_roe(B50,20201231)="0",[1]!s_fa_roe(B50,20211231)="0",[1]!s_fa_roe(B50,20221231)="0"),"",IFERROR(([1]!s_fa_roe(B50,20221231)+[1]!s_fa_roe(B50,20201231)+[1]!s_fa_roe(B50,20211231))/3,""))</f>
        <v>0</v>
      </c>
      <c r="P50" s="28" t="str">
        <f>IFERROR(([1]!s_stmnote_bank_65(B50,$A50,1,2,4,100000000)+[1]!s_stmnote_bank_65(B50,$A50,1,2,6,100000000))/[1]!s_stmnote_bank_1n(B50,$A50,1,100000000),"")</f>
        <v/>
      </c>
      <c r="Q50" s="28" t="str">
        <f>IFERROR([1]!s_stmnote_bank_614(B50,$A50,1,2,100000000)/[1]!s_stmnote_bank_647(B50,$A50,1,2,100000000),"")</f>
        <v/>
      </c>
      <c r="R50" s="28" t="str">
        <f>IFERROR(([1]!b_stm07_bs(B50,104,$A50,1,100000000)+[1]!b_stm07_bs(B50,106,$A50,1,100000000)+[1]!b_stm07_bs(B50,76,$A50,1,100000000)+[1]!b_stm07_bs(B50,108,$A50,1,100000000)+[1]!b_stm07_bs(B50,95,$A50,1,100000000))/[1]!b_stm07_bs(B50,128,$A50,1,100000000),"")</f>
        <v/>
      </c>
      <c r="S50" s="28" t="str">
        <f>IFERROR(([1]!s_stmnote_bank_614(B50,$A50,1,2,100000000)+[1]!b_stm07_bs(B50,104,$A50,1,100000000)+[1]!b_stm07_bs(B50,106,$A50,1,100000000)+[1]!b_stm07_bs(B50,76,$A50,1,100000000)+[1]!b_stm07_bs(B50,108,$A50,1,100000000)+[1]!b_stm07_bs(B50,95,$A50,1,100000000))/[1]!b_stm07_bs(B50,128,$A50,1,100000000),"")</f>
        <v/>
      </c>
      <c r="T50" s="11">
        <f>[1]!b_issuer_shareholder(B50,"",1)</f>
        <v>0</v>
      </c>
      <c r="U50" s="10">
        <f>[1]!b_issuer_propofshareholder(B50,"",1)</f>
        <v>0</v>
      </c>
      <c r="V50" s="33" t="str">
        <f t="shared" si="1"/>
        <v>0</v>
      </c>
      <c r="W50" s="33">
        <f>[1]!s_info_city(B50)</f>
        <v>0</v>
      </c>
      <c r="X50" s="10">
        <f>IF([1]!s_stmnote_bank_17n(B50,$A50,1)="0","",[1]!s_stmnote_bank_17n(B50,$A50,1))</f>
        <v>0</v>
      </c>
      <c r="Y50" s="10">
        <f>IF([1]!s_stmnote_bank_18n(B50,$A50,1)="0","",[1]!s_stmnote_bank_18n(B50,$A50,1))</f>
        <v>0</v>
      </c>
      <c r="Z50" s="41">
        <f>IF([1]!s_stmnote_bank_58(B50,$A50,1)="0","",[1]!s_stmnote_bank_58(B50,$A50,1))</f>
        <v>0</v>
      </c>
      <c r="AA50" s="52">
        <f>IF([1]!s_stmnote_bank_60(B50,$A50,1)="0","",[1]!s_stmnote_bank_60(B50,$A50,1))</f>
        <v>0</v>
      </c>
      <c r="AB50" s="52">
        <f>[1]!s_stmnote_bank_5444(B50,$A50,1)</f>
        <v>0</v>
      </c>
      <c r="AC50" s="38">
        <f>[1]!s_stmnote_bank_129n($B50,$A50,1)</f>
        <v>0</v>
      </c>
      <c r="AD50" s="54">
        <f>[1]!s_stmnote_bank_30(B50,$A50,1)</f>
        <v>0</v>
      </c>
    </row>
    <row r="51" spans="1:30" s="46" customFormat="1" ht="24">
      <c r="A51" s="1" t="s">
        <v>1110</v>
      </c>
      <c r="B51" s="87" t="s">
        <v>1159</v>
      </c>
      <c r="C51" s="8">
        <f>IF([1]!b_info_issuer(B51)="0","",IFERROR([1]!b_info_issuer(B51),""))</f>
        <v>0</v>
      </c>
      <c r="D51" s="11">
        <f>IF([1]!b_info_latestissurercreditrating(B51)="0","",IFERROR([1]!b_info_latestissurercreditrating(B51),""))</f>
        <v>0</v>
      </c>
      <c r="E51" s="27" t="str">
        <f>IFERROR(([1]!b_stm07_bs($B51,47,$A51,1,100000000))/[1]!b_stm07_bs($B51,109,$A51,1,100000000),"")</f>
        <v/>
      </c>
      <c r="F51" s="18" t="str">
        <f>IFERROR(([1]!s_stmnote_bank_26($B51,$A51,1,100000000)-[1]!s_stmnote_bank_26($B51,#REF!,1,100000000)+#REF!)/[1]!s_stmnote_bank_1n($B51,#REF!,1,100000000),"")</f>
        <v/>
      </c>
      <c r="G51" s="21" t="str">
        <f t="shared" si="0"/>
        <v/>
      </c>
      <c r="H51" s="18" t="str">
        <f>IFERROR([1]!s_stmnote_bank($B51,"34",$A51,100000000)/[1]!s_stmnote_bank_1n(B51,$A51,1,100000000),"")</f>
        <v/>
      </c>
      <c r="I51" s="25">
        <f>[1]!b_stm07_bs(B51,74,$A51,1,100000000)</f>
        <v>0</v>
      </c>
      <c r="J51" s="25">
        <f>[1]!b_stm07_bs(B51,109,$A51,1,100000000)</f>
        <v>0</v>
      </c>
      <c r="K51" s="10">
        <f>[1]!s_stmnote_bank_5n(B51,$A51,1)</f>
        <v>0</v>
      </c>
      <c r="L51" s="25">
        <f>[1]!s_stmnote_bank_23n(B51,$A51,1)</f>
        <v>0</v>
      </c>
      <c r="M51" s="25">
        <f>[1]!s_stmnote_bank_capadequacyratio(B51,$A51,1)</f>
        <v>0</v>
      </c>
      <c r="N51" s="25">
        <f>[1]!s_stmnote_bank_capadequacyratio_ct1(B51,$A51,1)</f>
        <v>0</v>
      </c>
      <c r="O51" s="6">
        <f>IF(OR([1]!s_fa_roe(B51,20201231)="0",[1]!s_fa_roe(B51,20211231)="0",[1]!s_fa_roe(B51,20221231)="0"),"",IFERROR(([1]!s_fa_roe(B51,20221231)+[1]!s_fa_roe(B51,20201231)+[1]!s_fa_roe(B51,20211231))/3,""))</f>
        <v>0</v>
      </c>
      <c r="P51" s="28" t="str">
        <f>IFERROR(([1]!s_stmnote_bank_65(B51,$A51,1,2,4,100000000)+[1]!s_stmnote_bank_65(B51,$A51,1,2,6,100000000))/[1]!s_stmnote_bank_1n(B51,$A51,1,100000000),"")</f>
        <v/>
      </c>
      <c r="Q51" s="28" t="str">
        <f>IFERROR([1]!s_stmnote_bank_614(B51,$A51,1,2,100000000)/[1]!s_stmnote_bank_647(B51,$A51,1,2,100000000),"")</f>
        <v/>
      </c>
      <c r="R51" s="28" t="str">
        <f>IFERROR(([1]!b_stm07_bs(B51,104,$A51,1,100000000)+[1]!b_stm07_bs(B51,106,$A51,1,100000000)+[1]!b_stm07_bs(B51,76,$A51,1,100000000)+[1]!b_stm07_bs(B51,108,$A51,1,100000000)+[1]!b_stm07_bs(B51,95,$A51,1,100000000))/[1]!b_stm07_bs(B51,128,$A51,1,100000000),"")</f>
        <v/>
      </c>
      <c r="S51" s="28" t="str">
        <f>IFERROR(([1]!s_stmnote_bank_614(B51,$A51,1,2,100000000)+[1]!b_stm07_bs(B51,104,$A51,1,100000000)+[1]!b_stm07_bs(B51,106,$A51,1,100000000)+[1]!b_stm07_bs(B51,76,$A51,1,100000000)+[1]!b_stm07_bs(B51,108,$A51,1,100000000)+[1]!b_stm07_bs(B51,95,$A51,1,100000000))/[1]!b_stm07_bs(B51,128,$A51,1,100000000),"")</f>
        <v/>
      </c>
      <c r="T51" s="11">
        <f>[1]!b_issuer_shareholder(B51,"",1)</f>
        <v>0</v>
      </c>
      <c r="U51" s="10">
        <f>[1]!b_issuer_propofshareholder(B51,"",1)</f>
        <v>0</v>
      </c>
      <c r="V51" s="33" t="str">
        <f t="shared" si="1"/>
        <v>0</v>
      </c>
      <c r="W51" s="33">
        <f>[1]!s_info_city(B51)</f>
        <v>0</v>
      </c>
      <c r="X51" s="10">
        <f>IF([1]!s_stmnote_bank_17n(B51,$A51,1)="0","",[1]!s_stmnote_bank_17n(B51,$A51,1))</f>
        <v>0</v>
      </c>
      <c r="Y51" s="10">
        <f>IF([1]!s_stmnote_bank_18n(B51,$A51,1)="0","",[1]!s_stmnote_bank_18n(B51,$A51,1))</f>
        <v>0</v>
      </c>
      <c r="Z51" s="41">
        <f>IF([1]!s_stmnote_bank_58(B51,$A51,1)="0","",[1]!s_stmnote_bank_58(B51,$A51,1))</f>
        <v>0</v>
      </c>
      <c r="AA51" s="52">
        <f>IF([1]!s_stmnote_bank_60(B51,$A51,1)="0","",[1]!s_stmnote_bank_60(B51,$A51,1))</f>
        <v>0</v>
      </c>
      <c r="AB51" s="52">
        <f>[1]!s_stmnote_bank_5444(B51,$A51,1)</f>
        <v>0</v>
      </c>
      <c r="AC51" s="38">
        <f>[1]!s_stmnote_bank_129n($B51,$A51,1)</f>
        <v>0</v>
      </c>
      <c r="AD51" s="54">
        <f>[1]!s_stmnote_bank_30(B51,$A51,1)</f>
        <v>0</v>
      </c>
    </row>
    <row r="52" spans="1:30" s="46" customFormat="1" ht="24">
      <c r="A52" s="1" t="s">
        <v>1110</v>
      </c>
      <c r="B52" s="87" t="s">
        <v>1160</v>
      </c>
      <c r="C52" s="8">
        <f>IF([1]!b_info_issuer(B52)="0","",IFERROR([1]!b_info_issuer(B52),""))</f>
        <v>0</v>
      </c>
      <c r="D52" s="11">
        <f>IF([1]!b_info_latestissurercreditrating(B52)="0","",IFERROR([1]!b_info_latestissurercreditrating(B52),""))</f>
        <v>0</v>
      </c>
      <c r="E52" s="27" t="str">
        <f>IFERROR(([1]!b_stm07_bs($B52,47,$A52,1,100000000))/[1]!b_stm07_bs($B52,109,$A52,1,100000000),"")</f>
        <v/>
      </c>
      <c r="F52" s="18" t="str">
        <f>IFERROR(([1]!s_stmnote_bank_26($B52,$A52,1,100000000)-[1]!s_stmnote_bank_26($B52,#REF!,1,100000000)+#REF!)/[1]!s_stmnote_bank_1n($B52,#REF!,1,100000000),"")</f>
        <v/>
      </c>
      <c r="G52" s="21" t="str">
        <f t="shared" si="0"/>
        <v/>
      </c>
      <c r="H52" s="18" t="str">
        <f>IFERROR([1]!s_stmnote_bank($B52,"34",$A52,100000000)/[1]!s_stmnote_bank_1n(B52,$A52,1,100000000),"")</f>
        <v/>
      </c>
      <c r="I52" s="25">
        <f>[1]!b_stm07_bs(B52,74,$A52,1,100000000)</f>
        <v>0</v>
      </c>
      <c r="J52" s="25">
        <f>[1]!b_stm07_bs(B52,109,$A52,1,100000000)</f>
        <v>0</v>
      </c>
      <c r="K52" s="10">
        <f>[1]!s_stmnote_bank_5n(B52,$A52,1)</f>
        <v>0</v>
      </c>
      <c r="L52" s="25">
        <f>[1]!s_stmnote_bank_23n(B52,$A52,1)</f>
        <v>0</v>
      </c>
      <c r="M52" s="25">
        <f>[1]!s_stmnote_bank_capadequacyratio(B52,$A52,1)</f>
        <v>0</v>
      </c>
      <c r="N52" s="25">
        <f>[1]!s_stmnote_bank_capadequacyratio_ct1(B52,$A52,1)</f>
        <v>0</v>
      </c>
      <c r="O52" s="6">
        <f>IF(OR([1]!s_fa_roe(B52,20201231)="0",[1]!s_fa_roe(B52,20211231)="0",[1]!s_fa_roe(B52,20221231)="0"),"",IFERROR(([1]!s_fa_roe(B52,20221231)+[1]!s_fa_roe(B52,20201231)+[1]!s_fa_roe(B52,20211231))/3,""))</f>
        <v>0</v>
      </c>
      <c r="P52" s="28" t="str">
        <f>IFERROR(([1]!s_stmnote_bank_65(B52,$A52,1,2,4,100000000)+[1]!s_stmnote_bank_65(B52,$A52,1,2,6,100000000))/[1]!s_stmnote_bank_1n(B52,$A52,1,100000000),"")</f>
        <v/>
      </c>
      <c r="Q52" s="28" t="str">
        <f>IFERROR([1]!s_stmnote_bank_614(B52,$A52,1,2,100000000)/[1]!s_stmnote_bank_647(B52,$A52,1,2,100000000),"")</f>
        <v/>
      </c>
      <c r="R52" s="28" t="str">
        <f>IFERROR(([1]!b_stm07_bs(B52,104,$A52,1,100000000)+[1]!b_stm07_bs(B52,106,$A52,1,100000000)+[1]!b_stm07_bs(B52,76,$A52,1,100000000)+[1]!b_stm07_bs(B52,108,$A52,1,100000000)+[1]!b_stm07_bs(B52,95,$A52,1,100000000))/[1]!b_stm07_bs(B52,128,$A52,1,100000000),"")</f>
        <v/>
      </c>
      <c r="S52" s="28" t="str">
        <f>IFERROR(([1]!s_stmnote_bank_614(B52,$A52,1,2,100000000)+[1]!b_stm07_bs(B52,104,$A52,1,100000000)+[1]!b_stm07_bs(B52,106,$A52,1,100000000)+[1]!b_stm07_bs(B52,76,$A52,1,100000000)+[1]!b_stm07_bs(B52,108,$A52,1,100000000)+[1]!b_stm07_bs(B52,95,$A52,1,100000000))/[1]!b_stm07_bs(B52,128,$A52,1,100000000),"")</f>
        <v/>
      </c>
      <c r="T52" s="11">
        <f>[1]!b_issuer_shareholder(B52,"",1)</f>
        <v>0</v>
      </c>
      <c r="U52" s="10">
        <f>[1]!b_issuer_propofshareholder(B52,"",1)</f>
        <v>0</v>
      </c>
      <c r="V52" s="33" t="str">
        <f t="shared" si="1"/>
        <v>0</v>
      </c>
      <c r="W52" s="33">
        <f>[1]!s_info_city(B52)</f>
        <v>0</v>
      </c>
      <c r="X52" s="10">
        <f>IF([1]!s_stmnote_bank_17n(B52,$A52,1)="0","",[1]!s_stmnote_bank_17n(B52,$A52,1))</f>
        <v>0</v>
      </c>
      <c r="Y52" s="10">
        <f>IF([1]!s_stmnote_bank_18n(B52,$A52,1)="0","",[1]!s_stmnote_bank_18n(B52,$A52,1))</f>
        <v>0</v>
      </c>
      <c r="Z52" s="41">
        <f>IF([1]!s_stmnote_bank_58(B52,$A52,1)="0","",[1]!s_stmnote_bank_58(B52,$A52,1))</f>
        <v>0</v>
      </c>
      <c r="AA52" s="52">
        <f>IF([1]!s_stmnote_bank_60(B52,$A52,1)="0","",[1]!s_stmnote_bank_60(B52,$A52,1))</f>
        <v>0</v>
      </c>
      <c r="AB52" s="52">
        <f>[1]!s_stmnote_bank_5444(B52,$A52,1)</f>
        <v>0</v>
      </c>
      <c r="AC52" s="38">
        <f>[1]!s_stmnote_bank_129n($B52,$A52,1)</f>
        <v>0</v>
      </c>
      <c r="AD52" s="54">
        <f>[1]!s_stmnote_bank_30(B52,$A52,1)</f>
        <v>0</v>
      </c>
    </row>
    <row r="53" spans="1:30" s="46" customFormat="1" ht="24">
      <c r="A53" s="1" t="s">
        <v>1110</v>
      </c>
      <c r="B53" s="87" t="s">
        <v>1161</v>
      </c>
      <c r="C53" s="8">
        <f>IF([1]!b_info_issuer(B53)="0","",IFERROR([1]!b_info_issuer(B53),""))</f>
        <v>0</v>
      </c>
      <c r="D53" s="11">
        <f>IF([1]!b_info_latestissurercreditrating(B53)="0","",IFERROR([1]!b_info_latestissurercreditrating(B53),""))</f>
        <v>0</v>
      </c>
      <c r="E53" s="27" t="str">
        <f>IFERROR(([1]!b_stm07_bs($B53,47,$A53,1,100000000))/[1]!b_stm07_bs($B53,109,$A53,1,100000000),"")</f>
        <v/>
      </c>
      <c r="F53" s="18" t="str">
        <f>IFERROR(([1]!s_stmnote_bank_26($B53,$A53,1,100000000)-[1]!s_stmnote_bank_26($B53,#REF!,1,100000000)+#REF!)/[1]!s_stmnote_bank_1n($B53,#REF!,1,100000000),"")</f>
        <v/>
      </c>
      <c r="G53" s="21" t="str">
        <f t="shared" si="0"/>
        <v/>
      </c>
      <c r="H53" s="18" t="str">
        <f>IFERROR([1]!s_stmnote_bank($B53,"34",$A53,100000000)/[1]!s_stmnote_bank_1n(B53,$A53,1,100000000),"")</f>
        <v/>
      </c>
      <c r="I53" s="25">
        <f>[1]!b_stm07_bs(B53,74,$A53,1,100000000)</f>
        <v>0</v>
      </c>
      <c r="J53" s="25">
        <f>[1]!b_stm07_bs(B53,109,$A53,1,100000000)</f>
        <v>0</v>
      </c>
      <c r="K53" s="10">
        <f>[1]!s_stmnote_bank_5n(B53,$A53,1)</f>
        <v>0</v>
      </c>
      <c r="L53" s="25">
        <f>[1]!s_stmnote_bank_23n(B53,$A53,1)</f>
        <v>0</v>
      </c>
      <c r="M53" s="25">
        <f>[1]!s_stmnote_bank_capadequacyratio(B53,$A53,1)</f>
        <v>0</v>
      </c>
      <c r="N53" s="25">
        <f>[1]!s_stmnote_bank_capadequacyratio_ct1(B53,$A53,1)</f>
        <v>0</v>
      </c>
      <c r="O53" s="6">
        <f>IF(OR([1]!s_fa_roe(B53,20201231)="0",[1]!s_fa_roe(B53,20211231)="0",[1]!s_fa_roe(B53,20221231)="0"),"",IFERROR(([1]!s_fa_roe(B53,20221231)+[1]!s_fa_roe(B53,20201231)+[1]!s_fa_roe(B53,20211231))/3,""))</f>
        <v>0</v>
      </c>
      <c r="P53" s="28" t="str">
        <f>IFERROR(([1]!s_stmnote_bank_65(B53,$A53,1,2,4,100000000)+[1]!s_stmnote_bank_65(B53,$A53,1,2,6,100000000))/[1]!s_stmnote_bank_1n(B53,$A53,1,100000000),"")</f>
        <v/>
      </c>
      <c r="Q53" s="28" t="str">
        <f>IFERROR([1]!s_stmnote_bank_614(B53,$A53,1,2,100000000)/[1]!s_stmnote_bank_647(B53,$A53,1,2,100000000),"")</f>
        <v/>
      </c>
      <c r="R53" s="28" t="str">
        <f>IFERROR(([1]!b_stm07_bs(B53,104,$A53,1,100000000)+[1]!b_stm07_bs(B53,106,$A53,1,100000000)+[1]!b_stm07_bs(B53,76,$A53,1,100000000)+[1]!b_stm07_bs(B53,108,$A53,1,100000000)+[1]!b_stm07_bs(B53,95,$A53,1,100000000))/[1]!b_stm07_bs(B53,128,$A53,1,100000000),"")</f>
        <v/>
      </c>
      <c r="S53" s="28" t="str">
        <f>IFERROR(([1]!s_stmnote_bank_614(B53,$A53,1,2,100000000)+[1]!b_stm07_bs(B53,104,$A53,1,100000000)+[1]!b_stm07_bs(B53,106,$A53,1,100000000)+[1]!b_stm07_bs(B53,76,$A53,1,100000000)+[1]!b_stm07_bs(B53,108,$A53,1,100000000)+[1]!b_stm07_bs(B53,95,$A53,1,100000000))/[1]!b_stm07_bs(B53,128,$A53,1,100000000),"")</f>
        <v/>
      </c>
      <c r="T53" s="11">
        <f>[1]!b_issuer_shareholder(B53,"",1)</f>
        <v>0</v>
      </c>
      <c r="U53" s="10">
        <f>[1]!b_issuer_propofshareholder(B53,"",1)</f>
        <v>0</v>
      </c>
      <c r="V53" s="33" t="str">
        <f t="shared" si="1"/>
        <v>0</v>
      </c>
      <c r="W53" s="33">
        <f>[1]!s_info_city(B53)</f>
        <v>0</v>
      </c>
      <c r="X53" s="10">
        <f>IF([1]!s_stmnote_bank_17n(B53,$A53,1)="0","",[1]!s_stmnote_bank_17n(B53,$A53,1))</f>
        <v>0</v>
      </c>
      <c r="Y53" s="10">
        <f>IF([1]!s_stmnote_bank_18n(B53,$A53,1)="0","",[1]!s_stmnote_bank_18n(B53,$A53,1))</f>
        <v>0</v>
      </c>
      <c r="Z53" s="41">
        <f>IF([1]!s_stmnote_bank_58(B53,$A53,1)="0","",[1]!s_stmnote_bank_58(B53,$A53,1))</f>
        <v>0</v>
      </c>
      <c r="AA53" s="52">
        <f>IF([1]!s_stmnote_bank_60(B53,$A53,1)="0","",[1]!s_stmnote_bank_60(B53,$A53,1))</f>
        <v>0</v>
      </c>
      <c r="AB53" s="52">
        <f>[1]!s_stmnote_bank_5444(B53,$A53,1)</f>
        <v>0</v>
      </c>
      <c r="AC53" s="38">
        <f>[1]!s_stmnote_bank_129n($B53,$A53,1)</f>
        <v>0</v>
      </c>
      <c r="AD53" s="54">
        <f>[1]!s_stmnote_bank_30(B53,$A53,1)</f>
        <v>0</v>
      </c>
    </row>
    <row r="54" spans="1:30" s="46" customFormat="1" ht="24">
      <c r="A54" s="1" t="s">
        <v>1110</v>
      </c>
      <c r="B54" s="87" t="s">
        <v>1162</v>
      </c>
      <c r="C54" s="8">
        <f>IF([1]!b_info_issuer(B54)="0","",IFERROR([1]!b_info_issuer(B54),""))</f>
        <v>0</v>
      </c>
      <c r="D54" s="11">
        <f>IF([1]!b_info_latestissurercreditrating(B54)="0","",IFERROR([1]!b_info_latestissurercreditrating(B54),""))</f>
        <v>0</v>
      </c>
      <c r="E54" s="27" t="str">
        <f>IFERROR(([1]!b_stm07_bs($B54,47,$A54,1,100000000))/[1]!b_stm07_bs($B54,109,$A54,1,100000000),"")</f>
        <v/>
      </c>
      <c r="F54" s="18" t="str">
        <f>IFERROR(([1]!s_stmnote_bank_26($B54,$A54,1,100000000)-[1]!s_stmnote_bank_26($B54,#REF!,1,100000000)+#REF!)/[1]!s_stmnote_bank_1n($B54,#REF!,1,100000000),"")</f>
        <v/>
      </c>
      <c r="G54" s="21" t="str">
        <f t="shared" si="0"/>
        <v/>
      </c>
      <c r="H54" s="18" t="str">
        <f>IFERROR([1]!s_stmnote_bank($B54,"34",$A54,100000000)/[1]!s_stmnote_bank_1n(B54,$A54,1,100000000),"")</f>
        <v/>
      </c>
      <c r="I54" s="25">
        <f>[1]!b_stm07_bs(B54,74,$A54,1,100000000)</f>
        <v>0</v>
      </c>
      <c r="J54" s="25">
        <f>[1]!b_stm07_bs(B54,109,$A54,1,100000000)</f>
        <v>0</v>
      </c>
      <c r="K54" s="10">
        <f>[1]!s_stmnote_bank_5n(B54,$A54,1)</f>
        <v>0</v>
      </c>
      <c r="L54" s="25">
        <f>[1]!s_stmnote_bank_23n(B54,$A54,1)</f>
        <v>0</v>
      </c>
      <c r="M54" s="25">
        <f>[1]!s_stmnote_bank_capadequacyratio(B54,$A54,1)</f>
        <v>0</v>
      </c>
      <c r="N54" s="25">
        <f>[1]!s_stmnote_bank_capadequacyratio_ct1(B54,$A54,1)</f>
        <v>0</v>
      </c>
      <c r="O54" s="6">
        <f>IF(OR([1]!s_fa_roe(B54,20201231)="0",[1]!s_fa_roe(B54,20211231)="0",[1]!s_fa_roe(B54,20221231)="0"),"",IFERROR(([1]!s_fa_roe(B54,20221231)+[1]!s_fa_roe(B54,20201231)+[1]!s_fa_roe(B54,20211231))/3,""))</f>
        <v>0</v>
      </c>
      <c r="P54" s="28" t="str">
        <f>IFERROR(([1]!s_stmnote_bank_65(B54,$A54,1,2,4,100000000)+[1]!s_stmnote_bank_65(B54,$A54,1,2,6,100000000))/[1]!s_stmnote_bank_1n(B54,$A54,1,100000000),"")</f>
        <v/>
      </c>
      <c r="Q54" s="28" t="str">
        <f>IFERROR([1]!s_stmnote_bank_614(B54,$A54,1,2,100000000)/[1]!s_stmnote_bank_647(B54,$A54,1,2,100000000),"")</f>
        <v/>
      </c>
      <c r="R54" s="28" t="str">
        <f>IFERROR(([1]!b_stm07_bs(B54,104,$A54,1,100000000)+[1]!b_stm07_bs(B54,106,$A54,1,100000000)+[1]!b_stm07_bs(B54,76,$A54,1,100000000)+[1]!b_stm07_bs(B54,108,$A54,1,100000000)+[1]!b_stm07_bs(B54,95,$A54,1,100000000))/[1]!b_stm07_bs(B54,128,$A54,1,100000000),"")</f>
        <v/>
      </c>
      <c r="S54" s="28" t="str">
        <f>IFERROR(([1]!s_stmnote_bank_614(B54,$A54,1,2,100000000)+[1]!b_stm07_bs(B54,104,$A54,1,100000000)+[1]!b_stm07_bs(B54,106,$A54,1,100000000)+[1]!b_stm07_bs(B54,76,$A54,1,100000000)+[1]!b_stm07_bs(B54,108,$A54,1,100000000)+[1]!b_stm07_bs(B54,95,$A54,1,100000000))/[1]!b_stm07_bs(B54,128,$A54,1,100000000),"")</f>
        <v/>
      </c>
      <c r="T54" s="11">
        <f>[1]!b_issuer_shareholder(B54,"",1)</f>
        <v>0</v>
      </c>
      <c r="U54" s="10">
        <f>[1]!b_issuer_propofshareholder(B54,"",1)</f>
        <v>0</v>
      </c>
      <c r="V54" s="33" t="str">
        <f t="shared" si="1"/>
        <v>0</v>
      </c>
      <c r="W54" s="33">
        <f>[1]!s_info_city(B54)</f>
        <v>0</v>
      </c>
      <c r="X54" s="10">
        <f>IF([1]!s_stmnote_bank_17n(B54,$A54,1)="0","",[1]!s_stmnote_bank_17n(B54,$A54,1))</f>
        <v>0</v>
      </c>
      <c r="Y54" s="10">
        <f>IF([1]!s_stmnote_bank_18n(B54,$A54,1)="0","",[1]!s_stmnote_bank_18n(B54,$A54,1))</f>
        <v>0</v>
      </c>
      <c r="Z54" s="41">
        <f>IF([1]!s_stmnote_bank_58(B54,$A54,1)="0","",[1]!s_stmnote_bank_58(B54,$A54,1))</f>
        <v>0</v>
      </c>
      <c r="AA54" s="52">
        <f>IF([1]!s_stmnote_bank_60(B54,$A54,1)="0","",[1]!s_stmnote_bank_60(B54,$A54,1))</f>
        <v>0</v>
      </c>
      <c r="AB54" s="52">
        <f>[1]!s_stmnote_bank_5444(B54,$A54,1)</f>
        <v>0</v>
      </c>
      <c r="AC54" s="38">
        <f>[1]!s_stmnote_bank_129n($B54,$A54,1)</f>
        <v>0</v>
      </c>
      <c r="AD54" s="54">
        <f>[1]!s_stmnote_bank_30(B54,$A54,1)</f>
        <v>0</v>
      </c>
    </row>
    <row r="55" spans="1:30" s="46" customFormat="1" ht="24">
      <c r="A55" s="1" t="s">
        <v>1110</v>
      </c>
      <c r="B55" s="87" t="s">
        <v>1163</v>
      </c>
      <c r="C55" s="8">
        <f>IF([1]!b_info_issuer(B55)="0","",IFERROR([1]!b_info_issuer(B55),""))</f>
        <v>0</v>
      </c>
      <c r="D55" s="11">
        <f>IF([1]!b_info_latestissurercreditrating(B55)="0","",IFERROR([1]!b_info_latestissurercreditrating(B55),""))</f>
        <v>0</v>
      </c>
      <c r="E55" s="27" t="str">
        <f>IFERROR(([1]!b_stm07_bs($B55,47,$A55,1,100000000))/[1]!b_stm07_bs($B55,109,$A55,1,100000000),"")</f>
        <v/>
      </c>
      <c r="F55" s="18" t="str">
        <f>IFERROR(([1]!s_stmnote_bank_26($B55,$A55,1,100000000)-[1]!s_stmnote_bank_26($B55,#REF!,1,100000000)+#REF!)/[1]!s_stmnote_bank_1n($B55,#REF!,1,100000000),"")</f>
        <v/>
      </c>
      <c r="G55" s="21" t="str">
        <f t="shared" si="0"/>
        <v/>
      </c>
      <c r="H55" s="18" t="str">
        <f>IFERROR([1]!s_stmnote_bank($B55,"34",$A55,100000000)/[1]!s_stmnote_bank_1n(B55,$A55,1,100000000),"")</f>
        <v/>
      </c>
      <c r="I55" s="25">
        <f>[1]!b_stm07_bs(B55,74,$A55,1,100000000)</f>
        <v>0</v>
      </c>
      <c r="J55" s="25">
        <f>[1]!b_stm07_bs(B55,109,$A55,1,100000000)</f>
        <v>0</v>
      </c>
      <c r="K55" s="10">
        <f>[1]!s_stmnote_bank_5n(B55,$A55,1)</f>
        <v>0</v>
      </c>
      <c r="L55" s="25">
        <f>[1]!s_stmnote_bank_23n(B55,$A55,1)</f>
        <v>0</v>
      </c>
      <c r="M55" s="25">
        <f>[1]!s_stmnote_bank_capadequacyratio(B55,$A55,1)</f>
        <v>0</v>
      </c>
      <c r="N55" s="25">
        <f>[1]!s_stmnote_bank_capadequacyratio_ct1(B55,$A55,1)</f>
        <v>0</v>
      </c>
      <c r="O55" s="6">
        <f>IF(OR([1]!s_fa_roe(B55,20201231)="0",[1]!s_fa_roe(B55,20211231)="0",[1]!s_fa_roe(B55,20221231)="0"),"",IFERROR(([1]!s_fa_roe(B55,20221231)+[1]!s_fa_roe(B55,20201231)+[1]!s_fa_roe(B55,20211231))/3,""))</f>
        <v>0</v>
      </c>
      <c r="P55" s="28" t="str">
        <f>IFERROR(([1]!s_stmnote_bank_65(B55,$A55,1,2,4,100000000)+[1]!s_stmnote_bank_65(B55,$A55,1,2,6,100000000))/[1]!s_stmnote_bank_1n(B55,$A55,1,100000000),"")</f>
        <v/>
      </c>
      <c r="Q55" s="28" t="str">
        <f>IFERROR([1]!s_stmnote_bank_614(B55,$A55,1,2,100000000)/[1]!s_stmnote_bank_647(B55,$A55,1,2,100000000),"")</f>
        <v/>
      </c>
      <c r="R55" s="28" t="str">
        <f>IFERROR(([1]!b_stm07_bs(B55,104,$A55,1,100000000)+[1]!b_stm07_bs(B55,106,$A55,1,100000000)+[1]!b_stm07_bs(B55,76,$A55,1,100000000)+[1]!b_stm07_bs(B55,108,$A55,1,100000000)+[1]!b_stm07_bs(B55,95,$A55,1,100000000))/[1]!b_stm07_bs(B55,128,$A55,1,100000000),"")</f>
        <v/>
      </c>
      <c r="S55" s="28" t="str">
        <f>IFERROR(([1]!s_stmnote_bank_614(B55,$A55,1,2,100000000)+[1]!b_stm07_bs(B55,104,$A55,1,100000000)+[1]!b_stm07_bs(B55,106,$A55,1,100000000)+[1]!b_stm07_bs(B55,76,$A55,1,100000000)+[1]!b_stm07_bs(B55,108,$A55,1,100000000)+[1]!b_stm07_bs(B55,95,$A55,1,100000000))/[1]!b_stm07_bs(B55,128,$A55,1,100000000),"")</f>
        <v/>
      </c>
      <c r="T55" s="11">
        <f>[1]!b_issuer_shareholder(B55,"",1)</f>
        <v>0</v>
      </c>
      <c r="U55" s="10">
        <f>[1]!b_issuer_propofshareholder(B55,"",1)</f>
        <v>0</v>
      </c>
      <c r="V55" s="33" t="str">
        <f t="shared" si="1"/>
        <v>0</v>
      </c>
      <c r="W55" s="33">
        <f>[1]!s_info_city(B55)</f>
        <v>0</v>
      </c>
      <c r="X55" s="10">
        <f>IF([1]!s_stmnote_bank_17n(B55,$A55,1)="0","",[1]!s_stmnote_bank_17n(B55,$A55,1))</f>
        <v>0</v>
      </c>
      <c r="Y55" s="10">
        <f>IF([1]!s_stmnote_bank_18n(B55,$A55,1)="0","",[1]!s_stmnote_bank_18n(B55,$A55,1))</f>
        <v>0</v>
      </c>
      <c r="Z55" s="41">
        <f>IF([1]!s_stmnote_bank_58(B55,$A55,1)="0","",[1]!s_stmnote_bank_58(B55,$A55,1))</f>
        <v>0</v>
      </c>
      <c r="AA55" s="52">
        <f>IF([1]!s_stmnote_bank_60(B55,$A55,1)="0","",[1]!s_stmnote_bank_60(B55,$A55,1))</f>
        <v>0</v>
      </c>
      <c r="AB55" s="52">
        <f>[1]!s_stmnote_bank_5444(B55,$A55,1)</f>
        <v>0</v>
      </c>
      <c r="AC55" s="38">
        <f>[1]!s_stmnote_bank_129n($B55,$A55,1)</f>
        <v>0</v>
      </c>
      <c r="AD55" s="54">
        <f>[1]!s_stmnote_bank_30(B55,$A55,1)</f>
        <v>0</v>
      </c>
    </row>
    <row r="56" spans="1:30" s="46" customFormat="1" ht="24">
      <c r="A56" s="1" t="s">
        <v>1110</v>
      </c>
      <c r="B56" s="87" t="s">
        <v>1164</v>
      </c>
      <c r="C56" s="8">
        <f>IF([1]!b_info_issuer(B56)="0","",IFERROR([1]!b_info_issuer(B56),""))</f>
        <v>0</v>
      </c>
      <c r="D56" s="11">
        <f>IF([1]!b_info_latestissurercreditrating(B56)="0","",IFERROR([1]!b_info_latestissurercreditrating(B56),""))</f>
        <v>0</v>
      </c>
      <c r="E56" s="27" t="str">
        <f>IFERROR(([1]!b_stm07_bs($B56,47,$A56,1,100000000))/[1]!b_stm07_bs($B56,109,$A56,1,100000000),"")</f>
        <v/>
      </c>
      <c r="F56" s="18" t="str">
        <f>IFERROR(([1]!s_stmnote_bank_26($B56,$A56,1,100000000)-[1]!s_stmnote_bank_26($B56,#REF!,1,100000000)+#REF!)/[1]!s_stmnote_bank_1n($B56,#REF!,1,100000000),"")</f>
        <v/>
      </c>
      <c r="G56" s="21" t="str">
        <f t="shared" si="0"/>
        <v/>
      </c>
      <c r="H56" s="18" t="str">
        <f>IFERROR([1]!s_stmnote_bank($B56,"34",$A56,100000000)/[1]!s_stmnote_bank_1n(B56,$A56,1,100000000),"")</f>
        <v/>
      </c>
      <c r="I56" s="25">
        <f>[1]!b_stm07_bs(B56,74,$A56,1,100000000)</f>
        <v>0</v>
      </c>
      <c r="J56" s="25">
        <f>[1]!b_stm07_bs(B56,109,$A56,1,100000000)</f>
        <v>0</v>
      </c>
      <c r="K56" s="10">
        <f>[1]!s_stmnote_bank_5n(B56,$A56,1)</f>
        <v>0</v>
      </c>
      <c r="L56" s="25">
        <f>[1]!s_stmnote_bank_23n(B56,$A56,1)</f>
        <v>0</v>
      </c>
      <c r="M56" s="25">
        <f>[1]!s_stmnote_bank_capadequacyratio(B56,$A56,1)</f>
        <v>0</v>
      </c>
      <c r="N56" s="25">
        <f>[1]!s_stmnote_bank_capadequacyratio_ct1(B56,$A56,1)</f>
        <v>0</v>
      </c>
      <c r="O56" s="6">
        <f>IF(OR([1]!s_fa_roe(B56,20201231)="0",[1]!s_fa_roe(B56,20211231)="0",[1]!s_fa_roe(B56,20221231)="0"),"",IFERROR(([1]!s_fa_roe(B56,20221231)+[1]!s_fa_roe(B56,20201231)+[1]!s_fa_roe(B56,20211231))/3,""))</f>
        <v>0</v>
      </c>
      <c r="P56" s="28" t="str">
        <f>IFERROR(([1]!s_stmnote_bank_65(B56,$A56,1,2,4,100000000)+[1]!s_stmnote_bank_65(B56,$A56,1,2,6,100000000))/[1]!s_stmnote_bank_1n(B56,$A56,1,100000000),"")</f>
        <v/>
      </c>
      <c r="Q56" s="28" t="str">
        <f>IFERROR([1]!s_stmnote_bank_614(B56,$A56,1,2,100000000)/[1]!s_stmnote_bank_647(B56,$A56,1,2,100000000),"")</f>
        <v/>
      </c>
      <c r="R56" s="28" t="str">
        <f>IFERROR(([1]!b_stm07_bs(B56,104,$A56,1,100000000)+[1]!b_stm07_bs(B56,106,$A56,1,100000000)+[1]!b_stm07_bs(B56,76,$A56,1,100000000)+[1]!b_stm07_bs(B56,108,$A56,1,100000000)+[1]!b_stm07_bs(B56,95,$A56,1,100000000))/[1]!b_stm07_bs(B56,128,$A56,1,100000000),"")</f>
        <v/>
      </c>
      <c r="S56" s="28" t="str">
        <f>IFERROR(([1]!s_stmnote_bank_614(B56,$A56,1,2,100000000)+[1]!b_stm07_bs(B56,104,$A56,1,100000000)+[1]!b_stm07_bs(B56,106,$A56,1,100000000)+[1]!b_stm07_bs(B56,76,$A56,1,100000000)+[1]!b_stm07_bs(B56,108,$A56,1,100000000)+[1]!b_stm07_bs(B56,95,$A56,1,100000000))/[1]!b_stm07_bs(B56,128,$A56,1,100000000),"")</f>
        <v/>
      </c>
      <c r="T56" s="11">
        <f>[1]!b_issuer_shareholder(B56,"",1)</f>
        <v>0</v>
      </c>
      <c r="U56" s="10">
        <f>[1]!b_issuer_propofshareholder(B56,"",1)</f>
        <v>0</v>
      </c>
      <c r="V56" s="33" t="str">
        <f t="shared" si="1"/>
        <v>0</v>
      </c>
      <c r="W56" s="33">
        <f>[1]!s_info_city(B56)</f>
        <v>0</v>
      </c>
      <c r="X56" s="10">
        <f>IF([1]!s_stmnote_bank_17n(B56,$A56,1)="0","",[1]!s_stmnote_bank_17n(B56,$A56,1))</f>
        <v>0</v>
      </c>
      <c r="Y56" s="10">
        <f>IF([1]!s_stmnote_bank_18n(B56,$A56,1)="0","",[1]!s_stmnote_bank_18n(B56,$A56,1))</f>
        <v>0</v>
      </c>
      <c r="Z56" s="41">
        <f>IF([1]!s_stmnote_bank_58(B56,$A56,1)="0","",[1]!s_stmnote_bank_58(B56,$A56,1))</f>
        <v>0</v>
      </c>
      <c r="AA56" s="52">
        <f>IF([1]!s_stmnote_bank_60(B56,$A56,1)="0","",[1]!s_stmnote_bank_60(B56,$A56,1))</f>
        <v>0</v>
      </c>
      <c r="AB56" s="52">
        <f>[1]!s_stmnote_bank_5444(B56,$A56,1)</f>
        <v>0</v>
      </c>
      <c r="AC56" s="38">
        <f>[1]!s_stmnote_bank_129n($B56,$A56,1)</f>
        <v>0</v>
      </c>
      <c r="AD56" s="54">
        <f>[1]!s_stmnote_bank_30(B56,$A56,1)</f>
        <v>0</v>
      </c>
    </row>
    <row r="57" spans="1:30" s="46" customFormat="1" ht="24">
      <c r="A57" s="1" t="s">
        <v>1110</v>
      </c>
      <c r="B57" s="87" t="s">
        <v>1165</v>
      </c>
      <c r="C57" s="8">
        <f>IF([1]!b_info_issuer(B57)="0","",IFERROR([1]!b_info_issuer(B57),""))</f>
        <v>0</v>
      </c>
      <c r="D57" s="11">
        <f>IF([1]!b_info_latestissurercreditrating(B57)="0","",IFERROR([1]!b_info_latestissurercreditrating(B57),""))</f>
        <v>0</v>
      </c>
      <c r="E57" s="27" t="str">
        <f>IFERROR(([1]!b_stm07_bs($B57,47,$A57,1,100000000))/[1]!b_stm07_bs($B57,109,$A57,1,100000000),"")</f>
        <v/>
      </c>
      <c r="F57" s="18" t="str">
        <f>IFERROR(([1]!s_stmnote_bank_26($B57,$A57,1,100000000)-[1]!s_stmnote_bank_26($B57,#REF!,1,100000000)+#REF!)/[1]!s_stmnote_bank_1n($B57,#REF!,1,100000000),"")</f>
        <v/>
      </c>
      <c r="G57" s="21" t="str">
        <f t="shared" si="0"/>
        <v/>
      </c>
      <c r="H57" s="18" t="str">
        <f>IFERROR([1]!s_stmnote_bank($B57,"34",$A57,100000000)/[1]!s_stmnote_bank_1n(B57,$A57,1,100000000),"")</f>
        <v/>
      </c>
      <c r="I57" s="25">
        <f>[1]!b_stm07_bs(B57,74,$A57,1,100000000)</f>
        <v>0</v>
      </c>
      <c r="J57" s="25">
        <f>[1]!b_stm07_bs(B57,109,$A57,1,100000000)</f>
        <v>0</v>
      </c>
      <c r="K57" s="10">
        <f>[1]!s_stmnote_bank_5n(B57,$A57,1)</f>
        <v>0</v>
      </c>
      <c r="L57" s="25">
        <f>[1]!s_stmnote_bank_23n(B57,$A57,1)</f>
        <v>0</v>
      </c>
      <c r="M57" s="25">
        <f>[1]!s_stmnote_bank_capadequacyratio(B57,$A57,1)</f>
        <v>0</v>
      </c>
      <c r="N57" s="25">
        <f>[1]!s_stmnote_bank_capadequacyratio_ct1(B57,$A57,1)</f>
        <v>0</v>
      </c>
      <c r="O57" s="6">
        <f>IF(OR([1]!s_fa_roe(B57,20201231)="0",[1]!s_fa_roe(B57,20211231)="0",[1]!s_fa_roe(B57,20221231)="0"),"",IFERROR(([1]!s_fa_roe(B57,20221231)+[1]!s_fa_roe(B57,20201231)+[1]!s_fa_roe(B57,20211231))/3,""))</f>
        <v>0</v>
      </c>
      <c r="P57" s="28" t="str">
        <f>IFERROR(([1]!s_stmnote_bank_65(B57,$A57,1,2,4,100000000)+[1]!s_stmnote_bank_65(B57,$A57,1,2,6,100000000))/[1]!s_stmnote_bank_1n(B57,$A57,1,100000000),"")</f>
        <v/>
      </c>
      <c r="Q57" s="28" t="str">
        <f>IFERROR([1]!s_stmnote_bank_614(B57,$A57,1,2,100000000)/[1]!s_stmnote_bank_647(B57,$A57,1,2,100000000),"")</f>
        <v/>
      </c>
      <c r="R57" s="28" t="str">
        <f>IFERROR(([1]!b_stm07_bs(B57,104,$A57,1,100000000)+[1]!b_stm07_bs(B57,106,$A57,1,100000000)+[1]!b_stm07_bs(B57,76,$A57,1,100000000)+[1]!b_stm07_bs(B57,108,$A57,1,100000000)+[1]!b_stm07_bs(B57,95,$A57,1,100000000))/[1]!b_stm07_bs(B57,128,$A57,1,100000000),"")</f>
        <v/>
      </c>
      <c r="S57" s="28" t="str">
        <f>IFERROR(([1]!s_stmnote_bank_614(B57,$A57,1,2,100000000)+[1]!b_stm07_bs(B57,104,$A57,1,100000000)+[1]!b_stm07_bs(B57,106,$A57,1,100000000)+[1]!b_stm07_bs(B57,76,$A57,1,100000000)+[1]!b_stm07_bs(B57,108,$A57,1,100000000)+[1]!b_stm07_bs(B57,95,$A57,1,100000000))/[1]!b_stm07_bs(B57,128,$A57,1,100000000),"")</f>
        <v/>
      </c>
      <c r="T57" s="11">
        <f>[1]!b_issuer_shareholder(B57,"",1)</f>
        <v>0</v>
      </c>
      <c r="U57" s="10">
        <f>[1]!b_issuer_propofshareholder(B57,"",1)</f>
        <v>0</v>
      </c>
      <c r="V57" s="33" t="str">
        <f t="shared" si="1"/>
        <v>0</v>
      </c>
      <c r="W57" s="33">
        <f>[1]!s_info_city(B57)</f>
        <v>0</v>
      </c>
      <c r="X57" s="10">
        <f>IF([1]!s_stmnote_bank_17n(B57,$A57,1)="0","",[1]!s_stmnote_bank_17n(B57,$A57,1))</f>
        <v>0</v>
      </c>
      <c r="Y57" s="10">
        <f>IF([1]!s_stmnote_bank_18n(B57,$A57,1)="0","",[1]!s_stmnote_bank_18n(B57,$A57,1))</f>
        <v>0</v>
      </c>
      <c r="Z57" s="41">
        <f>IF([1]!s_stmnote_bank_58(B57,$A57,1)="0","",[1]!s_stmnote_bank_58(B57,$A57,1))</f>
        <v>0</v>
      </c>
      <c r="AA57" s="52">
        <f>IF([1]!s_stmnote_bank_60(B57,$A57,1)="0","",[1]!s_stmnote_bank_60(B57,$A57,1))</f>
        <v>0</v>
      </c>
      <c r="AB57" s="52">
        <f>[1]!s_stmnote_bank_5444(B57,$A57,1)</f>
        <v>0</v>
      </c>
      <c r="AC57" s="38">
        <f>[1]!s_stmnote_bank_129n($B57,$A57,1)</f>
        <v>0</v>
      </c>
      <c r="AD57" s="54">
        <f>[1]!s_stmnote_bank_30(B57,$A57,1)</f>
        <v>0</v>
      </c>
    </row>
    <row r="58" spans="1:30" s="46" customFormat="1" ht="24">
      <c r="A58" s="1" t="s">
        <v>1110</v>
      </c>
      <c r="B58" s="87" t="s">
        <v>1166</v>
      </c>
      <c r="C58" s="8">
        <f>IF([1]!b_info_issuer(B58)="0","",IFERROR([1]!b_info_issuer(B58),""))</f>
        <v>0</v>
      </c>
      <c r="D58" s="11">
        <f>IF([1]!b_info_latestissurercreditrating(B58)="0","",IFERROR([1]!b_info_latestissurercreditrating(B58),""))</f>
        <v>0</v>
      </c>
      <c r="E58" s="27" t="str">
        <f>IFERROR(([1]!b_stm07_bs($B58,47,$A58,1,100000000))/[1]!b_stm07_bs($B58,109,$A58,1,100000000),"")</f>
        <v/>
      </c>
      <c r="F58" s="18" t="str">
        <f>IFERROR(([1]!s_stmnote_bank_26($B58,$A58,1,100000000)-[1]!s_stmnote_bank_26($B58,#REF!,1,100000000)+#REF!)/[1]!s_stmnote_bank_1n($B58,#REF!,1,100000000),"")</f>
        <v/>
      </c>
      <c r="G58" s="21" t="str">
        <f t="shared" si="0"/>
        <v/>
      </c>
      <c r="H58" s="18" t="str">
        <f>IFERROR([1]!s_stmnote_bank($B58,"34",$A58,100000000)/[1]!s_stmnote_bank_1n(B58,$A58,1,100000000),"")</f>
        <v/>
      </c>
      <c r="I58" s="25">
        <f>[1]!b_stm07_bs(B58,74,$A58,1,100000000)</f>
        <v>0</v>
      </c>
      <c r="J58" s="25">
        <f>[1]!b_stm07_bs(B58,109,$A58,1,100000000)</f>
        <v>0</v>
      </c>
      <c r="K58" s="10">
        <f>[1]!s_stmnote_bank_5n(B58,$A58,1)</f>
        <v>0</v>
      </c>
      <c r="L58" s="25">
        <f>[1]!s_stmnote_bank_23n(B58,$A58,1)</f>
        <v>0</v>
      </c>
      <c r="M58" s="25">
        <f>[1]!s_stmnote_bank_capadequacyratio(B58,$A58,1)</f>
        <v>0</v>
      </c>
      <c r="N58" s="25">
        <f>[1]!s_stmnote_bank_capadequacyratio_ct1(B58,$A58,1)</f>
        <v>0</v>
      </c>
      <c r="O58" s="6">
        <f>IF(OR([1]!s_fa_roe(B58,20201231)="0",[1]!s_fa_roe(B58,20211231)="0",[1]!s_fa_roe(B58,20221231)="0"),"",IFERROR(([1]!s_fa_roe(B58,20221231)+[1]!s_fa_roe(B58,20201231)+[1]!s_fa_roe(B58,20211231))/3,""))</f>
        <v>0</v>
      </c>
      <c r="P58" s="28" t="str">
        <f>IFERROR(([1]!s_stmnote_bank_65(B58,$A58,1,2,4,100000000)+[1]!s_stmnote_bank_65(B58,$A58,1,2,6,100000000))/[1]!s_stmnote_bank_1n(B58,$A58,1,100000000),"")</f>
        <v/>
      </c>
      <c r="Q58" s="28" t="str">
        <f>IFERROR([1]!s_stmnote_bank_614(B58,$A58,1,2,100000000)/[1]!s_stmnote_bank_647(B58,$A58,1,2,100000000),"")</f>
        <v/>
      </c>
      <c r="R58" s="28" t="str">
        <f>IFERROR(([1]!b_stm07_bs(B58,104,$A58,1,100000000)+[1]!b_stm07_bs(B58,106,$A58,1,100000000)+[1]!b_stm07_bs(B58,76,$A58,1,100000000)+[1]!b_stm07_bs(B58,108,$A58,1,100000000)+[1]!b_stm07_bs(B58,95,$A58,1,100000000))/[1]!b_stm07_bs(B58,128,$A58,1,100000000),"")</f>
        <v/>
      </c>
      <c r="S58" s="28" t="str">
        <f>IFERROR(([1]!s_stmnote_bank_614(B58,$A58,1,2,100000000)+[1]!b_stm07_bs(B58,104,$A58,1,100000000)+[1]!b_stm07_bs(B58,106,$A58,1,100000000)+[1]!b_stm07_bs(B58,76,$A58,1,100000000)+[1]!b_stm07_bs(B58,108,$A58,1,100000000)+[1]!b_stm07_bs(B58,95,$A58,1,100000000))/[1]!b_stm07_bs(B58,128,$A58,1,100000000),"")</f>
        <v/>
      </c>
      <c r="T58" s="11">
        <f>[1]!b_issuer_shareholder(B58,"",1)</f>
        <v>0</v>
      </c>
      <c r="U58" s="10">
        <f>[1]!b_issuer_propofshareholder(B58,"",1)</f>
        <v>0</v>
      </c>
      <c r="V58" s="33" t="str">
        <f t="shared" si="1"/>
        <v>0</v>
      </c>
      <c r="W58" s="33">
        <f>[1]!s_info_city(B58)</f>
        <v>0</v>
      </c>
      <c r="X58" s="10">
        <f>IF([1]!s_stmnote_bank_17n(B58,$A58,1)="0","",[1]!s_stmnote_bank_17n(B58,$A58,1))</f>
        <v>0</v>
      </c>
      <c r="Y58" s="10">
        <f>IF([1]!s_stmnote_bank_18n(B58,$A58,1)="0","",[1]!s_stmnote_bank_18n(B58,$A58,1))</f>
        <v>0</v>
      </c>
      <c r="Z58" s="41">
        <f>IF([1]!s_stmnote_bank_58(B58,$A58,1)="0","",[1]!s_stmnote_bank_58(B58,$A58,1))</f>
        <v>0</v>
      </c>
      <c r="AA58" s="52">
        <f>IF([1]!s_stmnote_bank_60(B58,$A58,1)="0","",[1]!s_stmnote_bank_60(B58,$A58,1))</f>
        <v>0</v>
      </c>
      <c r="AB58" s="52">
        <f>[1]!s_stmnote_bank_5444(B58,$A58,1)</f>
        <v>0</v>
      </c>
      <c r="AC58" s="38">
        <f>[1]!s_stmnote_bank_129n($B58,$A58,1)</f>
        <v>0</v>
      </c>
      <c r="AD58" s="54">
        <f>[1]!s_stmnote_bank_30(B58,$A58,1)</f>
        <v>0</v>
      </c>
    </row>
    <row r="59" spans="1:30" s="46" customFormat="1" ht="24">
      <c r="A59" s="1" t="s">
        <v>1110</v>
      </c>
      <c r="B59" s="87" t="s">
        <v>1167</v>
      </c>
      <c r="C59" s="8">
        <f>IF([1]!b_info_issuer(B59)="0","",IFERROR([1]!b_info_issuer(B59),""))</f>
        <v>0</v>
      </c>
      <c r="D59" s="11">
        <f>IF([1]!b_info_latestissurercreditrating(B59)="0","",IFERROR([1]!b_info_latestissurercreditrating(B59),""))</f>
        <v>0</v>
      </c>
      <c r="E59" s="27" t="str">
        <f>IFERROR(([1]!b_stm07_bs($B59,47,$A59,1,100000000))/[1]!b_stm07_bs($B59,109,$A59,1,100000000),"")</f>
        <v/>
      </c>
      <c r="F59" s="18" t="str">
        <f>IFERROR(([1]!s_stmnote_bank_26($B59,$A59,1,100000000)-[1]!s_stmnote_bank_26($B59,#REF!,1,100000000)+#REF!)/[1]!s_stmnote_bank_1n($B59,#REF!,1,100000000),"")</f>
        <v/>
      </c>
      <c r="G59" s="21" t="str">
        <f t="shared" si="0"/>
        <v/>
      </c>
      <c r="H59" s="18" t="str">
        <f>IFERROR([1]!s_stmnote_bank($B59,"34",$A59,100000000)/[1]!s_stmnote_bank_1n(B59,$A59,1,100000000),"")</f>
        <v/>
      </c>
      <c r="I59" s="25">
        <f>[1]!b_stm07_bs(B59,74,$A59,1,100000000)</f>
        <v>0</v>
      </c>
      <c r="J59" s="25">
        <f>[1]!b_stm07_bs(B59,109,$A59,1,100000000)</f>
        <v>0</v>
      </c>
      <c r="K59" s="10">
        <f>[1]!s_stmnote_bank_5n(B59,$A59,1)</f>
        <v>0</v>
      </c>
      <c r="L59" s="25">
        <f>[1]!s_stmnote_bank_23n(B59,$A59,1)</f>
        <v>0</v>
      </c>
      <c r="M59" s="25">
        <f>[1]!s_stmnote_bank_capadequacyratio(B59,$A59,1)</f>
        <v>0</v>
      </c>
      <c r="N59" s="25">
        <f>[1]!s_stmnote_bank_capadequacyratio_ct1(B59,$A59,1)</f>
        <v>0</v>
      </c>
      <c r="O59" s="6">
        <f>IF(OR([1]!s_fa_roe(B59,20201231)="0",[1]!s_fa_roe(B59,20211231)="0",[1]!s_fa_roe(B59,20221231)="0"),"",IFERROR(([1]!s_fa_roe(B59,20221231)+[1]!s_fa_roe(B59,20201231)+[1]!s_fa_roe(B59,20211231))/3,""))</f>
        <v>0</v>
      </c>
      <c r="P59" s="28" t="str">
        <f>IFERROR(([1]!s_stmnote_bank_65(B59,$A59,1,2,4,100000000)+[1]!s_stmnote_bank_65(B59,$A59,1,2,6,100000000))/[1]!s_stmnote_bank_1n(B59,$A59,1,100000000),"")</f>
        <v/>
      </c>
      <c r="Q59" s="28" t="str">
        <f>IFERROR([1]!s_stmnote_bank_614(B59,$A59,1,2,100000000)/[1]!s_stmnote_bank_647(B59,$A59,1,2,100000000),"")</f>
        <v/>
      </c>
      <c r="R59" s="28" t="str">
        <f>IFERROR(([1]!b_stm07_bs(B59,104,$A59,1,100000000)+[1]!b_stm07_bs(B59,106,$A59,1,100000000)+[1]!b_stm07_bs(B59,76,$A59,1,100000000)+[1]!b_stm07_bs(B59,108,$A59,1,100000000)+[1]!b_stm07_bs(B59,95,$A59,1,100000000))/[1]!b_stm07_bs(B59,128,$A59,1,100000000),"")</f>
        <v/>
      </c>
      <c r="S59" s="28" t="str">
        <f>IFERROR(([1]!s_stmnote_bank_614(B59,$A59,1,2,100000000)+[1]!b_stm07_bs(B59,104,$A59,1,100000000)+[1]!b_stm07_bs(B59,106,$A59,1,100000000)+[1]!b_stm07_bs(B59,76,$A59,1,100000000)+[1]!b_stm07_bs(B59,108,$A59,1,100000000)+[1]!b_stm07_bs(B59,95,$A59,1,100000000))/[1]!b_stm07_bs(B59,128,$A59,1,100000000),"")</f>
        <v/>
      </c>
      <c r="T59" s="11">
        <f>[1]!b_issuer_shareholder(B59,"",1)</f>
        <v>0</v>
      </c>
      <c r="U59" s="10">
        <f>[1]!b_issuer_propofshareholder(B59,"",1)</f>
        <v>0</v>
      </c>
      <c r="V59" s="33" t="str">
        <f t="shared" si="1"/>
        <v>0</v>
      </c>
      <c r="W59" s="33">
        <f>[1]!s_info_city(B59)</f>
        <v>0</v>
      </c>
      <c r="X59" s="10">
        <f>IF([1]!s_stmnote_bank_17n(B59,$A59,1)="0","",[1]!s_stmnote_bank_17n(B59,$A59,1))</f>
        <v>0</v>
      </c>
      <c r="Y59" s="10">
        <f>IF([1]!s_stmnote_bank_18n(B59,$A59,1)="0","",[1]!s_stmnote_bank_18n(B59,$A59,1))</f>
        <v>0</v>
      </c>
      <c r="Z59" s="41">
        <f>IF([1]!s_stmnote_bank_58(B59,$A59,1)="0","",[1]!s_stmnote_bank_58(B59,$A59,1))</f>
        <v>0</v>
      </c>
      <c r="AA59" s="52">
        <f>IF([1]!s_stmnote_bank_60(B59,$A59,1)="0","",[1]!s_stmnote_bank_60(B59,$A59,1))</f>
        <v>0</v>
      </c>
      <c r="AB59" s="52">
        <f>[1]!s_stmnote_bank_5444(B59,$A59,1)</f>
        <v>0</v>
      </c>
      <c r="AC59" s="38">
        <f>[1]!s_stmnote_bank_129n($B59,$A59,1)</f>
        <v>0</v>
      </c>
      <c r="AD59" s="54">
        <f>[1]!s_stmnote_bank_30(B59,$A59,1)</f>
        <v>0</v>
      </c>
    </row>
    <row r="60" spans="1:30" s="46" customFormat="1" ht="24">
      <c r="A60" s="1" t="s">
        <v>1110</v>
      </c>
      <c r="B60" s="87" t="s">
        <v>1168</v>
      </c>
      <c r="C60" s="8">
        <f>IF([1]!b_info_issuer(B60)="0","",IFERROR([1]!b_info_issuer(B60),""))</f>
        <v>0</v>
      </c>
      <c r="D60" s="11">
        <f>IF([1]!b_info_latestissurercreditrating(B60)="0","",IFERROR([1]!b_info_latestissurercreditrating(B60),""))</f>
        <v>0</v>
      </c>
      <c r="E60" s="27" t="str">
        <f>IFERROR(([1]!b_stm07_bs($B60,47,$A60,1,100000000))/[1]!b_stm07_bs($B60,109,$A60,1,100000000),"")</f>
        <v/>
      </c>
      <c r="F60" s="18" t="str">
        <f>IFERROR(([1]!s_stmnote_bank_26($B60,$A60,1,100000000)-[1]!s_stmnote_bank_26($B60,#REF!,1,100000000)+#REF!)/[1]!s_stmnote_bank_1n($B60,#REF!,1,100000000),"")</f>
        <v/>
      </c>
      <c r="G60" s="21" t="str">
        <f t="shared" si="0"/>
        <v/>
      </c>
      <c r="H60" s="18" t="str">
        <f>IFERROR([1]!s_stmnote_bank($B60,"34",$A60,100000000)/[1]!s_stmnote_bank_1n(B60,$A60,1,100000000),"")</f>
        <v/>
      </c>
      <c r="I60" s="25">
        <f>[1]!b_stm07_bs(B60,74,$A60,1,100000000)</f>
        <v>0</v>
      </c>
      <c r="J60" s="25">
        <f>[1]!b_stm07_bs(B60,109,$A60,1,100000000)</f>
        <v>0</v>
      </c>
      <c r="K60" s="10">
        <f>[1]!s_stmnote_bank_5n(B60,$A60,1)</f>
        <v>0</v>
      </c>
      <c r="L60" s="25">
        <f>[1]!s_stmnote_bank_23n(B60,$A60,1)</f>
        <v>0</v>
      </c>
      <c r="M60" s="25">
        <f>[1]!s_stmnote_bank_capadequacyratio(B60,$A60,1)</f>
        <v>0</v>
      </c>
      <c r="N60" s="25">
        <f>[1]!s_stmnote_bank_capadequacyratio_ct1(B60,$A60,1)</f>
        <v>0</v>
      </c>
      <c r="O60" s="6">
        <f>IF(OR([1]!s_fa_roe(B60,20201231)="0",[1]!s_fa_roe(B60,20211231)="0",[1]!s_fa_roe(B60,20221231)="0"),"",IFERROR(([1]!s_fa_roe(B60,20221231)+[1]!s_fa_roe(B60,20201231)+[1]!s_fa_roe(B60,20211231))/3,""))</f>
        <v>0</v>
      </c>
      <c r="P60" s="28" t="str">
        <f>IFERROR(([1]!s_stmnote_bank_65(B60,$A60,1,2,4,100000000)+[1]!s_stmnote_bank_65(B60,$A60,1,2,6,100000000))/[1]!s_stmnote_bank_1n(B60,$A60,1,100000000),"")</f>
        <v/>
      </c>
      <c r="Q60" s="28" t="str">
        <f>IFERROR([1]!s_stmnote_bank_614(B60,$A60,1,2,100000000)/[1]!s_stmnote_bank_647(B60,$A60,1,2,100000000),"")</f>
        <v/>
      </c>
      <c r="R60" s="28" t="str">
        <f>IFERROR(([1]!b_stm07_bs(B60,104,$A60,1,100000000)+[1]!b_stm07_bs(B60,106,$A60,1,100000000)+[1]!b_stm07_bs(B60,76,$A60,1,100000000)+[1]!b_stm07_bs(B60,108,$A60,1,100000000)+[1]!b_stm07_bs(B60,95,$A60,1,100000000))/[1]!b_stm07_bs(B60,128,$A60,1,100000000),"")</f>
        <v/>
      </c>
      <c r="S60" s="28" t="str">
        <f>IFERROR(([1]!s_stmnote_bank_614(B60,$A60,1,2,100000000)+[1]!b_stm07_bs(B60,104,$A60,1,100000000)+[1]!b_stm07_bs(B60,106,$A60,1,100000000)+[1]!b_stm07_bs(B60,76,$A60,1,100000000)+[1]!b_stm07_bs(B60,108,$A60,1,100000000)+[1]!b_stm07_bs(B60,95,$A60,1,100000000))/[1]!b_stm07_bs(B60,128,$A60,1,100000000),"")</f>
        <v/>
      </c>
      <c r="T60" s="11">
        <f>[1]!b_issuer_shareholder(B60,"",1)</f>
        <v>0</v>
      </c>
      <c r="U60" s="10">
        <f>[1]!b_issuer_propofshareholder(B60,"",1)</f>
        <v>0</v>
      </c>
      <c r="V60" s="33" t="str">
        <f t="shared" si="1"/>
        <v>0</v>
      </c>
      <c r="W60" s="33">
        <f>[1]!s_info_city(B60)</f>
        <v>0</v>
      </c>
      <c r="X60" s="10">
        <f>IF([1]!s_stmnote_bank_17n(B60,$A60,1)="0","",[1]!s_stmnote_bank_17n(B60,$A60,1))</f>
        <v>0</v>
      </c>
      <c r="Y60" s="10">
        <f>IF([1]!s_stmnote_bank_18n(B60,$A60,1)="0","",[1]!s_stmnote_bank_18n(B60,$A60,1))</f>
        <v>0</v>
      </c>
      <c r="Z60" s="41">
        <f>IF([1]!s_stmnote_bank_58(B60,$A60,1)="0","",[1]!s_stmnote_bank_58(B60,$A60,1))</f>
        <v>0</v>
      </c>
      <c r="AA60" s="52">
        <f>IF([1]!s_stmnote_bank_60(B60,$A60,1)="0","",[1]!s_stmnote_bank_60(B60,$A60,1))</f>
        <v>0</v>
      </c>
      <c r="AB60" s="52">
        <f>[1]!s_stmnote_bank_5444(B60,$A60,1)</f>
        <v>0</v>
      </c>
      <c r="AC60" s="38">
        <f>[1]!s_stmnote_bank_129n($B60,$A60,1)</f>
        <v>0</v>
      </c>
      <c r="AD60" s="54">
        <f>[1]!s_stmnote_bank_30(B60,$A60,1)</f>
        <v>0</v>
      </c>
    </row>
    <row r="61" spans="1:30" s="46" customFormat="1" ht="24">
      <c r="A61" s="1" t="s">
        <v>1110</v>
      </c>
      <c r="B61" s="87" t="s">
        <v>1169</v>
      </c>
      <c r="C61" s="8">
        <f>IF([1]!b_info_issuer(B61)="0","",IFERROR([1]!b_info_issuer(B61),""))</f>
        <v>0</v>
      </c>
      <c r="D61" s="11">
        <f>IF([1]!b_info_latestissurercreditrating(B61)="0","",IFERROR([1]!b_info_latestissurercreditrating(B61),""))</f>
        <v>0</v>
      </c>
      <c r="E61" s="27" t="str">
        <f>IFERROR(([1]!b_stm07_bs($B61,47,$A61,1,100000000))/[1]!b_stm07_bs($B61,109,$A61,1,100000000),"")</f>
        <v/>
      </c>
      <c r="F61" s="18" t="str">
        <f>IFERROR(([1]!s_stmnote_bank_26($B61,$A61,1,100000000)-[1]!s_stmnote_bank_26($B61,#REF!,1,100000000)+#REF!)/[1]!s_stmnote_bank_1n($B61,#REF!,1,100000000),"")</f>
        <v/>
      </c>
      <c r="G61" s="21" t="str">
        <f t="shared" si="0"/>
        <v/>
      </c>
      <c r="H61" s="18" t="str">
        <f>IFERROR([1]!s_stmnote_bank($B61,"34",$A61,100000000)/[1]!s_stmnote_bank_1n(B61,$A61,1,100000000),"")</f>
        <v/>
      </c>
      <c r="I61" s="25">
        <f>[1]!b_stm07_bs(B61,74,$A61,1,100000000)</f>
        <v>0</v>
      </c>
      <c r="J61" s="25">
        <f>[1]!b_stm07_bs(B61,109,$A61,1,100000000)</f>
        <v>0</v>
      </c>
      <c r="K61" s="10">
        <f>[1]!s_stmnote_bank_5n(B61,$A61,1)</f>
        <v>0</v>
      </c>
      <c r="L61" s="25">
        <f>[1]!s_stmnote_bank_23n(B61,$A61,1)</f>
        <v>0</v>
      </c>
      <c r="M61" s="25">
        <f>[1]!s_stmnote_bank_capadequacyratio(B61,$A61,1)</f>
        <v>0</v>
      </c>
      <c r="N61" s="25">
        <f>[1]!s_stmnote_bank_capadequacyratio_ct1(B61,$A61,1)</f>
        <v>0</v>
      </c>
      <c r="O61" s="6">
        <f>IF(OR([1]!s_fa_roe(B61,20201231)="0",[1]!s_fa_roe(B61,20211231)="0",[1]!s_fa_roe(B61,20221231)="0"),"",IFERROR(([1]!s_fa_roe(B61,20221231)+[1]!s_fa_roe(B61,20201231)+[1]!s_fa_roe(B61,20211231))/3,""))</f>
        <v>0</v>
      </c>
      <c r="P61" s="28" t="str">
        <f>IFERROR(([1]!s_stmnote_bank_65(B61,$A61,1,2,4,100000000)+[1]!s_stmnote_bank_65(B61,$A61,1,2,6,100000000))/[1]!s_stmnote_bank_1n(B61,$A61,1,100000000),"")</f>
        <v/>
      </c>
      <c r="Q61" s="28" t="str">
        <f>IFERROR([1]!s_stmnote_bank_614(B61,$A61,1,2,100000000)/[1]!s_stmnote_bank_647(B61,$A61,1,2,100000000),"")</f>
        <v/>
      </c>
      <c r="R61" s="28" t="str">
        <f>IFERROR(([1]!b_stm07_bs(B61,104,$A61,1,100000000)+[1]!b_stm07_bs(B61,106,$A61,1,100000000)+[1]!b_stm07_bs(B61,76,$A61,1,100000000)+[1]!b_stm07_bs(B61,108,$A61,1,100000000)+[1]!b_stm07_bs(B61,95,$A61,1,100000000))/[1]!b_stm07_bs(B61,128,$A61,1,100000000),"")</f>
        <v/>
      </c>
      <c r="S61" s="28" t="str">
        <f>IFERROR(([1]!s_stmnote_bank_614(B61,$A61,1,2,100000000)+[1]!b_stm07_bs(B61,104,$A61,1,100000000)+[1]!b_stm07_bs(B61,106,$A61,1,100000000)+[1]!b_stm07_bs(B61,76,$A61,1,100000000)+[1]!b_stm07_bs(B61,108,$A61,1,100000000)+[1]!b_stm07_bs(B61,95,$A61,1,100000000))/[1]!b_stm07_bs(B61,128,$A61,1,100000000),"")</f>
        <v/>
      </c>
      <c r="T61" s="11">
        <f>[1]!b_issuer_shareholder(B61,"",1)</f>
        <v>0</v>
      </c>
      <c r="U61" s="10">
        <f>[1]!b_issuer_propofshareholder(B61,"",1)</f>
        <v>0</v>
      </c>
      <c r="V61" s="33" t="str">
        <f t="shared" si="1"/>
        <v>0</v>
      </c>
      <c r="W61" s="33">
        <f>[1]!s_info_city(B61)</f>
        <v>0</v>
      </c>
      <c r="X61" s="10">
        <f>IF([1]!s_stmnote_bank_17n(B61,$A61,1)="0","",[1]!s_stmnote_bank_17n(B61,$A61,1))</f>
        <v>0</v>
      </c>
      <c r="Y61" s="10">
        <f>IF([1]!s_stmnote_bank_18n(B61,$A61,1)="0","",[1]!s_stmnote_bank_18n(B61,$A61,1))</f>
        <v>0</v>
      </c>
      <c r="Z61" s="41">
        <f>IF([1]!s_stmnote_bank_58(B61,$A61,1)="0","",[1]!s_stmnote_bank_58(B61,$A61,1))</f>
        <v>0</v>
      </c>
      <c r="AA61" s="52">
        <f>IF([1]!s_stmnote_bank_60(B61,$A61,1)="0","",[1]!s_stmnote_bank_60(B61,$A61,1))</f>
        <v>0</v>
      </c>
      <c r="AB61" s="52">
        <f>[1]!s_stmnote_bank_5444(B61,$A61,1)</f>
        <v>0</v>
      </c>
      <c r="AC61" s="38">
        <f>[1]!s_stmnote_bank_129n($B61,$A61,1)</f>
        <v>0</v>
      </c>
      <c r="AD61" s="54">
        <f>[1]!s_stmnote_bank_30(B61,$A61,1)</f>
        <v>0</v>
      </c>
    </row>
    <row r="62" spans="1:30" s="46" customFormat="1" ht="24">
      <c r="A62" s="1" t="s">
        <v>1110</v>
      </c>
      <c r="B62" s="87" t="s">
        <v>1170</v>
      </c>
      <c r="C62" s="8">
        <f>IF([1]!b_info_issuer(B62)="0","",IFERROR([1]!b_info_issuer(B62),""))</f>
        <v>0</v>
      </c>
      <c r="D62" s="11">
        <f>IF([1]!b_info_latestissurercreditrating(B62)="0","",IFERROR([1]!b_info_latestissurercreditrating(B62),""))</f>
        <v>0</v>
      </c>
      <c r="E62" s="27" t="str">
        <f>IFERROR(([1]!b_stm07_bs($B62,47,$A62,1,100000000))/[1]!b_stm07_bs($B62,109,$A62,1,100000000),"")</f>
        <v/>
      </c>
      <c r="F62" s="18" t="str">
        <f>IFERROR(([1]!s_stmnote_bank_26($B62,$A62,1,100000000)-[1]!s_stmnote_bank_26($B62,#REF!,1,100000000)+#REF!)/[1]!s_stmnote_bank_1n($B62,#REF!,1,100000000),"")</f>
        <v/>
      </c>
      <c r="G62" s="21" t="str">
        <f t="shared" si="0"/>
        <v/>
      </c>
      <c r="H62" s="18" t="str">
        <f>IFERROR([1]!s_stmnote_bank($B62,"34",$A62,100000000)/[1]!s_stmnote_bank_1n(B62,$A62,1,100000000),"")</f>
        <v/>
      </c>
      <c r="I62" s="25">
        <f>[1]!b_stm07_bs(B62,74,$A62,1,100000000)</f>
        <v>0</v>
      </c>
      <c r="J62" s="25">
        <f>[1]!b_stm07_bs(B62,109,$A62,1,100000000)</f>
        <v>0</v>
      </c>
      <c r="K62" s="10">
        <f>[1]!s_stmnote_bank_5n(B62,$A62,1)</f>
        <v>0</v>
      </c>
      <c r="L62" s="25">
        <f>[1]!s_stmnote_bank_23n(B62,$A62,1)</f>
        <v>0</v>
      </c>
      <c r="M62" s="25">
        <f>[1]!s_stmnote_bank_capadequacyratio(B62,$A62,1)</f>
        <v>0</v>
      </c>
      <c r="N62" s="25">
        <f>[1]!s_stmnote_bank_capadequacyratio_ct1(B62,$A62,1)</f>
        <v>0</v>
      </c>
      <c r="O62" s="6">
        <f>IF(OR([1]!s_fa_roe(B62,20201231)="0",[1]!s_fa_roe(B62,20211231)="0",[1]!s_fa_roe(B62,20221231)="0"),"",IFERROR(([1]!s_fa_roe(B62,20221231)+[1]!s_fa_roe(B62,20201231)+[1]!s_fa_roe(B62,20211231))/3,""))</f>
        <v>0</v>
      </c>
      <c r="P62" s="28" t="str">
        <f>IFERROR(([1]!s_stmnote_bank_65(B62,$A62,1,2,4,100000000)+[1]!s_stmnote_bank_65(B62,$A62,1,2,6,100000000))/[1]!s_stmnote_bank_1n(B62,$A62,1,100000000),"")</f>
        <v/>
      </c>
      <c r="Q62" s="28" t="str">
        <f>IFERROR([1]!s_stmnote_bank_614(B62,$A62,1,2,100000000)/[1]!s_stmnote_bank_647(B62,$A62,1,2,100000000),"")</f>
        <v/>
      </c>
      <c r="R62" s="28" t="str">
        <f>IFERROR(([1]!b_stm07_bs(B62,104,$A62,1,100000000)+[1]!b_stm07_bs(B62,106,$A62,1,100000000)+[1]!b_stm07_bs(B62,76,$A62,1,100000000)+[1]!b_stm07_bs(B62,108,$A62,1,100000000)+[1]!b_stm07_bs(B62,95,$A62,1,100000000))/[1]!b_stm07_bs(B62,128,$A62,1,100000000),"")</f>
        <v/>
      </c>
      <c r="S62" s="28" t="str">
        <f>IFERROR(([1]!s_stmnote_bank_614(B62,$A62,1,2,100000000)+[1]!b_stm07_bs(B62,104,$A62,1,100000000)+[1]!b_stm07_bs(B62,106,$A62,1,100000000)+[1]!b_stm07_bs(B62,76,$A62,1,100000000)+[1]!b_stm07_bs(B62,108,$A62,1,100000000)+[1]!b_stm07_bs(B62,95,$A62,1,100000000))/[1]!b_stm07_bs(B62,128,$A62,1,100000000),"")</f>
        <v/>
      </c>
      <c r="T62" s="11">
        <f>[1]!b_issuer_shareholder(B62,"",1)</f>
        <v>0</v>
      </c>
      <c r="U62" s="10">
        <f>[1]!b_issuer_propofshareholder(B62,"",1)</f>
        <v>0</v>
      </c>
      <c r="V62" s="33" t="str">
        <f t="shared" si="1"/>
        <v>0</v>
      </c>
      <c r="W62" s="33">
        <f>[1]!s_info_city(B62)</f>
        <v>0</v>
      </c>
      <c r="X62" s="10">
        <f>IF([1]!s_stmnote_bank_17n(B62,$A62,1)="0","",[1]!s_stmnote_bank_17n(B62,$A62,1))</f>
        <v>0</v>
      </c>
      <c r="Y62" s="10">
        <f>IF([1]!s_stmnote_bank_18n(B62,$A62,1)="0","",[1]!s_stmnote_bank_18n(B62,$A62,1))</f>
        <v>0</v>
      </c>
      <c r="Z62" s="41">
        <f>IF([1]!s_stmnote_bank_58(B62,$A62,1)="0","",[1]!s_stmnote_bank_58(B62,$A62,1))</f>
        <v>0</v>
      </c>
      <c r="AA62" s="52">
        <f>IF([1]!s_stmnote_bank_60(B62,$A62,1)="0","",[1]!s_stmnote_bank_60(B62,$A62,1))</f>
        <v>0</v>
      </c>
      <c r="AB62" s="52">
        <f>[1]!s_stmnote_bank_5444(B62,$A62,1)</f>
        <v>0</v>
      </c>
      <c r="AC62" s="38">
        <f>[1]!s_stmnote_bank_129n($B62,$A62,1)</f>
        <v>0</v>
      </c>
      <c r="AD62" s="54">
        <f>[1]!s_stmnote_bank_30(B62,$A62,1)</f>
        <v>0</v>
      </c>
    </row>
    <row r="63" spans="1:30" s="46" customFormat="1" ht="24">
      <c r="A63" s="1" t="s">
        <v>1110</v>
      </c>
      <c r="B63" s="87" t="s">
        <v>1171</v>
      </c>
      <c r="C63" s="8">
        <f>IF([1]!b_info_issuer(B63)="0","",IFERROR([1]!b_info_issuer(B63),""))</f>
        <v>0</v>
      </c>
      <c r="D63" s="11">
        <f>IF([1]!b_info_latestissurercreditrating(B63)="0","",IFERROR([1]!b_info_latestissurercreditrating(B63),""))</f>
        <v>0</v>
      </c>
      <c r="E63" s="27" t="str">
        <f>IFERROR(([1]!b_stm07_bs($B63,47,$A63,1,100000000))/[1]!b_stm07_bs($B63,109,$A63,1,100000000),"")</f>
        <v/>
      </c>
      <c r="F63" s="18" t="str">
        <f>IFERROR(([1]!s_stmnote_bank_26($B63,$A63,1,100000000)-[1]!s_stmnote_bank_26($B63,#REF!,1,100000000)+#REF!)/[1]!s_stmnote_bank_1n($B63,#REF!,1,100000000),"")</f>
        <v/>
      </c>
      <c r="G63" s="21" t="str">
        <f t="shared" si="0"/>
        <v/>
      </c>
      <c r="H63" s="18" t="str">
        <f>IFERROR([1]!s_stmnote_bank($B63,"34",$A63,100000000)/[1]!s_stmnote_bank_1n(B63,$A63,1,100000000),"")</f>
        <v/>
      </c>
      <c r="I63" s="25">
        <f>[1]!b_stm07_bs(B63,74,$A63,1,100000000)</f>
        <v>0</v>
      </c>
      <c r="J63" s="25">
        <f>[1]!b_stm07_bs(B63,109,$A63,1,100000000)</f>
        <v>0</v>
      </c>
      <c r="K63" s="10">
        <f>[1]!s_stmnote_bank_5n(B63,$A63,1)</f>
        <v>0</v>
      </c>
      <c r="L63" s="25">
        <f>[1]!s_stmnote_bank_23n(B63,$A63,1)</f>
        <v>0</v>
      </c>
      <c r="M63" s="25">
        <f>[1]!s_stmnote_bank_capadequacyratio(B63,$A63,1)</f>
        <v>0</v>
      </c>
      <c r="N63" s="25">
        <f>[1]!s_stmnote_bank_capadequacyratio_ct1(B63,$A63,1)</f>
        <v>0</v>
      </c>
      <c r="O63" s="6">
        <f>IF(OR([1]!s_fa_roe(B63,20201231)="0",[1]!s_fa_roe(B63,20211231)="0",[1]!s_fa_roe(B63,20221231)="0"),"",IFERROR(([1]!s_fa_roe(B63,20221231)+[1]!s_fa_roe(B63,20201231)+[1]!s_fa_roe(B63,20211231))/3,""))</f>
        <v>0</v>
      </c>
      <c r="P63" s="28" t="str">
        <f>IFERROR(([1]!s_stmnote_bank_65(B63,$A63,1,2,4,100000000)+[1]!s_stmnote_bank_65(B63,$A63,1,2,6,100000000))/[1]!s_stmnote_bank_1n(B63,$A63,1,100000000),"")</f>
        <v/>
      </c>
      <c r="Q63" s="28" t="str">
        <f>IFERROR([1]!s_stmnote_bank_614(B63,$A63,1,2,100000000)/[1]!s_stmnote_bank_647(B63,$A63,1,2,100000000),"")</f>
        <v/>
      </c>
      <c r="R63" s="28" t="str">
        <f>IFERROR(([1]!b_stm07_bs(B63,104,$A63,1,100000000)+[1]!b_stm07_bs(B63,106,$A63,1,100000000)+[1]!b_stm07_bs(B63,76,$A63,1,100000000)+[1]!b_stm07_bs(B63,108,$A63,1,100000000)+[1]!b_stm07_bs(B63,95,$A63,1,100000000))/[1]!b_stm07_bs(B63,128,$A63,1,100000000),"")</f>
        <v/>
      </c>
      <c r="S63" s="28" t="str">
        <f>IFERROR(([1]!s_stmnote_bank_614(B63,$A63,1,2,100000000)+[1]!b_stm07_bs(B63,104,$A63,1,100000000)+[1]!b_stm07_bs(B63,106,$A63,1,100000000)+[1]!b_stm07_bs(B63,76,$A63,1,100000000)+[1]!b_stm07_bs(B63,108,$A63,1,100000000)+[1]!b_stm07_bs(B63,95,$A63,1,100000000))/[1]!b_stm07_bs(B63,128,$A63,1,100000000),"")</f>
        <v/>
      </c>
      <c r="T63" s="11">
        <f>[1]!b_issuer_shareholder(B63,"",1)</f>
        <v>0</v>
      </c>
      <c r="U63" s="10">
        <f>[1]!b_issuer_propofshareholder(B63,"",1)</f>
        <v>0</v>
      </c>
      <c r="V63" s="33" t="str">
        <f t="shared" si="1"/>
        <v>0</v>
      </c>
      <c r="W63" s="33">
        <f>[1]!s_info_city(B63)</f>
        <v>0</v>
      </c>
      <c r="X63" s="10">
        <f>IF([1]!s_stmnote_bank_17n(B63,$A63,1)="0","",[1]!s_stmnote_bank_17n(B63,$A63,1))</f>
        <v>0</v>
      </c>
      <c r="Y63" s="10">
        <f>IF([1]!s_stmnote_bank_18n(B63,$A63,1)="0","",[1]!s_stmnote_bank_18n(B63,$A63,1))</f>
        <v>0</v>
      </c>
      <c r="Z63" s="41">
        <f>IF([1]!s_stmnote_bank_58(B63,$A63,1)="0","",[1]!s_stmnote_bank_58(B63,$A63,1))</f>
        <v>0</v>
      </c>
      <c r="AA63" s="52">
        <f>IF([1]!s_stmnote_bank_60(B63,$A63,1)="0","",[1]!s_stmnote_bank_60(B63,$A63,1))</f>
        <v>0</v>
      </c>
      <c r="AB63" s="52">
        <f>[1]!s_stmnote_bank_5444(B63,$A63,1)</f>
        <v>0</v>
      </c>
      <c r="AC63" s="38">
        <f>[1]!s_stmnote_bank_129n($B63,$A63,1)</f>
        <v>0</v>
      </c>
      <c r="AD63" s="54">
        <f>[1]!s_stmnote_bank_30(B63,$A63,1)</f>
        <v>0</v>
      </c>
    </row>
    <row r="64" spans="1:30" s="46" customFormat="1" ht="24">
      <c r="A64" s="1" t="s">
        <v>1110</v>
      </c>
      <c r="B64" s="87" t="s">
        <v>1172</v>
      </c>
      <c r="C64" s="8">
        <f>IF([1]!b_info_issuer(B64)="0","",IFERROR([1]!b_info_issuer(B64),""))</f>
        <v>0</v>
      </c>
      <c r="D64" s="11">
        <f>IF([1]!b_info_latestissurercreditrating(B64)="0","",IFERROR([1]!b_info_latestissurercreditrating(B64),""))</f>
        <v>0</v>
      </c>
      <c r="E64" s="27" t="str">
        <f>IFERROR(([1]!b_stm07_bs($B64,47,$A64,1,100000000))/[1]!b_stm07_bs($B64,109,$A64,1,100000000),"")</f>
        <v/>
      </c>
      <c r="F64" s="18" t="str">
        <f>IFERROR(([1]!s_stmnote_bank_26($B64,$A64,1,100000000)-[1]!s_stmnote_bank_26($B64,#REF!,1,100000000)+#REF!)/[1]!s_stmnote_bank_1n($B64,#REF!,1,100000000),"")</f>
        <v/>
      </c>
      <c r="G64" s="21" t="str">
        <f t="shared" si="0"/>
        <v/>
      </c>
      <c r="H64" s="18" t="str">
        <f>IFERROR([1]!s_stmnote_bank($B64,"34",$A64,100000000)/[1]!s_stmnote_bank_1n(B64,$A64,1,100000000),"")</f>
        <v/>
      </c>
      <c r="I64" s="25">
        <f>[1]!b_stm07_bs(B64,74,$A64,1,100000000)</f>
        <v>0</v>
      </c>
      <c r="J64" s="25">
        <f>[1]!b_stm07_bs(B64,109,$A64,1,100000000)</f>
        <v>0</v>
      </c>
      <c r="K64" s="10">
        <f>[1]!s_stmnote_bank_5n(B64,$A64,1)</f>
        <v>0</v>
      </c>
      <c r="L64" s="25">
        <f>[1]!s_stmnote_bank_23n(B64,$A64,1)</f>
        <v>0</v>
      </c>
      <c r="M64" s="25">
        <f>[1]!s_stmnote_bank_capadequacyratio(B64,$A64,1)</f>
        <v>0</v>
      </c>
      <c r="N64" s="25">
        <f>[1]!s_stmnote_bank_capadequacyratio_ct1(B64,$A64,1)</f>
        <v>0</v>
      </c>
      <c r="O64" s="6">
        <f>IF(OR([1]!s_fa_roe(B64,20201231)="0",[1]!s_fa_roe(B64,20211231)="0",[1]!s_fa_roe(B64,20221231)="0"),"",IFERROR(([1]!s_fa_roe(B64,20221231)+[1]!s_fa_roe(B64,20201231)+[1]!s_fa_roe(B64,20211231))/3,""))</f>
        <v>0</v>
      </c>
      <c r="P64" s="28" t="str">
        <f>IFERROR(([1]!s_stmnote_bank_65(B64,$A64,1,2,4,100000000)+[1]!s_stmnote_bank_65(B64,$A64,1,2,6,100000000))/[1]!s_stmnote_bank_1n(B64,$A64,1,100000000),"")</f>
        <v/>
      </c>
      <c r="Q64" s="28" t="str">
        <f>IFERROR([1]!s_stmnote_bank_614(B64,$A64,1,2,100000000)/[1]!s_stmnote_bank_647(B64,$A64,1,2,100000000),"")</f>
        <v/>
      </c>
      <c r="R64" s="28" t="str">
        <f>IFERROR(([1]!b_stm07_bs(B64,104,$A64,1,100000000)+[1]!b_stm07_bs(B64,106,$A64,1,100000000)+[1]!b_stm07_bs(B64,76,$A64,1,100000000)+[1]!b_stm07_bs(B64,108,$A64,1,100000000)+[1]!b_stm07_bs(B64,95,$A64,1,100000000))/[1]!b_stm07_bs(B64,128,$A64,1,100000000),"")</f>
        <v/>
      </c>
      <c r="S64" s="28" t="str">
        <f>IFERROR(([1]!s_stmnote_bank_614(B64,$A64,1,2,100000000)+[1]!b_stm07_bs(B64,104,$A64,1,100000000)+[1]!b_stm07_bs(B64,106,$A64,1,100000000)+[1]!b_stm07_bs(B64,76,$A64,1,100000000)+[1]!b_stm07_bs(B64,108,$A64,1,100000000)+[1]!b_stm07_bs(B64,95,$A64,1,100000000))/[1]!b_stm07_bs(B64,128,$A64,1,100000000),"")</f>
        <v/>
      </c>
      <c r="T64" s="11">
        <f>[1]!b_issuer_shareholder(B64,"",1)</f>
        <v>0</v>
      </c>
      <c r="U64" s="10">
        <f>[1]!b_issuer_propofshareholder(B64,"",1)</f>
        <v>0</v>
      </c>
      <c r="V64" s="33" t="str">
        <f t="shared" si="1"/>
        <v>0</v>
      </c>
      <c r="W64" s="33">
        <f>[1]!s_info_city(B64)</f>
        <v>0</v>
      </c>
      <c r="X64" s="10">
        <f>IF([1]!s_stmnote_bank_17n(B64,$A64,1)="0","",[1]!s_stmnote_bank_17n(B64,$A64,1))</f>
        <v>0</v>
      </c>
      <c r="Y64" s="10">
        <f>IF([1]!s_stmnote_bank_18n(B64,$A64,1)="0","",[1]!s_stmnote_bank_18n(B64,$A64,1))</f>
        <v>0</v>
      </c>
      <c r="Z64" s="41">
        <f>IF([1]!s_stmnote_bank_58(B64,$A64,1)="0","",[1]!s_stmnote_bank_58(B64,$A64,1))</f>
        <v>0</v>
      </c>
      <c r="AA64" s="52">
        <f>IF([1]!s_stmnote_bank_60(B64,$A64,1)="0","",[1]!s_stmnote_bank_60(B64,$A64,1))</f>
        <v>0</v>
      </c>
      <c r="AB64" s="52">
        <f>[1]!s_stmnote_bank_5444(B64,$A64,1)</f>
        <v>0</v>
      </c>
      <c r="AC64" s="38">
        <f>[1]!s_stmnote_bank_129n($B64,$A64,1)</f>
        <v>0</v>
      </c>
      <c r="AD64" s="54">
        <f>[1]!s_stmnote_bank_30(B64,$A64,1)</f>
        <v>0</v>
      </c>
    </row>
    <row r="65" spans="1:30" s="46" customFormat="1" ht="24">
      <c r="A65" s="1" t="s">
        <v>1110</v>
      </c>
      <c r="B65" s="87" t="s">
        <v>1173</v>
      </c>
      <c r="C65" s="8">
        <f>IF([1]!b_info_issuer(B65)="0","",IFERROR([1]!b_info_issuer(B65),""))</f>
        <v>0</v>
      </c>
      <c r="D65" s="11">
        <f>IF([1]!b_info_latestissurercreditrating(B65)="0","",IFERROR([1]!b_info_latestissurercreditrating(B65),""))</f>
        <v>0</v>
      </c>
      <c r="E65" s="27" t="str">
        <f>IFERROR(([1]!b_stm07_bs($B65,47,$A65,1,100000000))/[1]!b_stm07_bs($B65,109,$A65,1,100000000),"")</f>
        <v/>
      </c>
      <c r="F65" s="18" t="str">
        <f>IFERROR(([1]!s_stmnote_bank_26($B65,$A65,1,100000000)-[1]!s_stmnote_bank_26($B65,#REF!,1,100000000)+#REF!)/[1]!s_stmnote_bank_1n($B65,#REF!,1,100000000),"")</f>
        <v/>
      </c>
      <c r="G65" s="21" t="str">
        <f t="shared" si="0"/>
        <v/>
      </c>
      <c r="H65" s="18" t="str">
        <f>IFERROR([1]!s_stmnote_bank($B65,"34",$A65,100000000)/[1]!s_stmnote_bank_1n(B65,$A65,1,100000000),"")</f>
        <v/>
      </c>
      <c r="I65" s="25">
        <f>[1]!b_stm07_bs(B65,74,$A65,1,100000000)</f>
        <v>0</v>
      </c>
      <c r="J65" s="25">
        <f>[1]!b_stm07_bs(B65,109,$A65,1,100000000)</f>
        <v>0</v>
      </c>
      <c r="K65" s="10">
        <f>[1]!s_stmnote_bank_5n(B65,$A65,1)</f>
        <v>0</v>
      </c>
      <c r="L65" s="25">
        <f>[1]!s_stmnote_bank_23n(B65,$A65,1)</f>
        <v>0</v>
      </c>
      <c r="M65" s="25">
        <f>[1]!s_stmnote_bank_capadequacyratio(B65,$A65,1)</f>
        <v>0</v>
      </c>
      <c r="N65" s="25">
        <f>[1]!s_stmnote_bank_capadequacyratio_ct1(B65,$A65,1)</f>
        <v>0</v>
      </c>
      <c r="O65" s="6">
        <f>IF(OR([1]!s_fa_roe(B65,20201231)="0",[1]!s_fa_roe(B65,20211231)="0",[1]!s_fa_roe(B65,20221231)="0"),"",IFERROR(([1]!s_fa_roe(B65,20221231)+[1]!s_fa_roe(B65,20201231)+[1]!s_fa_roe(B65,20211231))/3,""))</f>
        <v>0</v>
      </c>
      <c r="P65" s="28" t="str">
        <f>IFERROR(([1]!s_stmnote_bank_65(B65,$A65,1,2,4,100000000)+[1]!s_stmnote_bank_65(B65,$A65,1,2,6,100000000))/[1]!s_stmnote_bank_1n(B65,$A65,1,100000000),"")</f>
        <v/>
      </c>
      <c r="Q65" s="28" t="str">
        <f>IFERROR([1]!s_stmnote_bank_614(B65,$A65,1,2,100000000)/[1]!s_stmnote_bank_647(B65,$A65,1,2,100000000),"")</f>
        <v/>
      </c>
      <c r="R65" s="28" t="str">
        <f>IFERROR(([1]!b_stm07_bs(B65,104,$A65,1,100000000)+[1]!b_stm07_bs(B65,106,$A65,1,100000000)+[1]!b_stm07_bs(B65,76,$A65,1,100000000)+[1]!b_stm07_bs(B65,108,$A65,1,100000000)+[1]!b_stm07_bs(B65,95,$A65,1,100000000))/[1]!b_stm07_bs(B65,128,$A65,1,100000000),"")</f>
        <v/>
      </c>
      <c r="S65" s="28" t="str">
        <f>IFERROR(([1]!s_stmnote_bank_614(B65,$A65,1,2,100000000)+[1]!b_stm07_bs(B65,104,$A65,1,100000000)+[1]!b_stm07_bs(B65,106,$A65,1,100000000)+[1]!b_stm07_bs(B65,76,$A65,1,100000000)+[1]!b_stm07_bs(B65,108,$A65,1,100000000)+[1]!b_stm07_bs(B65,95,$A65,1,100000000))/[1]!b_stm07_bs(B65,128,$A65,1,100000000),"")</f>
        <v/>
      </c>
      <c r="T65" s="11">
        <f>[1]!b_issuer_shareholder(B65,"",1)</f>
        <v>0</v>
      </c>
      <c r="U65" s="10">
        <f>[1]!b_issuer_propofshareholder(B65,"",1)</f>
        <v>0</v>
      </c>
      <c r="V65" s="33" t="str">
        <f t="shared" si="1"/>
        <v>0</v>
      </c>
      <c r="W65" s="33">
        <f>[1]!s_info_city(B65)</f>
        <v>0</v>
      </c>
      <c r="X65" s="10">
        <f>IF([1]!s_stmnote_bank_17n(B65,$A65,1)="0","",[1]!s_stmnote_bank_17n(B65,$A65,1))</f>
        <v>0</v>
      </c>
      <c r="Y65" s="10">
        <f>IF([1]!s_stmnote_bank_18n(B65,$A65,1)="0","",[1]!s_stmnote_bank_18n(B65,$A65,1))</f>
        <v>0</v>
      </c>
      <c r="Z65" s="41">
        <f>IF([1]!s_stmnote_bank_58(B65,$A65,1)="0","",[1]!s_stmnote_bank_58(B65,$A65,1))</f>
        <v>0</v>
      </c>
      <c r="AA65" s="52">
        <f>IF([1]!s_stmnote_bank_60(B65,$A65,1)="0","",[1]!s_stmnote_bank_60(B65,$A65,1))</f>
        <v>0</v>
      </c>
      <c r="AB65" s="52">
        <f>[1]!s_stmnote_bank_5444(B65,$A65,1)</f>
        <v>0</v>
      </c>
      <c r="AC65" s="38">
        <f>[1]!s_stmnote_bank_129n($B65,$A65,1)</f>
        <v>0</v>
      </c>
      <c r="AD65" s="54">
        <f>[1]!s_stmnote_bank_30(B65,$A65,1)</f>
        <v>0</v>
      </c>
    </row>
    <row r="66" spans="1:30" s="46" customFormat="1" ht="24">
      <c r="A66" s="1" t="s">
        <v>1110</v>
      </c>
      <c r="B66" s="87" t="s">
        <v>1174</v>
      </c>
      <c r="C66" s="8">
        <f>IF([1]!b_info_issuer(B66)="0","",IFERROR([1]!b_info_issuer(B66),""))</f>
        <v>0</v>
      </c>
      <c r="D66" s="11">
        <f>IF([1]!b_info_latestissurercreditrating(B66)="0","",IFERROR([1]!b_info_latestissurercreditrating(B66),""))</f>
        <v>0</v>
      </c>
      <c r="E66" s="27" t="str">
        <f>IFERROR(([1]!b_stm07_bs($B66,47,$A66,1,100000000))/[1]!b_stm07_bs($B66,109,$A66,1,100000000),"")</f>
        <v/>
      </c>
      <c r="F66" s="18" t="str">
        <f>IFERROR(([1]!s_stmnote_bank_26($B66,$A66,1,100000000)-[1]!s_stmnote_bank_26($B66,#REF!,1,100000000)+#REF!)/[1]!s_stmnote_bank_1n($B66,#REF!,1,100000000),"")</f>
        <v/>
      </c>
      <c r="G66" s="21" t="str">
        <f t="shared" si="0"/>
        <v/>
      </c>
      <c r="H66" s="18" t="str">
        <f>IFERROR([1]!s_stmnote_bank($B66,"34",$A66,100000000)/[1]!s_stmnote_bank_1n(B66,$A66,1,100000000),"")</f>
        <v/>
      </c>
      <c r="I66" s="25">
        <f>[1]!b_stm07_bs(B66,74,$A66,1,100000000)</f>
        <v>0</v>
      </c>
      <c r="J66" s="25">
        <f>[1]!b_stm07_bs(B66,109,$A66,1,100000000)</f>
        <v>0</v>
      </c>
      <c r="K66" s="10">
        <f>[1]!s_stmnote_bank_5n(B66,$A66,1)</f>
        <v>0</v>
      </c>
      <c r="L66" s="25">
        <f>[1]!s_stmnote_bank_23n(B66,$A66,1)</f>
        <v>0</v>
      </c>
      <c r="M66" s="25">
        <f>[1]!s_stmnote_bank_capadequacyratio(B66,$A66,1)</f>
        <v>0</v>
      </c>
      <c r="N66" s="25">
        <f>[1]!s_stmnote_bank_capadequacyratio_ct1(B66,$A66,1)</f>
        <v>0</v>
      </c>
      <c r="O66" s="6">
        <f>IF(OR([1]!s_fa_roe(B66,20201231)="0",[1]!s_fa_roe(B66,20211231)="0",[1]!s_fa_roe(B66,20221231)="0"),"",IFERROR(([1]!s_fa_roe(B66,20221231)+[1]!s_fa_roe(B66,20201231)+[1]!s_fa_roe(B66,20211231))/3,""))</f>
        <v>0</v>
      </c>
      <c r="P66" s="28" t="str">
        <f>IFERROR(([1]!s_stmnote_bank_65(B66,$A66,1,2,4,100000000)+[1]!s_stmnote_bank_65(B66,$A66,1,2,6,100000000))/[1]!s_stmnote_bank_1n(B66,$A66,1,100000000),"")</f>
        <v/>
      </c>
      <c r="Q66" s="28" t="str">
        <f>IFERROR([1]!s_stmnote_bank_614(B66,$A66,1,2,100000000)/[1]!s_stmnote_bank_647(B66,$A66,1,2,100000000),"")</f>
        <v/>
      </c>
      <c r="R66" s="28" t="str">
        <f>IFERROR(([1]!b_stm07_bs(B66,104,$A66,1,100000000)+[1]!b_stm07_bs(B66,106,$A66,1,100000000)+[1]!b_stm07_bs(B66,76,$A66,1,100000000)+[1]!b_stm07_bs(B66,108,$A66,1,100000000)+[1]!b_stm07_bs(B66,95,$A66,1,100000000))/[1]!b_stm07_bs(B66,128,$A66,1,100000000),"")</f>
        <v/>
      </c>
      <c r="S66" s="28" t="str">
        <f>IFERROR(([1]!s_stmnote_bank_614(B66,$A66,1,2,100000000)+[1]!b_stm07_bs(B66,104,$A66,1,100000000)+[1]!b_stm07_bs(B66,106,$A66,1,100000000)+[1]!b_stm07_bs(B66,76,$A66,1,100000000)+[1]!b_stm07_bs(B66,108,$A66,1,100000000)+[1]!b_stm07_bs(B66,95,$A66,1,100000000))/[1]!b_stm07_bs(B66,128,$A66,1,100000000),"")</f>
        <v/>
      </c>
      <c r="T66" s="11">
        <f>[1]!b_issuer_shareholder(B66,"",1)</f>
        <v>0</v>
      </c>
      <c r="U66" s="10">
        <f>[1]!b_issuer_propofshareholder(B66,"",1)</f>
        <v>0</v>
      </c>
      <c r="V66" s="33" t="str">
        <f t="shared" si="1"/>
        <v>0</v>
      </c>
      <c r="W66" s="33">
        <f>[1]!s_info_city(B66)</f>
        <v>0</v>
      </c>
      <c r="X66" s="10">
        <f>IF([1]!s_stmnote_bank_17n(B66,$A66,1)="0","",[1]!s_stmnote_bank_17n(B66,$A66,1))</f>
        <v>0</v>
      </c>
      <c r="Y66" s="10">
        <f>IF([1]!s_stmnote_bank_18n(B66,$A66,1)="0","",[1]!s_stmnote_bank_18n(B66,$A66,1))</f>
        <v>0</v>
      </c>
      <c r="Z66" s="41">
        <f>IF([1]!s_stmnote_bank_58(B66,$A66,1)="0","",[1]!s_stmnote_bank_58(B66,$A66,1))</f>
        <v>0</v>
      </c>
      <c r="AA66" s="52">
        <f>IF([1]!s_stmnote_bank_60(B66,$A66,1)="0","",[1]!s_stmnote_bank_60(B66,$A66,1))</f>
        <v>0</v>
      </c>
      <c r="AB66" s="52">
        <f>[1]!s_stmnote_bank_5444(B66,$A66,1)</f>
        <v>0</v>
      </c>
      <c r="AC66" s="38">
        <f>[1]!s_stmnote_bank_129n($B66,$A66,1)</f>
        <v>0</v>
      </c>
      <c r="AD66" s="54">
        <f>[1]!s_stmnote_bank_30(B66,$A66,1)</f>
        <v>0</v>
      </c>
    </row>
    <row r="67" spans="1:30" s="46" customFormat="1" ht="24">
      <c r="A67" s="1" t="s">
        <v>1110</v>
      </c>
      <c r="B67" s="87" t="s">
        <v>1175</v>
      </c>
      <c r="C67" s="8">
        <f>IF([1]!b_info_issuer(B67)="0","",IFERROR([1]!b_info_issuer(B67),""))</f>
        <v>0</v>
      </c>
      <c r="D67" s="11">
        <f>IF([1]!b_info_latestissurercreditrating(B67)="0","",IFERROR([1]!b_info_latestissurercreditrating(B67),""))</f>
        <v>0</v>
      </c>
      <c r="E67" s="27" t="str">
        <f>IFERROR(([1]!b_stm07_bs($B67,47,$A67,1,100000000))/[1]!b_stm07_bs($B67,109,$A67,1,100000000),"")</f>
        <v/>
      </c>
      <c r="F67" s="18" t="str">
        <f>IFERROR(([1]!s_stmnote_bank_26($B67,$A67,1,100000000)-[1]!s_stmnote_bank_26($B67,#REF!,1,100000000)+#REF!)/[1]!s_stmnote_bank_1n($B67,#REF!,1,100000000),"")</f>
        <v/>
      </c>
      <c r="G67" s="21" t="str">
        <f t="shared" ref="G67:G130" si="2">IFERROR(H67+K67/100,"")</f>
        <v/>
      </c>
      <c r="H67" s="18" t="str">
        <f>IFERROR([1]!s_stmnote_bank($B67,"34",$A67,100000000)/[1]!s_stmnote_bank_1n(B67,$A67,1,100000000),"")</f>
        <v/>
      </c>
      <c r="I67" s="25">
        <f>[1]!b_stm07_bs(B67,74,$A67,1,100000000)</f>
        <v>0</v>
      </c>
      <c r="J67" s="25">
        <f>[1]!b_stm07_bs(B67,109,$A67,1,100000000)</f>
        <v>0</v>
      </c>
      <c r="K67" s="10">
        <f>[1]!s_stmnote_bank_5n(B67,$A67,1)</f>
        <v>0</v>
      </c>
      <c r="L67" s="25">
        <f>[1]!s_stmnote_bank_23n(B67,$A67,1)</f>
        <v>0</v>
      </c>
      <c r="M67" s="25">
        <f>[1]!s_stmnote_bank_capadequacyratio(B67,$A67,1)</f>
        <v>0</v>
      </c>
      <c r="N67" s="25">
        <f>[1]!s_stmnote_bank_capadequacyratio_ct1(B67,$A67,1)</f>
        <v>0</v>
      </c>
      <c r="O67" s="6">
        <f>IF(OR([1]!s_fa_roe(B67,20201231)="0",[1]!s_fa_roe(B67,20211231)="0",[1]!s_fa_roe(B67,20221231)="0"),"",IFERROR(([1]!s_fa_roe(B67,20221231)+[1]!s_fa_roe(B67,20201231)+[1]!s_fa_roe(B67,20211231))/3,""))</f>
        <v>0</v>
      </c>
      <c r="P67" s="28" t="str">
        <f>IFERROR(([1]!s_stmnote_bank_65(B67,$A67,1,2,4,100000000)+[1]!s_stmnote_bank_65(B67,$A67,1,2,6,100000000))/[1]!s_stmnote_bank_1n(B67,$A67,1,100000000),"")</f>
        <v/>
      </c>
      <c r="Q67" s="28" t="str">
        <f>IFERROR([1]!s_stmnote_bank_614(B67,$A67,1,2,100000000)/[1]!s_stmnote_bank_647(B67,$A67,1,2,100000000),"")</f>
        <v/>
      </c>
      <c r="R67" s="28" t="str">
        <f>IFERROR(([1]!b_stm07_bs(B67,104,$A67,1,100000000)+[1]!b_stm07_bs(B67,106,$A67,1,100000000)+[1]!b_stm07_bs(B67,76,$A67,1,100000000)+[1]!b_stm07_bs(B67,108,$A67,1,100000000)+[1]!b_stm07_bs(B67,95,$A67,1,100000000))/[1]!b_stm07_bs(B67,128,$A67,1,100000000),"")</f>
        <v/>
      </c>
      <c r="S67" s="28" t="str">
        <f>IFERROR(([1]!s_stmnote_bank_614(B67,$A67,1,2,100000000)+[1]!b_stm07_bs(B67,104,$A67,1,100000000)+[1]!b_stm07_bs(B67,106,$A67,1,100000000)+[1]!b_stm07_bs(B67,76,$A67,1,100000000)+[1]!b_stm07_bs(B67,108,$A67,1,100000000)+[1]!b_stm07_bs(B67,95,$A67,1,100000000))/[1]!b_stm07_bs(B67,128,$A67,1,100000000),"")</f>
        <v/>
      </c>
      <c r="T67" s="11">
        <f>[1]!b_issuer_shareholder(B67,"",1)</f>
        <v>0</v>
      </c>
      <c r="U67" s="10">
        <f>[1]!b_issuer_propofshareholder(B67,"",1)</f>
        <v>0</v>
      </c>
      <c r="V67" s="33" t="str">
        <f t="shared" ref="V67:V130" si="3">LEFT(C67,2)</f>
        <v>0</v>
      </c>
      <c r="W67" s="33">
        <f>[1]!s_info_city(B67)</f>
        <v>0</v>
      </c>
      <c r="X67" s="10">
        <f>IF([1]!s_stmnote_bank_17n(B67,$A67,1)="0","",[1]!s_stmnote_bank_17n(B67,$A67,1))</f>
        <v>0</v>
      </c>
      <c r="Y67" s="10">
        <f>IF([1]!s_stmnote_bank_18n(B67,$A67,1)="0","",[1]!s_stmnote_bank_18n(B67,$A67,1))</f>
        <v>0</v>
      </c>
      <c r="Z67" s="41">
        <f>IF([1]!s_stmnote_bank_58(B67,$A67,1)="0","",[1]!s_stmnote_bank_58(B67,$A67,1))</f>
        <v>0</v>
      </c>
      <c r="AA67" s="52">
        <f>IF([1]!s_stmnote_bank_60(B67,$A67,1)="0","",[1]!s_stmnote_bank_60(B67,$A67,1))</f>
        <v>0</v>
      </c>
      <c r="AB67" s="52">
        <f>[1]!s_stmnote_bank_5444(B67,$A67,1)</f>
        <v>0</v>
      </c>
      <c r="AC67" s="38">
        <f>[1]!s_stmnote_bank_129n($B67,$A67,1)</f>
        <v>0</v>
      </c>
      <c r="AD67" s="54">
        <f>[1]!s_stmnote_bank_30(B67,$A67,1)</f>
        <v>0</v>
      </c>
    </row>
    <row r="68" spans="1:30" s="46" customFormat="1" ht="24">
      <c r="A68" s="1" t="s">
        <v>1110</v>
      </c>
      <c r="B68" s="87" t="s">
        <v>1176</v>
      </c>
      <c r="C68" s="8">
        <f>IF([1]!b_info_issuer(B68)="0","",IFERROR([1]!b_info_issuer(B68),""))</f>
        <v>0</v>
      </c>
      <c r="D68" s="11">
        <f>IF([1]!b_info_latestissurercreditrating(B68)="0","",IFERROR([1]!b_info_latestissurercreditrating(B68),""))</f>
        <v>0</v>
      </c>
      <c r="E68" s="27" t="str">
        <f>IFERROR(([1]!b_stm07_bs($B68,47,$A68,1,100000000))/[1]!b_stm07_bs($B68,109,$A68,1,100000000),"")</f>
        <v/>
      </c>
      <c r="F68" s="18" t="str">
        <f>IFERROR(([1]!s_stmnote_bank_26($B68,$A68,1,100000000)-[1]!s_stmnote_bank_26($B68,#REF!,1,100000000)+#REF!)/[1]!s_stmnote_bank_1n($B68,#REF!,1,100000000),"")</f>
        <v/>
      </c>
      <c r="G68" s="21" t="str">
        <f t="shared" si="2"/>
        <v/>
      </c>
      <c r="H68" s="18" t="str">
        <f>IFERROR([1]!s_stmnote_bank($B68,"34",$A68,100000000)/[1]!s_stmnote_bank_1n(B68,$A68,1,100000000),"")</f>
        <v/>
      </c>
      <c r="I68" s="25">
        <f>[1]!b_stm07_bs(B68,74,$A68,1,100000000)</f>
        <v>0</v>
      </c>
      <c r="J68" s="25">
        <f>[1]!b_stm07_bs(B68,109,$A68,1,100000000)</f>
        <v>0</v>
      </c>
      <c r="K68" s="10">
        <f>[1]!s_stmnote_bank_5n(B68,$A68,1)</f>
        <v>0</v>
      </c>
      <c r="L68" s="25">
        <f>[1]!s_stmnote_bank_23n(B68,$A68,1)</f>
        <v>0</v>
      </c>
      <c r="M68" s="25">
        <f>[1]!s_stmnote_bank_capadequacyratio(B68,$A68,1)</f>
        <v>0</v>
      </c>
      <c r="N68" s="25">
        <f>[1]!s_stmnote_bank_capadequacyratio_ct1(B68,$A68,1)</f>
        <v>0</v>
      </c>
      <c r="O68" s="6">
        <f>IF(OR([1]!s_fa_roe(B68,20201231)="0",[1]!s_fa_roe(B68,20211231)="0",[1]!s_fa_roe(B68,20221231)="0"),"",IFERROR(([1]!s_fa_roe(B68,20221231)+[1]!s_fa_roe(B68,20201231)+[1]!s_fa_roe(B68,20211231))/3,""))</f>
        <v>0</v>
      </c>
      <c r="P68" s="28" t="str">
        <f>IFERROR(([1]!s_stmnote_bank_65(B68,$A68,1,2,4,100000000)+[1]!s_stmnote_bank_65(B68,$A68,1,2,6,100000000))/[1]!s_stmnote_bank_1n(B68,$A68,1,100000000),"")</f>
        <v/>
      </c>
      <c r="Q68" s="28" t="str">
        <f>IFERROR([1]!s_stmnote_bank_614(B68,$A68,1,2,100000000)/[1]!s_stmnote_bank_647(B68,$A68,1,2,100000000),"")</f>
        <v/>
      </c>
      <c r="R68" s="28" t="str">
        <f>IFERROR(([1]!b_stm07_bs(B68,104,$A68,1,100000000)+[1]!b_stm07_bs(B68,106,$A68,1,100000000)+[1]!b_stm07_bs(B68,76,$A68,1,100000000)+[1]!b_stm07_bs(B68,108,$A68,1,100000000)+[1]!b_stm07_bs(B68,95,$A68,1,100000000))/[1]!b_stm07_bs(B68,128,$A68,1,100000000),"")</f>
        <v/>
      </c>
      <c r="S68" s="28" t="str">
        <f>IFERROR(([1]!s_stmnote_bank_614(B68,$A68,1,2,100000000)+[1]!b_stm07_bs(B68,104,$A68,1,100000000)+[1]!b_stm07_bs(B68,106,$A68,1,100000000)+[1]!b_stm07_bs(B68,76,$A68,1,100000000)+[1]!b_stm07_bs(B68,108,$A68,1,100000000)+[1]!b_stm07_bs(B68,95,$A68,1,100000000))/[1]!b_stm07_bs(B68,128,$A68,1,100000000),"")</f>
        <v/>
      </c>
      <c r="T68" s="11">
        <f>[1]!b_issuer_shareholder(B68,"",1)</f>
        <v>0</v>
      </c>
      <c r="U68" s="10">
        <f>[1]!b_issuer_propofshareholder(B68,"",1)</f>
        <v>0</v>
      </c>
      <c r="V68" s="33" t="str">
        <f t="shared" si="3"/>
        <v>0</v>
      </c>
      <c r="W68" s="33">
        <f>[1]!s_info_city(B68)</f>
        <v>0</v>
      </c>
      <c r="X68" s="10">
        <f>IF([1]!s_stmnote_bank_17n(B68,$A68,1)="0","",[1]!s_stmnote_bank_17n(B68,$A68,1))</f>
        <v>0</v>
      </c>
      <c r="Y68" s="10">
        <f>IF([1]!s_stmnote_bank_18n(B68,$A68,1)="0","",[1]!s_stmnote_bank_18n(B68,$A68,1))</f>
        <v>0</v>
      </c>
      <c r="Z68" s="41">
        <f>IF([1]!s_stmnote_bank_58(B68,$A68,1)="0","",[1]!s_stmnote_bank_58(B68,$A68,1))</f>
        <v>0</v>
      </c>
      <c r="AA68" s="52">
        <f>IF([1]!s_stmnote_bank_60(B68,$A68,1)="0","",[1]!s_stmnote_bank_60(B68,$A68,1))</f>
        <v>0</v>
      </c>
      <c r="AB68" s="52">
        <f>[1]!s_stmnote_bank_5444(B68,$A68,1)</f>
        <v>0</v>
      </c>
      <c r="AC68" s="38">
        <f>[1]!s_stmnote_bank_129n($B68,$A68,1)</f>
        <v>0</v>
      </c>
      <c r="AD68" s="54">
        <f>[1]!s_stmnote_bank_30(B68,$A68,1)</f>
        <v>0</v>
      </c>
    </row>
    <row r="69" spans="1:30" s="46" customFormat="1" ht="24">
      <c r="A69" s="1" t="s">
        <v>1110</v>
      </c>
      <c r="B69" s="87" t="s">
        <v>1177</v>
      </c>
      <c r="C69" s="8">
        <f>IF([1]!b_info_issuer(B69)="0","",IFERROR([1]!b_info_issuer(B69),""))</f>
        <v>0</v>
      </c>
      <c r="D69" s="11">
        <f>IF([1]!b_info_latestissurercreditrating(B69)="0","",IFERROR([1]!b_info_latestissurercreditrating(B69),""))</f>
        <v>0</v>
      </c>
      <c r="E69" s="27" t="str">
        <f>IFERROR(([1]!b_stm07_bs($B69,47,$A69,1,100000000))/[1]!b_stm07_bs($B69,109,$A69,1,100000000),"")</f>
        <v/>
      </c>
      <c r="F69" s="18" t="str">
        <f>IFERROR(([1]!s_stmnote_bank_26($B69,$A69,1,100000000)-[1]!s_stmnote_bank_26($B69,#REF!,1,100000000)+#REF!)/[1]!s_stmnote_bank_1n($B69,#REF!,1,100000000),"")</f>
        <v/>
      </c>
      <c r="G69" s="21" t="str">
        <f t="shared" si="2"/>
        <v/>
      </c>
      <c r="H69" s="18" t="str">
        <f>IFERROR([1]!s_stmnote_bank($B69,"34",$A69,100000000)/[1]!s_stmnote_bank_1n(B69,$A69,1,100000000),"")</f>
        <v/>
      </c>
      <c r="I69" s="25">
        <f>[1]!b_stm07_bs(B69,74,$A69,1,100000000)</f>
        <v>0</v>
      </c>
      <c r="J69" s="25">
        <f>[1]!b_stm07_bs(B69,109,$A69,1,100000000)</f>
        <v>0</v>
      </c>
      <c r="K69" s="10">
        <f>[1]!s_stmnote_bank_5n(B69,$A69,1)</f>
        <v>0</v>
      </c>
      <c r="L69" s="25">
        <f>[1]!s_stmnote_bank_23n(B69,$A69,1)</f>
        <v>0</v>
      </c>
      <c r="M69" s="25">
        <f>[1]!s_stmnote_bank_capadequacyratio(B69,$A69,1)</f>
        <v>0</v>
      </c>
      <c r="N69" s="25">
        <f>[1]!s_stmnote_bank_capadequacyratio_ct1(B69,$A69,1)</f>
        <v>0</v>
      </c>
      <c r="O69" s="6">
        <f>IF(OR([1]!s_fa_roe(B69,20201231)="0",[1]!s_fa_roe(B69,20211231)="0",[1]!s_fa_roe(B69,20221231)="0"),"",IFERROR(([1]!s_fa_roe(B69,20221231)+[1]!s_fa_roe(B69,20201231)+[1]!s_fa_roe(B69,20211231))/3,""))</f>
        <v>0</v>
      </c>
      <c r="P69" s="28" t="str">
        <f>IFERROR(([1]!s_stmnote_bank_65(B69,$A69,1,2,4,100000000)+[1]!s_stmnote_bank_65(B69,$A69,1,2,6,100000000))/[1]!s_stmnote_bank_1n(B69,$A69,1,100000000),"")</f>
        <v/>
      </c>
      <c r="Q69" s="28" t="str">
        <f>IFERROR([1]!s_stmnote_bank_614(B69,$A69,1,2,100000000)/[1]!s_stmnote_bank_647(B69,$A69,1,2,100000000),"")</f>
        <v/>
      </c>
      <c r="R69" s="28" t="str">
        <f>IFERROR(([1]!b_stm07_bs(B69,104,$A69,1,100000000)+[1]!b_stm07_bs(B69,106,$A69,1,100000000)+[1]!b_stm07_bs(B69,76,$A69,1,100000000)+[1]!b_stm07_bs(B69,108,$A69,1,100000000)+[1]!b_stm07_bs(B69,95,$A69,1,100000000))/[1]!b_stm07_bs(B69,128,$A69,1,100000000),"")</f>
        <v/>
      </c>
      <c r="S69" s="28" t="str">
        <f>IFERROR(([1]!s_stmnote_bank_614(B69,$A69,1,2,100000000)+[1]!b_stm07_bs(B69,104,$A69,1,100000000)+[1]!b_stm07_bs(B69,106,$A69,1,100000000)+[1]!b_stm07_bs(B69,76,$A69,1,100000000)+[1]!b_stm07_bs(B69,108,$A69,1,100000000)+[1]!b_stm07_bs(B69,95,$A69,1,100000000))/[1]!b_stm07_bs(B69,128,$A69,1,100000000),"")</f>
        <v/>
      </c>
      <c r="T69" s="11">
        <f>[1]!b_issuer_shareholder(B69,"",1)</f>
        <v>0</v>
      </c>
      <c r="U69" s="10">
        <f>[1]!b_issuer_propofshareholder(B69,"",1)</f>
        <v>0</v>
      </c>
      <c r="V69" s="33" t="str">
        <f t="shared" si="3"/>
        <v>0</v>
      </c>
      <c r="W69" s="33">
        <f>[1]!s_info_city(B69)</f>
        <v>0</v>
      </c>
      <c r="X69" s="10">
        <f>IF([1]!s_stmnote_bank_17n(B69,$A69,1)="0","",[1]!s_stmnote_bank_17n(B69,$A69,1))</f>
        <v>0</v>
      </c>
      <c r="Y69" s="10">
        <f>IF([1]!s_stmnote_bank_18n(B69,$A69,1)="0","",[1]!s_stmnote_bank_18n(B69,$A69,1))</f>
        <v>0</v>
      </c>
      <c r="Z69" s="41">
        <f>IF([1]!s_stmnote_bank_58(B69,$A69,1)="0","",[1]!s_stmnote_bank_58(B69,$A69,1))</f>
        <v>0</v>
      </c>
      <c r="AA69" s="52">
        <f>IF([1]!s_stmnote_bank_60(B69,$A69,1)="0","",[1]!s_stmnote_bank_60(B69,$A69,1))</f>
        <v>0</v>
      </c>
      <c r="AB69" s="52">
        <f>[1]!s_stmnote_bank_5444(B69,$A69,1)</f>
        <v>0</v>
      </c>
      <c r="AC69" s="38">
        <f>[1]!s_stmnote_bank_129n($B69,$A69,1)</f>
        <v>0</v>
      </c>
      <c r="AD69" s="54">
        <f>[1]!s_stmnote_bank_30(B69,$A69,1)</f>
        <v>0</v>
      </c>
    </row>
    <row r="70" spans="1:30" s="46" customFormat="1" ht="24">
      <c r="A70" s="1" t="s">
        <v>1110</v>
      </c>
      <c r="B70" s="87" t="s">
        <v>1178</v>
      </c>
      <c r="C70" s="8">
        <f>IF([1]!b_info_issuer(B70)="0","",IFERROR([1]!b_info_issuer(B70),""))</f>
        <v>0</v>
      </c>
      <c r="D70" s="11">
        <f>IF([1]!b_info_latestissurercreditrating(B70)="0","",IFERROR([1]!b_info_latestissurercreditrating(B70),""))</f>
        <v>0</v>
      </c>
      <c r="E70" s="27" t="str">
        <f>IFERROR(([1]!b_stm07_bs($B70,47,$A70,1,100000000))/[1]!b_stm07_bs($B70,109,$A70,1,100000000),"")</f>
        <v/>
      </c>
      <c r="F70" s="18" t="str">
        <f>IFERROR(([1]!s_stmnote_bank_26($B70,$A70,1,100000000)-[1]!s_stmnote_bank_26($B70,#REF!,1,100000000)+#REF!)/[1]!s_stmnote_bank_1n($B70,#REF!,1,100000000),"")</f>
        <v/>
      </c>
      <c r="G70" s="21" t="str">
        <f t="shared" si="2"/>
        <v/>
      </c>
      <c r="H70" s="18" t="str">
        <f>IFERROR([1]!s_stmnote_bank($B70,"34",$A70,100000000)/[1]!s_stmnote_bank_1n(B70,$A70,1,100000000),"")</f>
        <v/>
      </c>
      <c r="I70" s="25">
        <f>[1]!b_stm07_bs(B70,74,$A70,1,100000000)</f>
        <v>0</v>
      </c>
      <c r="J70" s="25">
        <f>[1]!b_stm07_bs(B70,109,$A70,1,100000000)</f>
        <v>0</v>
      </c>
      <c r="K70" s="10">
        <f>[1]!s_stmnote_bank_5n(B70,$A70,1)</f>
        <v>0</v>
      </c>
      <c r="L70" s="25">
        <f>[1]!s_stmnote_bank_23n(B70,$A70,1)</f>
        <v>0</v>
      </c>
      <c r="M70" s="25">
        <f>[1]!s_stmnote_bank_capadequacyratio(B70,$A70,1)</f>
        <v>0</v>
      </c>
      <c r="N70" s="25">
        <f>[1]!s_stmnote_bank_capadequacyratio_ct1(B70,$A70,1)</f>
        <v>0</v>
      </c>
      <c r="O70" s="6">
        <f>IF(OR([1]!s_fa_roe(B70,20201231)="0",[1]!s_fa_roe(B70,20211231)="0",[1]!s_fa_roe(B70,20221231)="0"),"",IFERROR(([1]!s_fa_roe(B70,20221231)+[1]!s_fa_roe(B70,20201231)+[1]!s_fa_roe(B70,20211231))/3,""))</f>
        <v>0</v>
      </c>
      <c r="P70" s="28" t="str">
        <f>IFERROR(([1]!s_stmnote_bank_65(B70,$A70,1,2,4,100000000)+[1]!s_stmnote_bank_65(B70,$A70,1,2,6,100000000))/[1]!s_stmnote_bank_1n(B70,$A70,1,100000000),"")</f>
        <v/>
      </c>
      <c r="Q70" s="28" t="str">
        <f>IFERROR([1]!s_stmnote_bank_614(B70,$A70,1,2,100000000)/[1]!s_stmnote_bank_647(B70,$A70,1,2,100000000),"")</f>
        <v/>
      </c>
      <c r="R70" s="28" t="str">
        <f>IFERROR(([1]!b_stm07_bs(B70,104,$A70,1,100000000)+[1]!b_stm07_bs(B70,106,$A70,1,100000000)+[1]!b_stm07_bs(B70,76,$A70,1,100000000)+[1]!b_stm07_bs(B70,108,$A70,1,100000000)+[1]!b_stm07_bs(B70,95,$A70,1,100000000))/[1]!b_stm07_bs(B70,128,$A70,1,100000000),"")</f>
        <v/>
      </c>
      <c r="S70" s="28" t="str">
        <f>IFERROR(([1]!s_stmnote_bank_614(B70,$A70,1,2,100000000)+[1]!b_stm07_bs(B70,104,$A70,1,100000000)+[1]!b_stm07_bs(B70,106,$A70,1,100000000)+[1]!b_stm07_bs(B70,76,$A70,1,100000000)+[1]!b_stm07_bs(B70,108,$A70,1,100000000)+[1]!b_stm07_bs(B70,95,$A70,1,100000000))/[1]!b_stm07_bs(B70,128,$A70,1,100000000),"")</f>
        <v/>
      </c>
      <c r="T70" s="11">
        <f>[1]!b_issuer_shareholder(B70,"",1)</f>
        <v>0</v>
      </c>
      <c r="U70" s="10">
        <f>[1]!b_issuer_propofshareholder(B70,"",1)</f>
        <v>0</v>
      </c>
      <c r="V70" s="33" t="str">
        <f t="shared" si="3"/>
        <v>0</v>
      </c>
      <c r="W70" s="33">
        <f>[1]!s_info_city(B70)</f>
        <v>0</v>
      </c>
      <c r="X70" s="10">
        <f>IF([1]!s_stmnote_bank_17n(B70,$A70,1)="0","",[1]!s_stmnote_bank_17n(B70,$A70,1))</f>
        <v>0</v>
      </c>
      <c r="Y70" s="10">
        <f>IF([1]!s_stmnote_bank_18n(B70,$A70,1)="0","",[1]!s_stmnote_bank_18n(B70,$A70,1))</f>
        <v>0</v>
      </c>
      <c r="Z70" s="41">
        <f>IF([1]!s_stmnote_bank_58(B70,$A70,1)="0","",[1]!s_stmnote_bank_58(B70,$A70,1))</f>
        <v>0</v>
      </c>
      <c r="AA70" s="52">
        <f>IF([1]!s_stmnote_bank_60(B70,$A70,1)="0","",[1]!s_stmnote_bank_60(B70,$A70,1))</f>
        <v>0</v>
      </c>
      <c r="AB70" s="52">
        <f>[1]!s_stmnote_bank_5444(B70,$A70,1)</f>
        <v>0</v>
      </c>
      <c r="AC70" s="38">
        <f>[1]!s_stmnote_bank_129n($B70,$A70,1)</f>
        <v>0</v>
      </c>
      <c r="AD70" s="54">
        <f>[1]!s_stmnote_bank_30(B70,$A70,1)</f>
        <v>0</v>
      </c>
    </row>
    <row r="71" spans="1:30" ht="24">
      <c r="A71" s="1" t="s">
        <v>1110</v>
      </c>
      <c r="B71" s="87" t="s">
        <v>1179</v>
      </c>
      <c r="C71" s="8">
        <f>IF([1]!b_info_issuer(B71)="0","",IFERROR([1]!b_info_issuer(B71),""))</f>
        <v>0</v>
      </c>
      <c r="D71" s="11">
        <f>IF([1]!b_info_latestissurercreditrating(B71)="0","",IFERROR([1]!b_info_latestissurercreditrating(B71),""))</f>
        <v>0</v>
      </c>
      <c r="E71" s="27" t="str">
        <f>IFERROR(([1]!b_stm07_bs($B71,47,$A71,1,100000000))/[1]!b_stm07_bs($B71,109,$A71,1,100000000),"")</f>
        <v/>
      </c>
      <c r="F71" s="18" t="str">
        <f>IFERROR(([1]!s_stmnote_bank_26($B71,$A71,1,100000000)-[1]!s_stmnote_bank_26($B71,#REF!,1,100000000)+#REF!)/[1]!s_stmnote_bank_1n($B71,#REF!,1,100000000),"")</f>
        <v/>
      </c>
      <c r="G71" s="21" t="str">
        <f t="shared" si="2"/>
        <v/>
      </c>
      <c r="H71" s="18" t="str">
        <f>IFERROR([1]!s_stmnote_bank($B71,"34",$A71,100000000)/[1]!s_stmnote_bank_1n(B71,$A71,1,100000000),"")</f>
        <v/>
      </c>
      <c r="I71" s="25">
        <f>[1]!b_stm07_bs(B71,74,$A71,1,100000000)</f>
        <v>0</v>
      </c>
      <c r="J71" s="25">
        <f>[1]!b_stm07_bs(B71,109,$A71,1,100000000)</f>
        <v>0</v>
      </c>
      <c r="K71" s="10">
        <f>[1]!s_stmnote_bank_5n(B71,$A71,1)</f>
        <v>0</v>
      </c>
      <c r="L71" s="25">
        <f>[1]!s_stmnote_bank_23n(B71,$A71,1)</f>
        <v>0</v>
      </c>
      <c r="M71" s="25">
        <f>[1]!s_stmnote_bank_capadequacyratio(B71,$A71,1)</f>
        <v>0</v>
      </c>
      <c r="N71" s="25">
        <f>[1]!s_stmnote_bank_capadequacyratio_ct1(B71,$A71,1)</f>
        <v>0</v>
      </c>
      <c r="O71" s="6">
        <f>IF(OR([1]!s_fa_roe(B71,20201231)="0",[1]!s_fa_roe(B71,20211231)="0",[1]!s_fa_roe(B71,20221231)="0"),"",IFERROR(([1]!s_fa_roe(B71,20221231)+[1]!s_fa_roe(B71,20201231)+[1]!s_fa_roe(B71,20211231))/3,""))</f>
        <v>0</v>
      </c>
      <c r="P71" s="28" t="str">
        <f>IFERROR(([1]!s_stmnote_bank_65(B71,$A71,1,2,4,100000000)+[1]!s_stmnote_bank_65(B71,$A71,1,2,6,100000000))/[1]!s_stmnote_bank_1n(B71,$A71,1,100000000),"")</f>
        <v/>
      </c>
      <c r="Q71" s="28" t="str">
        <f>IFERROR([1]!s_stmnote_bank_614(B71,$A71,1,2,100000000)/[1]!s_stmnote_bank_647(B71,$A71,1,2,100000000),"")</f>
        <v/>
      </c>
      <c r="R71" s="28" t="str">
        <f>IFERROR(([1]!b_stm07_bs(B71,104,$A71,1,100000000)+[1]!b_stm07_bs(B71,106,$A71,1,100000000)+[1]!b_stm07_bs(B71,76,$A71,1,100000000)+[1]!b_stm07_bs(B71,108,$A71,1,100000000)+[1]!b_stm07_bs(B71,95,$A71,1,100000000))/[1]!b_stm07_bs(B71,128,$A71,1,100000000),"")</f>
        <v/>
      </c>
      <c r="S71" s="28" t="str">
        <f>IFERROR(([1]!s_stmnote_bank_614(B71,$A71,1,2,100000000)+[1]!b_stm07_bs(B71,104,$A71,1,100000000)+[1]!b_stm07_bs(B71,106,$A71,1,100000000)+[1]!b_stm07_bs(B71,76,$A71,1,100000000)+[1]!b_stm07_bs(B71,108,$A71,1,100000000)+[1]!b_stm07_bs(B71,95,$A71,1,100000000))/[1]!b_stm07_bs(B71,128,$A71,1,100000000),"")</f>
        <v/>
      </c>
      <c r="T71" s="11">
        <f>[1]!b_issuer_shareholder(B71,"",1)</f>
        <v>0</v>
      </c>
      <c r="U71" s="10">
        <f>[1]!b_issuer_propofshareholder(B71,"",1)</f>
        <v>0</v>
      </c>
      <c r="V71" s="33" t="str">
        <f t="shared" si="3"/>
        <v>0</v>
      </c>
      <c r="W71" s="33">
        <f>[1]!s_info_city(B71)</f>
        <v>0</v>
      </c>
      <c r="X71" s="10">
        <f>IF([1]!s_stmnote_bank_17n(B71,$A71,1)="0","",[1]!s_stmnote_bank_17n(B71,$A71,1))</f>
        <v>0</v>
      </c>
      <c r="Y71" s="10">
        <f>IF([1]!s_stmnote_bank_18n(B71,$A71,1)="0","",[1]!s_stmnote_bank_18n(B71,$A71,1))</f>
        <v>0</v>
      </c>
      <c r="Z71" s="41">
        <f>IF([1]!s_stmnote_bank_58(B71,$A71,1)="0","",[1]!s_stmnote_bank_58(B71,$A71,1))</f>
        <v>0</v>
      </c>
      <c r="AA71" s="52">
        <f>IF([1]!s_stmnote_bank_60(B71,$A71,1)="0","",[1]!s_stmnote_bank_60(B71,$A71,1))</f>
        <v>0</v>
      </c>
      <c r="AB71" s="52">
        <f>[1]!s_stmnote_bank_5444(B71,$A71,1)</f>
        <v>0</v>
      </c>
      <c r="AC71" s="38">
        <f>[1]!s_stmnote_bank_129n($B71,$A71,1)</f>
        <v>0</v>
      </c>
      <c r="AD71" s="54">
        <f>[1]!s_stmnote_bank_30(B71,$A71,1)</f>
        <v>0</v>
      </c>
    </row>
    <row r="72" spans="1:30" s="46" customFormat="1" ht="24">
      <c r="A72" s="1" t="s">
        <v>1110</v>
      </c>
      <c r="B72" s="87" t="s">
        <v>1180</v>
      </c>
      <c r="C72" s="8">
        <f>IF([1]!b_info_issuer(B72)="0","",IFERROR([1]!b_info_issuer(B72),""))</f>
        <v>0</v>
      </c>
      <c r="D72" s="11">
        <f>IF([1]!b_info_latestissurercreditrating(B72)="0","",IFERROR([1]!b_info_latestissurercreditrating(B72),""))</f>
        <v>0</v>
      </c>
      <c r="E72" s="27" t="str">
        <f>IFERROR(([1]!b_stm07_bs($B72,47,$A72,1,100000000))/[1]!b_stm07_bs($B72,109,$A72,1,100000000),"")</f>
        <v/>
      </c>
      <c r="F72" s="18" t="str">
        <f>IFERROR(([1]!s_stmnote_bank_26($B72,$A72,1,100000000)-[1]!s_stmnote_bank_26($B72,#REF!,1,100000000)+#REF!)/[1]!s_stmnote_bank_1n($B72,#REF!,1,100000000),"")</f>
        <v/>
      </c>
      <c r="G72" s="21" t="str">
        <f t="shared" si="2"/>
        <v/>
      </c>
      <c r="H72" s="18" t="str">
        <f>IFERROR([1]!s_stmnote_bank($B72,"34",$A72,100000000)/[1]!s_stmnote_bank_1n(B72,$A72,1,100000000),"")</f>
        <v/>
      </c>
      <c r="I72" s="25">
        <f>[1]!b_stm07_bs(B72,74,$A72,1,100000000)</f>
        <v>0</v>
      </c>
      <c r="J72" s="25">
        <f>[1]!b_stm07_bs(B72,109,$A72,1,100000000)</f>
        <v>0</v>
      </c>
      <c r="K72" s="10">
        <f>[1]!s_stmnote_bank_5n(B72,$A72,1)</f>
        <v>0</v>
      </c>
      <c r="L72" s="25">
        <f>[1]!s_stmnote_bank_23n(B72,$A72,1)</f>
        <v>0</v>
      </c>
      <c r="M72" s="25">
        <f>[1]!s_stmnote_bank_capadequacyratio(B72,$A72,1)</f>
        <v>0</v>
      </c>
      <c r="N72" s="25">
        <f>[1]!s_stmnote_bank_capadequacyratio_ct1(B72,$A72,1)</f>
        <v>0</v>
      </c>
      <c r="O72" s="6">
        <f>IF(OR([1]!s_fa_roe(B72,20201231)="0",[1]!s_fa_roe(B72,20211231)="0",[1]!s_fa_roe(B72,20221231)="0"),"",IFERROR(([1]!s_fa_roe(B72,20221231)+[1]!s_fa_roe(B72,20201231)+[1]!s_fa_roe(B72,20211231))/3,""))</f>
        <v>0</v>
      </c>
      <c r="P72" s="28" t="str">
        <f>IFERROR(([1]!s_stmnote_bank_65(B72,$A72,1,2,4,100000000)+[1]!s_stmnote_bank_65(B72,$A72,1,2,6,100000000))/[1]!s_stmnote_bank_1n(B72,$A72,1,100000000),"")</f>
        <v/>
      </c>
      <c r="Q72" s="28" t="str">
        <f>IFERROR([1]!s_stmnote_bank_614(B72,$A72,1,2,100000000)/[1]!s_stmnote_bank_647(B72,$A72,1,2,100000000),"")</f>
        <v/>
      </c>
      <c r="R72" s="28" t="str">
        <f>IFERROR(([1]!b_stm07_bs(B72,104,$A72,1,100000000)+[1]!b_stm07_bs(B72,106,$A72,1,100000000)+[1]!b_stm07_bs(B72,76,$A72,1,100000000)+[1]!b_stm07_bs(B72,108,$A72,1,100000000)+[1]!b_stm07_bs(B72,95,$A72,1,100000000))/[1]!b_stm07_bs(B72,128,$A72,1,100000000),"")</f>
        <v/>
      </c>
      <c r="S72" s="28" t="str">
        <f>IFERROR(([1]!s_stmnote_bank_614(B72,$A72,1,2,100000000)+[1]!b_stm07_bs(B72,104,$A72,1,100000000)+[1]!b_stm07_bs(B72,106,$A72,1,100000000)+[1]!b_stm07_bs(B72,76,$A72,1,100000000)+[1]!b_stm07_bs(B72,108,$A72,1,100000000)+[1]!b_stm07_bs(B72,95,$A72,1,100000000))/[1]!b_stm07_bs(B72,128,$A72,1,100000000),"")</f>
        <v/>
      </c>
      <c r="T72" s="11">
        <f>[1]!b_issuer_shareholder(B72,"",1)</f>
        <v>0</v>
      </c>
      <c r="U72" s="10">
        <f>[1]!b_issuer_propofshareholder(B72,"",1)</f>
        <v>0</v>
      </c>
      <c r="V72" s="33" t="str">
        <f t="shared" si="3"/>
        <v>0</v>
      </c>
      <c r="W72" s="33">
        <f>[1]!s_info_city(B72)</f>
        <v>0</v>
      </c>
      <c r="X72" s="10">
        <f>IF([1]!s_stmnote_bank_17n(B72,$A72,1)="0","",[1]!s_stmnote_bank_17n(B72,$A72,1))</f>
        <v>0</v>
      </c>
      <c r="Y72" s="10">
        <f>IF([1]!s_stmnote_bank_18n(B72,$A72,1)="0","",[1]!s_stmnote_bank_18n(B72,$A72,1))</f>
        <v>0</v>
      </c>
      <c r="Z72" s="41">
        <f>IF([1]!s_stmnote_bank_58(B72,$A72,1)="0","",[1]!s_stmnote_bank_58(B72,$A72,1))</f>
        <v>0</v>
      </c>
      <c r="AA72" s="52">
        <f>IF([1]!s_stmnote_bank_60(B72,$A72,1)="0","",[1]!s_stmnote_bank_60(B72,$A72,1))</f>
        <v>0</v>
      </c>
      <c r="AB72" s="52">
        <f>[1]!s_stmnote_bank_5444(B72,$A72,1)</f>
        <v>0</v>
      </c>
      <c r="AC72" s="38">
        <f>[1]!s_stmnote_bank_129n($B72,$A72,1)</f>
        <v>0</v>
      </c>
      <c r="AD72" s="54">
        <f>[1]!s_stmnote_bank_30(B72,$A72,1)</f>
        <v>0</v>
      </c>
    </row>
    <row r="73" spans="1:30" s="46" customFormat="1" ht="24">
      <c r="A73" s="1" t="s">
        <v>1110</v>
      </c>
      <c r="B73" s="87" t="s">
        <v>1181</v>
      </c>
      <c r="C73" s="8">
        <f>IF([1]!b_info_issuer(B73)="0","",IFERROR([1]!b_info_issuer(B73),""))</f>
        <v>0</v>
      </c>
      <c r="D73" s="11">
        <f>IF([1]!b_info_latestissurercreditrating(B73)="0","",IFERROR([1]!b_info_latestissurercreditrating(B73),""))</f>
        <v>0</v>
      </c>
      <c r="E73" s="27" t="str">
        <f>IFERROR(([1]!b_stm07_bs($B73,47,$A73,1,100000000))/[1]!b_stm07_bs($B73,109,$A73,1,100000000),"")</f>
        <v/>
      </c>
      <c r="F73" s="18" t="str">
        <f>IFERROR(([1]!s_stmnote_bank_26($B73,$A73,1,100000000)-[1]!s_stmnote_bank_26($B73,#REF!,1,100000000)+#REF!)/[1]!s_stmnote_bank_1n($B73,#REF!,1,100000000),"")</f>
        <v/>
      </c>
      <c r="G73" s="21" t="str">
        <f t="shared" si="2"/>
        <v/>
      </c>
      <c r="H73" s="18" t="str">
        <f>IFERROR([1]!s_stmnote_bank($B73,"34",$A73,100000000)/[1]!s_stmnote_bank_1n(B73,$A73,1,100000000),"")</f>
        <v/>
      </c>
      <c r="I73" s="25">
        <f>[1]!b_stm07_bs(B73,74,$A73,1,100000000)</f>
        <v>0</v>
      </c>
      <c r="J73" s="25">
        <f>[1]!b_stm07_bs(B73,109,$A73,1,100000000)</f>
        <v>0</v>
      </c>
      <c r="K73" s="10">
        <f>[1]!s_stmnote_bank_5n(B73,$A73,1)</f>
        <v>0</v>
      </c>
      <c r="L73" s="25">
        <f>[1]!s_stmnote_bank_23n(B73,$A73,1)</f>
        <v>0</v>
      </c>
      <c r="M73" s="25">
        <f>[1]!s_stmnote_bank_capadequacyratio(B73,$A73,1)</f>
        <v>0</v>
      </c>
      <c r="N73" s="25">
        <f>[1]!s_stmnote_bank_capadequacyratio_ct1(B73,$A73,1)</f>
        <v>0</v>
      </c>
      <c r="O73" s="6">
        <f>IF(OR([1]!s_fa_roe(B73,20201231)="0",[1]!s_fa_roe(B73,20211231)="0",[1]!s_fa_roe(B73,20221231)="0"),"",IFERROR(([1]!s_fa_roe(B73,20221231)+[1]!s_fa_roe(B73,20201231)+[1]!s_fa_roe(B73,20211231))/3,""))</f>
        <v>0</v>
      </c>
      <c r="P73" s="28" t="str">
        <f>IFERROR(([1]!s_stmnote_bank_65(B73,$A73,1,2,4,100000000)+[1]!s_stmnote_bank_65(B73,$A73,1,2,6,100000000))/[1]!s_stmnote_bank_1n(B73,$A73,1,100000000),"")</f>
        <v/>
      </c>
      <c r="Q73" s="28" t="str">
        <f>IFERROR([1]!s_stmnote_bank_614(B73,$A73,1,2,100000000)/[1]!s_stmnote_bank_647(B73,$A73,1,2,100000000),"")</f>
        <v/>
      </c>
      <c r="R73" s="28" t="str">
        <f>IFERROR(([1]!b_stm07_bs(B73,104,$A73,1,100000000)+[1]!b_stm07_bs(B73,106,$A73,1,100000000)+[1]!b_stm07_bs(B73,76,$A73,1,100000000)+[1]!b_stm07_bs(B73,108,$A73,1,100000000)+[1]!b_stm07_bs(B73,95,$A73,1,100000000))/[1]!b_stm07_bs(B73,128,$A73,1,100000000),"")</f>
        <v/>
      </c>
      <c r="S73" s="28" t="str">
        <f>IFERROR(([1]!s_stmnote_bank_614(B73,$A73,1,2,100000000)+[1]!b_stm07_bs(B73,104,$A73,1,100000000)+[1]!b_stm07_bs(B73,106,$A73,1,100000000)+[1]!b_stm07_bs(B73,76,$A73,1,100000000)+[1]!b_stm07_bs(B73,108,$A73,1,100000000)+[1]!b_stm07_bs(B73,95,$A73,1,100000000))/[1]!b_stm07_bs(B73,128,$A73,1,100000000),"")</f>
        <v/>
      </c>
      <c r="T73" s="11">
        <f>[1]!b_issuer_shareholder(B73,"",1)</f>
        <v>0</v>
      </c>
      <c r="U73" s="10">
        <f>[1]!b_issuer_propofshareholder(B73,"",1)</f>
        <v>0</v>
      </c>
      <c r="V73" s="33" t="str">
        <f t="shared" si="3"/>
        <v>0</v>
      </c>
      <c r="W73" s="33">
        <f>[1]!s_info_city(B73)</f>
        <v>0</v>
      </c>
      <c r="X73" s="10">
        <f>IF([1]!s_stmnote_bank_17n(B73,$A73,1)="0","",[1]!s_stmnote_bank_17n(B73,$A73,1))</f>
        <v>0</v>
      </c>
      <c r="Y73" s="10">
        <f>IF([1]!s_stmnote_bank_18n(B73,$A73,1)="0","",[1]!s_stmnote_bank_18n(B73,$A73,1))</f>
        <v>0</v>
      </c>
      <c r="Z73" s="41">
        <f>IF([1]!s_stmnote_bank_58(B73,$A73,1)="0","",[1]!s_stmnote_bank_58(B73,$A73,1))</f>
        <v>0</v>
      </c>
      <c r="AA73" s="52">
        <f>IF([1]!s_stmnote_bank_60(B73,$A73,1)="0","",[1]!s_stmnote_bank_60(B73,$A73,1))</f>
        <v>0</v>
      </c>
      <c r="AB73" s="52">
        <f>[1]!s_stmnote_bank_5444(B73,$A73,1)</f>
        <v>0</v>
      </c>
      <c r="AC73" s="38">
        <f>[1]!s_stmnote_bank_129n($B73,$A73,1)</f>
        <v>0</v>
      </c>
      <c r="AD73" s="54">
        <f>[1]!s_stmnote_bank_30(B73,$A73,1)</f>
        <v>0</v>
      </c>
    </row>
    <row r="74" spans="1:30" s="46" customFormat="1" ht="24">
      <c r="A74" s="1" t="s">
        <v>1110</v>
      </c>
      <c r="B74" s="87" t="s">
        <v>1182</v>
      </c>
      <c r="C74" s="8">
        <f>IF([1]!b_info_issuer(B74)="0","",IFERROR([1]!b_info_issuer(B74),""))</f>
        <v>0</v>
      </c>
      <c r="D74" s="11">
        <f>IF([1]!b_info_latestissurercreditrating(B74)="0","",IFERROR([1]!b_info_latestissurercreditrating(B74),""))</f>
        <v>0</v>
      </c>
      <c r="E74" s="27" t="str">
        <f>IFERROR(([1]!b_stm07_bs($B74,47,$A74,1,100000000))/[1]!b_stm07_bs($B74,109,$A74,1,100000000),"")</f>
        <v/>
      </c>
      <c r="F74" s="18" t="str">
        <f>IFERROR(([1]!s_stmnote_bank_26($B74,$A74,1,100000000)-[1]!s_stmnote_bank_26($B74,#REF!,1,100000000)+#REF!)/[1]!s_stmnote_bank_1n($B74,#REF!,1,100000000),"")</f>
        <v/>
      </c>
      <c r="G74" s="21" t="str">
        <f t="shared" si="2"/>
        <v/>
      </c>
      <c r="H74" s="18" t="str">
        <f>IFERROR([1]!s_stmnote_bank($B74,"34",$A74,100000000)/[1]!s_stmnote_bank_1n(B74,$A74,1,100000000),"")</f>
        <v/>
      </c>
      <c r="I74" s="25">
        <f>[1]!b_stm07_bs(B74,74,$A74,1,100000000)</f>
        <v>0</v>
      </c>
      <c r="J74" s="25">
        <f>[1]!b_stm07_bs(B74,109,$A74,1,100000000)</f>
        <v>0</v>
      </c>
      <c r="K74" s="10">
        <f>[1]!s_stmnote_bank_5n(B74,$A74,1)</f>
        <v>0</v>
      </c>
      <c r="L74" s="25">
        <f>[1]!s_stmnote_bank_23n(B74,$A74,1)</f>
        <v>0</v>
      </c>
      <c r="M74" s="25">
        <f>[1]!s_stmnote_bank_capadequacyratio(B74,$A74,1)</f>
        <v>0</v>
      </c>
      <c r="N74" s="25">
        <f>[1]!s_stmnote_bank_capadequacyratio_ct1(B74,$A74,1)</f>
        <v>0</v>
      </c>
      <c r="O74" s="6">
        <f>IF(OR([1]!s_fa_roe(B74,20201231)="0",[1]!s_fa_roe(B74,20211231)="0",[1]!s_fa_roe(B74,20221231)="0"),"",IFERROR(([1]!s_fa_roe(B74,20221231)+[1]!s_fa_roe(B74,20201231)+[1]!s_fa_roe(B74,20211231))/3,""))</f>
        <v>0</v>
      </c>
      <c r="P74" s="28" t="str">
        <f>IFERROR(([1]!s_stmnote_bank_65(B74,$A74,1,2,4,100000000)+[1]!s_stmnote_bank_65(B74,$A74,1,2,6,100000000))/[1]!s_stmnote_bank_1n(B74,$A74,1,100000000),"")</f>
        <v/>
      </c>
      <c r="Q74" s="28" t="str">
        <f>IFERROR([1]!s_stmnote_bank_614(B74,$A74,1,2,100000000)/[1]!s_stmnote_bank_647(B74,$A74,1,2,100000000),"")</f>
        <v/>
      </c>
      <c r="R74" s="28" t="str">
        <f>IFERROR(([1]!b_stm07_bs(B74,104,$A74,1,100000000)+[1]!b_stm07_bs(B74,106,$A74,1,100000000)+[1]!b_stm07_bs(B74,76,$A74,1,100000000)+[1]!b_stm07_bs(B74,108,$A74,1,100000000)+[1]!b_stm07_bs(B74,95,$A74,1,100000000))/[1]!b_stm07_bs(B74,128,$A74,1,100000000),"")</f>
        <v/>
      </c>
      <c r="S74" s="28" t="str">
        <f>IFERROR(([1]!s_stmnote_bank_614(B74,$A74,1,2,100000000)+[1]!b_stm07_bs(B74,104,$A74,1,100000000)+[1]!b_stm07_bs(B74,106,$A74,1,100000000)+[1]!b_stm07_bs(B74,76,$A74,1,100000000)+[1]!b_stm07_bs(B74,108,$A74,1,100000000)+[1]!b_stm07_bs(B74,95,$A74,1,100000000))/[1]!b_stm07_bs(B74,128,$A74,1,100000000),"")</f>
        <v/>
      </c>
      <c r="T74" s="11">
        <f>[1]!b_issuer_shareholder(B74,"",1)</f>
        <v>0</v>
      </c>
      <c r="U74" s="10">
        <f>[1]!b_issuer_propofshareholder(B74,"",1)</f>
        <v>0</v>
      </c>
      <c r="V74" s="33" t="str">
        <f t="shared" si="3"/>
        <v>0</v>
      </c>
      <c r="W74" s="33">
        <f>[1]!s_info_city(B74)</f>
        <v>0</v>
      </c>
      <c r="X74" s="10">
        <f>IF([1]!s_stmnote_bank_17n(B74,$A74,1)="0","",[1]!s_stmnote_bank_17n(B74,$A74,1))</f>
        <v>0</v>
      </c>
      <c r="Y74" s="10">
        <f>IF([1]!s_stmnote_bank_18n(B74,$A74,1)="0","",[1]!s_stmnote_bank_18n(B74,$A74,1))</f>
        <v>0</v>
      </c>
      <c r="Z74" s="41">
        <f>IF([1]!s_stmnote_bank_58(B74,$A74,1)="0","",[1]!s_stmnote_bank_58(B74,$A74,1))</f>
        <v>0</v>
      </c>
      <c r="AA74" s="52">
        <f>IF([1]!s_stmnote_bank_60(B74,$A74,1)="0","",[1]!s_stmnote_bank_60(B74,$A74,1))</f>
        <v>0</v>
      </c>
      <c r="AB74" s="52">
        <f>[1]!s_stmnote_bank_5444(B74,$A74,1)</f>
        <v>0</v>
      </c>
      <c r="AC74" s="38">
        <f>[1]!s_stmnote_bank_129n($B74,$A74,1)</f>
        <v>0</v>
      </c>
      <c r="AD74" s="54">
        <f>[1]!s_stmnote_bank_30(B74,$A74,1)</f>
        <v>0</v>
      </c>
    </row>
    <row r="75" spans="1:30" s="46" customFormat="1" ht="24">
      <c r="A75" s="1" t="s">
        <v>1110</v>
      </c>
      <c r="B75" s="87" t="s">
        <v>1183</v>
      </c>
      <c r="C75" s="8">
        <f>IF([1]!b_info_issuer(B75)="0","",IFERROR([1]!b_info_issuer(B75),""))</f>
        <v>0</v>
      </c>
      <c r="D75" s="11">
        <f>IF([1]!b_info_latestissurercreditrating(B75)="0","",IFERROR([1]!b_info_latestissurercreditrating(B75),""))</f>
        <v>0</v>
      </c>
      <c r="E75" s="27" t="str">
        <f>IFERROR(([1]!b_stm07_bs($B75,47,$A75,1,100000000))/[1]!b_stm07_bs($B75,109,$A75,1,100000000),"")</f>
        <v/>
      </c>
      <c r="F75" s="18" t="str">
        <f>IFERROR(([1]!s_stmnote_bank_26($B75,$A75,1,100000000)-[1]!s_stmnote_bank_26($B75,#REF!,1,100000000)+#REF!)/[1]!s_stmnote_bank_1n($B75,#REF!,1,100000000),"")</f>
        <v/>
      </c>
      <c r="G75" s="21" t="str">
        <f t="shared" si="2"/>
        <v/>
      </c>
      <c r="H75" s="18" t="str">
        <f>IFERROR([1]!s_stmnote_bank($B75,"34",$A75,100000000)/[1]!s_stmnote_bank_1n(B75,$A75,1,100000000),"")</f>
        <v/>
      </c>
      <c r="I75" s="25">
        <f>[1]!b_stm07_bs(B75,74,$A75,1,100000000)</f>
        <v>0</v>
      </c>
      <c r="J75" s="25">
        <f>[1]!b_stm07_bs(B75,109,$A75,1,100000000)</f>
        <v>0</v>
      </c>
      <c r="K75" s="10">
        <f>[1]!s_stmnote_bank_5n(B75,$A75,1)</f>
        <v>0</v>
      </c>
      <c r="L75" s="25">
        <f>[1]!s_stmnote_bank_23n(B75,$A75,1)</f>
        <v>0</v>
      </c>
      <c r="M75" s="25">
        <f>[1]!s_stmnote_bank_capadequacyratio(B75,$A75,1)</f>
        <v>0</v>
      </c>
      <c r="N75" s="25">
        <f>[1]!s_stmnote_bank_capadequacyratio_ct1(B75,$A75,1)</f>
        <v>0</v>
      </c>
      <c r="O75" s="6">
        <f>IF(OR([1]!s_fa_roe(B75,20201231)="0",[1]!s_fa_roe(B75,20211231)="0",[1]!s_fa_roe(B75,20221231)="0"),"",IFERROR(([1]!s_fa_roe(B75,20221231)+[1]!s_fa_roe(B75,20201231)+[1]!s_fa_roe(B75,20211231))/3,""))</f>
        <v>0</v>
      </c>
      <c r="P75" s="28" t="str">
        <f>IFERROR(([1]!s_stmnote_bank_65(B75,$A75,1,2,4,100000000)+[1]!s_stmnote_bank_65(B75,$A75,1,2,6,100000000))/[1]!s_stmnote_bank_1n(B75,$A75,1,100000000),"")</f>
        <v/>
      </c>
      <c r="Q75" s="28" t="str">
        <f>IFERROR([1]!s_stmnote_bank_614(B75,$A75,1,2,100000000)/[1]!s_stmnote_bank_647(B75,$A75,1,2,100000000),"")</f>
        <v/>
      </c>
      <c r="R75" s="28" t="str">
        <f>IFERROR(([1]!b_stm07_bs(B75,104,$A75,1,100000000)+[1]!b_stm07_bs(B75,106,$A75,1,100000000)+[1]!b_stm07_bs(B75,76,$A75,1,100000000)+[1]!b_stm07_bs(B75,108,$A75,1,100000000)+[1]!b_stm07_bs(B75,95,$A75,1,100000000))/[1]!b_stm07_bs(B75,128,$A75,1,100000000),"")</f>
        <v/>
      </c>
      <c r="S75" s="28" t="str">
        <f>IFERROR(([1]!s_stmnote_bank_614(B75,$A75,1,2,100000000)+[1]!b_stm07_bs(B75,104,$A75,1,100000000)+[1]!b_stm07_bs(B75,106,$A75,1,100000000)+[1]!b_stm07_bs(B75,76,$A75,1,100000000)+[1]!b_stm07_bs(B75,108,$A75,1,100000000)+[1]!b_stm07_bs(B75,95,$A75,1,100000000))/[1]!b_stm07_bs(B75,128,$A75,1,100000000),"")</f>
        <v/>
      </c>
      <c r="T75" s="11">
        <f>[1]!b_issuer_shareholder(B75,"",1)</f>
        <v>0</v>
      </c>
      <c r="U75" s="10">
        <f>[1]!b_issuer_propofshareholder(B75,"",1)</f>
        <v>0</v>
      </c>
      <c r="V75" s="33" t="str">
        <f t="shared" si="3"/>
        <v>0</v>
      </c>
      <c r="W75" s="33">
        <f>[1]!s_info_city(B75)</f>
        <v>0</v>
      </c>
      <c r="X75" s="10">
        <f>IF([1]!s_stmnote_bank_17n(B75,$A75,1)="0","",[1]!s_stmnote_bank_17n(B75,$A75,1))</f>
        <v>0</v>
      </c>
      <c r="Y75" s="10">
        <f>IF([1]!s_stmnote_bank_18n(B75,$A75,1)="0","",[1]!s_stmnote_bank_18n(B75,$A75,1))</f>
        <v>0</v>
      </c>
      <c r="Z75" s="41">
        <f>IF([1]!s_stmnote_bank_58(B75,$A75,1)="0","",[1]!s_stmnote_bank_58(B75,$A75,1))</f>
        <v>0</v>
      </c>
      <c r="AA75" s="52">
        <f>IF([1]!s_stmnote_bank_60(B75,$A75,1)="0","",[1]!s_stmnote_bank_60(B75,$A75,1))</f>
        <v>0</v>
      </c>
      <c r="AB75" s="52">
        <f>[1]!s_stmnote_bank_5444(B75,$A75,1)</f>
        <v>0</v>
      </c>
      <c r="AC75" s="38">
        <f>[1]!s_stmnote_bank_129n($B75,$A75,1)</f>
        <v>0</v>
      </c>
      <c r="AD75" s="54">
        <f>[1]!s_stmnote_bank_30(B75,$A75,1)</f>
        <v>0</v>
      </c>
    </row>
    <row r="76" spans="1:30" s="46" customFormat="1" ht="24">
      <c r="A76" s="1" t="s">
        <v>1110</v>
      </c>
      <c r="B76" s="87" t="s">
        <v>1184</v>
      </c>
      <c r="C76" s="8">
        <f>IF([1]!b_info_issuer(B76)="0","",IFERROR([1]!b_info_issuer(B76),""))</f>
        <v>0</v>
      </c>
      <c r="D76" s="11">
        <f>IF([1]!b_info_latestissurercreditrating(B76)="0","",IFERROR([1]!b_info_latestissurercreditrating(B76),""))</f>
        <v>0</v>
      </c>
      <c r="E76" s="27" t="str">
        <f>IFERROR(([1]!b_stm07_bs($B76,47,$A76,1,100000000))/[1]!b_stm07_bs($B76,109,$A76,1,100000000),"")</f>
        <v/>
      </c>
      <c r="F76" s="18" t="str">
        <f>IFERROR(([1]!s_stmnote_bank_26($B76,$A76,1,100000000)-[1]!s_stmnote_bank_26($B76,#REF!,1,100000000)+#REF!)/[1]!s_stmnote_bank_1n($B76,#REF!,1,100000000),"")</f>
        <v/>
      </c>
      <c r="G76" s="21" t="str">
        <f t="shared" si="2"/>
        <v/>
      </c>
      <c r="H76" s="18" t="str">
        <f>IFERROR([1]!s_stmnote_bank($B76,"34",$A76,100000000)/[1]!s_stmnote_bank_1n(B76,$A76,1,100000000),"")</f>
        <v/>
      </c>
      <c r="I76" s="25">
        <f>[1]!b_stm07_bs(B76,74,$A76,1,100000000)</f>
        <v>0</v>
      </c>
      <c r="J76" s="25">
        <f>[1]!b_stm07_bs(B76,109,$A76,1,100000000)</f>
        <v>0</v>
      </c>
      <c r="K76" s="10">
        <f>[1]!s_stmnote_bank_5n(B76,$A76,1)</f>
        <v>0</v>
      </c>
      <c r="L76" s="25">
        <f>[1]!s_stmnote_bank_23n(B76,$A76,1)</f>
        <v>0</v>
      </c>
      <c r="M76" s="25">
        <f>[1]!s_stmnote_bank_capadequacyratio(B76,$A76,1)</f>
        <v>0</v>
      </c>
      <c r="N76" s="25">
        <f>[1]!s_stmnote_bank_capadequacyratio_ct1(B76,$A76,1)</f>
        <v>0</v>
      </c>
      <c r="O76" s="6">
        <f>IF(OR([1]!s_fa_roe(B76,20201231)="0",[1]!s_fa_roe(B76,20211231)="0",[1]!s_fa_roe(B76,20221231)="0"),"",IFERROR(([1]!s_fa_roe(B76,20221231)+[1]!s_fa_roe(B76,20201231)+[1]!s_fa_roe(B76,20211231))/3,""))</f>
        <v>0</v>
      </c>
      <c r="P76" s="28" t="str">
        <f>IFERROR(([1]!s_stmnote_bank_65(B76,$A76,1,2,4,100000000)+[1]!s_stmnote_bank_65(B76,$A76,1,2,6,100000000))/[1]!s_stmnote_bank_1n(B76,$A76,1,100000000),"")</f>
        <v/>
      </c>
      <c r="Q76" s="28" t="str">
        <f>IFERROR([1]!s_stmnote_bank_614(B76,$A76,1,2,100000000)/[1]!s_stmnote_bank_647(B76,$A76,1,2,100000000),"")</f>
        <v/>
      </c>
      <c r="R76" s="28" t="str">
        <f>IFERROR(([1]!b_stm07_bs(B76,104,$A76,1,100000000)+[1]!b_stm07_bs(B76,106,$A76,1,100000000)+[1]!b_stm07_bs(B76,76,$A76,1,100000000)+[1]!b_stm07_bs(B76,108,$A76,1,100000000)+[1]!b_stm07_bs(B76,95,$A76,1,100000000))/[1]!b_stm07_bs(B76,128,$A76,1,100000000),"")</f>
        <v/>
      </c>
      <c r="S76" s="28" t="str">
        <f>IFERROR(([1]!s_stmnote_bank_614(B76,$A76,1,2,100000000)+[1]!b_stm07_bs(B76,104,$A76,1,100000000)+[1]!b_stm07_bs(B76,106,$A76,1,100000000)+[1]!b_stm07_bs(B76,76,$A76,1,100000000)+[1]!b_stm07_bs(B76,108,$A76,1,100000000)+[1]!b_stm07_bs(B76,95,$A76,1,100000000))/[1]!b_stm07_bs(B76,128,$A76,1,100000000),"")</f>
        <v/>
      </c>
      <c r="T76" s="11">
        <f>[1]!b_issuer_shareholder(B76,"",1)</f>
        <v>0</v>
      </c>
      <c r="U76" s="10">
        <f>[1]!b_issuer_propofshareholder(B76,"",1)</f>
        <v>0</v>
      </c>
      <c r="V76" s="33" t="str">
        <f t="shared" si="3"/>
        <v>0</v>
      </c>
      <c r="W76" s="33">
        <f>[1]!s_info_city(B76)</f>
        <v>0</v>
      </c>
      <c r="X76" s="10">
        <f>IF([1]!s_stmnote_bank_17n(B76,$A76,1)="0","",[1]!s_stmnote_bank_17n(B76,$A76,1))</f>
        <v>0</v>
      </c>
      <c r="Y76" s="10">
        <f>IF([1]!s_stmnote_bank_18n(B76,$A76,1)="0","",[1]!s_stmnote_bank_18n(B76,$A76,1))</f>
        <v>0</v>
      </c>
      <c r="Z76" s="41">
        <f>IF([1]!s_stmnote_bank_58(B76,$A76,1)="0","",[1]!s_stmnote_bank_58(B76,$A76,1))</f>
        <v>0</v>
      </c>
      <c r="AA76" s="52">
        <f>IF([1]!s_stmnote_bank_60(B76,$A76,1)="0","",[1]!s_stmnote_bank_60(B76,$A76,1))</f>
        <v>0</v>
      </c>
      <c r="AB76" s="52">
        <f>[1]!s_stmnote_bank_5444(B76,$A76,1)</f>
        <v>0</v>
      </c>
      <c r="AC76" s="38">
        <f>[1]!s_stmnote_bank_129n($B76,$A76,1)</f>
        <v>0</v>
      </c>
      <c r="AD76" s="54">
        <f>[1]!s_stmnote_bank_30(B76,$A76,1)</f>
        <v>0</v>
      </c>
    </row>
    <row r="77" spans="1:30" s="46" customFormat="1" ht="24">
      <c r="A77" s="1" t="s">
        <v>1110</v>
      </c>
      <c r="B77" s="87" t="s">
        <v>1185</v>
      </c>
      <c r="C77" s="8">
        <f>IF([1]!b_info_issuer(B77)="0","",IFERROR([1]!b_info_issuer(B77),""))</f>
        <v>0</v>
      </c>
      <c r="D77" s="11">
        <f>IF([1]!b_info_latestissurercreditrating(B77)="0","",IFERROR([1]!b_info_latestissurercreditrating(B77),""))</f>
        <v>0</v>
      </c>
      <c r="E77" s="27" t="str">
        <f>IFERROR(([1]!b_stm07_bs($B77,47,$A77,1,100000000))/[1]!b_stm07_bs($B77,109,$A77,1,100000000),"")</f>
        <v/>
      </c>
      <c r="F77" s="18" t="str">
        <f>IFERROR(([1]!s_stmnote_bank_26($B77,$A77,1,100000000)-[1]!s_stmnote_bank_26($B77,#REF!,1,100000000)+#REF!)/[1]!s_stmnote_bank_1n($B77,#REF!,1,100000000),"")</f>
        <v/>
      </c>
      <c r="G77" s="21" t="str">
        <f t="shared" si="2"/>
        <v/>
      </c>
      <c r="H77" s="18" t="str">
        <f>IFERROR([1]!s_stmnote_bank($B77,"34",$A77,100000000)/[1]!s_stmnote_bank_1n(B77,$A77,1,100000000),"")</f>
        <v/>
      </c>
      <c r="I77" s="25">
        <f>[1]!b_stm07_bs(B77,74,$A77,1,100000000)</f>
        <v>0</v>
      </c>
      <c r="J77" s="25">
        <f>[1]!b_stm07_bs(B77,109,$A77,1,100000000)</f>
        <v>0</v>
      </c>
      <c r="K77" s="10">
        <f>[1]!s_stmnote_bank_5n(B77,$A77,1)</f>
        <v>0</v>
      </c>
      <c r="L77" s="25">
        <f>[1]!s_stmnote_bank_23n(B77,$A77,1)</f>
        <v>0</v>
      </c>
      <c r="M77" s="25">
        <f>[1]!s_stmnote_bank_capadequacyratio(B77,$A77,1)</f>
        <v>0</v>
      </c>
      <c r="N77" s="25">
        <f>[1]!s_stmnote_bank_capadequacyratio_ct1(B77,$A77,1)</f>
        <v>0</v>
      </c>
      <c r="O77" s="6">
        <f>IF(OR([1]!s_fa_roe(B77,20201231)="0",[1]!s_fa_roe(B77,20211231)="0",[1]!s_fa_roe(B77,20221231)="0"),"",IFERROR(([1]!s_fa_roe(B77,20221231)+[1]!s_fa_roe(B77,20201231)+[1]!s_fa_roe(B77,20211231))/3,""))</f>
        <v>0</v>
      </c>
      <c r="P77" s="28" t="str">
        <f>IFERROR(([1]!s_stmnote_bank_65(B77,$A77,1,2,4,100000000)+[1]!s_stmnote_bank_65(B77,$A77,1,2,6,100000000))/[1]!s_stmnote_bank_1n(B77,$A77,1,100000000),"")</f>
        <v/>
      </c>
      <c r="Q77" s="28" t="str">
        <f>IFERROR([1]!s_stmnote_bank_614(B77,$A77,1,2,100000000)/[1]!s_stmnote_bank_647(B77,$A77,1,2,100000000),"")</f>
        <v/>
      </c>
      <c r="R77" s="28" t="str">
        <f>IFERROR(([1]!b_stm07_bs(B77,104,$A77,1,100000000)+[1]!b_stm07_bs(B77,106,$A77,1,100000000)+[1]!b_stm07_bs(B77,76,$A77,1,100000000)+[1]!b_stm07_bs(B77,108,$A77,1,100000000)+[1]!b_stm07_bs(B77,95,$A77,1,100000000))/[1]!b_stm07_bs(B77,128,$A77,1,100000000),"")</f>
        <v/>
      </c>
      <c r="S77" s="28" t="str">
        <f>IFERROR(([1]!s_stmnote_bank_614(B77,$A77,1,2,100000000)+[1]!b_stm07_bs(B77,104,$A77,1,100000000)+[1]!b_stm07_bs(B77,106,$A77,1,100000000)+[1]!b_stm07_bs(B77,76,$A77,1,100000000)+[1]!b_stm07_bs(B77,108,$A77,1,100000000)+[1]!b_stm07_bs(B77,95,$A77,1,100000000))/[1]!b_stm07_bs(B77,128,$A77,1,100000000),"")</f>
        <v/>
      </c>
      <c r="T77" s="11">
        <f>[1]!b_issuer_shareholder(B77,"",1)</f>
        <v>0</v>
      </c>
      <c r="U77" s="10">
        <f>[1]!b_issuer_propofshareholder(B77,"",1)</f>
        <v>0</v>
      </c>
      <c r="V77" s="33" t="str">
        <f t="shared" si="3"/>
        <v>0</v>
      </c>
      <c r="W77" s="33">
        <f>[1]!s_info_city(B77)</f>
        <v>0</v>
      </c>
      <c r="X77" s="10">
        <f>IF([1]!s_stmnote_bank_17n(B77,$A77,1)="0","",[1]!s_stmnote_bank_17n(B77,$A77,1))</f>
        <v>0</v>
      </c>
      <c r="Y77" s="10">
        <f>IF([1]!s_stmnote_bank_18n(B77,$A77,1)="0","",[1]!s_stmnote_bank_18n(B77,$A77,1))</f>
        <v>0</v>
      </c>
      <c r="Z77" s="41">
        <f>IF([1]!s_stmnote_bank_58(B77,$A77,1)="0","",[1]!s_stmnote_bank_58(B77,$A77,1))</f>
        <v>0</v>
      </c>
      <c r="AA77" s="52">
        <f>IF([1]!s_stmnote_bank_60(B77,$A77,1)="0","",[1]!s_stmnote_bank_60(B77,$A77,1))</f>
        <v>0</v>
      </c>
      <c r="AB77" s="52">
        <f>[1]!s_stmnote_bank_5444(B77,$A77,1)</f>
        <v>0</v>
      </c>
      <c r="AC77" s="38">
        <f>[1]!s_stmnote_bank_129n($B77,$A77,1)</f>
        <v>0</v>
      </c>
      <c r="AD77" s="54">
        <f>[1]!s_stmnote_bank_30(B77,$A77,1)</f>
        <v>0</v>
      </c>
    </row>
    <row r="78" spans="1:30" s="46" customFormat="1" ht="24">
      <c r="A78" s="1" t="s">
        <v>1110</v>
      </c>
      <c r="B78" s="87" t="s">
        <v>1186</v>
      </c>
      <c r="C78" s="8">
        <f>IF([1]!b_info_issuer(B78)="0","",IFERROR([1]!b_info_issuer(B78),""))</f>
        <v>0</v>
      </c>
      <c r="D78" s="11">
        <f>IF([1]!b_info_latestissurercreditrating(B78)="0","",IFERROR([1]!b_info_latestissurercreditrating(B78),""))</f>
        <v>0</v>
      </c>
      <c r="E78" s="27" t="str">
        <f>IFERROR(([1]!b_stm07_bs($B78,47,$A78,1,100000000))/[1]!b_stm07_bs($B78,109,$A78,1,100000000),"")</f>
        <v/>
      </c>
      <c r="F78" s="18" t="str">
        <f>IFERROR(([1]!s_stmnote_bank_26($B78,$A78,1,100000000)-[1]!s_stmnote_bank_26($B78,#REF!,1,100000000)+#REF!)/[1]!s_stmnote_bank_1n($B78,#REF!,1,100000000),"")</f>
        <v/>
      </c>
      <c r="G78" s="21" t="str">
        <f t="shared" si="2"/>
        <v/>
      </c>
      <c r="H78" s="18" t="str">
        <f>IFERROR([1]!s_stmnote_bank($B78,"34",$A78,100000000)/[1]!s_stmnote_bank_1n(B78,$A78,1,100000000),"")</f>
        <v/>
      </c>
      <c r="I78" s="25">
        <f>[1]!b_stm07_bs(B78,74,$A78,1,100000000)</f>
        <v>0</v>
      </c>
      <c r="J78" s="25">
        <f>[1]!b_stm07_bs(B78,109,$A78,1,100000000)</f>
        <v>0</v>
      </c>
      <c r="K78" s="10">
        <f>[1]!s_stmnote_bank_5n(B78,$A78,1)</f>
        <v>0</v>
      </c>
      <c r="L78" s="25">
        <f>[1]!s_stmnote_bank_23n(B78,$A78,1)</f>
        <v>0</v>
      </c>
      <c r="M78" s="25">
        <f>[1]!s_stmnote_bank_capadequacyratio(B78,$A78,1)</f>
        <v>0</v>
      </c>
      <c r="N78" s="25">
        <f>[1]!s_stmnote_bank_capadequacyratio_ct1(B78,$A78,1)</f>
        <v>0</v>
      </c>
      <c r="O78" s="6">
        <f>IF(OR([1]!s_fa_roe(B78,20201231)="0",[1]!s_fa_roe(B78,20211231)="0",[1]!s_fa_roe(B78,20221231)="0"),"",IFERROR(([1]!s_fa_roe(B78,20221231)+[1]!s_fa_roe(B78,20201231)+[1]!s_fa_roe(B78,20211231))/3,""))</f>
        <v>0</v>
      </c>
      <c r="P78" s="28" t="str">
        <f>IFERROR(([1]!s_stmnote_bank_65(B78,$A78,1,2,4,100000000)+[1]!s_stmnote_bank_65(B78,$A78,1,2,6,100000000))/[1]!s_stmnote_bank_1n(B78,$A78,1,100000000),"")</f>
        <v/>
      </c>
      <c r="Q78" s="28" t="str">
        <f>IFERROR([1]!s_stmnote_bank_614(B78,$A78,1,2,100000000)/[1]!s_stmnote_bank_647(B78,$A78,1,2,100000000),"")</f>
        <v/>
      </c>
      <c r="R78" s="28" t="str">
        <f>IFERROR(([1]!b_stm07_bs(B78,104,$A78,1,100000000)+[1]!b_stm07_bs(B78,106,$A78,1,100000000)+[1]!b_stm07_bs(B78,76,$A78,1,100000000)+[1]!b_stm07_bs(B78,108,$A78,1,100000000)+[1]!b_stm07_bs(B78,95,$A78,1,100000000))/[1]!b_stm07_bs(B78,128,$A78,1,100000000),"")</f>
        <v/>
      </c>
      <c r="S78" s="28" t="str">
        <f>IFERROR(([1]!s_stmnote_bank_614(B78,$A78,1,2,100000000)+[1]!b_stm07_bs(B78,104,$A78,1,100000000)+[1]!b_stm07_bs(B78,106,$A78,1,100000000)+[1]!b_stm07_bs(B78,76,$A78,1,100000000)+[1]!b_stm07_bs(B78,108,$A78,1,100000000)+[1]!b_stm07_bs(B78,95,$A78,1,100000000))/[1]!b_stm07_bs(B78,128,$A78,1,100000000),"")</f>
        <v/>
      </c>
      <c r="T78" s="11">
        <f>[1]!b_issuer_shareholder(B78,"",1)</f>
        <v>0</v>
      </c>
      <c r="U78" s="10">
        <f>[1]!b_issuer_propofshareholder(B78,"",1)</f>
        <v>0</v>
      </c>
      <c r="V78" s="33" t="str">
        <f t="shared" si="3"/>
        <v>0</v>
      </c>
      <c r="W78" s="33">
        <f>[1]!s_info_city(B78)</f>
        <v>0</v>
      </c>
      <c r="X78" s="10">
        <f>IF([1]!s_stmnote_bank_17n(B78,$A78,1)="0","",[1]!s_stmnote_bank_17n(B78,$A78,1))</f>
        <v>0</v>
      </c>
      <c r="Y78" s="10">
        <f>IF([1]!s_stmnote_bank_18n(B78,$A78,1)="0","",[1]!s_stmnote_bank_18n(B78,$A78,1))</f>
        <v>0</v>
      </c>
      <c r="Z78" s="41">
        <f>IF([1]!s_stmnote_bank_58(B78,$A78,1)="0","",[1]!s_stmnote_bank_58(B78,$A78,1))</f>
        <v>0</v>
      </c>
      <c r="AA78" s="52">
        <f>IF([1]!s_stmnote_bank_60(B78,$A78,1)="0","",[1]!s_stmnote_bank_60(B78,$A78,1))</f>
        <v>0</v>
      </c>
      <c r="AB78" s="52">
        <f>[1]!s_stmnote_bank_5444(B78,$A78,1)</f>
        <v>0</v>
      </c>
      <c r="AC78" s="38">
        <f>[1]!s_stmnote_bank_129n($B78,$A78,1)</f>
        <v>0</v>
      </c>
      <c r="AD78" s="54">
        <f>[1]!s_stmnote_bank_30(B78,$A78,1)</f>
        <v>0</v>
      </c>
    </row>
    <row r="79" spans="1:30" s="46" customFormat="1" ht="24">
      <c r="A79" s="1" t="s">
        <v>1110</v>
      </c>
      <c r="B79" s="87" t="s">
        <v>1187</v>
      </c>
      <c r="C79" s="8">
        <f>IF([1]!b_info_issuer(B79)="0","",IFERROR([1]!b_info_issuer(B79),""))</f>
        <v>0</v>
      </c>
      <c r="D79" s="11">
        <f>IF([1]!b_info_latestissurercreditrating(B79)="0","",IFERROR([1]!b_info_latestissurercreditrating(B79),""))</f>
        <v>0</v>
      </c>
      <c r="E79" s="27" t="str">
        <f>IFERROR(([1]!b_stm07_bs($B79,47,$A79,1,100000000))/[1]!b_stm07_bs($B79,109,$A79,1,100000000),"")</f>
        <v/>
      </c>
      <c r="F79" s="18" t="str">
        <f>IFERROR(([1]!s_stmnote_bank_26($B79,$A79,1,100000000)-[1]!s_stmnote_bank_26($B79,#REF!,1,100000000)+#REF!)/[1]!s_stmnote_bank_1n($B79,#REF!,1,100000000),"")</f>
        <v/>
      </c>
      <c r="G79" s="21" t="str">
        <f t="shared" si="2"/>
        <v/>
      </c>
      <c r="H79" s="18" t="str">
        <f>IFERROR([1]!s_stmnote_bank($B79,"34",$A79,100000000)/[1]!s_stmnote_bank_1n(B79,$A79,1,100000000),"")</f>
        <v/>
      </c>
      <c r="I79" s="25">
        <f>[1]!b_stm07_bs(B79,74,$A79,1,100000000)</f>
        <v>0</v>
      </c>
      <c r="J79" s="25">
        <f>[1]!b_stm07_bs(B79,109,$A79,1,100000000)</f>
        <v>0</v>
      </c>
      <c r="K79" s="10">
        <f>[1]!s_stmnote_bank_5n(B79,$A79,1)</f>
        <v>0</v>
      </c>
      <c r="L79" s="25">
        <f>[1]!s_stmnote_bank_23n(B79,$A79,1)</f>
        <v>0</v>
      </c>
      <c r="M79" s="25">
        <f>[1]!s_stmnote_bank_capadequacyratio(B79,$A79,1)</f>
        <v>0</v>
      </c>
      <c r="N79" s="25">
        <f>[1]!s_stmnote_bank_capadequacyratio_ct1(B79,$A79,1)</f>
        <v>0</v>
      </c>
      <c r="O79" s="6">
        <f>IF(OR([1]!s_fa_roe(B79,20201231)="0",[1]!s_fa_roe(B79,20211231)="0",[1]!s_fa_roe(B79,20221231)="0"),"",IFERROR(([1]!s_fa_roe(B79,20221231)+[1]!s_fa_roe(B79,20201231)+[1]!s_fa_roe(B79,20211231))/3,""))</f>
        <v>0</v>
      </c>
      <c r="P79" s="28" t="str">
        <f>IFERROR(([1]!s_stmnote_bank_65(B79,$A79,1,2,4,100000000)+[1]!s_stmnote_bank_65(B79,$A79,1,2,6,100000000))/[1]!s_stmnote_bank_1n(B79,$A79,1,100000000),"")</f>
        <v/>
      </c>
      <c r="Q79" s="28" t="str">
        <f>IFERROR([1]!s_stmnote_bank_614(B79,$A79,1,2,100000000)/[1]!s_stmnote_bank_647(B79,$A79,1,2,100000000),"")</f>
        <v/>
      </c>
      <c r="R79" s="28" t="str">
        <f>IFERROR(([1]!b_stm07_bs(B79,104,$A79,1,100000000)+[1]!b_stm07_bs(B79,106,$A79,1,100000000)+[1]!b_stm07_bs(B79,76,$A79,1,100000000)+[1]!b_stm07_bs(B79,108,$A79,1,100000000)+[1]!b_stm07_bs(B79,95,$A79,1,100000000))/[1]!b_stm07_bs(B79,128,$A79,1,100000000),"")</f>
        <v/>
      </c>
      <c r="S79" s="28" t="str">
        <f>IFERROR(([1]!s_stmnote_bank_614(B79,$A79,1,2,100000000)+[1]!b_stm07_bs(B79,104,$A79,1,100000000)+[1]!b_stm07_bs(B79,106,$A79,1,100000000)+[1]!b_stm07_bs(B79,76,$A79,1,100000000)+[1]!b_stm07_bs(B79,108,$A79,1,100000000)+[1]!b_stm07_bs(B79,95,$A79,1,100000000))/[1]!b_stm07_bs(B79,128,$A79,1,100000000),"")</f>
        <v/>
      </c>
      <c r="T79" s="11">
        <f>[1]!b_issuer_shareholder(B79,"",1)</f>
        <v>0</v>
      </c>
      <c r="U79" s="10">
        <f>[1]!b_issuer_propofshareholder(B79,"",1)</f>
        <v>0</v>
      </c>
      <c r="V79" s="33" t="str">
        <f t="shared" si="3"/>
        <v>0</v>
      </c>
      <c r="W79" s="33">
        <f>[1]!s_info_city(B79)</f>
        <v>0</v>
      </c>
      <c r="X79" s="10">
        <f>IF([1]!s_stmnote_bank_17n(B79,$A79,1)="0","",[1]!s_stmnote_bank_17n(B79,$A79,1))</f>
        <v>0</v>
      </c>
      <c r="Y79" s="10">
        <f>IF([1]!s_stmnote_bank_18n(B79,$A79,1)="0","",[1]!s_stmnote_bank_18n(B79,$A79,1))</f>
        <v>0</v>
      </c>
      <c r="Z79" s="41">
        <f>IF([1]!s_stmnote_bank_58(B79,$A79,1)="0","",[1]!s_stmnote_bank_58(B79,$A79,1))</f>
        <v>0</v>
      </c>
      <c r="AA79" s="52">
        <f>IF([1]!s_stmnote_bank_60(B79,$A79,1)="0","",[1]!s_stmnote_bank_60(B79,$A79,1))</f>
        <v>0</v>
      </c>
      <c r="AB79" s="52">
        <f>[1]!s_stmnote_bank_5444(B79,$A79,1)</f>
        <v>0</v>
      </c>
      <c r="AC79" s="38">
        <f>[1]!s_stmnote_bank_129n($B79,$A79,1)</f>
        <v>0</v>
      </c>
      <c r="AD79" s="54">
        <f>[1]!s_stmnote_bank_30(B79,$A79,1)</f>
        <v>0</v>
      </c>
    </row>
    <row r="80" spans="1:30" ht="24">
      <c r="A80" s="1" t="s">
        <v>1110</v>
      </c>
      <c r="B80" s="87" t="s">
        <v>1188</v>
      </c>
      <c r="C80" s="8">
        <f>IF([1]!b_info_issuer(B80)="0","",IFERROR([1]!b_info_issuer(B80),""))</f>
        <v>0</v>
      </c>
      <c r="D80" s="11">
        <f>IF([1]!b_info_latestissurercreditrating(B80)="0","",IFERROR([1]!b_info_latestissurercreditrating(B80),""))</f>
        <v>0</v>
      </c>
      <c r="E80" s="27" t="str">
        <f>IFERROR(([1]!b_stm07_bs($B80,47,$A80,1,100000000))/[1]!b_stm07_bs($B80,109,$A80,1,100000000),"")</f>
        <v/>
      </c>
      <c r="F80" s="18" t="str">
        <f>IFERROR(([1]!s_stmnote_bank_26($B80,$A80,1,100000000)-[1]!s_stmnote_bank_26($B80,#REF!,1,100000000)+#REF!)/[1]!s_stmnote_bank_1n($B80,#REF!,1,100000000),"")</f>
        <v/>
      </c>
      <c r="G80" s="21" t="str">
        <f t="shared" si="2"/>
        <v/>
      </c>
      <c r="H80" s="18" t="str">
        <f>IFERROR([1]!s_stmnote_bank($B80,"34",$A80,100000000)/[1]!s_stmnote_bank_1n(B80,$A80,1,100000000),"")</f>
        <v/>
      </c>
      <c r="I80" s="25">
        <f>[1]!b_stm07_bs(B80,74,$A80,1,100000000)</f>
        <v>0</v>
      </c>
      <c r="J80" s="25">
        <f>[1]!b_stm07_bs(B80,109,$A80,1,100000000)</f>
        <v>0</v>
      </c>
      <c r="K80" s="10">
        <f>[1]!s_stmnote_bank_5n(B80,$A80,1)</f>
        <v>0</v>
      </c>
      <c r="L80" s="25">
        <f>[1]!s_stmnote_bank_23n(B80,$A80,1)</f>
        <v>0</v>
      </c>
      <c r="M80" s="25">
        <f>[1]!s_stmnote_bank_capadequacyratio(B80,$A80,1)</f>
        <v>0</v>
      </c>
      <c r="N80" s="25">
        <f>[1]!s_stmnote_bank_capadequacyratio_ct1(B80,$A80,1)</f>
        <v>0</v>
      </c>
      <c r="O80" s="6">
        <f>IF(OR([1]!s_fa_roe(B80,20201231)="0",[1]!s_fa_roe(B80,20211231)="0",[1]!s_fa_roe(B80,20221231)="0"),"",IFERROR(([1]!s_fa_roe(B80,20221231)+[1]!s_fa_roe(B80,20201231)+[1]!s_fa_roe(B80,20211231))/3,""))</f>
        <v>0</v>
      </c>
      <c r="P80" s="28" t="str">
        <f>IFERROR(([1]!s_stmnote_bank_65(B80,$A80,1,2,4,100000000)+[1]!s_stmnote_bank_65(B80,$A80,1,2,6,100000000))/[1]!s_stmnote_bank_1n(B80,$A80,1,100000000),"")</f>
        <v/>
      </c>
      <c r="Q80" s="28" t="str">
        <f>IFERROR([1]!s_stmnote_bank_614(B80,$A80,1,2,100000000)/[1]!s_stmnote_bank_647(B80,$A80,1,2,100000000),"")</f>
        <v/>
      </c>
      <c r="R80" s="28" t="str">
        <f>IFERROR(([1]!b_stm07_bs(B80,104,$A80,1,100000000)+[1]!b_stm07_bs(B80,106,$A80,1,100000000)+[1]!b_stm07_bs(B80,76,$A80,1,100000000)+[1]!b_stm07_bs(B80,108,$A80,1,100000000)+[1]!b_stm07_bs(B80,95,$A80,1,100000000))/[1]!b_stm07_bs(B80,128,$A80,1,100000000),"")</f>
        <v/>
      </c>
      <c r="S80" s="28" t="str">
        <f>IFERROR(([1]!s_stmnote_bank_614(B80,$A80,1,2,100000000)+[1]!b_stm07_bs(B80,104,$A80,1,100000000)+[1]!b_stm07_bs(B80,106,$A80,1,100000000)+[1]!b_stm07_bs(B80,76,$A80,1,100000000)+[1]!b_stm07_bs(B80,108,$A80,1,100000000)+[1]!b_stm07_bs(B80,95,$A80,1,100000000))/[1]!b_stm07_bs(B80,128,$A80,1,100000000),"")</f>
        <v/>
      </c>
      <c r="T80" s="11">
        <f>[1]!b_issuer_shareholder(B80,"",1)</f>
        <v>0</v>
      </c>
      <c r="U80" s="10">
        <f>[1]!b_issuer_propofshareholder(B80,"",1)</f>
        <v>0</v>
      </c>
      <c r="V80" s="33" t="str">
        <f t="shared" si="3"/>
        <v>0</v>
      </c>
      <c r="W80" s="33">
        <f>[1]!s_info_city(B80)</f>
        <v>0</v>
      </c>
      <c r="X80" s="10">
        <f>IF([1]!s_stmnote_bank_17n(B80,$A80,1)="0","",[1]!s_stmnote_bank_17n(B80,$A80,1))</f>
        <v>0</v>
      </c>
      <c r="Y80" s="10">
        <f>IF([1]!s_stmnote_bank_18n(B80,$A80,1)="0","",[1]!s_stmnote_bank_18n(B80,$A80,1))</f>
        <v>0</v>
      </c>
      <c r="Z80" s="41">
        <f>IF([1]!s_stmnote_bank_58(B80,$A80,1)="0","",[1]!s_stmnote_bank_58(B80,$A80,1))</f>
        <v>0</v>
      </c>
      <c r="AA80" s="52">
        <f>IF([1]!s_stmnote_bank_60(B80,$A80,1)="0","",[1]!s_stmnote_bank_60(B80,$A80,1))</f>
        <v>0</v>
      </c>
      <c r="AB80" s="52">
        <f>[1]!s_stmnote_bank_5444(B80,$A80,1)</f>
        <v>0</v>
      </c>
      <c r="AC80" s="38">
        <f>[1]!s_stmnote_bank_129n($B80,$A80,1)</f>
        <v>0</v>
      </c>
      <c r="AD80" s="54">
        <f>[1]!s_stmnote_bank_30(B80,$A80,1)</f>
        <v>0</v>
      </c>
    </row>
    <row r="81" spans="1:30" s="46" customFormat="1" ht="24">
      <c r="A81" s="1" t="s">
        <v>1110</v>
      </c>
      <c r="B81" s="87" t="s">
        <v>1189</v>
      </c>
      <c r="C81" s="8">
        <f>IF([1]!b_info_issuer(B81)="0","",IFERROR([1]!b_info_issuer(B81),""))</f>
        <v>0</v>
      </c>
      <c r="D81" s="11">
        <f>IF([1]!b_info_latestissurercreditrating(B81)="0","",IFERROR([1]!b_info_latestissurercreditrating(B81),""))</f>
        <v>0</v>
      </c>
      <c r="E81" s="27" t="str">
        <f>IFERROR(([1]!b_stm07_bs($B81,47,$A81,1,100000000))/[1]!b_stm07_bs($B81,109,$A81,1,100000000),"")</f>
        <v/>
      </c>
      <c r="F81" s="18" t="str">
        <f>IFERROR(([1]!s_stmnote_bank_26($B81,$A81,1,100000000)-[1]!s_stmnote_bank_26($B81,#REF!,1,100000000)+#REF!)/[1]!s_stmnote_bank_1n($B81,#REF!,1,100000000),"")</f>
        <v/>
      </c>
      <c r="G81" s="21" t="str">
        <f t="shared" si="2"/>
        <v/>
      </c>
      <c r="H81" s="18" t="str">
        <f>IFERROR([1]!s_stmnote_bank($B81,"34",$A81,100000000)/[1]!s_stmnote_bank_1n(B81,$A81,1,100000000),"")</f>
        <v/>
      </c>
      <c r="I81" s="25">
        <f>[1]!b_stm07_bs(B81,74,$A81,1,100000000)</f>
        <v>0</v>
      </c>
      <c r="J81" s="25">
        <f>[1]!b_stm07_bs(B81,109,$A81,1,100000000)</f>
        <v>0</v>
      </c>
      <c r="K81" s="10">
        <f>[1]!s_stmnote_bank_5n(B81,$A81,1)</f>
        <v>0</v>
      </c>
      <c r="L81" s="25">
        <f>[1]!s_stmnote_bank_23n(B81,$A81,1)</f>
        <v>0</v>
      </c>
      <c r="M81" s="25">
        <f>[1]!s_stmnote_bank_capadequacyratio(B81,$A81,1)</f>
        <v>0</v>
      </c>
      <c r="N81" s="25">
        <f>[1]!s_stmnote_bank_capadequacyratio_ct1(B81,$A81,1)</f>
        <v>0</v>
      </c>
      <c r="O81" s="6">
        <f>IF(OR([1]!s_fa_roe(B81,20201231)="0",[1]!s_fa_roe(B81,20211231)="0",[1]!s_fa_roe(B81,20221231)="0"),"",IFERROR(([1]!s_fa_roe(B81,20221231)+[1]!s_fa_roe(B81,20201231)+[1]!s_fa_roe(B81,20211231))/3,""))</f>
        <v>0</v>
      </c>
      <c r="P81" s="28" t="str">
        <f>IFERROR(([1]!s_stmnote_bank_65(B81,$A81,1,2,4,100000000)+[1]!s_stmnote_bank_65(B81,$A81,1,2,6,100000000))/[1]!s_stmnote_bank_1n(B81,$A81,1,100000000),"")</f>
        <v/>
      </c>
      <c r="Q81" s="28" t="str">
        <f>IFERROR([1]!s_stmnote_bank_614(B81,$A81,1,2,100000000)/[1]!s_stmnote_bank_647(B81,$A81,1,2,100000000),"")</f>
        <v/>
      </c>
      <c r="R81" s="28" t="str">
        <f>IFERROR(([1]!b_stm07_bs(B81,104,$A81,1,100000000)+[1]!b_stm07_bs(B81,106,$A81,1,100000000)+[1]!b_stm07_bs(B81,76,$A81,1,100000000)+[1]!b_stm07_bs(B81,108,$A81,1,100000000)+[1]!b_stm07_bs(B81,95,$A81,1,100000000))/[1]!b_stm07_bs(B81,128,$A81,1,100000000),"")</f>
        <v/>
      </c>
      <c r="S81" s="28" t="str">
        <f>IFERROR(([1]!s_stmnote_bank_614(B81,$A81,1,2,100000000)+[1]!b_stm07_bs(B81,104,$A81,1,100000000)+[1]!b_stm07_bs(B81,106,$A81,1,100000000)+[1]!b_stm07_bs(B81,76,$A81,1,100000000)+[1]!b_stm07_bs(B81,108,$A81,1,100000000)+[1]!b_stm07_bs(B81,95,$A81,1,100000000))/[1]!b_stm07_bs(B81,128,$A81,1,100000000),"")</f>
        <v/>
      </c>
      <c r="T81" s="11">
        <f>[1]!b_issuer_shareholder(B81,"",1)</f>
        <v>0</v>
      </c>
      <c r="U81" s="10">
        <f>[1]!b_issuer_propofshareholder(B81,"",1)</f>
        <v>0</v>
      </c>
      <c r="V81" s="33" t="str">
        <f t="shared" si="3"/>
        <v>0</v>
      </c>
      <c r="W81" s="33">
        <f>[1]!s_info_city(B81)</f>
        <v>0</v>
      </c>
      <c r="X81" s="10">
        <f>IF([1]!s_stmnote_bank_17n(B81,$A81,1)="0","",[1]!s_stmnote_bank_17n(B81,$A81,1))</f>
        <v>0</v>
      </c>
      <c r="Y81" s="10">
        <f>IF([1]!s_stmnote_bank_18n(B81,$A81,1)="0","",[1]!s_stmnote_bank_18n(B81,$A81,1))</f>
        <v>0</v>
      </c>
      <c r="Z81" s="41">
        <f>IF([1]!s_stmnote_bank_58(B81,$A81,1)="0","",[1]!s_stmnote_bank_58(B81,$A81,1))</f>
        <v>0</v>
      </c>
      <c r="AA81" s="52">
        <f>IF([1]!s_stmnote_bank_60(B81,$A81,1)="0","",[1]!s_stmnote_bank_60(B81,$A81,1))</f>
        <v>0</v>
      </c>
      <c r="AB81" s="52">
        <f>[1]!s_stmnote_bank_5444(B81,$A81,1)</f>
        <v>0</v>
      </c>
      <c r="AC81" s="38">
        <f>[1]!s_stmnote_bank_129n($B81,$A81,1)</f>
        <v>0</v>
      </c>
      <c r="AD81" s="54">
        <f>[1]!s_stmnote_bank_30(B81,$A81,1)</f>
        <v>0</v>
      </c>
    </row>
    <row r="82" spans="1:30" s="46" customFormat="1" ht="24">
      <c r="A82" s="1" t="s">
        <v>1110</v>
      </c>
      <c r="B82" s="87" t="s">
        <v>1190</v>
      </c>
      <c r="C82" s="8">
        <f>IF([1]!b_info_issuer(B82)="0","",IFERROR([1]!b_info_issuer(B82),""))</f>
        <v>0</v>
      </c>
      <c r="D82" s="11">
        <f>IF([1]!b_info_latestissurercreditrating(B82)="0","",IFERROR([1]!b_info_latestissurercreditrating(B82),""))</f>
        <v>0</v>
      </c>
      <c r="E82" s="27" t="str">
        <f>IFERROR(([1]!b_stm07_bs($B82,47,$A82,1,100000000))/[1]!b_stm07_bs($B82,109,$A82,1,100000000),"")</f>
        <v/>
      </c>
      <c r="F82" s="18" t="str">
        <f>IFERROR(([1]!s_stmnote_bank_26($B82,$A82,1,100000000)-[1]!s_stmnote_bank_26($B82,#REF!,1,100000000)+#REF!)/[1]!s_stmnote_bank_1n($B82,#REF!,1,100000000),"")</f>
        <v/>
      </c>
      <c r="G82" s="21" t="str">
        <f t="shared" si="2"/>
        <v/>
      </c>
      <c r="H82" s="18" t="str">
        <f>IFERROR([1]!s_stmnote_bank($B82,"34",$A82,100000000)/[1]!s_stmnote_bank_1n(B82,$A82,1,100000000),"")</f>
        <v/>
      </c>
      <c r="I82" s="25">
        <f>[1]!b_stm07_bs(B82,74,$A82,1,100000000)</f>
        <v>0</v>
      </c>
      <c r="J82" s="25">
        <f>[1]!b_stm07_bs(B82,109,$A82,1,100000000)</f>
        <v>0</v>
      </c>
      <c r="K82" s="10">
        <f>[1]!s_stmnote_bank_5n(B82,$A82,1)</f>
        <v>0</v>
      </c>
      <c r="L82" s="25">
        <f>[1]!s_stmnote_bank_23n(B82,$A82,1)</f>
        <v>0</v>
      </c>
      <c r="M82" s="25">
        <f>[1]!s_stmnote_bank_capadequacyratio(B82,$A82,1)</f>
        <v>0</v>
      </c>
      <c r="N82" s="25">
        <f>[1]!s_stmnote_bank_capadequacyratio_ct1(B82,$A82,1)</f>
        <v>0</v>
      </c>
      <c r="O82" s="6">
        <f>IF(OR([1]!s_fa_roe(B82,20201231)="0",[1]!s_fa_roe(B82,20211231)="0",[1]!s_fa_roe(B82,20221231)="0"),"",IFERROR(([1]!s_fa_roe(B82,20221231)+[1]!s_fa_roe(B82,20201231)+[1]!s_fa_roe(B82,20211231))/3,""))</f>
        <v>0</v>
      </c>
      <c r="P82" s="28" t="str">
        <f>IFERROR(([1]!s_stmnote_bank_65(B82,$A82,1,2,4,100000000)+[1]!s_stmnote_bank_65(B82,$A82,1,2,6,100000000))/[1]!s_stmnote_bank_1n(B82,$A82,1,100000000),"")</f>
        <v/>
      </c>
      <c r="Q82" s="28" t="str">
        <f>IFERROR([1]!s_stmnote_bank_614(B82,$A82,1,2,100000000)/[1]!s_stmnote_bank_647(B82,$A82,1,2,100000000),"")</f>
        <v/>
      </c>
      <c r="R82" s="28" t="str">
        <f>IFERROR(([1]!b_stm07_bs(B82,104,$A82,1,100000000)+[1]!b_stm07_bs(B82,106,$A82,1,100000000)+[1]!b_stm07_bs(B82,76,$A82,1,100000000)+[1]!b_stm07_bs(B82,108,$A82,1,100000000)+[1]!b_stm07_bs(B82,95,$A82,1,100000000))/[1]!b_stm07_bs(B82,128,$A82,1,100000000),"")</f>
        <v/>
      </c>
      <c r="S82" s="28" t="str">
        <f>IFERROR(([1]!s_stmnote_bank_614(B82,$A82,1,2,100000000)+[1]!b_stm07_bs(B82,104,$A82,1,100000000)+[1]!b_stm07_bs(B82,106,$A82,1,100000000)+[1]!b_stm07_bs(B82,76,$A82,1,100000000)+[1]!b_stm07_bs(B82,108,$A82,1,100000000)+[1]!b_stm07_bs(B82,95,$A82,1,100000000))/[1]!b_stm07_bs(B82,128,$A82,1,100000000),"")</f>
        <v/>
      </c>
      <c r="T82" s="11">
        <f>[1]!b_issuer_shareholder(B82,"",1)</f>
        <v>0</v>
      </c>
      <c r="U82" s="10">
        <f>[1]!b_issuer_propofshareholder(B82,"",1)</f>
        <v>0</v>
      </c>
      <c r="V82" s="33" t="str">
        <f t="shared" si="3"/>
        <v>0</v>
      </c>
      <c r="W82" s="33">
        <f>[1]!s_info_city(B82)</f>
        <v>0</v>
      </c>
      <c r="X82" s="10">
        <f>IF([1]!s_stmnote_bank_17n(B82,$A82,1)="0","",[1]!s_stmnote_bank_17n(B82,$A82,1))</f>
        <v>0</v>
      </c>
      <c r="Y82" s="10">
        <f>IF([1]!s_stmnote_bank_18n(B82,$A82,1)="0","",[1]!s_stmnote_bank_18n(B82,$A82,1))</f>
        <v>0</v>
      </c>
      <c r="Z82" s="41">
        <f>IF([1]!s_stmnote_bank_58(B82,$A82,1)="0","",[1]!s_stmnote_bank_58(B82,$A82,1))</f>
        <v>0</v>
      </c>
      <c r="AA82" s="52">
        <f>IF([1]!s_stmnote_bank_60(B82,$A82,1)="0","",[1]!s_stmnote_bank_60(B82,$A82,1))</f>
        <v>0</v>
      </c>
      <c r="AB82" s="52">
        <f>[1]!s_stmnote_bank_5444(B82,$A82,1)</f>
        <v>0</v>
      </c>
      <c r="AC82" s="38">
        <f>[1]!s_stmnote_bank_129n($B82,$A82,1)</f>
        <v>0</v>
      </c>
      <c r="AD82" s="54">
        <f>[1]!s_stmnote_bank_30(B82,$A82,1)</f>
        <v>0</v>
      </c>
    </row>
    <row r="83" spans="1:30" s="46" customFormat="1" ht="24">
      <c r="A83" s="1" t="s">
        <v>1110</v>
      </c>
      <c r="B83" s="87" t="s">
        <v>1191</v>
      </c>
      <c r="C83" s="8">
        <f>IF([1]!b_info_issuer(B83)="0","",IFERROR([1]!b_info_issuer(B83),""))</f>
        <v>0</v>
      </c>
      <c r="D83" s="11">
        <f>IF([1]!b_info_latestissurercreditrating(B83)="0","",IFERROR([1]!b_info_latestissurercreditrating(B83),""))</f>
        <v>0</v>
      </c>
      <c r="E83" s="27" t="str">
        <f>IFERROR(([1]!b_stm07_bs($B83,47,$A83,1,100000000))/[1]!b_stm07_bs($B83,109,$A83,1,100000000),"")</f>
        <v/>
      </c>
      <c r="F83" s="18" t="str">
        <f>IFERROR(([1]!s_stmnote_bank_26($B83,$A83,1,100000000)-[1]!s_stmnote_bank_26($B83,#REF!,1,100000000)+#REF!)/[1]!s_stmnote_bank_1n($B83,#REF!,1,100000000),"")</f>
        <v/>
      </c>
      <c r="G83" s="21" t="str">
        <f t="shared" si="2"/>
        <v/>
      </c>
      <c r="H83" s="18" t="str">
        <f>IFERROR([1]!s_stmnote_bank($B83,"34",$A83,100000000)/[1]!s_stmnote_bank_1n(B83,$A83,1,100000000),"")</f>
        <v/>
      </c>
      <c r="I83" s="25">
        <f>[1]!b_stm07_bs(B83,74,$A83,1,100000000)</f>
        <v>0</v>
      </c>
      <c r="J83" s="25">
        <f>[1]!b_stm07_bs(B83,109,$A83,1,100000000)</f>
        <v>0</v>
      </c>
      <c r="K83" s="10">
        <f>[1]!s_stmnote_bank_5n(B83,$A83,1)</f>
        <v>0</v>
      </c>
      <c r="L83" s="25">
        <f>[1]!s_stmnote_bank_23n(B83,$A83,1)</f>
        <v>0</v>
      </c>
      <c r="M83" s="25">
        <f>[1]!s_stmnote_bank_capadequacyratio(B83,$A83,1)</f>
        <v>0</v>
      </c>
      <c r="N83" s="25">
        <f>[1]!s_stmnote_bank_capadequacyratio_ct1(B83,$A83,1)</f>
        <v>0</v>
      </c>
      <c r="O83" s="6">
        <f>IF(OR([1]!s_fa_roe(B83,20201231)="0",[1]!s_fa_roe(B83,20211231)="0",[1]!s_fa_roe(B83,20221231)="0"),"",IFERROR(([1]!s_fa_roe(B83,20221231)+[1]!s_fa_roe(B83,20201231)+[1]!s_fa_roe(B83,20211231))/3,""))</f>
        <v>0</v>
      </c>
      <c r="P83" s="28" t="str">
        <f>IFERROR(([1]!s_stmnote_bank_65(B83,$A83,1,2,4,100000000)+[1]!s_stmnote_bank_65(B83,$A83,1,2,6,100000000))/[1]!s_stmnote_bank_1n(B83,$A83,1,100000000),"")</f>
        <v/>
      </c>
      <c r="Q83" s="28" t="str">
        <f>IFERROR([1]!s_stmnote_bank_614(B83,$A83,1,2,100000000)/[1]!s_stmnote_bank_647(B83,$A83,1,2,100000000),"")</f>
        <v/>
      </c>
      <c r="R83" s="28" t="str">
        <f>IFERROR(([1]!b_stm07_bs(B83,104,$A83,1,100000000)+[1]!b_stm07_bs(B83,106,$A83,1,100000000)+[1]!b_stm07_bs(B83,76,$A83,1,100000000)+[1]!b_stm07_bs(B83,108,$A83,1,100000000)+[1]!b_stm07_bs(B83,95,$A83,1,100000000))/[1]!b_stm07_bs(B83,128,$A83,1,100000000),"")</f>
        <v/>
      </c>
      <c r="S83" s="28" t="str">
        <f>IFERROR(([1]!s_stmnote_bank_614(B83,$A83,1,2,100000000)+[1]!b_stm07_bs(B83,104,$A83,1,100000000)+[1]!b_stm07_bs(B83,106,$A83,1,100000000)+[1]!b_stm07_bs(B83,76,$A83,1,100000000)+[1]!b_stm07_bs(B83,108,$A83,1,100000000)+[1]!b_stm07_bs(B83,95,$A83,1,100000000))/[1]!b_stm07_bs(B83,128,$A83,1,100000000),"")</f>
        <v/>
      </c>
      <c r="T83" s="11">
        <f>[1]!b_issuer_shareholder(B83,"",1)</f>
        <v>0</v>
      </c>
      <c r="U83" s="10">
        <f>[1]!b_issuer_propofshareholder(B83,"",1)</f>
        <v>0</v>
      </c>
      <c r="V83" s="33" t="str">
        <f t="shared" si="3"/>
        <v>0</v>
      </c>
      <c r="W83" s="33">
        <f>[1]!s_info_city(B83)</f>
        <v>0</v>
      </c>
      <c r="X83" s="10">
        <f>IF([1]!s_stmnote_bank_17n(B83,$A83,1)="0","",[1]!s_stmnote_bank_17n(B83,$A83,1))</f>
        <v>0</v>
      </c>
      <c r="Y83" s="10">
        <f>IF([1]!s_stmnote_bank_18n(B83,$A83,1)="0","",[1]!s_stmnote_bank_18n(B83,$A83,1))</f>
        <v>0</v>
      </c>
      <c r="Z83" s="41">
        <f>IF([1]!s_stmnote_bank_58(B83,$A83,1)="0","",[1]!s_stmnote_bank_58(B83,$A83,1))</f>
        <v>0</v>
      </c>
      <c r="AA83" s="52">
        <f>IF([1]!s_stmnote_bank_60(B83,$A83,1)="0","",[1]!s_stmnote_bank_60(B83,$A83,1))</f>
        <v>0</v>
      </c>
      <c r="AB83" s="52">
        <f>[1]!s_stmnote_bank_5444(B83,$A83,1)</f>
        <v>0</v>
      </c>
      <c r="AC83" s="38">
        <f>[1]!s_stmnote_bank_129n($B83,$A83,1)</f>
        <v>0</v>
      </c>
      <c r="AD83" s="54">
        <f>[1]!s_stmnote_bank_30(B83,$A83,1)</f>
        <v>0</v>
      </c>
    </row>
    <row r="84" spans="1:30" s="46" customFormat="1" ht="24">
      <c r="A84" s="1" t="s">
        <v>1110</v>
      </c>
      <c r="B84" s="87" t="s">
        <v>1192</v>
      </c>
      <c r="C84" s="8">
        <f>IF([1]!b_info_issuer(B84)="0","",IFERROR([1]!b_info_issuer(B84),""))</f>
        <v>0</v>
      </c>
      <c r="D84" s="11">
        <f>IF([1]!b_info_latestissurercreditrating(B84)="0","",IFERROR([1]!b_info_latestissurercreditrating(B84),""))</f>
        <v>0</v>
      </c>
      <c r="E84" s="27" t="str">
        <f>IFERROR(([1]!b_stm07_bs($B84,47,$A84,1,100000000))/[1]!b_stm07_bs($B84,109,$A84,1,100000000),"")</f>
        <v/>
      </c>
      <c r="F84" s="18" t="str">
        <f>IFERROR(([1]!s_stmnote_bank_26($B84,$A84,1,100000000)-[1]!s_stmnote_bank_26($B84,#REF!,1,100000000)+#REF!)/[1]!s_stmnote_bank_1n($B84,#REF!,1,100000000),"")</f>
        <v/>
      </c>
      <c r="G84" s="21" t="str">
        <f t="shared" si="2"/>
        <v/>
      </c>
      <c r="H84" s="18" t="str">
        <f>IFERROR([1]!s_stmnote_bank($B84,"34",$A84,100000000)/[1]!s_stmnote_bank_1n(B84,$A84,1,100000000),"")</f>
        <v/>
      </c>
      <c r="I84" s="25">
        <f>[1]!b_stm07_bs(B84,74,$A84,1,100000000)</f>
        <v>0</v>
      </c>
      <c r="J84" s="25">
        <f>[1]!b_stm07_bs(B84,109,$A84,1,100000000)</f>
        <v>0</v>
      </c>
      <c r="K84" s="10">
        <f>[1]!s_stmnote_bank_5n(B84,$A84,1)</f>
        <v>0</v>
      </c>
      <c r="L84" s="25">
        <f>[1]!s_stmnote_bank_23n(B84,$A84,1)</f>
        <v>0</v>
      </c>
      <c r="M84" s="25">
        <f>[1]!s_stmnote_bank_capadequacyratio(B84,$A84,1)</f>
        <v>0</v>
      </c>
      <c r="N84" s="25">
        <f>[1]!s_stmnote_bank_capadequacyratio_ct1(B84,$A84,1)</f>
        <v>0</v>
      </c>
      <c r="O84" s="6">
        <f>IF(OR([1]!s_fa_roe(B84,20201231)="0",[1]!s_fa_roe(B84,20211231)="0",[1]!s_fa_roe(B84,20221231)="0"),"",IFERROR(([1]!s_fa_roe(B84,20221231)+[1]!s_fa_roe(B84,20201231)+[1]!s_fa_roe(B84,20211231))/3,""))</f>
        <v>0</v>
      </c>
      <c r="P84" s="28" t="str">
        <f>IFERROR(([1]!s_stmnote_bank_65(B84,$A84,1,2,4,100000000)+[1]!s_stmnote_bank_65(B84,$A84,1,2,6,100000000))/[1]!s_stmnote_bank_1n(B84,$A84,1,100000000),"")</f>
        <v/>
      </c>
      <c r="Q84" s="28" t="str">
        <f>IFERROR([1]!s_stmnote_bank_614(B84,$A84,1,2,100000000)/[1]!s_stmnote_bank_647(B84,$A84,1,2,100000000),"")</f>
        <v/>
      </c>
      <c r="R84" s="28" t="str">
        <f>IFERROR(([1]!b_stm07_bs(B84,104,$A84,1,100000000)+[1]!b_stm07_bs(B84,106,$A84,1,100000000)+[1]!b_stm07_bs(B84,76,$A84,1,100000000)+[1]!b_stm07_bs(B84,108,$A84,1,100000000)+[1]!b_stm07_bs(B84,95,$A84,1,100000000))/[1]!b_stm07_bs(B84,128,$A84,1,100000000),"")</f>
        <v/>
      </c>
      <c r="S84" s="28" t="str">
        <f>IFERROR(([1]!s_stmnote_bank_614(B84,$A84,1,2,100000000)+[1]!b_stm07_bs(B84,104,$A84,1,100000000)+[1]!b_stm07_bs(B84,106,$A84,1,100000000)+[1]!b_stm07_bs(B84,76,$A84,1,100000000)+[1]!b_stm07_bs(B84,108,$A84,1,100000000)+[1]!b_stm07_bs(B84,95,$A84,1,100000000))/[1]!b_stm07_bs(B84,128,$A84,1,100000000),"")</f>
        <v/>
      </c>
      <c r="T84" s="11">
        <f>[1]!b_issuer_shareholder(B84,"",1)</f>
        <v>0</v>
      </c>
      <c r="U84" s="10">
        <f>[1]!b_issuer_propofshareholder(B84,"",1)</f>
        <v>0</v>
      </c>
      <c r="V84" s="33" t="str">
        <f t="shared" si="3"/>
        <v>0</v>
      </c>
      <c r="W84" s="33">
        <f>[1]!s_info_city(B84)</f>
        <v>0</v>
      </c>
      <c r="X84" s="10">
        <f>IF([1]!s_stmnote_bank_17n(B84,$A84,1)="0","",[1]!s_stmnote_bank_17n(B84,$A84,1))</f>
        <v>0</v>
      </c>
      <c r="Y84" s="10">
        <f>IF([1]!s_stmnote_bank_18n(B84,$A84,1)="0","",[1]!s_stmnote_bank_18n(B84,$A84,1))</f>
        <v>0</v>
      </c>
      <c r="Z84" s="41">
        <f>IF([1]!s_stmnote_bank_58(B84,$A84,1)="0","",[1]!s_stmnote_bank_58(B84,$A84,1))</f>
        <v>0</v>
      </c>
      <c r="AA84" s="52">
        <f>IF([1]!s_stmnote_bank_60(B84,$A84,1)="0","",[1]!s_stmnote_bank_60(B84,$A84,1))</f>
        <v>0</v>
      </c>
      <c r="AB84" s="52">
        <f>[1]!s_stmnote_bank_5444(B84,$A84,1)</f>
        <v>0</v>
      </c>
      <c r="AC84" s="38">
        <f>[1]!s_stmnote_bank_129n($B84,$A84,1)</f>
        <v>0</v>
      </c>
      <c r="AD84" s="54">
        <f>[1]!s_stmnote_bank_30(B84,$A84,1)</f>
        <v>0</v>
      </c>
    </row>
    <row r="85" spans="1:30" s="46" customFormat="1" ht="24">
      <c r="A85" s="1" t="s">
        <v>1110</v>
      </c>
      <c r="B85" s="87" t="s">
        <v>1193</v>
      </c>
      <c r="C85" s="8">
        <f>IF([1]!b_info_issuer(B85)="0","",IFERROR([1]!b_info_issuer(B85),""))</f>
        <v>0</v>
      </c>
      <c r="D85" s="11">
        <f>IF([1]!b_info_latestissurercreditrating(B85)="0","",IFERROR([1]!b_info_latestissurercreditrating(B85),""))</f>
        <v>0</v>
      </c>
      <c r="E85" s="27" t="str">
        <f>IFERROR(([1]!b_stm07_bs($B85,47,$A85,1,100000000))/[1]!b_stm07_bs($B85,109,$A85,1,100000000),"")</f>
        <v/>
      </c>
      <c r="F85" s="18" t="str">
        <f>IFERROR(([1]!s_stmnote_bank_26($B85,$A85,1,100000000)-[1]!s_stmnote_bank_26($B85,#REF!,1,100000000)+#REF!)/[1]!s_stmnote_bank_1n($B85,#REF!,1,100000000),"")</f>
        <v/>
      </c>
      <c r="G85" s="21" t="str">
        <f t="shared" si="2"/>
        <v/>
      </c>
      <c r="H85" s="18" t="str">
        <f>IFERROR([1]!s_stmnote_bank($B85,"34",$A85,100000000)/[1]!s_stmnote_bank_1n(B85,$A85,1,100000000),"")</f>
        <v/>
      </c>
      <c r="I85" s="25">
        <f>[1]!b_stm07_bs(B85,74,$A85,1,100000000)</f>
        <v>0</v>
      </c>
      <c r="J85" s="25">
        <f>[1]!b_stm07_bs(B85,109,$A85,1,100000000)</f>
        <v>0</v>
      </c>
      <c r="K85" s="10">
        <f>[1]!s_stmnote_bank_5n(B85,$A85,1)</f>
        <v>0</v>
      </c>
      <c r="L85" s="25">
        <f>[1]!s_stmnote_bank_23n(B85,$A85,1)</f>
        <v>0</v>
      </c>
      <c r="M85" s="25">
        <f>[1]!s_stmnote_bank_capadequacyratio(B85,$A85,1)</f>
        <v>0</v>
      </c>
      <c r="N85" s="25">
        <f>[1]!s_stmnote_bank_capadequacyratio_ct1(B85,$A85,1)</f>
        <v>0</v>
      </c>
      <c r="O85" s="6">
        <f>IF(OR([1]!s_fa_roe(B85,20201231)="0",[1]!s_fa_roe(B85,20211231)="0",[1]!s_fa_roe(B85,20221231)="0"),"",IFERROR(([1]!s_fa_roe(B85,20221231)+[1]!s_fa_roe(B85,20201231)+[1]!s_fa_roe(B85,20211231))/3,""))</f>
        <v>0</v>
      </c>
      <c r="P85" s="28" t="str">
        <f>IFERROR(([1]!s_stmnote_bank_65(B85,$A85,1,2,4,100000000)+[1]!s_stmnote_bank_65(B85,$A85,1,2,6,100000000))/[1]!s_stmnote_bank_1n(B85,$A85,1,100000000),"")</f>
        <v/>
      </c>
      <c r="Q85" s="28" t="str">
        <f>IFERROR([1]!s_stmnote_bank_614(B85,$A85,1,2,100000000)/[1]!s_stmnote_bank_647(B85,$A85,1,2,100000000),"")</f>
        <v/>
      </c>
      <c r="R85" s="28" t="str">
        <f>IFERROR(([1]!b_stm07_bs(B85,104,$A85,1,100000000)+[1]!b_stm07_bs(B85,106,$A85,1,100000000)+[1]!b_stm07_bs(B85,76,$A85,1,100000000)+[1]!b_stm07_bs(B85,108,$A85,1,100000000)+[1]!b_stm07_bs(B85,95,$A85,1,100000000))/[1]!b_stm07_bs(B85,128,$A85,1,100000000),"")</f>
        <v/>
      </c>
      <c r="S85" s="28" t="str">
        <f>IFERROR(([1]!s_stmnote_bank_614(B85,$A85,1,2,100000000)+[1]!b_stm07_bs(B85,104,$A85,1,100000000)+[1]!b_stm07_bs(B85,106,$A85,1,100000000)+[1]!b_stm07_bs(B85,76,$A85,1,100000000)+[1]!b_stm07_bs(B85,108,$A85,1,100000000)+[1]!b_stm07_bs(B85,95,$A85,1,100000000))/[1]!b_stm07_bs(B85,128,$A85,1,100000000),"")</f>
        <v/>
      </c>
      <c r="T85" s="11">
        <f>[1]!b_issuer_shareholder(B85,"",1)</f>
        <v>0</v>
      </c>
      <c r="U85" s="10">
        <f>[1]!b_issuer_propofshareholder(B85,"",1)</f>
        <v>0</v>
      </c>
      <c r="V85" s="33" t="str">
        <f t="shared" si="3"/>
        <v>0</v>
      </c>
      <c r="W85" s="33">
        <f>[1]!s_info_city(B85)</f>
        <v>0</v>
      </c>
      <c r="X85" s="10">
        <f>IF([1]!s_stmnote_bank_17n(B85,$A85,1)="0","",[1]!s_stmnote_bank_17n(B85,$A85,1))</f>
        <v>0</v>
      </c>
      <c r="Y85" s="10">
        <f>IF([1]!s_stmnote_bank_18n(B85,$A85,1)="0","",[1]!s_stmnote_bank_18n(B85,$A85,1))</f>
        <v>0</v>
      </c>
      <c r="Z85" s="41">
        <f>IF([1]!s_stmnote_bank_58(B85,$A85,1)="0","",[1]!s_stmnote_bank_58(B85,$A85,1))</f>
        <v>0</v>
      </c>
      <c r="AA85" s="52">
        <f>IF([1]!s_stmnote_bank_60(B85,$A85,1)="0","",[1]!s_stmnote_bank_60(B85,$A85,1))</f>
        <v>0</v>
      </c>
      <c r="AB85" s="52">
        <f>[1]!s_stmnote_bank_5444(B85,$A85,1)</f>
        <v>0</v>
      </c>
      <c r="AC85" s="38">
        <f>[1]!s_stmnote_bank_129n($B85,$A85,1)</f>
        <v>0</v>
      </c>
      <c r="AD85" s="54">
        <f>[1]!s_stmnote_bank_30(B85,$A85,1)</f>
        <v>0</v>
      </c>
    </row>
    <row r="86" spans="1:30" s="46" customFormat="1" ht="24">
      <c r="A86" s="1" t="s">
        <v>1110</v>
      </c>
      <c r="B86" s="87" t="s">
        <v>1194</v>
      </c>
      <c r="C86" s="8">
        <f>IF([1]!b_info_issuer(B86)="0","",IFERROR([1]!b_info_issuer(B86),""))</f>
        <v>0</v>
      </c>
      <c r="D86" s="11">
        <f>IF([1]!b_info_latestissurercreditrating(B86)="0","",IFERROR([1]!b_info_latestissurercreditrating(B86),""))</f>
        <v>0</v>
      </c>
      <c r="E86" s="27" t="str">
        <f>IFERROR(([1]!b_stm07_bs($B86,47,$A86,1,100000000))/[1]!b_stm07_bs($B86,109,$A86,1,100000000),"")</f>
        <v/>
      </c>
      <c r="F86" s="18" t="str">
        <f>IFERROR(([1]!s_stmnote_bank_26($B86,$A86,1,100000000)-[1]!s_stmnote_bank_26($B86,#REF!,1,100000000)+#REF!)/[1]!s_stmnote_bank_1n($B86,#REF!,1,100000000),"")</f>
        <v/>
      </c>
      <c r="G86" s="21" t="str">
        <f t="shared" si="2"/>
        <v/>
      </c>
      <c r="H86" s="18" t="str">
        <f>IFERROR([1]!s_stmnote_bank($B86,"34",$A86,100000000)/[1]!s_stmnote_bank_1n(B86,$A86,1,100000000),"")</f>
        <v/>
      </c>
      <c r="I86" s="25">
        <f>[1]!b_stm07_bs(B86,74,$A86,1,100000000)</f>
        <v>0</v>
      </c>
      <c r="J86" s="25">
        <f>[1]!b_stm07_bs(B86,109,$A86,1,100000000)</f>
        <v>0</v>
      </c>
      <c r="K86" s="10">
        <f>[1]!s_stmnote_bank_5n(B86,$A86,1)</f>
        <v>0</v>
      </c>
      <c r="L86" s="25">
        <f>[1]!s_stmnote_bank_23n(B86,$A86,1)</f>
        <v>0</v>
      </c>
      <c r="M86" s="25">
        <f>[1]!s_stmnote_bank_capadequacyratio(B86,$A86,1)</f>
        <v>0</v>
      </c>
      <c r="N86" s="25">
        <f>[1]!s_stmnote_bank_capadequacyratio_ct1(B86,$A86,1)</f>
        <v>0</v>
      </c>
      <c r="O86" s="6">
        <f>IF(OR([1]!s_fa_roe(B86,20201231)="0",[1]!s_fa_roe(B86,20211231)="0",[1]!s_fa_roe(B86,20221231)="0"),"",IFERROR(([1]!s_fa_roe(B86,20221231)+[1]!s_fa_roe(B86,20201231)+[1]!s_fa_roe(B86,20211231))/3,""))</f>
        <v>0</v>
      </c>
      <c r="P86" s="28" t="str">
        <f>IFERROR(([1]!s_stmnote_bank_65(B86,$A86,1,2,4,100000000)+[1]!s_stmnote_bank_65(B86,$A86,1,2,6,100000000))/[1]!s_stmnote_bank_1n(B86,$A86,1,100000000),"")</f>
        <v/>
      </c>
      <c r="Q86" s="28" t="str">
        <f>IFERROR([1]!s_stmnote_bank_614(B86,$A86,1,2,100000000)/[1]!s_stmnote_bank_647(B86,$A86,1,2,100000000),"")</f>
        <v/>
      </c>
      <c r="R86" s="28" t="str">
        <f>IFERROR(([1]!b_stm07_bs(B86,104,$A86,1,100000000)+[1]!b_stm07_bs(B86,106,$A86,1,100000000)+[1]!b_stm07_bs(B86,76,$A86,1,100000000)+[1]!b_stm07_bs(B86,108,$A86,1,100000000)+[1]!b_stm07_bs(B86,95,$A86,1,100000000))/[1]!b_stm07_bs(B86,128,$A86,1,100000000),"")</f>
        <v/>
      </c>
      <c r="S86" s="28" t="str">
        <f>IFERROR(([1]!s_stmnote_bank_614(B86,$A86,1,2,100000000)+[1]!b_stm07_bs(B86,104,$A86,1,100000000)+[1]!b_stm07_bs(B86,106,$A86,1,100000000)+[1]!b_stm07_bs(B86,76,$A86,1,100000000)+[1]!b_stm07_bs(B86,108,$A86,1,100000000)+[1]!b_stm07_bs(B86,95,$A86,1,100000000))/[1]!b_stm07_bs(B86,128,$A86,1,100000000),"")</f>
        <v/>
      </c>
      <c r="T86" s="11">
        <f>[1]!b_issuer_shareholder(B86,"",1)</f>
        <v>0</v>
      </c>
      <c r="U86" s="10">
        <f>[1]!b_issuer_propofshareholder(B86,"",1)</f>
        <v>0</v>
      </c>
      <c r="V86" s="33" t="str">
        <f t="shared" si="3"/>
        <v>0</v>
      </c>
      <c r="W86" s="33">
        <f>[1]!s_info_city(B86)</f>
        <v>0</v>
      </c>
      <c r="X86" s="10">
        <f>IF([1]!s_stmnote_bank_17n(B86,$A86,1)="0","",[1]!s_stmnote_bank_17n(B86,$A86,1))</f>
        <v>0</v>
      </c>
      <c r="Y86" s="10">
        <f>IF([1]!s_stmnote_bank_18n(B86,$A86,1)="0","",[1]!s_stmnote_bank_18n(B86,$A86,1))</f>
        <v>0</v>
      </c>
      <c r="Z86" s="41">
        <f>IF([1]!s_stmnote_bank_58(B86,$A86,1)="0","",[1]!s_stmnote_bank_58(B86,$A86,1))</f>
        <v>0</v>
      </c>
      <c r="AA86" s="52">
        <f>IF([1]!s_stmnote_bank_60(B86,$A86,1)="0","",[1]!s_stmnote_bank_60(B86,$A86,1))</f>
        <v>0</v>
      </c>
      <c r="AB86" s="52">
        <f>[1]!s_stmnote_bank_5444(B86,$A86,1)</f>
        <v>0</v>
      </c>
      <c r="AC86" s="38">
        <f>[1]!s_stmnote_bank_129n($B86,$A86,1)</f>
        <v>0</v>
      </c>
      <c r="AD86" s="54">
        <f>[1]!s_stmnote_bank_30(B86,$A86,1)</f>
        <v>0</v>
      </c>
    </row>
    <row r="87" spans="1:30" s="46" customFormat="1" ht="24">
      <c r="A87" s="1" t="s">
        <v>1110</v>
      </c>
      <c r="B87" s="87" t="s">
        <v>1195</v>
      </c>
      <c r="C87" s="8">
        <f>IF([1]!b_info_issuer(B87)="0","",IFERROR([1]!b_info_issuer(B87),""))</f>
        <v>0</v>
      </c>
      <c r="D87" s="11">
        <f>IF([1]!b_info_latestissurercreditrating(B87)="0","",IFERROR([1]!b_info_latestissurercreditrating(B87),""))</f>
        <v>0</v>
      </c>
      <c r="E87" s="27" t="str">
        <f>IFERROR(([1]!b_stm07_bs($B87,47,$A87,1,100000000))/[1]!b_stm07_bs($B87,109,$A87,1,100000000),"")</f>
        <v/>
      </c>
      <c r="F87" s="18" t="str">
        <f>IFERROR(([1]!s_stmnote_bank_26($B87,$A87,1,100000000)-[1]!s_stmnote_bank_26($B87,#REF!,1,100000000)+#REF!)/[1]!s_stmnote_bank_1n($B87,#REF!,1,100000000),"")</f>
        <v/>
      </c>
      <c r="G87" s="21" t="str">
        <f t="shared" si="2"/>
        <v/>
      </c>
      <c r="H87" s="18" t="str">
        <f>IFERROR([1]!s_stmnote_bank($B87,"34",$A87,100000000)/[1]!s_stmnote_bank_1n(B87,$A87,1,100000000),"")</f>
        <v/>
      </c>
      <c r="I87" s="25">
        <f>[1]!b_stm07_bs(B87,74,$A87,1,100000000)</f>
        <v>0</v>
      </c>
      <c r="J87" s="25">
        <f>[1]!b_stm07_bs(B87,109,$A87,1,100000000)</f>
        <v>0</v>
      </c>
      <c r="K87" s="10">
        <f>[1]!s_stmnote_bank_5n(B87,$A87,1)</f>
        <v>0</v>
      </c>
      <c r="L87" s="25">
        <f>[1]!s_stmnote_bank_23n(B87,$A87,1)</f>
        <v>0</v>
      </c>
      <c r="M87" s="25">
        <f>[1]!s_stmnote_bank_capadequacyratio(B87,$A87,1)</f>
        <v>0</v>
      </c>
      <c r="N87" s="25">
        <f>[1]!s_stmnote_bank_capadequacyratio_ct1(B87,$A87,1)</f>
        <v>0</v>
      </c>
      <c r="O87" s="6">
        <f>IF(OR([1]!s_fa_roe(B87,20201231)="0",[1]!s_fa_roe(B87,20211231)="0",[1]!s_fa_roe(B87,20221231)="0"),"",IFERROR(([1]!s_fa_roe(B87,20221231)+[1]!s_fa_roe(B87,20201231)+[1]!s_fa_roe(B87,20211231))/3,""))</f>
        <v>0</v>
      </c>
      <c r="P87" s="28" t="str">
        <f>IFERROR(([1]!s_stmnote_bank_65(B87,$A87,1,2,4,100000000)+[1]!s_stmnote_bank_65(B87,$A87,1,2,6,100000000))/[1]!s_stmnote_bank_1n(B87,$A87,1,100000000),"")</f>
        <v/>
      </c>
      <c r="Q87" s="28" t="str">
        <f>IFERROR([1]!s_stmnote_bank_614(B87,$A87,1,2,100000000)/[1]!s_stmnote_bank_647(B87,$A87,1,2,100000000),"")</f>
        <v/>
      </c>
      <c r="R87" s="28" t="str">
        <f>IFERROR(([1]!b_stm07_bs(B87,104,$A87,1,100000000)+[1]!b_stm07_bs(B87,106,$A87,1,100000000)+[1]!b_stm07_bs(B87,76,$A87,1,100000000)+[1]!b_stm07_bs(B87,108,$A87,1,100000000)+[1]!b_stm07_bs(B87,95,$A87,1,100000000))/[1]!b_stm07_bs(B87,128,$A87,1,100000000),"")</f>
        <v/>
      </c>
      <c r="S87" s="28" t="str">
        <f>IFERROR(([1]!s_stmnote_bank_614(B87,$A87,1,2,100000000)+[1]!b_stm07_bs(B87,104,$A87,1,100000000)+[1]!b_stm07_bs(B87,106,$A87,1,100000000)+[1]!b_stm07_bs(B87,76,$A87,1,100000000)+[1]!b_stm07_bs(B87,108,$A87,1,100000000)+[1]!b_stm07_bs(B87,95,$A87,1,100000000))/[1]!b_stm07_bs(B87,128,$A87,1,100000000),"")</f>
        <v/>
      </c>
      <c r="T87" s="11">
        <f>[1]!b_issuer_shareholder(B87,"",1)</f>
        <v>0</v>
      </c>
      <c r="U87" s="10">
        <f>[1]!b_issuer_propofshareholder(B87,"",1)</f>
        <v>0</v>
      </c>
      <c r="V87" s="33" t="str">
        <f t="shared" si="3"/>
        <v>0</v>
      </c>
      <c r="W87" s="33">
        <f>[1]!s_info_city(B87)</f>
        <v>0</v>
      </c>
      <c r="X87" s="10">
        <f>IF([1]!s_stmnote_bank_17n(B87,$A87,1)="0","",[1]!s_stmnote_bank_17n(B87,$A87,1))</f>
        <v>0</v>
      </c>
      <c r="Y87" s="10">
        <f>IF([1]!s_stmnote_bank_18n(B87,$A87,1)="0","",[1]!s_stmnote_bank_18n(B87,$A87,1))</f>
        <v>0</v>
      </c>
      <c r="Z87" s="41">
        <f>IF([1]!s_stmnote_bank_58(B87,$A87,1)="0","",[1]!s_stmnote_bank_58(B87,$A87,1))</f>
        <v>0</v>
      </c>
      <c r="AA87" s="52">
        <f>IF([1]!s_stmnote_bank_60(B87,$A87,1)="0","",[1]!s_stmnote_bank_60(B87,$A87,1))</f>
        <v>0</v>
      </c>
      <c r="AB87" s="52">
        <f>[1]!s_stmnote_bank_5444(B87,$A87,1)</f>
        <v>0</v>
      </c>
      <c r="AC87" s="38">
        <f>[1]!s_stmnote_bank_129n($B87,$A87,1)</f>
        <v>0</v>
      </c>
      <c r="AD87" s="54">
        <f>[1]!s_stmnote_bank_30(B87,$A87,1)</f>
        <v>0</v>
      </c>
    </row>
    <row r="88" spans="1:30" s="46" customFormat="1" ht="24">
      <c r="A88" s="1" t="s">
        <v>1110</v>
      </c>
      <c r="B88" s="87" t="s">
        <v>1196</v>
      </c>
      <c r="C88" s="8">
        <f>IF([1]!b_info_issuer(B88)="0","",IFERROR([1]!b_info_issuer(B88),""))</f>
        <v>0</v>
      </c>
      <c r="D88" s="11">
        <f>IF([1]!b_info_latestissurercreditrating(B88)="0","",IFERROR([1]!b_info_latestissurercreditrating(B88),""))</f>
        <v>0</v>
      </c>
      <c r="E88" s="27" t="str">
        <f>IFERROR(([1]!b_stm07_bs($B88,47,$A88,1,100000000))/[1]!b_stm07_bs($B88,109,$A88,1,100000000),"")</f>
        <v/>
      </c>
      <c r="F88" s="18" t="str">
        <f>IFERROR(([1]!s_stmnote_bank_26($B88,$A88,1,100000000)-[1]!s_stmnote_bank_26($B88,#REF!,1,100000000)+#REF!)/[1]!s_stmnote_bank_1n($B88,#REF!,1,100000000),"")</f>
        <v/>
      </c>
      <c r="G88" s="21" t="str">
        <f t="shared" si="2"/>
        <v/>
      </c>
      <c r="H88" s="18" t="str">
        <f>IFERROR([1]!s_stmnote_bank($B88,"34",$A88,100000000)/[1]!s_stmnote_bank_1n(B88,$A88,1,100000000),"")</f>
        <v/>
      </c>
      <c r="I88" s="25">
        <f>[1]!b_stm07_bs(B88,74,$A88,1,100000000)</f>
        <v>0</v>
      </c>
      <c r="J88" s="25">
        <f>[1]!b_stm07_bs(B88,109,$A88,1,100000000)</f>
        <v>0</v>
      </c>
      <c r="K88" s="10">
        <f>[1]!s_stmnote_bank_5n(B88,$A88,1)</f>
        <v>0</v>
      </c>
      <c r="L88" s="25">
        <f>[1]!s_stmnote_bank_23n(B88,$A88,1)</f>
        <v>0</v>
      </c>
      <c r="M88" s="25">
        <f>[1]!s_stmnote_bank_capadequacyratio(B88,$A88,1)</f>
        <v>0</v>
      </c>
      <c r="N88" s="25">
        <f>[1]!s_stmnote_bank_capadequacyratio_ct1(B88,$A88,1)</f>
        <v>0</v>
      </c>
      <c r="O88" s="6">
        <f>IF(OR([1]!s_fa_roe(B88,20201231)="0",[1]!s_fa_roe(B88,20211231)="0",[1]!s_fa_roe(B88,20221231)="0"),"",IFERROR(([1]!s_fa_roe(B88,20221231)+[1]!s_fa_roe(B88,20201231)+[1]!s_fa_roe(B88,20211231))/3,""))</f>
        <v>0</v>
      </c>
      <c r="P88" s="28" t="str">
        <f>IFERROR(([1]!s_stmnote_bank_65(B88,$A88,1,2,4,100000000)+[1]!s_stmnote_bank_65(B88,$A88,1,2,6,100000000))/[1]!s_stmnote_bank_1n(B88,$A88,1,100000000),"")</f>
        <v/>
      </c>
      <c r="Q88" s="28" t="str">
        <f>IFERROR([1]!s_stmnote_bank_614(B88,$A88,1,2,100000000)/[1]!s_stmnote_bank_647(B88,$A88,1,2,100000000),"")</f>
        <v/>
      </c>
      <c r="R88" s="28" t="str">
        <f>IFERROR(([1]!b_stm07_bs(B88,104,$A88,1,100000000)+[1]!b_stm07_bs(B88,106,$A88,1,100000000)+[1]!b_stm07_bs(B88,76,$A88,1,100000000)+[1]!b_stm07_bs(B88,108,$A88,1,100000000)+[1]!b_stm07_bs(B88,95,$A88,1,100000000))/[1]!b_stm07_bs(B88,128,$A88,1,100000000),"")</f>
        <v/>
      </c>
      <c r="S88" s="28" t="str">
        <f>IFERROR(([1]!s_stmnote_bank_614(B88,$A88,1,2,100000000)+[1]!b_stm07_bs(B88,104,$A88,1,100000000)+[1]!b_stm07_bs(B88,106,$A88,1,100000000)+[1]!b_stm07_bs(B88,76,$A88,1,100000000)+[1]!b_stm07_bs(B88,108,$A88,1,100000000)+[1]!b_stm07_bs(B88,95,$A88,1,100000000))/[1]!b_stm07_bs(B88,128,$A88,1,100000000),"")</f>
        <v/>
      </c>
      <c r="T88" s="11">
        <f>[1]!b_issuer_shareholder(B88,"",1)</f>
        <v>0</v>
      </c>
      <c r="U88" s="10">
        <f>[1]!b_issuer_propofshareholder(B88,"",1)</f>
        <v>0</v>
      </c>
      <c r="V88" s="33" t="str">
        <f t="shared" si="3"/>
        <v>0</v>
      </c>
      <c r="W88" s="33">
        <f>[1]!s_info_city(B88)</f>
        <v>0</v>
      </c>
      <c r="X88" s="10">
        <f>IF([1]!s_stmnote_bank_17n(B88,$A88,1)="0","",[1]!s_stmnote_bank_17n(B88,$A88,1))</f>
        <v>0</v>
      </c>
      <c r="Y88" s="10">
        <f>IF([1]!s_stmnote_bank_18n(B88,$A88,1)="0","",[1]!s_stmnote_bank_18n(B88,$A88,1))</f>
        <v>0</v>
      </c>
      <c r="Z88" s="41">
        <f>IF([1]!s_stmnote_bank_58(B88,$A88,1)="0","",[1]!s_stmnote_bank_58(B88,$A88,1))</f>
        <v>0</v>
      </c>
      <c r="AA88" s="52">
        <f>IF([1]!s_stmnote_bank_60(B88,$A88,1)="0","",[1]!s_stmnote_bank_60(B88,$A88,1))</f>
        <v>0</v>
      </c>
      <c r="AB88" s="52">
        <f>[1]!s_stmnote_bank_5444(B88,$A88,1)</f>
        <v>0</v>
      </c>
      <c r="AC88" s="38">
        <f>[1]!s_stmnote_bank_129n($B88,$A88,1)</f>
        <v>0</v>
      </c>
      <c r="AD88" s="54">
        <f>[1]!s_stmnote_bank_30(B88,$A88,1)</f>
        <v>0</v>
      </c>
    </row>
    <row r="89" spans="1:30" s="46" customFormat="1" ht="24">
      <c r="A89" s="1" t="s">
        <v>1110</v>
      </c>
      <c r="B89" s="87" t="s">
        <v>1197</v>
      </c>
      <c r="C89" s="8">
        <f>IF([1]!b_info_issuer(B89)="0","",IFERROR([1]!b_info_issuer(B89),""))</f>
        <v>0</v>
      </c>
      <c r="D89" s="11">
        <f>IF([1]!b_info_latestissurercreditrating(B89)="0","",IFERROR([1]!b_info_latestissurercreditrating(B89),""))</f>
        <v>0</v>
      </c>
      <c r="E89" s="27" t="str">
        <f>IFERROR(([1]!b_stm07_bs($B89,47,$A89,1,100000000))/[1]!b_stm07_bs($B89,109,$A89,1,100000000),"")</f>
        <v/>
      </c>
      <c r="F89" s="18" t="str">
        <f>IFERROR(([1]!s_stmnote_bank_26($B89,$A89,1,100000000)-[1]!s_stmnote_bank_26($B89,#REF!,1,100000000)+#REF!)/[1]!s_stmnote_bank_1n($B89,#REF!,1,100000000),"")</f>
        <v/>
      </c>
      <c r="G89" s="21" t="str">
        <f t="shared" si="2"/>
        <v/>
      </c>
      <c r="H89" s="18" t="str">
        <f>IFERROR([1]!s_stmnote_bank($B89,"34",$A89,100000000)/[1]!s_stmnote_bank_1n(B89,$A89,1,100000000),"")</f>
        <v/>
      </c>
      <c r="I89" s="25">
        <f>[1]!b_stm07_bs(B89,74,$A89,1,100000000)</f>
        <v>0</v>
      </c>
      <c r="J89" s="25">
        <f>[1]!b_stm07_bs(B89,109,$A89,1,100000000)</f>
        <v>0</v>
      </c>
      <c r="K89" s="10">
        <f>[1]!s_stmnote_bank_5n(B89,$A89,1)</f>
        <v>0</v>
      </c>
      <c r="L89" s="25">
        <f>[1]!s_stmnote_bank_23n(B89,$A89,1)</f>
        <v>0</v>
      </c>
      <c r="M89" s="25">
        <f>[1]!s_stmnote_bank_capadequacyratio(B89,$A89,1)</f>
        <v>0</v>
      </c>
      <c r="N89" s="25">
        <f>[1]!s_stmnote_bank_capadequacyratio_ct1(B89,$A89,1)</f>
        <v>0</v>
      </c>
      <c r="O89" s="6">
        <f>IF(OR([1]!s_fa_roe(B89,20201231)="0",[1]!s_fa_roe(B89,20211231)="0",[1]!s_fa_roe(B89,20221231)="0"),"",IFERROR(([1]!s_fa_roe(B89,20221231)+[1]!s_fa_roe(B89,20201231)+[1]!s_fa_roe(B89,20211231))/3,""))</f>
        <v>0</v>
      </c>
      <c r="P89" s="28" t="str">
        <f>IFERROR(([1]!s_stmnote_bank_65(B89,$A89,1,2,4,100000000)+[1]!s_stmnote_bank_65(B89,$A89,1,2,6,100000000))/[1]!s_stmnote_bank_1n(B89,$A89,1,100000000),"")</f>
        <v/>
      </c>
      <c r="Q89" s="28" t="str">
        <f>IFERROR([1]!s_stmnote_bank_614(B89,$A89,1,2,100000000)/[1]!s_stmnote_bank_647(B89,$A89,1,2,100000000),"")</f>
        <v/>
      </c>
      <c r="R89" s="28" t="str">
        <f>IFERROR(([1]!b_stm07_bs(B89,104,$A89,1,100000000)+[1]!b_stm07_bs(B89,106,$A89,1,100000000)+[1]!b_stm07_bs(B89,76,$A89,1,100000000)+[1]!b_stm07_bs(B89,108,$A89,1,100000000)+[1]!b_stm07_bs(B89,95,$A89,1,100000000))/[1]!b_stm07_bs(B89,128,$A89,1,100000000),"")</f>
        <v/>
      </c>
      <c r="S89" s="28" t="str">
        <f>IFERROR(([1]!s_stmnote_bank_614(B89,$A89,1,2,100000000)+[1]!b_stm07_bs(B89,104,$A89,1,100000000)+[1]!b_stm07_bs(B89,106,$A89,1,100000000)+[1]!b_stm07_bs(B89,76,$A89,1,100000000)+[1]!b_stm07_bs(B89,108,$A89,1,100000000)+[1]!b_stm07_bs(B89,95,$A89,1,100000000))/[1]!b_stm07_bs(B89,128,$A89,1,100000000),"")</f>
        <v/>
      </c>
      <c r="T89" s="11">
        <f>[1]!b_issuer_shareholder(B89,"",1)</f>
        <v>0</v>
      </c>
      <c r="U89" s="10">
        <f>[1]!b_issuer_propofshareholder(B89,"",1)</f>
        <v>0</v>
      </c>
      <c r="V89" s="33" t="str">
        <f t="shared" si="3"/>
        <v>0</v>
      </c>
      <c r="W89" s="33">
        <f>[1]!s_info_city(B89)</f>
        <v>0</v>
      </c>
      <c r="X89" s="10">
        <f>IF([1]!s_stmnote_bank_17n(B89,$A89,1)="0","",[1]!s_stmnote_bank_17n(B89,$A89,1))</f>
        <v>0</v>
      </c>
      <c r="Y89" s="10">
        <f>IF([1]!s_stmnote_bank_18n(B89,$A89,1)="0","",[1]!s_stmnote_bank_18n(B89,$A89,1))</f>
        <v>0</v>
      </c>
      <c r="Z89" s="41">
        <f>IF([1]!s_stmnote_bank_58(B89,$A89,1)="0","",[1]!s_stmnote_bank_58(B89,$A89,1))</f>
        <v>0</v>
      </c>
      <c r="AA89" s="52">
        <f>IF([1]!s_stmnote_bank_60(B89,$A89,1)="0","",[1]!s_stmnote_bank_60(B89,$A89,1))</f>
        <v>0</v>
      </c>
      <c r="AB89" s="52">
        <f>[1]!s_stmnote_bank_5444(B89,$A89,1)</f>
        <v>0</v>
      </c>
      <c r="AC89" s="38">
        <f>[1]!s_stmnote_bank_129n($B89,$A89,1)</f>
        <v>0</v>
      </c>
      <c r="AD89" s="54">
        <f>[1]!s_stmnote_bank_30(B89,$A89,1)</f>
        <v>0</v>
      </c>
    </row>
    <row r="90" spans="1:30" s="46" customFormat="1" ht="24">
      <c r="A90" s="1" t="s">
        <v>1110</v>
      </c>
      <c r="B90" s="87" t="s">
        <v>1198</v>
      </c>
      <c r="C90" s="8">
        <f>IF([1]!b_info_issuer(B90)="0","",IFERROR([1]!b_info_issuer(B90),""))</f>
        <v>0</v>
      </c>
      <c r="D90" s="11">
        <f>IF([1]!b_info_latestissurercreditrating(B90)="0","",IFERROR([1]!b_info_latestissurercreditrating(B90),""))</f>
        <v>0</v>
      </c>
      <c r="E90" s="27" t="str">
        <f>IFERROR(([1]!b_stm07_bs($B90,47,$A90,1,100000000))/[1]!b_stm07_bs($B90,109,$A90,1,100000000),"")</f>
        <v/>
      </c>
      <c r="F90" s="18" t="str">
        <f>IFERROR(([1]!s_stmnote_bank_26($B90,$A90,1,100000000)-[1]!s_stmnote_bank_26($B90,#REF!,1,100000000)+#REF!)/[1]!s_stmnote_bank_1n($B90,#REF!,1,100000000),"")</f>
        <v/>
      </c>
      <c r="G90" s="21" t="str">
        <f t="shared" si="2"/>
        <v/>
      </c>
      <c r="H90" s="18" t="str">
        <f>IFERROR([1]!s_stmnote_bank($B90,"34",$A90,100000000)/[1]!s_stmnote_bank_1n(B90,$A90,1,100000000),"")</f>
        <v/>
      </c>
      <c r="I90" s="25">
        <f>[1]!b_stm07_bs(B90,74,$A90,1,100000000)</f>
        <v>0</v>
      </c>
      <c r="J90" s="25">
        <f>[1]!b_stm07_bs(B90,109,$A90,1,100000000)</f>
        <v>0</v>
      </c>
      <c r="K90" s="10">
        <f>[1]!s_stmnote_bank_5n(B90,$A90,1)</f>
        <v>0</v>
      </c>
      <c r="L90" s="25">
        <f>[1]!s_stmnote_bank_23n(B90,$A90,1)</f>
        <v>0</v>
      </c>
      <c r="M90" s="25">
        <f>[1]!s_stmnote_bank_capadequacyratio(B90,$A90,1)</f>
        <v>0</v>
      </c>
      <c r="N90" s="25">
        <f>[1]!s_stmnote_bank_capadequacyratio_ct1(B90,$A90,1)</f>
        <v>0</v>
      </c>
      <c r="O90" s="6">
        <f>IF(OR([1]!s_fa_roe(B90,20201231)="0",[1]!s_fa_roe(B90,20211231)="0",[1]!s_fa_roe(B90,20221231)="0"),"",IFERROR(([1]!s_fa_roe(B90,20221231)+[1]!s_fa_roe(B90,20201231)+[1]!s_fa_roe(B90,20211231))/3,""))</f>
        <v>0</v>
      </c>
      <c r="P90" s="28" t="str">
        <f>IFERROR(([1]!s_stmnote_bank_65(B90,$A90,1,2,4,100000000)+[1]!s_stmnote_bank_65(B90,$A90,1,2,6,100000000))/[1]!s_stmnote_bank_1n(B90,$A90,1,100000000),"")</f>
        <v/>
      </c>
      <c r="Q90" s="28" t="str">
        <f>IFERROR([1]!s_stmnote_bank_614(B90,$A90,1,2,100000000)/[1]!s_stmnote_bank_647(B90,$A90,1,2,100000000),"")</f>
        <v/>
      </c>
      <c r="R90" s="28" t="str">
        <f>IFERROR(([1]!b_stm07_bs(B90,104,$A90,1,100000000)+[1]!b_stm07_bs(B90,106,$A90,1,100000000)+[1]!b_stm07_bs(B90,76,$A90,1,100000000)+[1]!b_stm07_bs(B90,108,$A90,1,100000000)+[1]!b_stm07_bs(B90,95,$A90,1,100000000))/[1]!b_stm07_bs(B90,128,$A90,1,100000000),"")</f>
        <v/>
      </c>
      <c r="S90" s="28" t="str">
        <f>IFERROR(([1]!s_stmnote_bank_614(B90,$A90,1,2,100000000)+[1]!b_stm07_bs(B90,104,$A90,1,100000000)+[1]!b_stm07_bs(B90,106,$A90,1,100000000)+[1]!b_stm07_bs(B90,76,$A90,1,100000000)+[1]!b_stm07_bs(B90,108,$A90,1,100000000)+[1]!b_stm07_bs(B90,95,$A90,1,100000000))/[1]!b_stm07_bs(B90,128,$A90,1,100000000),"")</f>
        <v/>
      </c>
      <c r="T90" s="11">
        <f>[1]!b_issuer_shareholder(B90,"",1)</f>
        <v>0</v>
      </c>
      <c r="U90" s="10">
        <f>[1]!b_issuer_propofshareholder(B90,"",1)</f>
        <v>0</v>
      </c>
      <c r="V90" s="33" t="str">
        <f t="shared" si="3"/>
        <v>0</v>
      </c>
      <c r="W90" s="33">
        <f>[1]!s_info_city(B90)</f>
        <v>0</v>
      </c>
      <c r="X90" s="10">
        <f>IF([1]!s_stmnote_bank_17n(B90,$A90,1)="0","",[1]!s_stmnote_bank_17n(B90,$A90,1))</f>
        <v>0</v>
      </c>
      <c r="Y90" s="10">
        <f>IF([1]!s_stmnote_bank_18n(B90,$A90,1)="0","",[1]!s_stmnote_bank_18n(B90,$A90,1))</f>
        <v>0</v>
      </c>
      <c r="Z90" s="41">
        <f>IF([1]!s_stmnote_bank_58(B90,$A90,1)="0","",[1]!s_stmnote_bank_58(B90,$A90,1))</f>
        <v>0</v>
      </c>
      <c r="AA90" s="52">
        <f>IF([1]!s_stmnote_bank_60(B90,$A90,1)="0","",[1]!s_stmnote_bank_60(B90,$A90,1))</f>
        <v>0</v>
      </c>
      <c r="AB90" s="52">
        <f>[1]!s_stmnote_bank_5444(B90,$A90,1)</f>
        <v>0</v>
      </c>
      <c r="AC90" s="38">
        <f>[1]!s_stmnote_bank_129n($B90,$A90,1)</f>
        <v>0</v>
      </c>
      <c r="AD90" s="54">
        <f>[1]!s_stmnote_bank_30(B90,$A90,1)</f>
        <v>0</v>
      </c>
    </row>
    <row r="91" spans="1:30" ht="24">
      <c r="A91" s="1" t="s">
        <v>1110</v>
      </c>
      <c r="B91" s="87" t="s">
        <v>1199</v>
      </c>
      <c r="C91" s="8">
        <f>IF([1]!b_info_issuer(B91)="0","",IFERROR([1]!b_info_issuer(B91),""))</f>
        <v>0</v>
      </c>
      <c r="D91" s="11">
        <f>IF([1]!b_info_latestissurercreditrating(B91)="0","",IFERROR([1]!b_info_latestissurercreditrating(B91),""))</f>
        <v>0</v>
      </c>
      <c r="E91" s="27" t="str">
        <f>IFERROR(([1]!b_stm07_bs($B91,47,$A91,1,100000000))/[1]!b_stm07_bs($B91,109,$A91,1,100000000),"")</f>
        <v/>
      </c>
      <c r="F91" s="18" t="str">
        <f>IFERROR(([1]!s_stmnote_bank_26($B91,$A91,1,100000000)-[1]!s_stmnote_bank_26($B91,#REF!,1,100000000)+#REF!)/[1]!s_stmnote_bank_1n($B91,#REF!,1,100000000),"")</f>
        <v/>
      </c>
      <c r="G91" s="21" t="str">
        <f t="shared" si="2"/>
        <v/>
      </c>
      <c r="H91" s="18" t="str">
        <f>IFERROR([1]!s_stmnote_bank($B91,"34",$A91,100000000)/[1]!s_stmnote_bank_1n(B91,$A91,1,100000000),"")</f>
        <v/>
      </c>
      <c r="I91" s="25">
        <f>[1]!b_stm07_bs(B91,74,$A91,1,100000000)</f>
        <v>0</v>
      </c>
      <c r="J91" s="25">
        <f>[1]!b_stm07_bs(B91,109,$A91,1,100000000)</f>
        <v>0</v>
      </c>
      <c r="K91" s="10">
        <f>[1]!s_stmnote_bank_5n(B91,$A91,1)</f>
        <v>0</v>
      </c>
      <c r="L91" s="25">
        <f>[1]!s_stmnote_bank_23n(B91,$A91,1)</f>
        <v>0</v>
      </c>
      <c r="M91" s="25">
        <f>[1]!s_stmnote_bank_capadequacyratio(B91,$A91,1)</f>
        <v>0</v>
      </c>
      <c r="N91" s="25">
        <f>[1]!s_stmnote_bank_capadequacyratio_ct1(B91,$A91,1)</f>
        <v>0</v>
      </c>
      <c r="O91" s="6">
        <f>IF(OR([1]!s_fa_roe(B91,20201231)="0",[1]!s_fa_roe(B91,20211231)="0",[1]!s_fa_roe(B91,20221231)="0"),"",IFERROR(([1]!s_fa_roe(B91,20221231)+[1]!s_fa_roe(B91,20201231)+[1]!s_fa_roe(B91,20211231))/3,""))</f>
        <v>0</v>
      </c>
      <c r="P91" s="28" t="str">
        <f>IFERROR(([1]!s_stmnote_bank_65(B91,$A91,1,2,4,100000000)+[1]!s_stmnote_bank_65(B91,$A91,1,2,6,100000000))/[1]!s_stmnote_bank_1n(B91,$A91,1,100000000),"")</f>
        <v/>
      </c>
      <c r="Q91" s="28" t="str">
        <f>IFERROR([1]!s_stmnote_bank_614(B91,$A91,1,2,100000000)/[1]!s_stmnote_bank_647(B91,$A91,1,2,100000000),"")</f>
        <v/>
      </c>
      <c r="R91" s="28" t="str">
        <f>IFERROR(([1]!b_stm07_bs(B91,104,$A91,1,100000000)+[1]!b_stm07_bs(B91,106,$A91,1,100000000)+[1]!b_stm07_bs(B91,76,$A91,1,100000000)+[1]!b_stm07_bs(B91,108,$A91,1,100000000)+[1]!b_stm07_bs(B91,95,$A91,1,100000000))/[1]!b_stm07_bs(B91,128,$A91,1,100000000),"")</f>
        <v/>
      </c>
      <c r="S91" s="28" t="str">
        <f>IFERROR(([1]!s_stmnote_bank_614(B91,$A91,1,2,100000000)+[1]!b_stm07_bs(B91,104,$A91,1,100000000)+[1]!b_stm07_bs(B91,106,$A91,1,100000000)+[1]!b_stm07_bs(B91,76,$A91,1,100000000)+[1]!b_stm07_bs(B91,108,$A91,1,100000000)+[1]!b_stm07_bs(B91,95,$A91,1,100000000))/[1]!b_stm07_bs(B91,128,$A91,1,100000000),"")</f>
        <v/>
      </c>
      <c r="T91" s="11">
        <f>[1]!b_issuer_shareholder(B91,"",1)</f>
        <v>0</v>
      </c>
      <c r="U91" s="10">
        <f>[1]!b_issuer_propofshareholder(B91,"",1)</f>
        <v>0</v>
      </c>
      <c r="V91" s="33" t="str">
        <f t="shared" si="3"/>
        <v>0</v>
      </c>
      <c r="W91" s="33">
        <f>[1]!s_info_city(B91)</f>
        <v>0</v>
      </c>
      <c r="X91" s="10">
        <f>IF([1]!s_stmnote_bank_17n(B91,$A91,1)="0","",[1]!s_stmnote_bank_17n(B91,$A91,1))</f>
        <v>0</v>
      </c>
      <c r="Y91" s="10">
        <f>IF([1]!s_stmnote_bank_18n(B91,$A91,1)="0","",[1]!s_stmnote_bank_18n(B91,$A91,1))</f>
        <v>0</v>
      </c>
      <c r="Z91" s="41">
        <f>IF([1]!s_stmnote_bank_58(B91,$A91,1)="0","",[1]!s_stmnote_bank_58(B91,$A91,1))</f>
        <v>0</v>
      </c>
      <c r="AA91" s="52">
        <f>IF([1]!s_stmnote_bank_60(B91,$A91,1)="0","",[1]!s_stmnote_bank_60(B91,$A91,1))</f>
        <v>0</v>
      </c>
      <c r="AB91" s="52">
        <f>[1]!s_stmnote_bank_5444(B91,$A91,1)</f>
        <v>0</v>
      </c>
      <c r="AC91" s="38">
        <f>[1]!s_stmnote_bank_129n($B91,$A91,1)</f>
        <v>0</v>
      </c>
      <c r="AD91" s="54">
        <f>[1]!s_stmnote_bank_30(B91,$A91,1)</f>
        <v>0</v>
      </c>
    </row>
    <row r="92" spans="1:30" ht="24">
      <c r="A92" s="1" t="s">
        <v>1110</v>
      </c>
      <c r="B92" s="87" t="s">
        <v>1200</v>
      </c>
      <c r="C92" s="8">
        <f>IF([1]!b_info_issuer(B92)="0","",IFERROR([1]!b_info_issuer(B92),""))</f>
        <v>0</v>
      </c>
      <c r="D92" s="11">
        <f>IF([1]!b_info_latestissurercreditrating(B92)="0","",IFERROR([1]!b_info_latestissurercreditrating(B92),""))</f>
        <v>0</v>
      </c>
      <c r="E92" s="27" t="str">
        <f>IFERROR(([1]!b_stm07_bs($B92,47,$A92,1,100000000))/[1]!b_stm07_bs($B92,109,$A92,1,100000000),"")</f>
        <v/>
      </c>
      <c r="F92" s="18" t="str">
        <f>IFERROR(([1]!s_stmnote_bank_26($B92,$A92,1,100000000)-[1]!s_stmnote_bank_26($B92,#REF!,1,100000000)+#REF!)/[1]!s_stmnote_bank_1n($B92,#REF!,1,100000000),"")</f>
        <v/>
      </c>
      <c r="G92" s="21" t="str">
        <f t="shared" si="2"/>
        <v/>
      </c>
      <c r="H92" s="18" t="str">
        <f>IFERROR([1]!s_stmnote_bank($B92,"34",$A92,100000000)/[1]!s_stmnote_bank_1n(B92,$A92,1,100000000),"")</f>
        <v/>
      </c>
      <c r="I92" s="25">
        <f>[1]!b_stm07_bs(B92,74,$A92,1,100000000)</f>
        <v>0</v>
      </c>
      <c r="J92" s="25">
        <f>[1]!b_stm07_bs(B92,109,$A92,1,100000000)</f>
        <v>0</v>
      </c>
      <c r="K92" s="10">
        <f>[1]!s_stmnote_bank_5n(B92,$A92,1)</f>
        <v>0</v>
      </c>
      <c r="L92" s="25">
        <f>[1]!s_stmnote_bank_23n(B92,$A92,1)</f>
        <v>0</v>
      </c>
      <c r="M92" s="25">
        <f>[1]!s_stmnote_bank_capadequacyratio(B92,$A92,1)</f>
        <v>0</v>
      </c>
      <c r="N92" s="25">
        <f>[1]!s_stmnote_bank_capadequacyratio_ct1(B92,$A92,1)</f>
        <v>0</v>
      </c>
      <c r="O92" s="6">
        <f>IF(OR([1]!s_fa_roe(B92,20201231)="0",[1]!s_fa_roe(B92,20211231)="0",[1]!s_fa_roe(B92,20221231)="0"),"",IFERROR(([1]!s_fa_roe(B92,20221231)+[1]!s_fa_roe(B92,20201231)+[1]!s_fa_roe(B92,20211231))/3,""))</f>
        <v>0</v>
      </c>
      <c r="P92" s="28" t="str">
        <f>IFERROR(([1]!s_stmnote_bank_65(B92,$A92,1,2,4,100000000)+[1]!s_stmnote_bank_65(B92,$A92,1,2,6,100000000))/[1]!s_stmnote_bank_1n(B92,$A92,1,100000000),"")</f>
        <v/>
      </c>
      <c r="Q92" s="28" t="str">
        <f>IFERROR([1]!s_stmnote_bank_614(B92,$A92,1,2,100000000)/[1]!s_stmnote_bank_647(B92,$A92,1,2,100000000),"")</f>
        <v/>
      </c>
      <c r="R92" s="28" t="str">
        <f>IFERROR(([1]!b_stm07_bs(B92,104,$A92,1,100000000)+[1]!b_stm07_bs(B92,106,$A92,1,100000000)+[1]!b_stm07_bs(B92,76,$A92,1,100000000)+[1]!b_stm07_bs(B92,108,$A92,1,100000000)+[1]!b_stm07_bs(B92,95,$A92,1,100000000))/[1]!b_stm07_bs(B92,128,$A92,1,100000000),"")</f>
        <v/>
      </c>
      <c r="S92" s="28" t="str">
        <f>IFERROR(([1]!s_stmnote_bank_614(B92,$A92,1,2,100000000)+[1]!b_stm07_bs(B92,104,$A92,1,100000000)+[1]!b_stm07_bs(B92,106,$A92,1,100000000)+[1]!b_stm07_bs(B92,76,$A92,1,100000000)+[1]!b_stm07_bs(B92,108,$A92,1,100000000)+[1]!b_stm07_bs(B92,95,$A92,1,100000000))/[1]!b_stm07_bs(B92,128,$A92,1,100000000),"")</f>
        <v/>
      </c>
      <c r="T92" s="11">
        <f>[1]!b_issuer_shareholder(B92,"",1)</f>
        <v>0</v>
      </c>
      <c r="U92" s="10">
        <f>[1]!b_issuer_propofshareholder(B92,"",1)</f>
        <v>0</v>
      </c>
      <c r="V92" s="33" t="str">
        <f t="shared" si="3"/>
        <v>0</v>
      </c>
      <c r="W92" s="33">
        <f>[1]!s_info_city(B92)</f>
        <v>0</v>
      </c>
      <c r="X92" s="10">
        <f>IF([1]!s_stmnote_bank_17n(B92,$A92,1)="0","",[1]!s_stmnote_bank_17n(B92,$A92,1))</f>
        <v>0</v>
      </c>
      <c r="Y92" s="10">
        <f>IF([1]!s_stmnote_bank_18n(B92,$A92,1)="0","",[1]!s_stmnote_bank_18n(B92,$A92,1))</f>
        <v>0</v>
      </c>
      <c r="Z92" s="41">
        <f>IF([1]!s_stmnote_bank_58(B92,$A92,1)="0","",[1]!s_stmnote_bank_58(B92,$A92,1))</f>
        <v>0</v>
      </c>
      <c r="AA92" s="52">
        <f>IF([1]!s_stmnote_bank_60(B92,$A92,1)="0","",[1]!s_stmnote_bank_60(B92,$A92,1))</f>
        <v>0</v>
      </c>
      <c r="AB92" s="52">
        <f>[1]!s_stmnote_bank_5444(B92,$A92,1)</f>
        <v>0</v>
      </c>
      <c r="AC92" s="38">
        <f>[1]!s_stmnote_bank_129n($B92,$A92,1)</f>
        <v>0</v>
      </c>
      <c r="AD92" s="54">
        <f>[1]!s_stmnote_bank_30(B92,$A92,1)</f>
        <v>0</v>
      </c>
    </row>
    <row r="93" spans="1:30" s="46" customFormat="1" ht="24">
      <c r="A93" s="1" t="s">
        <v>1110</v>
      </c>
      <c r="B93" s="87" t="s">
        <v>1201</v>
      </c>
      <c r="C93" s="8">
        <f>IF([1]!b_info_issuer(B93)="0","",IFERROR([1]!b_info_issuer(B93),""))</f>
        <v>0</v>
      </c>
      <c r="D93" s="11">
        <f>IF([1]!b_info_latestissurercreditrating(B93)="0","",IFERROR([1]!b_info_latestissurercreditrating(B93),""))</f>
        <v>0</v>
      </c>
      <c r="E93" s="27" t="str">
        <f>IFERROR(([1]!b_stm07_bs($B93,47,$A93,1,100000000))/[1]!b_stm07_bs($B93,109,$A93,1,100000000),"")</f>
        <v/>
      </c>
      <c r="F93" s="18" t="str">
        <f>IFERROR(([1]!s_stmnote_bank_26($B93,$A93,1,100000000)-[1]!s_stmnote_bank_26($B93,#REF!,1,100000000)+#REF!)/[1]!s_stmnote_bank_1n($B93,#REF!,1,100000000),"")</f>
        <v/>
      </c>
      <c r="G93" s="21" t="str">
        <f t="shared" si="2"/>
        <v/>
      </c>
      <c r="H93" s="18" t="str">
        <f>IFERROR([1]!s_stmnote_bank($B93,"34",$A93,100000000)/[1]!s_stmnote_bank_1n(B93,$A93,1,100000000),"")</f>
        <v/>
      </c>
      <c r="I93" s="25">
        <f>[1]!b_stm07_bs(B93,74,$A93,1,100000000)</f>
        <v>0</v>
      </c>
      <c r="J93" s="25">
        <f>[1]!b_stm07_bs(B93,109,$A93,1,100000000)</f>
        <v>0</v>
      </c>
      <c r="K93" s="10">
        <f>[1]!s_stmnote_bank_5n(B93,$A93,1)</f>
        <v>0</v>
      </c>
      <c r="L93" s="25">
        <f>[1]!s_stmnote_bank_23n(B93,$A93,1)</f>
        <v>0</v>
      </c>
      <c r="M93" s="25">
        <f>[1]!s_stmnote_bank_capadequacyratio(B93,$A93,1)</f>
        <v>0</v>
      </c>
      <c r="N93" s="25">
        <f>[1]!s_stmnote_bank_capadequacyratio_ct1(B93,$A93,1)</f>
        <v>0</v>
      </c>
      <c r="O93" s="6">
        <f>IF(OR([1]!s_fa_roe(B93,20201231)="0",[1]!s_fa_roe(B93,20211231)="0",[1]!s_fa_roe(B93,20221231)="0"),"",IFERROR(([1]!s_fa_roe(B93,20221231)+[1]!s_fa_roe(B93,20201231)+[1]!s_fa_roe(B93,20211231))/3,""))</f>
        <v>0</v>
      </c>
      <c r="P93" s="28" t="str">
        <f>IFERROR(([1]!s_stmnote_bank_65(B93,$A93,1,2,4,100000000)+[1]!s_stmnote_bank_65(B93,$A93,1,2,6,100000000))/[1]!s_stmnote_bank_1n(B93,$A93,1,100000000),"")</f>
        <v/>
      </c>
      <c r="Q93" s="28" t="str">
        <f>IFERROR([1]!s_stmnote_bank_614(B93,$A93,1,2,100000000)/[1]!s_stmnote_bank_647(B93,$A93,1,2,100000000),"")</f>
        <v/>
      </c>
      <c r="R93" s="28" t="str">
        <f>IFERROR(([1]!b_stm07_bs(B93,104,$A93,1,100000000)+[1]!b_stm07_bs(B93,106,$A93,1,100000000)+[1]!b_stm07_bs(B93,76,$A93,1,100000000)+[1]!b_stm07_bs(B93,108,$A93,1,100000000)+[1]!b_stm07_bs(B93,95,$A93,1,100000000))/[1]!b_stm07_bs(B93,128,$A93,1,100000000),"")</f>
        <v/>
      </c>
      <c r="S93" s="28" t="str">
        <f>IFERROR(([1]!s_stmnote_bank_614(B93,$A93,1,2,100000000)+[1]!b_stm07_bs(B93,104,$A93,1,100000000)+[1]!b_stm07_bs(B93,106,$A93,1,100000000)+[1]!b_stm07_bs(B93,76,$A93,1,100000000)+[1]!b_stm07_bs(B93,108,$A93,1,100000000)+[1]!b_stm07_bs(B93,95,$A93,1,100000000))/[1]!b_stm07_bs(B93,128,$A93,1,100000000),"")</f>
        <v/>
      </c>
      <c r="T93" s="11">
        <f>[1]!b_issuer_shareholder(B93,"",1)</f>
        <v>0</v>
      </c>
      <c r="U93" s="10">
        <f>[1]!b_issuer_propofshareholder(B93,"",1)</f>
        <v>0</v>
      </c>
      <c r="V93" s="33" t="str">
        <f t="shared" si="3"/>
        <v>0</v>
      </c>
      <c r="W93" s="33">
        <f>[1]!s_info_city(B93)</f>
        <v>0</v>
      </c>
      <c r="X93" s="10">
        <f>IF([1]!s_stmnote_bank_17n(B93,$A93,1)="0","",[1]!s_stmnote_bank_17n(B93,$A93,1))</f>
        <v>0</v>
      </c>
      <c r="Y93" s="10">
        <f>IF([1]!s_stmnote_bank_18n(B93,$A93,1)="0","",[1]!s_stmnote_bank_18n(B93,$A93,1))</f>
        <v>0</v>
      </c>
      <c r="Z93" s="41">
        <f>IF([1]!s_stmnote_bank_58(B93,$A93,1)="0","",[1]!s_stmnote_bank_58(B93,$A93,1))</f>
        <v>0</v>
      </c>
      <c r="AA93" s="52">
        <f>IF([1]!s_stmnote_bank_60(B93,$A93,1)="0","",[1]!s_stmnote_bank_60(B93,$A93,1))</f>
        <v>0</v>
      </c>
      <c r="AB93" s="52">
        <f>[1]!s_stmnote_bank_5444(B93,$A93,1)</f>
        <v>0</v>
      </c>
      <c r="AC93" s="38">
        <f>[1]!s_stmnote_bank_129n($B93,$A93,1)</f>
        <v>0</v>
      </c>
      <c r="AD93" s="54">
        <f>[1]!s_stmnote_bank_30(B93,$A93,1)</f>
        <v>0</v>
      </c>
    </row>
    <row r="94" spans="1:30" s="46" customFormat="1" ht="24">
      <c r="A94" s="1" t="s">
        <v>1110</v>
      </c>
      <c r="B94" s="87" t="s">
        <v>1202</v>
      </c>
      <c r="C94" s="8">
        <f>IF([1]!b_info_issuer(B94)="0","",IFERROR([1]!b_info_issuer(B94),""))</f>
        <v>0</v>
      </c>
      <c r="D94" s="11">
        <f>IF([1]!b_info_latestissurercreditrating(B94)="0","",IFERROR([1]!b_info_latestissurercreditrating(B94),""))</f>
        <v>0</v>
      </c>
      <c r="E94" s="27" t="str">
        <f>IFERROR(([1]!b_stm07_bs($B94,47,$A94,1,100000000))/[1]!b_stm07_bs($B94,109,$A94,1,100000000),"")</f>
        <v/>
      </c>
      <c r="F94" s="18" t="str">
        <f>IFERROR(([1]!s_stmnote_bank_26($B94,$A94,1,100000000)-[1]!s_stmnote_bank_26($B94,#REF!,1,100000000)+#REF!)/[1]!s_stmnote_bank_1n($B94,#REF!,1,100000000),"")</f>
        <v/>
      </c>
      <c r="G94" s="21" t="str">
        <f t="shared" si="2"/>
        <v/>
      </c>
      <c r="H94" s="18" t="str">
        <f>IFERROR([1]!s_stmnote_bank($B94,"34",$A94,100000000)/[1]!s_stmnote_bank_1n(B94,$A94,1,100000000),"")</f>
        <v/>
      </c>
      <c r="I94" s="25">
        <f>[1]!b_stm07_bs(B94,74,$A94,1,100000000)</f>
        <v>0</v>
      </c>
      <c r="J94" s="25">
        <f>[1]!b_stm07_bs(B94,109,$A94,1,100000000)</f>
        <v>0</v>
      </c>
      <c r="K94" s="10">
        <f>[1]!s_stmnote_bank_5n(B94,$A94,1)</f>
        <v>0</v>
      </c>
      <c r="L94" s="25">
        <f>[1]!s_stmnote_bank_23n(B94,$A94,1)</f>
        <v>0</v>
      </c>
      <c r="M94" s="25">
        <f>[1]!s_stmnote_bank_capadequacyratio(B94,$A94,1)</f>
        <v>0</v>
      </c>
      <c r="N94" s="25">
        <f>[1]!s_stmnote_bank_capadequacyratio_ct1(B94,$A94,1)</f>
        <v>0</v>
      </c>
      <c r="O94" s="6">
        <f>IF(OR([1]!s_fa_roe(B94,20201231)="0",[1]!s_fa_roe(B94,20211231)="0",[1]!s_fa_roe(B94,20221231)="0"),"",IFERROR(([1]!s_fa_roe(B94,20221231)+[1]!s_fa_roe(B94,20201231)+[1]!s_fa_roe(B94,20211231))/3,""))</f>
        <v>0</v>
      </c>
      <c r="P94" s="28" t="str">
        <f>IFERROR(([1]!s_stmnote_bank_65(B94,$A94,1,2,4,100000000)+[1]!s_stmnote_bank_65(B94,$A94,1,2,6,100000000))/[1]!s_stmnote_bank_1n(B94,$A94,1,100000000),"")</f>
        <v/>
      </c>
      <c r="Q94" s="28" t="str">
        <f>IFERROR([1]!s_stmnote_bank_614(B94,$A94,1,2,100000000)/[1]!s_stmnote_bank_647(B94,$A94,1,2,100000000),"")</f>
        <v/>
      </c>
      <c r="R94" s="28" t="str">
        <f>IFERROR(([1]!b_stm07_bs(B94,104,$A94,1,100000000)+[1]!b_stm07_bs(B94,106,$A94,1,100000000)+[1]!b_stm07_bs(B94,76,$A94,1,100000000)+[1]!b_stm07_bs(B94,108,$A94,1,100000000)+[1]!b_stm07_bs(B94,95,$A94,1,100000000))/[1]!b_stm07_bs(B94,128,$A94,1,100000000),"")</f>
        <v/>
      </c>
      <c r="S94" s="28" t="str">
        <f>IFERROR(([1]!s_stmnote_bank_614(B94,$A94,1,2,100000000)+[1]!b_stm07_bs(B94,104,$A94,1,100000000)+[1]!b_stm07_bs(B94,106,$A94,1,100000000)+[1]!b_stm07_bs(B94,76,$A94,1,100000000)+[1]!b_stm07_bs(B94,108,$A94,1,100000000)+[1]!b_stm07_bs(B94,95,$A94,1,100000000))/[1]!b_stm07_bs(B94,128,$A94,1,100000000),"")</f>
        <v/>
      </c>
      <c r="T94" s="11">
        <f>[1]!b_issuer_shareholder(B94,"",1)</f>
        <v>0</v>
      </c>
      <c r="U94" s="10">
        <f>[1]!b_issuer_propofshareholder(B94,"",1)</f>
        <v>0</v>
      </c>
      <c r="V94" s="33" t="str">
        <f t="shared" si="3"/>
        <v>0</v>
      </c>
      <c r="W94" s="33">
        <f>[1]!s_info_city(B94)</f>
        <v>0</v>
      </c>
      <c r="X94" s="10">
        <f>IF([1]!s_stmnote_bank_17n(B94,$A94,1)="0","",[1]!s_stmnote_bank_17n(B94,$A94,1))</f>
        <v>0</v>
      </c>
      <c r="Y94" s="10">
        <f>IF([1]!s_stmnote_bank_18n(B94,$A94,1)="0","",[1]!s_stmnote_bank_18n(B94,$A94,1))</f>
        <v>0</v>
      </c>
      <c r="Z94" s="41">
        <f>IF([1]!s_stmnote_bank_58(B94,$A94,1)="0","",[1]!s_stmnote_bank_58(B94,$A94,1))</f>
        <v>0</v>
      </c>
      <c r="AA94" s="52">
        <f>IF([1]!s_stmnote_bank_60(B94,$A94,1)="0","",[1]!s_stmnote_bank_60(B94,$A94,1))</f>
        <v>0</v>
      </c>
      <c r="AB94" s="52">
        <f>[1]!s_stmnote_bank_5444(B94,$A94,1)</f>
        <v>0</v>
      </c>
      <c r="AC94" s="38">
        <f>[1]!s_stmnote_bank_129n($B94,$A94,1)</f>
        <v>0</v>
      </c>
      <c r="AD94" s="54">
        <f>[1]!s_stmnote_bank_30(B94,$A94,1)</f>
        <v>0</v>
      </c>
    </row>
    <row r="95" spans="1:30" s="46" customFormat="1" ht="24">
      <c r="A95" s="1" t="s">
        <v>1110</v>
      </c>
      <c r="B95" s="87" t="s">
        <v>1203</v>
      </c>
      <c r="C95" s="8">
        <f>IF([1]!b_info_issuer(B95)="0","",IFERROR([1]!b_info_issuer(B95),""))</f>
        <v>0</v>
      </c>
      <c r="D95" s="11">
        <f>IF([1]!b_info_latestissurercreditrating(B95)="0","",IFERROR([1]!b_info_latestissurercreditrating(B95),""))</f>
        <v>0</v>
      </c>
      <c r="E95" s="27" t="str">
        <f>IFERROR(([1]!b_stm07_bs($B95,47,$A95,1,100000000))/[1]!b_stm07_bs($B95,109,$A95,1,100000000),"")</f>
        <v/>
      </c>
      <c r="F95" s="18" t="str">
        <f>IFERROR(([1]!s_stmnote_bank_26($B95,$A95,1,100000000)-[1]!s_stmnote_bank_26($B95,#REF!,1,100000000)+#REF!)/[1]!s_stmnote_bank_1n($B95,#REF!,1,100000000),"")</f>
        <v/>
      </c>
      <c r="G95" s="21" t="str">
        <f t="shared" si="2"/>
        <v/>
      </c>
      <c r="H95" s="18" t="str">
        <f>IFERROR([1]!s_stmnote_bank($B95,"34",$A95,100000000)/[1]!s_stmnote_bank_1n(B95,$A95,1,100000000),"")</f>
        <v/>
      </c>
      <c r="I95" s="25">
        <f>[1]!b_stm07_bs(B95,74,$A95,1,100000000)</f>
        <v>0</v>
      </c>
      <c r="J95" s="25">
        <f>[1]!b_stm07_bs(B95,109,$A95,1,100000000)</f>
        <v>0</v>
      </c>
      <c r="K95" s="10">
        <f>[1]!s_stmnote_bank_5n(B95,$A95,1)</f>
        <v>0</v>
      </c>
      <c r="L95" s="25">
        <f>[1]!s_stmnote_bank_23n(B95,$A95,1)</f>
        <v>0</v>
      </c>
      <c r="M95" s="25">
        <f>[1]!s_stmnote_bank_capadequacyratio(B95,$A95,1)</f>
        <v>0</v>
      </c>
      <c r="N95" s="25">
        <f>[1]!s_stmnote_bank_capadequacyratio_ct1(B95,$A95,1)</f>
        <v>0</v>
      </c>
      <c r="O95" s="6">
        <f>IF(OR([1]!s_fa_roe(B95,20201231)="0",[1]!s_fa_roe(B95,20211231)="0",[1]!s_fa_roe(B95,20221231)="0"),"",IFERROR(([1]!s_fa_roe(B95,20221231)+[1]!s_fa_roe(B95,20201231)+[1]!s_fa_roe(B95,20211231))/3,""))</f>
        <v>0</v>
      </c>
      <c r="P95" s="28" t="str">
        <f>IFERROR(([1]!s_stmnote_bank_65(B95,$A95,1,2,4,100000000)+[1]!s_stmnote_bank_65(B95,$A95,1,2,6,100000000))/[1]!s_stmnote_bank_1n(B95,$A95,1,100000000),"")</f>
        <v/>
      </c>
      <c r="Q95" s="28" t="str">
        <f>IFERROR([1]!s_stmnote_bank_614(B95,$A95,1,2,100000000)/[1]!s_stmnote_bank_647(B95,$A95,1,2,100000000),"")</f>
        <v/>
      </c>
      <c r="R95" s="28" t="str">
        <f>IFERROR(([1]!b_stm07_bs(B95,104,$A95,1,100000000)+[1]!b_stm07_bs(B95,106,$A95,1,100000000)+[1]!b_stm07_bs(B95,76,$A95,1,100000000)+[1]!b_stm07_bs(B95,108,$A95,1,100000000)+[1]!b_stm07_bs(B95,95,$A95,1,100000000))/[1]!b_stm07_bs(B95,128,$A95,1,100000000),"")</f>
        <v/>
      </c>
      <c r="S95" s="28" t="str">
        <f>IFERROR(([1]!s_stmnote_bank_614(B95,$A95,1,2,100000000)+[1]!b_stm07_bs(B95,104,$A95,1,100000000)+[1]!b_stm07_bs(B95,106,$A95,1,100000000)+[1]!b_stm07_bs(B95,76,$A95,1,100000000)+[1]!b_stm07_bs(B95,108,$A95,1,100000000)+[1]!b_stm07_bs(B95,95,$A95,1,100000000))/[1]!b_stm07_bs(B95,128,$A95,1,100000000),"")</f>
        <v/>
      </c>
      <c r="T95" s="11">
        <f>[1]!b_issuer_shareholder(B95,"",1)</f>
        <v>0</v>
      </c>
      <c r="U95" s="10">
        <f>[1]!b_issuer_propofshareholder(B95,"",1)</f>
        <v>0</v>
      </c>
      <c r="V95" s="33" t="str">
        <f t="shared" si="3"/>
        <v>0</v>
      </c>
      <c r="W95" s="33">
        <f>[1]!s_info_city(B95)</f>
        <v>0</v>
      </c>
      <c r="X95" s="10">
        <f>IF([1]!s_stmnote_bank_17n(B95,$A95,1)="0","",[1]!s_stmnote_bank_17n(B95,$A95,1))</f>
        <v>0</v>
      </c>
      <c r="Y95" s="10">
        <f>IF([1]!s_stmnote_bank_18n(B95,$A95,1)="0","",[1]!s_stmnote_bank_18n(B95,$A95,1))</f>
        <v>0</v>
      </c>
      <c r="Z95" s="41">
        <f>IF([1]!s_stmnote_bank_58(B95,$A95,1)="0","",[1]!s_stmnote_bank_58(B95,$A95,1))</f>
        <v>0</v>
      </c>
      <c r="AA95" s="52">
        <f>IF([1]!s_stmnote_bank_60(B95,$A95,1)="0","",[1]!s_stmnote_bank_60(B95,$A95,1))</f>
        <v>0</v>
      </c>
      <c r="AB95" s="52">
        <f>[1]!s_stmnote_bank_5444(B95,$A95,1)</f>
        <v>0</v>
      </c>
      <c r="AC95" s="38">
        <f>[1]!s_stmnote_bank_129n($B95,$A95,1)</f>
        <v>0</v>
      </c>
      <c r="AD95" s="54">
        <f>[1]!s_stmnote_bank_30(B95,$A95,1)</f>
        <v>0</v>
      </c>
    </row>
    <row r="96" spans="1:30" s="46" customFormat="1" ht="24">
      <c r="A96" s="1" t="s">
        <v>1110</v>
      </c>
      <c r="B96" s="87" t="s">
        <v>1204</v>
      </c>
      <c r="C96" s="8">
        <f>IF([1]!b_info_issuer(B96)="0","",IFERROR([1]!b_info_issuer(B96),""))</f>
        <v>0</v>
      </c>
      <c r="D96" s="11">
        <f>IF([1]!b_info_latestissurercreditrating(B96)="0","",IFERROR([1]!b_info_latestissurercreditrating(B96),""))</f>
        <v>0</v>
      </c>
      <c r="E96" s="27" t="str">
        <f>IFERROR(([1]!b_stm07_bs($B96,47,$A96,1,100000000))/[1]!b_stm07_bs($B96,109,$A96,1,100000000),"")</f>
        <v/>
      </c>
      <c r="F96" s="18" t="str">
        <f>IFERROR(([1]!s_stmnote_bank_26($B96,$A96,1,100000000)-[1]!s_stmnote_bank_26($B96,#REF!,1,100000000)+#REF!)/[1]!s_stmnote_bank_1n($B96,#REF!,1,100000000),"")</f>
        <v/>
      </c>
      <c r="G96" s="21" t="str">
        <f t="shared" si="2"/>
        <v/>
      </c>
      <c r="H96" s="18" t="str">
        <f>IFERROR([1]!s_stmnote_bank($B96,"34",$A96,100000000)/[1]!s_stmnote_bank_1n(B96,$A96,1,100000000),"")</f>
        <v/>
      </c>
      <c r="I96" s="25">
        <f>[1]!b_stm07_bs(B96,74,$A96,1,100000000)</f>
        <v>0</v>
      </c>
      <c r="J96" s="25">
        <f>[1]!b_stm07_bs(B96,109,$A96,1,100000000)</f>
        <v>0</v>
      </c>
      <c r="K96" s="10">
        <f>[1]!s_stmnote_bank_5n(B96,$A96,1)</f>
        <v>0</v>
      </c>
      <c r="L96" s="25">
        <f>[1]!s_stmnote_bank_23n(B96,$A96,1)</f>
        <v>0</v>
      </c>
      <c r="M96" s="25">
        <f>[1]!s_stmnote_bank_capadequacyratio(B96,$A96,1)</f>
        <v>0</v>
      </c>
      <c r="N96" s="25">
        <f>[1]!s_stmnote_bank_capadequacyratio_ct1(B96,$A96,1)</f>
        <v>0</v>
      </c>
      <c r="O96" s="6">
        <f>IF(OR([1]!s_fa_roe(B96,20201231)="0",[1]!s_fa_roe(B96,20211231)="0",[1]!s_fa_roe(B96,20221231)="0"),"",IFERROR(([1]!s_fa_roe(B96,20221231)+[1]!s_fa_roe(B96,20201231)+[1]!s_fa_roe(B96,20211231))/3,""))</f>
        <v>0</v>
      </c>
      <c r="P96" s="28" t="str">
        <f>IFERROR(([1]!s_stmnote_bank_65(B96,$A96,1,2,4,100000000)+[1]!s_stmnote_bank_65(B96,$A96,1,2,6,100000000))/[1]!s_stmnote_bank_1n(B96,$A96,1,100000000),"")</f>
        <v/>
      </c>
      <c r="Q96" s="28" t="str">
        <f>IFERROR([1]!s_stmnote_bank_614(B96,$A96,1,2,100000000)/[1]!s_stmnote_bank_647(B96,$A96,1,2,100000000),"")</f>
        <v/>
      </c>
      <c r="R96" s="28" t="str">
        <f>IFERROR(([1]!b_stm07_bs(B96,104,$A96,1,100000000)+[1]!b_stm07_bs(B96,106,$A96,1,100000000)+[1]!b_stm07_bs(B96,76,$A96,1,100000000)+[1]!b_stm07_bs(B96,108,$A96,1,100000000)+[1]!b_stm07_bs(B96,95,$A96,1,100000000))/[1]!b_stm07_bs(B96,128,$A96,1,100000000),"")</f>
        <v/>
      </c>
      <c r="S96" s="28" t="str">
        <f>IFERROR(([1]!s_stmnote_bank_614(B96,$A96,1,2,100000000)+[1]!b_stm07_bs(B96,104,$A96,1,100000000)+[1]!b_stm07_bs(B96,106,$A96,1,100000000)+[1]!b_stm07_bs(B96,76,$A96,1,100000000)+[1]!b_stm07_bs(B96,108,$A96,1,100000000)+[1]!b_stm07_bs(B96,95,$A96,1,100000000))/[1]!b_stm07_bs(B96,128,$A96,1,100000000),"")</f>
        <v/>
      </c>
      <c r="T96" s="11">
        <f>[1]!b_issuer_shareholder(B96,"",1)</f>
        <v>0</v>
      </c>
      <c r="U96" s="10">
        <f>[1]!b_issuer_propofshareholder(B96,"",1)</f>
        <v>0</v>
      </c>
      <c r="V96" s="33" t="str">
        <f t="shared" si="3"/>
        <v>0</v>
      </c>
      <c r="W96" s="33">
        <f>[1]!s_info_city(B96)</f>
        <v>0</v>
      </c>
      <c r="X96" s="10">
        <f>IF([1]!s_stmnote_bank_17n(B96,$A96,1)="0","",[1]!s_stmnote_bank_17n(B96,$A96,1))</f>
        <v>0</v>
      </c>
      <c r="Y96" s="10">
        <f>IF([1]!s_stmnote_bank_18n(B96,$A96,1)="0","",[1]!s_stmnote_bank_18n(B96,$A96,1))</f>
        <v>0</v>
      </c>
      <c r="Z96" s="41">
        <f>IF([1]!s_stmnote_bank_58(B96,$A96,1)="0","",[1]!s_stmnote_bank_58(B96,$A96,1))</f>
        <v>0</v>
      </c>
      <c r="AA96" s="52">
        <f>IF([1]!s_stmnote_bank_60(B96,$A96,1)="0","",[1]!s_stmnote_bank_60(B96,$A96,1))</f>
        <v>0</v>
      </c>
      <c r="AB96" s="52">
        <f>[1]!s_stmnote_bank_5444(B96,$A96,1)</f>
        <v>0</v>
      </c>
      <c r="AC96" s="38">
        <f>[1]!s_stmnote_bank_129n($B96,$A96,1)</f>
        <v>0</v>
      </c>
      <c r="AD96" s="54">
        <f>[1]!s_stmnote_bank_30(B96,$A96,1)</f>
        <v>0</v>
      </c>
    </row>
    <row r="97" spans="1:30" s="46" customFormat="1" ht="24">
      <c r="A97" s="1" t="s">
        <v>1110</v>
      </c>
      <c r="B97" s="87" t="s">
        <v>1205</v>
      </c>
      <c r="C97" s="8">
        <f>IF([1]!b_info_issuer(B97)="0","",IFERROR([1]!b_info_issuer(B97),""))</f>
        <v>0</v>
      </c>
      <c r="D97" s="11">
        <f>IF([1]!b_info_latestissurercreditrating(B97)="0","",IFERROR([1]!b_info_latestissurercreditrating(B97),""))</f>
        <v>0</v>
      </c>
      <c r="E97" s="27" t="str">
        <f>IFERROR(([1]!b_stm07_bs($B97,47,$A97,1,100000000))/[1]!b_stm07_bs($B97,109,$A97,1,100000000),"")</f>
        <v/>
      </c>
      <c r="F97" s="18" t="str">
        <f>IFERROR(([1]!s_stmnote_bank_26($B97,$A97,1,100000000)-[1]!s_stmnote_bank_26($B97,#REF!,1,100000000)+#REF!)/[1]!s_stmnote_bank_1n($B97,#REF!,1,100000000),"")</f>
        <v/>
      </c>
      <c r="G97" s="21" t="str">
        <f t="shared" si="2"/>
        <v/>
      </c>
      <c r="H97" s="18" t="str">
        <f>IFERROR([1]!s_stmnote_bank($B97,"34",$A97,100000000)/[1]!s_stmnote_bank_1n(B97,$A97,1,100000000),"")</f>
        <v/>
      </c>
      <c r="I97" s="25">
        <f>[1]!b_stm07_bs(B97,74,$A97,1,100000000)</f>
        <v>0</v>
      </c>
      <c r="J97" s="25">
        <f>[1]!b_stm07_bs(B97,109,$A97,1,100000000)</f>
        <v>0</v>
      </c>
      <c r="K97" s="10">
        <f>[1]!s_stmnote_bank_5n(B97,$A97,1)</f>
        <v>0</v>
      </c>
      <c r="L97" s="25">
        <f>[1]!s_stmnote_bank_23n(B97,$A97,1)</f>
        <v>0</v>
      </c>
      <c r="M97" s="25">
        <f>[1]!s_stmnote_bank_capadequacyratio(B97,$A97,1)</f>
        <v>0</v>
      </c>
      <c r="N97" s="25">
        <f>[1]!s_stmnote_bank_capadequacyratio_ct1(B97,$A97,1)</f>
        <v>0</v>
      </c>
      <c r="O97" s="6">
        <f>IF(OR([1]!s_fa_roe(B97,20201231)="0",[1]!s_fa_roe(B97,20211231)="0",[1]!s_fa_roe(B97,20221231)="0"),"",IFERROR(([1]!s_fa_roe(B97,20221231)+[1]!s_fa_roe(B97,20201231)+[1]!s_fa_roe(B97,20211231))/3,""))</f>
        <v>0</v>
      </c>
      <c r="P97" s="28" t="str">
        <f>IFERROR(([1]!s_stmnote_bank_65(B97,$A97,1,2,4,100000000)+[1]!s_stmnote_bank_65(B97,$A97,1,2,6,100000000))/[1]!s_stmnote_bank_1n(B97,$A97,1,100000000),"")</f>
        <v/>
      </c>
      <c r="Q97" s="28" t="str">
        <f>IFERROR([1]!s_stmnote_bank_614(B97,$A97,1,2,100000000)/[1]!s_stmnote_bank_647(B97,$A97,1,2,100000000),"")</f>
        <v/>
      </c>
      <c r="R97" s="28" t="str">
        <f>IFERROR(([1]!b_stm07_bs(B97,104,$A97,1,100000000)+[1]!b_stm07_bs(B97,106,$A97,1,100000000)+[1]!b_stm07_bs(B97,76,$A97,1,100000000)+[1]!b_stm07_bs(B97,108,$A97,1,100000000)+[1]!b_stm07_bs(B97,95,$A97,1,100000000))/[1]!b_stm07_bs(B97,128,$A97,1,100000000),"")</f>
        <v/>
      </c>
      <c r="S97" s="28" t="str">
        <f>IFERROR(([1]!s_stmnote_bank_614(B97,$A97,1,2,100000000)+[1]!b_stm07_bs(B97,104,$A97,1,100000000)+[1]!b_stm07_bs(B97,106,$A97,1,100000000)+[1]!b_stm07_bs(B97,76,$A97,1,100000000)+[1]!b_stm07_bs(B97,108,$A97,1,100000000)+[1]!b_stm07_bs(B97,95,$A97,1,100000000))/[1]!b_stm07_bs(B97,128,$A97,1,100000000),"")</f>
        <v/>
      </c>
      <c r="T97" s="11">
        <f>[1]!b_issuer_shareholder(B97,"",1)</f>
        <v>0</v>
      </c>
      <c r="U97" s="10">
        <f>[1]!b_issuer_propofshareholder(B97,"",1)</f>
        <v>0</v>
      </c>
      <c r="V97" s="33" t="str">
        <f t="shared" si="3"/>
        <v>0</v>
      </c>
      <c r="W97" s="33">
        <f>[1]!s_info_city(B97)</f>
        <v>0</v>
      </c>
      <c r="X97" s="10">
        <f>IF([1]!s_stmnote_bank_17n(B97,$A97,1)="0","",[1]!s_stmnote_bank_17n(B97,$A97,1))</f>
        <v>0</v>
      </c>
      <c r="Y97" s="10">
        <f>IF([1]!s_stmnote_bank_18n(B97,$A97,1)="0","",[1]!s_stmnote_bank_18n(B97,$A97,1))</f>
        <v>0</v>
      </c>
      <c r="Z97" s="41">
        <f>IF([1]!s_stmnote_bank_58(B97,$A97,1)="0","",[1]!s_stmnote_bank_58(B97,$A97,1))</f>
        <v>0</v>
      </c>
      <c r="AA97" s="52">
        <f>IF([1]!s_stmnote_bank_60(B97,$A97,1)="0","",[1]!s_stmnote_bank_60(B97,$A97,1))</f>
        <v>0</v>
      </c>
      <c r="AB97" s="52">
        <f>[1]!s_stmnote_bank_5444(B97,$A97,1)</f>
        <v>0</v>
      </c>
      <c r="AC97" s="38">
        <f>[1]!s_stmnote_bank_129n($B97,$A97,1)</f>
        <v>0</v>
      </c>
      <c r="AD97" s="54">
        <f>[1]!s_stmnote_bank_30(B97,$A97,1)</f>
        <v>0</v>
      </c>
    </row>
    <row r="98" spans="1:30" s="46" customFormat="1" ht="24">
      <c r="A98" s="1" t="s">
        <v>1110</v>
      </c>
      <c r="B98" s="87" t="s">
        <v>1206</v>
      </c>
      <c r="C98" s="8">
        <f>IF([1]!b_info_issuer(B98)="0","",IFERROR([1]!b_info_issuer(B98),""))</f>
        <v>0</v>
      </c>
      <c r="D98" s="11">
        <f>IF([1]!b_info_latestissurercreditrating(B98)="0","",IFERROR([1]!b_info_latestissurercreditrating(B98),""))</f>
        <v>0</v>
      </c>
      <c r="E98" s="27" t="str">
        <f>IFERROR(([1]!b_stm07_bs($B98,47,$A98,1,100000000))/[1]!b_stm07_bs($B98,109,$A98,1,100000000),"")</f>
        <v/>
      </c>
      <c r="F98" s="18" t="str">
        <f>IFERROR(([1]!s_stmnote_bank_26($B98,$A98,1,100000000)-[1]!s_stmnote_bank_26($B98,#REF!,1,100000000)+#REF!)/[1]!s_stmnote_bank_1n($B98,#REF!,1,100000000),"")</f>
        <v/>
      </c>
      <c r="G98" s="21" t="str">
        <f t="shared" si="2"/>
        <v/>
      </c>
      <c r="H98" s="18" t="str">
        <f>IFERROR([1]!s_stmnote_bank($B98,"34",$A98,100000000)/[1]!s_stmnote_bank_1n(B98,$A98,1,100000000),"")</f>
        <v/>
      </c>
      <c r="I98" s="25">
        <f>[1]!b_stm07_bs(B98,74,$A98,1,100000000)</f>
        <v>0</v>
      </c>
      <c r="J98" s="25">
        <f>[1]!b_stm07_bs(B98,109,$A98,1,100000000)</f>
        <v>0</v>
      </c>
      <c r="K98" s="10">
        <f>[1]!s_stmnote_bank_5n(B98,$A98,1)</f>
        <v>0</v>
      </c>
      <c r="L98" s="25">
        <f>[1]!s_stmnote_bank_23n(B98,$A98,1)</f>
        <v>0</v>
      </c>
      <c r="M98" s="25">
        <f>[1]!s_stmnote_bank_capadequacyratio(B98,$A98,1)</f>
        <v>0</v>
      </c>
      <c r="N98" s="25">
        <f>[1]!s_stmnote_bank_capadequacyratio_ct1(B98,$A98,1)</f>
        <v>0</v>
      </c>
      <c r="O98" s="6">
        <f>IF(OR([1]!s_fa_roe(B98,20201231)="0",[1]!s_fa_roe(B98,20211231)="0",[1]!s_fa_roe(B98,20221231)="0"),"",IFERROR(([1]!s_fa_roe(B98,20221231)+[1]!s_fa_roe(B98,20201231)+[1]!s_fa_roe(B98,20211231))/3,""))</f>
        <v>0</v>
      </c>
      <c r="P98" s="28" t="str">
        <f>IFERROR(([1]!s_stmnote_bank_65(B98,$A98,1,2,4,100000000)+[1]!s_stmnote_bank_65(B98,$A98,1,2,6,100000000))/[1]!s_stmnote_bank_1n(B98,$A98,1,100000000),"")</f>
        <v/>
      </c>
      <c r="Q98" s="28" t="str">
        <f>IFERROR([1]!s_stmnote_bank_614(B98,$A98,1,2,100000000)/[1]!s_stmnote_bank_647(B98,$A98,1,2,100000000),"")</f>
        <v/>
      </c>
      <c r="R98" s="28" t="str">
        <f>IFERROR(([1]!b_stm07_bs(B98,104,$A98,1,100000000)+[1]!b_stm07_bs(B98,106,$A98,1,100000000)+[1]!b_stm07_bs(B98,76,$A98,1,100000000)+[1]!b_stm07_bs(B98,108,$A98,1,100000000)+[1]!b_stm07_bs(B98,95,$A98,1,100000000))/[1]!b_stm07_bs(B98,128,$A98,1,100000000),"")</f>
        <v/>
      </c>
      <c r="S98" s="28" t="str">
        <f>IFERROR(([1]!s_stmnote_bank_614(B98,$A98,1,2,100000000)+[1]!b_stm07_bs(B98,104,$A98,1,100000000)+[1]!b_stm07_bs(B98,106,$A98,1,100000000)+[1]!b_stm07_bs(B98,76,$A98,1,100000000)+[1]!b_stm07_bs(B98,108,$A98,1,100000000)+[1]!b_stm07_bs(B98,95,$A98,1,100000000))/[1]!b_stm07_bs(B98,128,$A98,1,100000000),"")</f>
        <v/>
      </c>
      <c r="T98" s="11">
        <f>[1]!b_issuer_shareholder(B98,"",1)</f>
        <v>0</v>
      </c>
      <c r="U98" s="10">
        <f>[1]!b_issuer_propofshareholder(B98,"",1)</f>
        <v>0</v>
      </c>
      <c r="V98" s="33" t="str">
        <f t="shared" si="3"/>
        <v>0</v>
      </c>
      <c r="W98" s="33">
        <f>[1]!s_info_city(B98)</f>
        <v>0</v>
      </c>
      <c r="X98" s="10">
        <f>IF([1]!s_stmnote_bank_17n(B98,$A98,1)="0","",[1]!s_stmnote_bank_17n(B98,$A98,1))</f>
        <v>0</v>
      </c>
      <c r="Y98" s="10">
        <f>IF([1]!s_stmnote_bank_18n(B98,$A98,1)="0","",[1]!s_stmnote_bank_18n(B98,$A98,1))</f>
        <v>0</v>
      </c>
      <c r="Z98" s="41">
        <f>IF([1]!s_stmnote_bank_58(B98,$A98,1)="0","",[1]!s_stmnote_bank_58(B98,$A98,1))</f>
        <v>0</v>
      </c>
      <c r="AA98" s="52">
        <f>IF([1]!s_stmnote_bank_60(B98,$A98,1)="0","",[1]!s_stmnote_bank_60(B98,$A98,1))</f>
        <v>0</v>
      </c>
      <c r="AB98" s="52">
        <f>[1]!s_stmnote_bank_5444(B98,$A98,1)</f>
        <v>0</v>
      </c>
      <c r="AC98" s="38">
        <f>[1]!s_stmnote_bank_129n($B98,$A98,1)</f>
        <v>0</v>
      </c>
      <c r="AD98" s="54">
        <f>[1]!s_stmnote_bank_30(B98,$A98,1)</f>
        <v>0</v>
      </c>
    </row>
    <row r="99" spans="1:30" s="46" customFormat="1" ht="24">
      <c r="A99" s="1" t="s">
        <v>1110</v>
      </c>
      <c r="B99" s="87" t="s">
        <v>1207</v>
      </c>
      <c r="C99" s="8">
        <f>IF([1]!b_info_issuer(B99)="0","",IFERROR([1]!b_info_issuer(B99),""))</f>
        <v>0</v>
      </c>
      <c r="D99" s="11">
        <f>IF([1]!b_info_latestissurercreditrating(B99)="0","",IFERROR([1]!b_info_latestissurercreditrating(B99),""))</f>
        <v>0</v>
      </c>
      <c r="E99" s="27" t="str">
        <f>IFERROR(([1]!b_stm07_bs($B99,47,$A99,1,100000000))/[1]!b_stm07_bs($B99,109,$A99,1,100000000),"")</f>
        <v/>
      </c>
      <c r="F99" s="18" t="str">
        <f>IFERROR(([1]!s_stmnote_bank_26($B99,$A99,1,100000000)-[1]!s_stmnote_bank_26($B99,#REF!,1,100000000)+#REF!)/[1]!s_stmnote_bank_1n($B99,#REF!,1,100000000),"")</f>
        <v/>
      </c>
      <c r="G99" s="21" t="str">
        <f t="shared" si="2"/>
        <v/>
      </c>
      <c r="H99" s="18" t="str">
        <f>IFERROR([1]!s_stmnote_bank($B99,"34",$A99,100000000)/[1]!s_stmnote_bank_1n(B99,$A99,1,100000000),"")</f>
        <v/>
      </c>
      <c r="I99" s="25">
        <f>[1]!b_stm07_bs(B99,74,$A99,1,100000000)</f>
        <v>0</v>
      </c>
      <c r="J99" s="25">
        <f>[1]!b_stm07_bs(B99,109,$A99,1,100000000)</f>
        <v>0</v>
      </c>
      <c r="K99" s="10">
        <f>[1]!s_stmnote_bank_5n(B99,$A99,1)</f>
        <v>0</v>
      </c>
      <c r="L99" s="25">
        <f>[1]!s_stmnote_bank_23n(B99,$A99,1)</f>
        <v>0</v>
      </c>
      <c r="M99" s="25">
        <f>[1]!s_stmnote_bank_capadequacyratio(B99,$A99,1)</f>
        <v>0</v>
      </c>
      <c r="N99" s="25">
        <f>[1]!s_stmnote_bank_capadequacyratio_ct1(B99,$A99,1)</f>
        <v>0</v>
      </c>
      <c r="O99" s="6">
        <f>IF(OR([1]!s_fa_roe(B99,20201231)="0",[1]!s_fa_roe(B99,20211231)="0",[1]!s_fa_roe(B99,20221231)="0"),"",IFERROR(([1]!s_fa_roe(B99,20221231)+[1]!s_fa_roe(B99,20201231)+[1]!s_fa_roe(B99,20211231))/3,""))</f>
        <v>0</v>
      </c>
      <c r="P99" s="28" t="str">
        <f>IFERROR(([1]!s_stmnote_bank_65(B99,$A99,1,2,4,100000000)+[1]!s_stmnote_bank_65(B99,$A99,1,2,6,100000000))/[1]!s_stmnote_bank_1n(B99,$A99,1,100000000),"")</f>
        <v/>
      </c>
      <c r="Q99" s="28" t="str">
        <f>IFERROR([1]!s_stmnote_bank_614(B99,$A99,1,2,100000000)/[1]!s_stmnote_bank_647(B99,$A99,1,2,100000000),"")</f>
        <v/>
      </c>
      <c r="R99" s="28" t="str">
        <f>IFERROR(([1]!b_stm07_bs(B99,104,$A99,1,100000000)+[1]!b_stm07_bs(B99,106,$A99,1,100000000)+[1]!b_stm07_bs(B99,76,$A99,1,100000000)+[1]!b_stm07_bs(B99,108,$A99,1,100000000)+[1]!b_stm07_bs(B99,95,$A99,1,100000000))/[1]!b_stm07_bs(B99,128,$A99,1,100000000),"")</f>
        <v/>
      </c>
      <c r="S99" s="28" t="str">
        <f>IFERROR(([1]!s_stmnote_bank_614(B99,$A99,1,2,100000000)+[1]!b_stm07_bs(B99,104,$A99,1,100000000)+[1]!b_stm07_bs(B99,106,$A99,1,100000000)+[1]!b_stm07_bs(B99,76,$A99,1,100000000)+[1]!b_stm07_bs(B99,108,$A99,1,100000000)+[1]!b_stm07_bs(B99,95,$A99,1,100000000))/[1]!b_stm07_bs(B99,128,$A99,1,100000000),"")</f>
        <v/>
      </c>
      <c r="T99" s="11">
        <f>[1]!b_issuer_shareholder(B99,"",1)</f>
        <v>0</v>
      </c>
      <c r="U99" s="10">
        <f>[1]!b_issuer_propofshareholder(B99,"",1)</f>
        <v>0</v>
      </c>
      <c r="V99" s="33" t="str">
        <f t="shared" si="3"/>
        <v>0</v>
      </c>
      <c r="W99" s="33">
        <f>[1]!s_info_city(B99)</f>
        <v>0</v>
      </c>
      <c r="X99" s="10">
        <f>IF([1]!s_stmnote_bank_17n(B99,$A99,1)="0","",[1]!s_stmnote_bank_17n(B99,$A99,1))</f>
        <v>0</v>
      </c>
      <c r="Y99" s="10">
        <f>IF([1]!s_stmnote_bank_18n(B99,$A99,1)="0","",[1]!s_stmnote_bank_18n(B99,$A99,1))</f>
        <v>0</v>
      </c>
      <c r="Z99" s="41">
        <f>IF([1]!s_stmnote_bank_58(B99,$A99,1)="0","",[1]!s_stmnote_bank_58(B99,$A99,1))</f>
        <v>0</v>
      </c>
      <c r="AA99" s="52">
        <f>IF([1]!s_stmnote_bank_60(B99,$A99,1)="0","",[1]!s_stmnote_bank_60(B99,$A99,1))</f>
        <v>0</v>
      </c>
      <c r="AB99" s="52">
        <f>[1]!s_stmnote_bank_5444(B99,$A99,1)</f>
        <v>0</v>
      </c>
      <c r="AC99" s="38">
        <f>[1]!s_stmnote_bank_129n($B99,$A99,1)</f>
        <v>0</v>
      </c>
      <c r="AD99" s="54">
        <f>[1]!s_stmnote_bank_30(B99,$A99,1)</f>
        <v>0</v>
      </c>
    </row>
    <row r="100" spans="1:30" s="46" customFormat="1" ht="24">
      <c r="A100" s="1" t="s">
        <v>1110</v>
      </c>
      <c r="B100" s="87" t="s">
        <v>1208</v>
      </c>
      <c r="C100" s="8">
        <f>IF([1]!b_info_issuer(B100)="0","",IFERROR([1]!b_info_issuer(B100),""))</f>
        <v>0</v>
      </c>
      <c r="D100" s="11">
        <f>IF([1]!b_info_latestissurercreditrating(B100)="0","",IFERROR([1]!b_info_latestissurercreditrating(B100),""))</f>
        <v>0</v>
      </c>
      <c r="E100" s="27" t="str">
        <f>IFERROR(([1]!b_stm07_bs($B100,47,$A100,1,100000000))/[1]!b_stm07_bs($B100,109,$A100,1,100000000),"")</f>
        <v/>
      </c>
      <c r="F100" s="18" t="str">
        <f>IFERROR(([1]!s_stmnote_bank_26($B100,$A100,1,100000000)-[1]!s_stmnote_bank_26($B100,#REF!,1,100000000)+#REF!)/[1]!s_stmnote_bank_1n($B100,#REF!,1,100000000),"")</f>
        <v/>
      </c>
      <c r="G100" s="21" t="str">
        <f t="shared" si="2"/>
        <v/>
      </c>
      <c r="H100" s="18" t="str">
        <f>IFERROR([1]!s_stmnote_bank($B100,"34",$A100,100000000)/[1]!s_stmnote_bank_1n(B100,$A100,1,100000000),"")</f>
        <v/>
      </c>
      <c r="I100" s="25">
        <f>[1]!b_stm07_bs(B100,74,$A100,1,100000000)</f>
        <v>0</v>
      </c>
      <c r="J100" s="25">
        <f>[1]!b_stm07_bs(B100,109,$A100,1,100000000)</f>
        <v>0</v>
      </c>
      <c r="K100" s="10">
        <f>[1]!s_stmnote_bank_5n(B100,$A100,1)</f>
        <v>0</v>
      </c>
      <c r="L100" s="25">
        <f>[1]!s_stmnote_bank_23n(B100,$A100,1)</f>
        <v>0</v>
      </c>
      <c r="M100" s="25">
        <f>[1]!s_stmnote_bank_capadequacyratio(B100,$A100,1)</f>
        <v>0</v>
      </c>
      <c r="N100" s="25">
        <f>[1]!s_stmnote_bank_capadequacyratio_ct1(B100,$A100,1)</f>
        <v>0</v>
      </c>
      <c r="O100" s="6">
        <f>IF(OR([1]!s_fa_roe(B100,20201231)="0",[1]!s_fa_roe(B100,20211231)="0",[1]!s_fa_roe(B100,20221231)="0"),"",IFERROR(([1]!s_fa_roe(B100,20221231)+[1]!s_fa_roe(B100,20201231)+[1]!s_fa_roe(B100,20211231))/3,""))</f>
        <v>0</v>
      </c>
      <c r="P100" s="28" t="str">
        <f>IFERROR(([1]!s_stmnote_bank_65(B100,$A100,1,2,4,100000000)+[1]!s_stmnote_bank_65(B100,$A100,1,2,6,100000000))/[1]!s_stmnote_bank_1n(B100,$A100,1,100000000),"")</f>
        <v/>
      </c>
      <c r="Q100" s="28" t="str">
        <f>IFERROR([1]!s_stmnote_bank_614(B100,$A100,1,2,100000000)/[1]!s_stmnote_bank_647(B100,$A100,1,2,100000000),"")</f>
        <v/>
      </c>
      <c r="R100" s="28" t="str">
        <f>IFERROR(([1]!b_stm07_bs(B100,104,$A100,1,100000000)+[1]!b_stm07_bs(B100,106,$A100,1,100000000)+[1]!b_stm07_bs(B100,76,$A100,1,100000000)+[1]!b_stm07_bs(B100,108,$A100,1,100000000)+[1]!b_stm07_bs(B100,95,$A100,1,100000000))/[1]!b_stm07_bs(B100,128,$A100,1,100000000),"")</f>
        <v/>
      </c>
      <c r="S100" s="28" t="str">
        <f>IFERROR(([1]!s_stmnote_bank_614(B100,$A100,1,2,100000000)+[1]!b_stm07_bs(B100,104,$A100,1,100000000)+[1]!b_stm07_bs(B100,106,$A100,1,100000000)+[1]!b_stm07_bs(B100,76,$A100,1,100000000)+[1]!b_stm07_bs(B100,108,$A100,1,100000000)+[1]!b_stm07_bs(B100,95,$A100,1,100000000))/[1]!b_stm07_bs(B100,128,$A100,1,100000000),"")</f>
        <v/>
      </c>
      <c r="T100" s="11">
        <f>[1]!b_issuer_shareholder(B100,"",1)</f>
        <v>0</v>
      </c>
      <c r="U100" s="10">
        <f>[1]!b_issuer_propofshareholder(B100,"",1)</f>
        <v>0</v>
      </c>
      <c r="V100" s="33" t="str">
        <f t="shared" si="3"/>
        <v>0</v>
      </c>
      <c r="W100" s="33">
        <f>[1]!s_info_city(B100)</f>
        <v>0</v>
      </c>
      <c r="X100" s="10">
        <f>IF([1]!s_stmnote_bank_17n(B100,$A100,1)="0","",[1]!s_stmnote_bank_17n(B100,$A100,1))</f>
        <v>0</v>
      </c>
      <c r="Y100" s="10">
        <f>IF([1]!s_stmnote_bank_18n(B100,$A100,1)="0","",[1]!s_stmnote_bank_18n(B100,$A100,1))</f>
        <v>0</v>
      </c>
      <c r="Z100" s="41">
        <f>IF([1]!s_stmnote_bank_58(B100,$A100,1)="0","",[1]!s_stmnote_bank_58(B100,$A100,1))</f>
        <v>0</v>
      </c>
      <c r="AA100" s="52">
        <f>IF([1]!s_stmnote_bank_60(B100,$A100,1)="0","",[1]!s_stmnote_bank_60(B100,$A100,1))</f>
        <v>0</v>
      </c>
      <c r="AB100" s="52">
        <f>[1]!s_stmnote_bank_5444(B100,$A100,1)</f>
        <v>0</v>
      </c>
      <c r="AC100" s="38">
        <f>[1]!s_stmnote_bank_129n($B100,$A100,1)</f>
        <v>0</v>
      </c>
      <c r="AD100" s="54">
        <f>[1]!s_stmnote_bank_30(B100,$A100,1)</f>
        <v>0</v>
      </c>
    </row>
    <row r="101" spans="1:30" s="46" customFormat="1" ht="24">
      <c r="A101" s="1" t="s">
        <v>1110</v>
      </c>
      <c r="B101" s="87" t="s">
        <v>1209</v>
      </c>
      <c r="C101" s="8">
        <f>IF([1]!b_info_issuer(B101)="0","",IFERROR([1]!b_info_issuer(B101),""))</f>
        <v>0</v>
      </c>
      <c r="D101" s="11">
        <f>IF([1]!b_info_latestissurercreditrating(B101)="0","",IFERROR([1]!b_info_latestissurercreditrating(B101),""))</f>
        <v>0</v>
      </c>
      <c r="E101" s="27" t="str">
        <f>IFERROR(([1]!b_stm07_bs($B101,47,$A101,1,100000000))/[1]!b_stm07_bs($B101,109,$A101,1,100000000),"")</f>
        <v/>
      </c>
      <c r="F101" s="18" t="str">
        <f>IFERROR(([1]!s_stmnote_bank_26($B101,$A101,1,100000000)-[1]!s_stmnote_bank_26($B101,#REF!,1,100000000)+#REF!)/[1]!s_stmnote_bank_1n($B101,#REF!,1,100000000),"")</f>
        <v/>
      </c>
      <c r="G101" s="21" t="str">
        <f t="shared" si="2"/>
        <v/>
      </c>
      <c r="H101" s="18" t="str">
        <f>IFERROR([1]!s_stmnote_bank($B101,"34",$A101,100000000)/[1]!s_stmnote_bank_1n(B101,$A101,1,100000000),"")</f>
        <v/>
      </c>
      <c r="I101" s="25">
        <f>[1]!b_stm07_bs(B101,74,$A101,1,100000000)</f>
        <v>0</v>
      </c>
      <c r="J101" s="25">
        <f>[1]!b_stm07_bs(B101,109,$A101,1,100000000)</f>
        <v>0</v>
      </c>
      <c r="K101" s="10">
        <f>[1]!s_stmnote_bank_5n(B101,$A101,1)</f>
        <v>0</v>
      </c>
      <c r="L101" s="25">
        <f>[1]!s_stmnote_bank_23n(B101,$A101,1)</f>
        <v>0</v>
      </c>
      <c r="M101" s="25">
        <f>[1]!s_stmnote_bank_capadequacyratio(B101,$A101,1)</f>
        <v>0</v>
      </c>
      <c r="N101" s="25">
        <f>[1]!s_stmnote_bank_capadequacyratio_ct1(B101,$A101,1)</f>
        <v>0</v>
      </c>
      <c r="O101" s="6">
        <f>IF(OR([1]!s_fa_roe(B101,20201231)="0",[1]!s_fa_roe(B101,20211231)="0",[1]!s_fa_roe(B101,20221231)="0"),"",IFERROR(([1]!s_fa_roe(B101,20221231)+[1]!s_fa_roe(B101,20201231)+[1]!s_fa_roe(B101,20211231))/3,""))</f>
        <v>0</v>
      </c>
      <c r="P101" s="28" t="str">
        <f>IFERROR(([1]!s_stmnote_bank_65(B101,$A101,1,2,4,100000000)+[1]!s_stmnote_bank_65(B101,$A101,1,2,6,100000000))/[1]!s_stmnote_bank_1n(B101,$A101,1,100000000),"")</f>
        <v/>
      </c>
      <c r="Q101" s="28" t="str">
        <f>IFERROR([1]!s_stmnote_bank_614(B101,$A101,1,2,100000000)/[1]!s_stmnote_bank_647(B101,$A101,1,2,100000000),"")</f>
        <v/>
      </c>
      <c r="R101" s="28" t="str">
        <f>IFERROR(([1]!b_stm07_bs(B101,104,$A101,1,100000000)+[1]!b_stm07_bs(B101,106,$A101,1,100000000)+[1]!b_stm07_bs(B101,76,$A101,1,100000000)+[1]!b_stm07_bs(B101,108,$A101,1,100000000)+[1]!b_stm07_bs(B101,95,$A101,1,100000000))/[1]!b_stm07_bs(B101,128,$A101,1,100000000),"")</f>
        <v/>
      </c>
      <c r="S101" s="28" t="str">
        <f>IFERROR(([1]!s_stmnote_bank_614(B101,$A101,1,2,100000000)+[1]!b_stm07_bs(B101,104,$A101,1,100000000)+[1]!b_stm07_bs(B101,106,$A101,1,100000000)+[1]!b_stm07_bs(B101,76,$A101,1,100000000)+[1]!b_stm07_bs(B101,108,$A101,1,100000000)+[1]!b_stm07_bs(B101,95,$A101,1,100000000))/[1]!b_stm07_bs(B101,128,$A101,1,100000000),"")</f>
        <v/>
      </c>
      <c r="T101" s="11">
        <f>[1]!b_issuer_shareholder(B101,"",1)</f>
        <v>0</v>
      </c>
      <c r="U101" s="10">
        <f>[1]!b_issuer_propofshareholder(B101,"",1)</f>
        <v>0</v>
      </c>
      <c r="V101" s="33" t="str">
        <f t="shared" si="3"/>
        <v>0</v>
      </c>
      <c r="W101" s="33">
        <f>[1]!s_info_city(B101)</f>
        <v>0</v>
      </c>
      <c r="X101" s="10">
        <f>IF([1]!s_stmnote_bank_17n(B101,$A101,1)="0","",[1]!s_stmnote_bank_17n(B101,$A101,1))</f>
        <v>0</v>
      </c>
      <c r="Y101" s="10">
        <f>IF([1]!s_stmnote_bank_18n(B101,$A101,1)="0","",[1]!s_stmnote_bank_18n(B101,$A101,1))</f>
        <v>0</v>
      </c>
      <c r="Z101" s="41">
        <f>IF([1]!s_stmnote_bank_58(B101,$A101,1)="0","",[1]!s_stmnote_bank_58(B101,$A101,1))</f>
        <v>0</v>
      </c>
      <c r="AA101" s="52">
        <f>IF([1]!s_stmnote_bank_60(B101,$A101,1)="0","",[1]!s_stmnote_bank_60(B101,$A101,1))</f>
        <v>0</v>
      </c>
      <c r="AB101" s="52">
        <f>[1]!s_stmnote_bank_5444(B101,$A101,1)</f>
        <v>0</v>
      </c>
      <c r="AC101" s="38">
        <f>[1]!s_stmnote_bank_129n($B101,$A101,1)</f>
        <v>0</v>
      </c>
      <c r="AD101" s="54">
        <f>[1]!s_stmnote_bank_30(B101,$A101,1)</f>
        <v>0</v>
      </c>
    </row>
    <row r="102" spans="1:30" s="46" customFormat="1" ht="24">
      <c r="A102" s="1" t="s">
        <v>1110</v>
      </c>
      <c r="B102" s="87" t="s">
        <v>1210</v>
      </c>
      <c r="C102" s="8">
        <f>IF([1]!b_info_issuer(B102)="0","",IFERROR([1]!b_info_issuer(B102),""))</f>
        <v>0</v>
      </c>
      <c r="D102" s="11">
        <f>IF([1]!b_info_latestissurercreditrating(B102)="0","",IFERROR([1]!b_info_latestissurercreditrating(B102),""))</f>
        <v>0</v>
      </c>
      <c r="E102" s="27" t="str">
        <f>IFERROR(([1]!b_stm07_bs($B102,47,$A102,1,100000000))/[1]!b_stm07_bs($B102,109,$A102,1,100000000),"")</f>
        <v/>
      </c>
      <c r="F102" s="18" t="str">
        <f>IFERROR(([1]!s_stmnote_bank_26($B102,$A102,1,100000000)-[1]!s_stmnote_bank_26($B102,#REF!,1,100000000)+#REF!)/[1]!s_stmnote_bank_1n($B102,#REF!,1,100000000),"")</f>
        <v/>
      </c>
      <c r="G102" s="21" t="str">
        <f t="shared" si="2"/>
        <v/>
      </c>
      <c r="H102" s="18" t="str">
        <f>IFERROR([1]!s_stmnote_bank($B102,"34",$A102,100000000)/[1]!s_stmnote_bank_1n(B102,$A102,1,100000000),"")</f>
        <v/>
      </c>
      <c r="I102" s="25">
        <f>[1]!b_stm07_bs(B102,74,$A102,1,100000000)</f>
        <v>0</v>
      </c>
      <c r="J102" s="25">
        <f>[1]!b_stm07_bs(B102,109,$A102,1,100000000)</f>
        <v>0</v>
      </c>
      <c r="K102" s="10">
        <f>[1]!s_stmnote_bank_5n(B102,$A102,1)</f>
        <v>0</v>
      </c>
      <c r="L102" s="25">
        <f>[1]!s_stmnote_bank_23n(B102,$A102,1)</f>
        <v>0</v>
      </c>
      <c r="M102" s="25">
        <f>[1]!s_stmnote_bank_capadequacyratio(B102,$A102,1)</f>
        <v>0</v>
      </c>
      <c r="N102" s="25">
        <f>[1]!s_stmnote_bank_capadequacyratio_ct1(B102,$A102,1)</f>
        <v>0</v>
      </c>
      <c r="O102" s="6">
        <f>IF(OR([1]!s_fa_roe(B102,20201231)="0",[1]!s_fa_roe(B102,20211231)="0",[1]!s_fa_roe(B102,20221231)="0"),"",IFERROR(([1]!s_fa_roe(B102,20221231)+[1]!s_fa_roe(B102,20201231)+[1]!s_fa_roe(B102,20211231))/3,""))</f>
        <v>0</v>
      </c>
      <c r="P102" s="28" t="str">
        <f>IFERROR(([1]!s_stmnote_bank_65(B102,$A102,1,2,4,100000000)+[1]!s_stmnote_bank_65(B102,$A102,1,2,6,100000000))/[1]!s_stmnote_bank_1n(B102,$A102,1,100000000),"")</f>
        <v/>
      </c>
      <c r="Q102" s="28" t="str">
        <f>IFERROR([1]!s_stmnote_bank_614(B102,$A102,1,2,100000000)/[1]!s_stmnote_bank_647(B102,$A102,1,2,100000000),"")</f>
        <v/>
      </c>
      <c r="R102" s="28" t="str">
        <f>IFERROR(([1]!b_stm07_bs(B102,104,$A102,1,100000000)+[1]!b_stm07_bs(B102,106,$A102,1,100000000)+[1]!b_stm07_bs(B102,76,$A102,1,100000000)+[1]!b_stm07_bs(B102,108,$A102,1,100000000)+[1]!b_stm07_bs(B102,95,$A102,1,100000000))/[1]!b_stm07_bs(B102,128,$A102,1,100000000),"")</f>
        <v/>
      </c>
      <c r="S102" s="28" t="str">
        <f>IFERROR(([1]!s_stmnote_bank_614(B102,$A102,1,2,100000000)+[1]!b_stm07_bs(B102,104,$A102,1,100000000)+[1]!b_stm07_bs(B102,106,$A102,1,100000000)+[1]!b_stm07_bs(B102,76,$A102,1,100000000)+[1]!b_stm07_bs(B102,108,$A102,1,100000000)+[1]!b_stm07_bs(B102,95,$A102,1,100000000))/[1]!b_stm07_bs(B102,128,$A102,1,100000000),"")</f>
        <v/>
      </c>
      <c r="T102" s="11">
        <f>[1]!b_issuer_shareholder(B102,"",1)</f>
        <v>0</v>
      </c>
      <c r="U102" s="10">
        <f>[1]!b_issuer_propofshareholder(B102,"",1)</f>
        <v>0</v>
      </c>
      <c r="V102" s="33" t="str">
        <f t="shared" si="3"/>
        <v>0</v>
      </c>
      <c r="W102" s="33">
        <f>[1]!s_info_city(B102)</f>
        <v>0</v>
      </c>
      <c r="X102" s="10">
        <f>IF([1]!s_stmnote_bank_17n(B102,$A102,1)="0","",[1]!s_stmnote_bank_17n(B102,$A102,1))</f>
        <v>0</v>
      </c>
      <c r="Y102" s="10">
        <f>IF([1]!s_stmnote_bank_18n(B102,$A102,1)="0","",[1]!s_stmnote_bank_18n(B102,$A102,1))</f>
        <v>0</v>
      </c>
      <c r="Z102" s="41">
        <f>IF([1]!s_stmnote_bank_58(B102,$A102,1)="0","",[1]!s_stmnote_bank_58(B102,$A102,1))</f>
        <v>0</v>
      </c>
      <c r="AA102" s="52">
        <f>IF([1]!s_stmnote_bank_60(B102,$A102,1)="0","",[1]!s_stmnote_bank_60(B102,$A102,1))</f>
        <v>0</v>
      </c>
      <c r="AB102" s="52">
        <f>[1]!s_stmnote_bank_5444(B102,$A102,1)</f>
        <v>0</v>
      </c>
      <c r="AC102" s="38">
        <f>[1]!s_stmnote_bank_129n($B102,$A102,1)</f>
        <v>0</v>
      </c>
      <c r="AD102" s="54">
        <f>[1]!s_stmnote_bank_30(B102,$A102,1)</f>
        <v>0</v>
      </c>
    </row>
    <row r="103" spans="1:30" s="46" customFormat="1" ht="24">
      <c r="A103" s="1" t="s">
        <v>1110</v>
      </c>
      <c r="B103" s="87" t="s">
        <v>1211</v>
      </c>
      <c r="C103" s="8">
        <f>IF([1]!b_info_issuer(B103)="0","",IFERROR([1]!b_info_issuer(B103),""))</f>
        <v>0</v>
      </c>
      <c r="D103" s="11">
        <f>IF([1]!b_info_latestissurercreditrating(B103)="0","",IFERROR([1]!b_info_latestissurercreditrating(B103),""))</f>
        <v>0</v>
      </c>
      <c r="E103" s="27" t="str">
        <f>IFERROR(([1]!b_stm07_bs($B103,47,$A103,1,100000000))/[1]!b_stm07_bs($B103,109,$A103,1,100000000),"")</f>
        <v/>
      </c>
      <c r="F103" s="18" t="str">
        <f>IFERROR(([1]!s_stmnote_bank_26($B103,$A103,1,100000000)-[1]!s_stmnote_bank_26($B103,#REF!,1,100000000)+#REF!)/[1]!s_stmnote_bank_1n($B103,#REF!,1,100000000),"")</f>
        <v/>
      </c>
      <c r="G103" s="21" t="str">
        <f t="shared" si="2"/>
        <v/>
      </c>
      <c r="H103" s="18" t="str">
        <f>IFERROR([1]!s_stmnote_bank($B103,"34",$A103,100000000)/[1]!s_stmnote_bank_1n(B103,$A103,1,100000000),"")</f>
        <v/>
      </c>
      <c r="I103" s="25">
        <f>[1]!b_stm07_bs(B103,74,$A103,1,100000000)</f>
        <v>0</v>
      </c>
      <c r="J103" s="25">
        <f>[1]!b_stm07_bs(B103,109,$A103,1,100000000)</f>
        <v>0</v>
      </c>
      <c r="K103" s="10">
        <f>[1]!s_stmnote_bank_5n(B103,$A103,1)</f>
        <v>0</v>
      </c>
      <c r="L103" s="25">
        <f>[1]!s_stmnote_bank_23n(B103,$A103,1)</f>
        <v>0</v>
      </c>
      <c r="M103" s="25">
        <f>[1]!s_stmnote_bank_capadequacyratio(B103,$A103,1)</f>
        <v>0</v>
      </c>
      <c r="N103" s="25">
        <f>[1]!s_stmnote_bank_capadequacyratio_ct1(B103,$A103,1)</f>
        <v>0</v>
      </c>
      <c r="O103" s="6">
        <f>IF(OR([1]!s_fa_roe(B103,20201231)="0",[1]!s_fa_roe(B103,20211231)="0",[1]!s_fa_roe(B103,20221231)="0"),"",IFERROR(([1]!s_fa_roe(B103,20221231)+[1]!s_fa_roe(B103,20201231)+[1]!s_fa_roe(B103,20211231))/3,""))</f>
        <v>0</v>
      </c>
      <c r="P103" s="28" t="str">
        <f>IFERROR(([1]!s_stmnote_bank_65(B103,$A103,1,2,4,100000000)+[1]!s_stmnote_bank_65(B103,$A103,1,2,6,100000000))/[1]!s_stmnote_bank_1n(B103,$A103,1,100000000),"")</f>
        <v/>
      </c>
      <c r="Q103" s="28" t="str">
        <f>IFERROR([1]!s_stmnote_bank_614(B103,$A103,1,2,100000000)/[1]!s_stmnote_bank_647(B103,$A103,1,2,100000000),"")</f>
        <v/>
      </c>
      <c r="R103" s="28" t="str">
        <f>IFERROR(([1]!b_stm07_bs(B103,104,$A103,1,100000000)+[1]!b_stm07_bs(B103,106,$A103,1,100000000)+[1]!b_stm07_bs(B103,76,$A103,1,100000000)+[1]!b_stm07_bs(B103,108,$A103,1,100000000)+[1]!b_stm07_bs(B103,95,$A103,1,100000000))/[1]!b_stm07_bs(B103,128,$A103,1,100000000),"")</f>
        <v/>
      </c>
      <c r="S103" s="28" t="str">
        <f>IFERROR(([1]!s_stmnote_bank_614(B103,$A103,1,2,100000000)+[1]!b_stm07_bs(B103,104,$A103,1,100000000)+[1]!b_stm07_bs(B103,106,$A103,1,100000000)+[1]!b_stm07_bs(B103,76,$A103,1,100000000)+[1]!b_stm07_bs(B103,108,$A103,1,100000000)+[1]!b_stm07_bs(B103,95,$A103,1,100000000))/[1]!b_stm07_bs(B103,128,$A103,1,100000000),"")</f>
        <v/>
      </c>
      <c r="T103" s="11">
        <f>[1]!b_issuer_shareholder(B103,"",1)</f>
        <v>0</v>
      </c>
      <c r="U103" s="10">
        <f>[1]!b_issuer_propofshareholder(B103,"",1)</f>
        <v>0</v>
      </c>
      <c r="V103" s="33" t="str">
        <f t="shared" si="3"/>
        <v>0</v>
      </c>
      <c r="W103" s="33">
        <f>[1]!s_info_city(B103)</f>
        <v>0</v>
      </c>
      <c r="X103" s="10">
        <f>IF([1]!s_stmnote_bank_17n(B103,$A103,1)="0","",[1]!s_stmnote_bank_17n(B103,$A103,1))</f>
        <v>0</v>
      </c>
      <c r="Y103" s="10">
        <f>IF([1]!s_stmnote_bank_18n(B103,$A103,1)="0","",[1]!s_stmnote_bank_18n(B103,$A103,1))</f>
        <v>0</v>
      </c>
      <c r="Z103" s="41">
        <f>IF([1]!s_stmnote_bank_58(B103,$A103,1)="0","",[1]!s_stmnote_bank_58(B103,$A103,1))</f>
        <v>0</v>
      </c>
      <c r="AA103" s="52">
        <f>IF([1]!s_stmnote_bank_60(B103,$A103,1)="0","",[1]!s_stmnote_bank_60(B103,$A103,1))</f>
        <v>0</v>
      </c>
      <c r="AB103" s="52">
        <f>[1]!s_stmnote_bank_5444(B103,$A103,1)</f>
        <v>0</v>
      </c>
      <c r="AC103" s="38">
        <f>[1]!s_stmnote_bank_129n($B103,$A103,1)</f>
        <v>0</v>
      </c>
      <c r="AD103" s="54">
        <f>[1]!s_stmnote_bank_30(B103,$A103,1)</f>
        <v>0</v>
      </c>
    </row>
    <row r="104" spans="1:30" s="46" customFormat="1" ht="24">
      <c r="A104" s="1" t="s">
        <v>1110</v>
      </c>
      <c r="B104" s="87" t="s">
        <v>1212</v>
      </c>
      <c r="C104" s="8">
        <f>IF([1]!b_info_issuer(B104)="0","",IFERROR([1]!b_info_issuer(B104),""))</f>
        <v>0</v>
      </c>
      <c r="D104" s="11">
        <f>IF([1]!b_info_latestissurercreditrating(B104)="0","",IFERROR([1]!b_info_latestissurercreditrating(B104),""))</f>
        <v>0</v>
      </c>
      <c r="E104" s="27" t="str">
        <f>IFERROR(([1]!b_stm07_bs($B104,47,$A104,1,100000000))/[1]!b_stm07_bs($B104,109,$A104,1,100000000),"")</f>
        <v/>
      </c>
      <c r="F104" s="18" t="str">
        <f>IFERROR(([1]!s_stmnote_bank_26($B104,$A104,1,100000000)-[1]!s_stmnote_bank_26($B104,#REF!,1,100000000)+#REF!)/[1]!s_stmnote_bank_1n($B104,#REF!,1,100000000),"")</f>
        <v/>
      </c>
      <c r="G104" s="21" t="str">
        <f t="shared" si="2"/>
        <v/>
      </c>
      <c r="H104" s="18" t="str">
        <f>IFERROR([1]!s_stmnote_bank($B104,"34",$A104,100000000)/[1]!s_stmnote_bank_1n(B104,$A104,1,100000000),"")</f>
        <v/>
      </c>
      <c r="I104" s="25">
        <f>[1]!b_stm07_bs(B104,74,$A104,1,100000000)</f>
        <v>0</v>
      </c>
      <c r="J104" s="25">
        <f>[1]!b_stm07_bs(B104,109,$A104,1,100000000)</f>
        <v>0</v>
      </c>
      <c r="K104" s="10">
        <f>[1]!s_stmnote_bank_5n(B104,$A104,1)</f>
        <v>0</v>
      </c>
      <c r="L104" s="25">
        <f>[1]!s_stmnote_bank_23n(B104,$A104,1)</f>
        <v>0</v>
      </c>
      <c r="M104" s="25">
        <f>[1]!s_stmnote_bank_capadequacyratio(B104,$A104,1)</f>
        <v>0</v>
      </c>
      <c r="N104" s="25">
        <f>[1]!s_stmnote_bank_capadequacyratio_ct1(B104,$A104,1)</f>
        <v>0</v>
      </c>
      <c r="O104" s="6">
        <f>IF(OR([1]!s_fa_roe(B104,20201231)="0",[1]!s_fa_roe(B104,20211231)="0",[1]!s_fa_roe(B104,20221231)="0"),"",IFERROR(([1]!s_fa_roe(B104,20221231)+[1]!s_fa_roe(B104,20201231)+[1]!s_fa_roe(B104,20211231))/3,""))</f>
        <v>0</v>
      </c>
      <c r="P104" s="28" t="str">
        <f>IFERROR(([1]!s_stmnote_bank_65(B104,$A104,1,2,4,100000000)+[1]!s_stmnote_bank_65(B104,$A104,1,2,6,100000000))/[1]!s_stmnote_bank_1n(B104,$A104,1,100000000),"")</f>
        <v/>
      </c>
      <c r="Q104" s="28" t="str">
        <f>IFERROR([1]!s_stmnote_bank_614(B104,$A104,1,2,100000000)/[1]!s_stmnote_bank_647(B104,$A104,1,2,100000000),"")</f>
        <v/>
      </c>
      <c r="R104" s="28" t="str">
        <f>IFERROR(([1]!b_stm07_bs(B104,104,$A104,1,100000000)+[1]!b_stm07_bs(B104,106,$A104,1,100000000)+[1]!b_stm07_bs(B104,76,$A104,1,100000000)+[1]!b_stm07_bs(B104,108,$A104,1,100000000)+[1]!b_stm07_bs(B104,95,$A104,1,100000000))/[1]!b_stm07_bs(B104,128,$A104,1,100000000),"")</f>
        <v/>
      </c>
      <c r="S104" s="28" t="str">
        <f>IFERROR(([1]!s_stmnote_bank_614(B104,$A104,1,2,100000000)+[1]!b_stm07_bs(B104,104,$A104,1,100000000)+[1]!b_stm07_bs(B104,106,$A104,1,100000000)+[1]!b_stm07_bs(B104,76,$A104,1,100000000)+[1]!b_stm07_bs(B104,108,$A104,1,100000000)+[1]!b_stm07_bs(B104,95,$A104,1,100000000))/[1]!b_stm07_bs(B104,128,$A104,1,100000000),"")</f>
        <v/>
      </c>
      <c r="T104" s="11">
        <f>[1]!b_issuer_shareholder(B104,"",1)</f>
        <v>0</v>
      </c>
      <c r="U104" s="10">
        <f>[1]!b_issuer_propofshareholder(B104,"",1)</f>
        <v>0</v>
      </c>
      <c r="V104" s="33" t="str">
        <f t="shared" si="3"/>
        <v>0</v>
      </c>
      <c r="W104" s="33">
        <f>[1]!s_info_city(B104)</f>
        <v>0</v>
      </c>
      <c r="X104" s="10">
        <f>IF([1]!s_stmnote_bank_17n(B104,$A104,1)="0","",[1]!s_stmnote_bank_17n(B104,$A104,1))</f>
        <v>0</v>
      </c>
      <c r="Y104" s="10">
        <f>IF([1]!s_stmnote_bank_18n(B104,$A104,1)="0","",[1]!s_stmnote_bank_18n(B104,$A104,1))</f>
        <v>0</v>
      </c>
      <c r="Z104" s="41">
        <f>IF([1]!s_stmnote_bank_58(B104,$A104,1)="0","",[1]!s_stmnote_bank_58(B104,$A104,1))</f>
        <v>0</v>
      </c>
      <c r="AA104" s="52">
        <f>IF([1]!s_stmnote_bank_60(B104,$A104,1)="0","",[1]!s_stmnote_bank_60(B104,$A104,1))</f>
        <v>0</v>
      </c>
      <c r="AB104" s="52">
        <f>[1]!s_stmnote_bank_5444(B104,$A104,1)</f>
        <v>0</v>
      </c>
      <c r="AC104" s="38">
        <f>[1]!s_stmnote_bank_129n($B104,$A104,1)</f>
        <v>0</v>
      </c>
      <c r="AD104" s="54">
        <f>[1]!s_stmnote_bank_30(B104,$A104,1)</f>
        <v>0</v>
      </c>
    </row>
    <row r="105" spans="1:30" s="46" customFormat="1" ht="24">
      <c r="A105" s="1" t="s">
        <v>1110</v>
      </c>
      <c r="B105" s="87" t="s">
        <v>1213</v>
      </c>
      <c r="C105" s="8">
        <f>IF([1]!b_info_issuer(B105)="0","",IFERROR([1]!b_info_issuer(B105),""))</f>
        <v>0</v>
      </c>
      <c r="D105" s="11">
        <f>IF([1]!b_info_latestissurercreditrating(B105)="0","",IFERROR([1]!b_info_latestissurercreditrating(B105),""))</f>
        <v>0</v>
      </c>
      <c r="E105" s="27" t="str">
        <f>IFERROR(([1]!b_stm07_bs($B105,47,$A105,1,100000000))/[1]!b_stm07_bs($B105,109,$A105,1,100000000),"")</f>
        <v/>
      </c>
      <c r="F105" s="18" t="str">
        <f>IFERROR(([1]!s_stmnote_bank_26($B105,$A105,1,100000000)-[1]!s_stmnote_bank_26($B105,#REF!,1,100000000)+#REF!)/[1]!s_stmnote_bank_1n($B105,#REF!,1,100000000),"")</f>
        <v/>
      </c>
      <c r="G105" s="21" t="str">
        <f t="shared" si="2"/>
        <v/>
      </c>
      <c r="H105" s="18" t="str">
        <f>IFERROR([1]!s_stmnote_bank($B105,"34",$A105,100000000)/[1]!s_stmnote_bank_1n(B105,$A105,1,100000000),"")</f>
        <v/>
      </c>
      <c r="I105" s="25">
        <f>[1]!b_stm07_bs(B105,74,$A105,1,100000000)</f>
        <v>0</v>
      </c>
      <c r="J105" s="25">
        <f>[1]!b_stm07_bs(B105,109,$A105,1,100000000)</f>
        <v>0</v>
      </c>
      <c r="K105" s="10">
        <f>[1]!s_stmnote_bank_5n(B105,$A105,1)</f>
        <v>0</v>
      </c>
      <c r="L105" s="25">
        <f>[1]!s_stmnote_bank_23n(B105,$A105,1)</f>
        <v>0</v>
      </c>
      <c r="M105" s="25">
        <f>[1]!s_stmnote_bank_capadequacyratio(B105,$A105,1)</f>
        <v>0</v>
      </c>
      <c r="N105" s="25">
        <f>[1]!s_stmnote_bank_capadequacyratio_ct1(B105,$A105,1)</f>
        <v>0</v>
      </c>
      <c r="O105" s="6">
        <f>IF(OR([1]!s_fa_roe(B105,20201231)="0",[1]!s_fa_roe(B105,20211231)="0",[1]!s_fa_roe(B105,20221231)="0"),"",IFERROR(([1]!s_fa_roe(B105,20221231)+[1]!s_fa_roe(B105,20201231)+[1]!s_fa_roe(B105,20211231))/3,""))</f>
        <v>0</v>
      </c>
      <c r="P105" s="28" t="str">
        <f>IFERROR(([1]!s_stmnote_bank_65(B105,$A105,1,2,4,100000000)+[1]!s_stmnote_bank_65(B105,$A105,1,2,6,100000000))/[1]!s_stmnote_bank_1n(B105,$A105,1,100000000),"")</f>
        <v/>
      </c>
      <c r="Q105" s="28" t="str">
        <f>IFERROR([1]!s_stmnote_bank_614(B105,$A105,1,2,100000000)/[1]!s_stmnote_bank_647(B105,$A105,1,2,100000000),"")</f>
        <v/>
      </c>
      <c r="R105" s="28" t="str">
        <f>IFERROR(([1]!b_stm07_bs(B105,104,$A105,1,100000000)+[1]!b_stm07_bs(B105,106,$A105,1,100000000)+[1]!b_stm07_bs(B105,76,$A105,1,100000000)+[1]!b_stm07_bs(B105,108,$A105,1,100000000)+[1]!b_stm07_bs(B105,95,$A105,1,100000000))/[1]!b_stm07_bs(B105,128,$A105,1,100000000),"")</f>
        <v/>
      </c>
      <c r="S105" s="28" t="str">
        <f>IFERROR(([1]!s_stmnote_bank_614(B105,$A105,1,2,100000000)+[1]!b_stm07_bs(B105,104,$A105,1,100000000)+[1]!b_stm07_bs(B105,106,$A105,1,100000000)+[1]!b_stm07_bs(B105,76,$A105,1,100000000)+[1]!b_stm07_bs(B105,108,$A105,1,100000000)+[1]!b_stm07_bs(B105,95,$A105,1,100000000))/[1]!b_stm07_bs(B105,128,$A105,1,100000000),"")</f>
        <v/>
      </c>
      <c r="T105" s="11">
        <f>[1]!b_issuer_shareholder(B105,"",1)</f>
        <v>0</v>
      </c>
      <c r="U105" s="10">
        <f>[1]!b_issuer_propofshareholder(B105,"",1)</f>
        <v>0</v>
      </c>
      <c r="V105" s="33" t="str">
        <f t="shared" si="3"/>
        <v>0</v>
      </c>
      <c r="W105" s="33">
        <f>[1]!s_info_city(B105)</f>
        <v>0</v>
      </c>
      <c r="X105" s="10">
        <f>IF([1]!s_stmnote_bank_17n(B105,$A105,1)="0","",[1]!s_stmnote_bank_17n(B105,$A105,1))</f>
        <v>0</v>
      </c>
      <c r="Y105" s="10">
        <f>IF([1]!s_stmnote_bank_18n(B105,$A105,1)="0","",[1]!s_stmnote_bank_18n(B105,$A105,1))</f>
        <v>0</v>
      </c>
      <c r="Z105" s="41">
        <f>IF([1]!s_stmnote_bank_58(B105,$A105,1)="0","",[1]!s_stmnote_bank_58(B105,$A105,1))</f>
        <v>0</v>
      </c>
      <c r="AA105" s="52">
        <f>IF([1]!s_stmnote_bank_60(B105,$A105,1)="0","",[1]!s_stmnote_bank_60(B105,$A105,1))</f>
        <v>0</v>
      </c>
      <c r="AB105" s="52">
        <f>[1]!s_stmnote_bank_5444(B105,$A105,1)</f>
        <v>0</v>
      </c>
      <c r="AC105" s="38">
        <f>[1]!s_stmnote_bank_129n($B105,$A105,1)</f>
        <v>0</v>
      </c>
      <c r="AD105" s="54">
        <f>[1]!s_stmnote_bank_30(B105,$A105,1)</f>
        <v>0</v>
      </c>
    </row>
    <row r="106" spans="1:30" s="46" customFormat="1" ht="24">
      <c r="A106" s="1" t="s">
        <v>1110</v>
      </c>
      <c r="B106" s="87" t="s">
        <v>1214</v>
      </c>
      <c r="C106" s="8">
        <f>IF([1]!b_info_issuer(B106)="0","",IFERROR([1]!b_info_issuer(B106),""))</f>
        <v>0</v>
      </c>
      <c r="D106" s="11">
        <f>IF([1]!b_info_latestissurercreditrating(B106)="0","",IFERROR([1]!b_info_latestissurercreditrating(B106),""))</f>
        <v>0</v>
      </c>
      <c r="E106" s="27" t="str">
        <f>IFERROR(([1]!b_stm07_bs($B106,47,$A106,1,100000000))/[1]!b_stm07_bs($B106,109,$A106,1,100000000),"")</f>
        <v/>
      </c>
      <c r="F106" s="18" t="str">
        <f>IFERROR(([1]!s_stmnote_bank_26($B106,$A106,1,100000000)-[1]!s_stmnote_bank_26($B106,#REF!,1,100000000)+#REF!)/[1]!s_stmnote_bank_1n($B106,#REF!,1,100000000),"")</f>
        <v/>
      </c>
      <c r="G106" s="21" t="str">
        <f t="shared" si="2"/>
        <v/>
      </c>
      <c r="H106" s="18" t="str">
        <f>IFERROR([1]!s_stmnote_bank($B106,"34",$A106,100000000)/[1]!s_stmnote_bank_1n(B106,$A106,1,100000000),"")</f>
        <v/>
      </c>
      <c r="I106" s="25">
        <f>[1]!b_stm07_bs(B106,74,$A106,1,100000000)</f>
        <v>0</v>
      </c>
      <c r="J106" s="25">
        <f>[1]!b_stm07_bs(B106,109,$A106,1,100000000)</f>
        <v>0</v>
      </c>
      <c r="K106" s="10">
        <f>[1]!s_stmnote_bank_5n(B106,$A106,1)</f>
        <v>0</v>
      </c>
      <c r="L106" s="25">
        <f>[1]!s_stmnote_bank_23n(B106,$A106,1)</f>
        <v>0</v>
      </c>
      <c r="M106" s="25">
        <f>[1]!s_stmnote_bank_capadequacyratio(B106,$A106,1)</f>
        <v>0</v>
      </c>
      <c r="N106" s="25">
        <f>[1]!s_stmnote_bank_capadequacyratio_ct1(B106,$A106,1)</f>
        <v>0</v>
      </c>
      <c r="O106" s="6">
        <f>IF(OR([1]!s_fa_roe(B106,20201231)="0",[1]!s_fa_roe(B106,20211231)="0",[1]!s_fa_roe(B106,20221231)="0"),"",IFERROR(([1]!s_fa_roe(B106,20221231)+[1]!s_fa_roe(B106,20201231)+[1]!s_fa_roe(B106,20211231))/3,""))</f>
        <v>0</v>
      </c>
      <c r="P106" s="28" t="str">
        <f>IFERROR(([1]!s_stmnote_bank_65(B106,$A106,1,2,4,100000000)+[1]!s_stmnote_bank_65(B106,$A106,1,2,6,100000000))/[1]!s_stmnote_bank_1n(B106,$A106,1,100000000),"")</f>
        <v/>
      </c>
      <c r="Q106" s="28" t="str">
        <f>IFERROR([1]!s_stmnote_bank_614(B106,$A106,1,2,100000000)/[1]!s_stmnote_bank_647(B106,$A106,1,2,100000000),"")</f>
        <v/>
      </c>
      <c r="R106" s="28" t="str">
        <f>IFERROR(([1]!b_stm07_bs(B106,104,$A106,1,100000000)+[1]!b_stm07_bs(B106,106,$A106,1,100000000)+[1]!b_stm07_bs(B106,76,$A106,1,100000000)+[1]!b_stm07_bs(B106,108,$A106,1,100000000)+[1]!b_stm07_bs(B106,95,$A106,1,100000000))/[1]!b_stm07_bs(B106,128,$A106,1,100000000),"")</f>
        <v/>
      </c>
      <c r="S106" s="28" t="str">
        <f>IFERROR(([1]!s_stmnote_bank_614(B106,$A106,1,2,100000000)+[1]!b_stm07_bs(B106,104,$A106,1,100000000)+[1]!b_stm07_bs(B106,106,$A106,1,100000000)+[1]!b_stm07_bs(B106,76,$A106,1,100000000)+[1]!b_stm07_bs(B106,108,$A106,1,100000000)+[1]!b_stm07_bs(B106,95,$A106,1,100000000))/[1]!b_stm07_bs(B106,128,$A106,1,100000000),"")</f>
        <v/>
      </c>
      <c r="T106" s="11">
        <f>[1]!b_issuer_shareholder(B106,"",1)</f>
        <v>0</v>
      </c>
      <c r="U106" s="10">
        <f>[1]!b_issuer_propofshareholder(B106,"",1)</f>
        <v>0</v>
      </c>
      <c r="V106" s="33" t="str">
        <f t="shared" si="3"/>
        <v>0</v>
      </c>
      <c r="W106" s="33">
        <f>[1]!s_info_city(B106)</f>
        <v>0</v>
      </c>
      <c r="X106" s="10">
        <f>IF([1]!s_stmnote_bank_17n(B106,$A106,1)="0","",[1]!s_stmnote_bank_17n(B106,$A106,1))</f>
        <v>0</v>
      </c>
      <c r="Y106" s="10">
        <f>IF([1]!s_stmnote_bank_18n(B106,$A106,1)="0","",[1]!s_stmnote_bank_18n(B106,$A106,1))</f>
        <v>0</v>
      </c>
      <c r="Z106" s="41">
        <f>IF([1]!s_stmnote_bank_58(B106,$A106,1)="0","",[1]!s_stmnote_bank_58(B106,$A106,1))</f>
        <v>0</v>
      </c>
      <c r="AA106" s="52">
        <f>IF([1]!s_stmnote_bank_60(B106,$A106,1)="0","",[1]!s_stmnote_bank_60(B106,$A106,1))</f>
        <v>0</v>
      </c>
      <c r="AB106" s="52">
        <f>[1]!s_stmnote_bank_5444(B106,$A106,1)</f>
        <v>0</v>
      </c>
      <c r="AC106" s="38">
        <f>[1]!s_stmnote_bank_129n($B106,$A106,1)</f>
        <v>0</v>
      </c>
      <c r="AD106" s="54">
        <f>[1]!s_stmnote_bank_30(B106,$A106,1)</f>
        <v>0</v>
      </c>
    </row>
    <row r="107" spans="1:30" s="46" customFormat="1" ht="24">
      <c r="A107" s="1" t="s">
        <v>1110</v>
      </c>
      <c r="B107" s="87" t="s">
        <v>1215</v>
      </c>
      <c r="C107" s="8">
        <f>IF([1]!b_info_issuer(B107)="0","",IFERROR([1]!b_info_issuer(B107),""))</f>
        <v>0</v>
      </c>
      <c r="D107" s="11">
        <f>IF([1]!b_info_latestissurercreditrating(B107)="0","",IFERROR([1]!b_info_latestissurercreditrating(B107),""))</f>
        <v>0</v>
      </c>
      <c r="E107" s="27" t="str">
        <f>IFERROR(([1]!b_stm07_bs($B107,47,$A107,1,100000000))/[1]!b_stm07_bs($B107,109,$A107,1,100000000),"")</f>
        <v/>
      </c>
      <c r="F107" s="18" t="str">
        <f>IFERROR(([1]!s_stmnote_bank_26($B107,$A107,1,100000000)-[1]!s_stmnote_bank_26($B107,#REF!,1,100000000)+#REF!)/[1]!s_stmnote_bank_1n($B107,#REF!,1,100000000),"")</f>
        <v/>
      </c>
      <c r="G107" s="21" t="str">
        <f t="shared" si="2"/>
        <v/>
      </c>
      <c r="H107" s="18" t="str">
        <f>IFERROR([1]!s_stmnote_bank($B107,"34",$A107,100000000)/[1]!s_stmnote_bank_1n(B107,$A107,1,100000000),"")</f>
        <v/>
      </c>
      <c r="I107" s="25">
        <f>[1]!b_stm07_bs(B107,74,$A107,1,100000000)</f>
        <v>0</v>
      </c>
      <c r="J107" s="25">
        <f>[1]!b_stm07_bs(B107,109,$A107,1,100000000)</f>
        <v>0</v>
      </c>
      <c r="K107" s="10">
        <f>[1]!s_stmnote_bank_5n(B107,$A107,1)</f>
        <v>0</v>
      </c>
      <c r="L107" s="25">
        <f>[1]!s_stmnote_bank_23n(B107,$A107,1)</f>
        <v>0</v>
      </c>
      <c r="M107" s="25">
        <f>[1]!s_stmnote_bank_capadequacyratio(B107,$A107,1)</f>
        <v>0</v>
      </c>
      <c r="N107" s="25">
        <f>[1]!s_stmnote_bank_capadequacyratio_ct1(B107,$A107,1)</f>
        <v>0</v>
      </c>
      <c r="O107" s="6">
        <f>IF(OR([1]!s_fa_roe(B107,20201231)="0",[1]!s_fa_roe(B107,20211231)="0",[1]!s_fa_roe(B107,20221231)="0"),"",IFERROR(([1]!s_fa_roe(B107,20221231)+[1]!s_fa_roe(B107,20201231)+[1]!s_fa_roe(B107,20211231))/3,""))</f>
        <v>0</v>
      </c>
      <c r="P107" s="28" t="str">
        <f>IFERROR(([1]!s_stmnote_bank_65(B107,$A107,1,2,4,100000000)+[1]!s_stmnote_bank_65(B107,$A107,1,2,6,100000000))/[1]!s_stmnote_bank_1n(B107,$A107,1,100000000),"")</f>
        <v/>
      </c>
      <c r="Q107" s="28" t="str">
        <f>IFERROR([1]!s_stmnote_bank_614(B107,$A107,1,2,100000000)/[1]!s_stmnote_bank_647(B107,$A107,1,2,100000000),"")</f>
        <v/>
      </c>
      <c r="R107" s="28" t="str">
        <f>IFERROR(([1]!b_stm07_bs(B107,104,$A107,1,100000000)+[1]!b_stm07_bs(B107,106,$A107,1,100000000)+[1]!b_stm07_bs(B107,76,$A107,1,100000000)+[1]!b_stm07_bs(B107,108,$A107,1,100000000)+[1]!b_stm07_bs(B107,95,$A107,1,100000000))/[1]!b_stm07_bs(B107,128,$A107,1,100000000),"")</f>
        <v/>
      </c>
      <c r="S107" s="28" t="str">
        <f>IFERROR(([1]!s_stmnote_bank_614(B107,$A107,1,2,100000000)+[1]!b_stm07_bs(B107,104,$A107,1,100000000)+[1]!b_stm07_bs(B107,106,$A107,1,100000000)+[1]!b_stm07_bs(B107,76,$A107,1,100000000)+[1]!b_stm07_bs(B107,108,$A107,1,100000000)+[1]!b_stm07_bs(B107,95,$A107,1,100000000))/[1]!b_stm07_bs(B107,128,$A107,1,100000000),"")</f>
        <v/>
      </c>
      <c r="T107" s="11">
        <f>[1]!b_issuer_shareholder(B107,"",1)</f>
        <v>0</v>
      </c>
      <c r="U107" s="10">
        <f>[1]!b_issuer_propofshareholder(B107,"",1)</f>
        <v>0</v>
      </c>
      <c r="V107" s="33" t="str">
        <f t="shared" si="3"/>
        <v>0</v>
      </c>
      <c r="W107" s="33">
        <f>[1]!s_info_city(B107)</f>
        <v>0</v>
      </c>
      <c r="X107" s="10">
        <f>IF([1]!s_stmnote_bank_17n(B107,$A107,1)="0","",[1]!s_stmnote_bank_17n(B107,$A107,1))</f>
        <v>0</v>
      </c>
      <c r="Y107" s="10">
        <f>IF([1]!s_stmnote_bank_18n(B107,$A107,1)="0","",[1]!s_stmnote_bank_18n(B107,$A107,1))</f>
        <v>0</v>
      </c>
      <c r="Z107" s="41">
        <f>IF([1]!s_stmnote_bank_58(B107,$A107,1)="0","",[1]!s_stmnote_bank_58(B107,$A107,1))</f>
        <v>0</v>
      </c>
      <c r="AA107" s="52">
        <f>IF([1]!s_stmnote_bank_60(B107,$A107,1)="0","",[1]!s_stmnote_bank_60(B107,$A107,1))</f>
        <v>0</v>
      </c>
      <c r="AB107" s="52">
        <f>[1]!s_stmnote_bank_5444(B107,$A107,1)</f>
        <v>0</v>
      </c>
      <c r="AC107" s="38">
        <f>[1]!s_stmnote_bank_129n($B107,$A107,1)</f>
        <v>0</v>
      </c>
      <c r="AD107" s="54">
        <f>[1]!s_stmnote_bank_30(B107,$A107,1)</f>
        <v>0</v>
      </c>
    </row>
    <row r="108" spans="1:30" ht="24">
      <c r="A108" s="1" t="s">
        <v>1110</v>
      </c>
      <c r="B108" s="87" t="s">
        <v>1216</v>
      </c>
      <c r="C108" s="8">
        <f>IF([1]!b_info_issuer(B108)="0","",IFERROR([1]!b_info_issuer(B108),""))</f>
        <v>0</v>
      </c>
      <c r="D108" s="11">
        <f>IF([1]!b_info_latestissurercreditrating(B108)="0","",IFERROR([1]!b_info_latestissurercreditrating(B108),""))</f>
        <v>0</v>
      </c>
      <c r="E108" s="27" t="str">
        <f>IFERROR(([1]!b_stm07_bs($B108,47,$A108,1,100000000))/[1]!b_stm07_bs($B108,109,$A108,1,100000000),"")</f>
        <v/>
      </c>
      <c r="F108" s="18" t="str">
        <f>IFERROR(([1]!s_stmnote_bank_26($B108,$A108,1,100000000)-[1]!s_stmnote_bank_26($B108,#REF!,1,100000000)+#REF!)/[1]!s_stmnote_bank_1n($B108,#REF!,1,100000000),"")</f>
        <v/>
      </c>
      <c r="G108" s="21" t="str">
        <f t="shared" si="2"/>
        <v/>
      </c>
      <c r="H108" s="18" t="str">
        <f>IFERROR([1]!s_stmnote_bank($B108,"34",$A108,100000000)/[1]!s_stmnote_bank_1n(B108,$A108,1,100000000),"")</f>
        <v/>
      </c>
      <c r="I108" s="25">
        <f>[1]!b_stm07_bs(B108,74,$A108,1,100000000)</f>
        <v>0</v>
      </c>
      <c r="J108" s="25">
        <f>[1]!b_stm07_bs(B108,109,$A108,1,100000000)</f>
        <v>0</v>
      </c>
      <c r="K108" s="10">
        <f>[1]!s_stmnote_bank_5n(B108,$A108,1)</f>
        <v>0</v>
      </c>
      <c r="L108" s="25">
        <f>[1]!s_stmnote_bank_23n(B108,$A108,1)</f>
        <v>0</v>
      </c>
      <c r="M108" s="25">
        <f>[1]!s_stmnote_bank_capadequacyratio(B108,$A108,1)</f>
        <v>0</v>
      </c>
      <c r="N108" s="25">
        <f>[1]!s_stmnote_bank_capadequacyratio_ct1(B108,$A108,1)</f>
        <v>0</v>
      </c>
      <c r="O108" s="6">
        <f>IF(OR([1]!s_fa_roe(B108,20201231)="0",[1]!s_fa_roe(B108,20211231)="0",[1]!s_fa_roe(B108,20221231)="0"),"",IFERROR(([1]!s_fa_roe(B108,20221231)+[1]!s_fa_roe(B108,20201231)+[1]!s_fa_roe(B108,20211231))/3,""))</f>
        <v>0</v>
      </c>
      <c r="P108" s="28" t="str">
        <f>IFERROR(([1]!s_stmnote_bank_65(B108,$A108,1,2,4,100000000)+[1]!s_stmnote_bank_65(B108,$A108,1,2,6,100000000))/[1]!s_stmnote_bank_1n(B108,$A108,1,100000000),"")</f>
        <v/>
      </c>
      <c r="Q108" s="28" t="str">
        <f>IFERROR([1]!s_stmnote_bank_614(B108,$A108,1,2,100000000)/[1]!s_stmnote_bank_647(B108,$A108,1,2,100000000),"")</f>
        <v/>
      </c>
      <c r="R108" s="28" t="str">
        <f>IFERROR(([1]!b_stm07_bs(B108,104,$A108,1,100000000)+[1]!b_stm07_bs(B108,106,$A108,1,100000000)+[1]!b_stm07_bs(B108,76,$A108,1,100000000)+[1]!b_stm07_bs(B108,108,$A108,1,100000000)+[1]!b_stm07_bs(B108,95,$A108,1,100000000))/[1]!b_stm07_bs(B108,128,$A108,1,100000000),"")</f>
        <v/>
      </c>
      <c r="S108" s="28" t="str">
        <f>IFERROR(([1]!s_stmnote_bank_614(B108,$A108,1,2,100000000)+[1]!b_stm07_bs(B108,104,$A108,1,100000000)+[1]!b_stm07_bs(B108,106,$A108,1,100000000)+[1]!b_stm07_bs(B108,76,$A108,1,100000000)+[1]!b_stm07_bs(B108,108,$A108,1,100000000)+[1]!b_stm07_bs(B108,95,$A108,1,100000000))/[1]!b_stm07_bs(B108,128,$A108,1,100000000),"")</f>
        <v/>
      </c>
      <c r="T108" s="11">
        <f>[1]!b_issuer_shareholder(B108,"",1)</f>
        <v>0</v>
      </c>
      <c r="U108" s="10">
        <f>[1]!b_issuer_propofshareholder(B108,"",1)</f>
        <v>0</v>
      </c>
      <c r="V108" s="33" t="str">
        <f t="shared" si="3"/>
        <v>0</v>
      </c>
      <c r="W108" s="33">
        <f>[1]!s_info_city(B108)</f>
        <v>0</v>
      </c>
      <c r="X108" s="10">
        <f>IF([1]!s_stmnote_bank_17n(B108,$A108,1)="0","",[1]!s_stmnote_bank_17n(B108,$A108,1))</f>
        <v>0</v>
      </c>
      <c r="Y108" s="10">
        <f>IF([1]!s_stmnote_bank_18n(B108,$A108,1)="0","",[1]!s_stmnote_bank_18n(B108,$A108,1))</f>
        <v>0</v>
      </c>
      <c r="Z108" s="41">
        <f>IF([1]!s_stmnote_bank_58(B108,$A108,1)="0","",[1]!s_stmnote_bank_58(B108,$A108,1))</f>
        <v>0</v>
      </c>
      <c r="AA108" s="52">
        <f>IF([1]!s_stmnote_bank_60(B108,$A108,1)="0","",[1]!s_stmnote_bank_60(B108,$A108,1))</f>
        <v>0</v>
      </c>
      <c r="AB108" s="52">
        <f>[1]!s_stmnote_bank_5444(B108,$A108,1)</f>
        <v>0</v>
      </c>
      <c r="AC108" s="38">
        <f>[1]!s_stmnote_bank_129n($B108,$A108,1)</f>
        <v>0</v>
      </c>
      <c r="AD108" s="54">
        <f>[1]!s_stmnote_bank_30(B108,$A108,1)</f>
        <v>0</v>
      </c>
    </row>
    <row r="109" spans="1:30" ht="24">
      <c r="A109" s="1" t="s">
        <v>1110</v>
      </c>
      <c r="B109" s="87" t="s">
        <v>1217</v>
      </c>
      <c r="C109" s="8">
        <f>IF([1]!b_info_issuer(B109)="0","",IFERROR([1]!b_info_issuer(B109),""))</f>
        <v>0</v>
      </c>
      <c r="D109" s="11">
        <f>IF([1]!b_info_latestissurercreditrating(B109)="0","",IFERROR([1]!b_info_latestissurercreditrating(B109),""))</f>
        <v>0</v>
      </c>
      <c r="E109" s="27" t="str">
        <f>IFERROR(([1]!b_stm07_bs($B109,47,$A109,1,100000000))/[1]!b_stm07_bs($B109,109,$A109,1,100000000),"")</f>
        <v/>
      </c>
      <c r="F109" s="18" t="str">
        <f>IFERROR(([1]!s_stmnote_bank_26($B109,$A109,1,100000000)-[1]!s_stmnote_bank_26($B109,#REF!,1,100000000)+#REF!)/[1]!s_stmnote_bank_1n($B109,#REF!,1,100000000),"")</f>
        <v/>
      </c>
      <c r="G109" s="21" t="str">
        <f t="shared" si="2"/>
        <v/>
      </c>
      <c r="H109" s="18" t="str">
        <f>IFERROR([1]!s_stmnote_bank($B109,"34",$A109,100000000)/[1]!s_stmnote_bank_1n(B109,$A109,1,100000000),"")</f>
        <v/>
      </c>
      <c r="I109" s="25">
        <f>[1]!b_stm07_bs(B109,74,$A109,1,100000000)</f>
        <v>0</v>
      </c>
      <c r="J109" s="25">
        <f>[1]!b_stm07_bs(B109,109,$A109,1,100000000)</f>
        <v>0</v>
      </c>
      <c r="K109" s="10">
        <f>[1]!s_stmnote_bank_5n(B109,$A109,1)</f>
        <v>0</v>
      </c>
      <c r="L109" s="25">
        <f>[1]!s_stmnote_bank_23n(B109,$A109,1)</f>
        <v>0</v>
      </c>
      <c r="M109" s="25">
        <f>[1]!s_stmnote_bank_capadequacyratio(B109,$A109,1)</f>
        <v>0</v>
      </c>
      <c r="N109" s="25">
        <f>[1]!s_stmnote_bank_capadequacyratio_ct1(B109,$A109,1)</f>
        <v>0</v>
      </c>
      <c r="O109" s="6">
        <f>IF(OR([1]!s_fa_roe(B109,20201231)="0",[1]!s_fa_roe(B109,20211231)="0",[1]!s_fa_roe(B109,20221231)="0"),"",IFERROR(([1]!s_fa_roe(B109,20221231)+[1]!s_fa_roe(B109,20201231)+[1]!s_fa_roe(B109,20211231))/3,""))</f>
        <v>0</v>
      </c>
      <c r="P109" s="28" t="str">
        <f>IFERROR(([1]!s_stmnote_bank_65(B109,$A109,1,2,4,100000000)+[1]!s_stmnote_bank_65(B109,$A109,1,2,6,100000000))/[1]!s_stmnote_bank_1n(B109,$A109,1,100000000),"")</f>
        <v/>
      </c>
      <c r="Q109" s="28" t="str">
        <f>IFERROR([1]!s_stmnote_bank_614(B109,$A109,1,2,100000000)/[1]!s_stmnote_bank_647(B109,$A109,1,2,100000000),"")</f>
        <v/>
      </c>
      <c r="R109" s="28" t="str">
        <f>IFERROR(([1]!b_stm07_bs(B109,104,$A109,1,100000000)+[1]!b_stm07_bs(B109,106,$A109,1,100000000)+[1]!b_stm07_bs(B109,76,$A109,1,100000000)+[1]!b_stm07_bs(B109,108,$A109,1,100000000)+[1]!b_stm07_bs(B109,95,$A109,1,100000000))/[1]!b_stm07_bs(B109,128,$A109,1,100000000),"")</f>
        <v/>
      </c>
      <c r="S109" s="28" t="str">
        <f>IFERROR(([1]!s_stmnote_bank_614(B109,$A109,1,2,100000000)+[1]!b_stm07_bs(B109,104,$A109,1,100000000)+[1]!b_stm07_bs(B109,106,$A109,1,100000000)+[1]!b_stm07_bs(B109,76,$A109,1,100000000)+[1]!b_stm07_bs(B109,108,$A109,1,100000000)+[1]!b_stm07_bs(B109,95,$A109,1,100000000))/[1]!b_stm07_bs(B109,128,$A109,1,100000000),"")</f>
        <v/>
      </c>
      <c r="T109" s="11">
        <f>[1]!b_issuer_shareholder(B109,"",1)</f>
        <v>0</v>
      </c>
      <c r="U109" s="10">
        <f>[1]!b_issuer_propofshareholder(B109,"",1)</f>
        <v>0</v>
      </c>
      <c r="V109" s="33" t="str">
        <f t="shared" si="3"/>
        <v>0</v>
      </c>
      <c r="W109" s="33">
        <f>[1]!s_info_city(B109)</f>
        <v>0</v>
      </c>
      <c r="X109" s="10">
        <f>IF([1]!s_stmnote_bank_17n(B109,$A109,1)="0","",[1]!s_stmnote_bank_17n(B109,$A109,1))</f>
        <v>0</v>
      </c>
      <c r="Y109" s="10">
        <f>IF([1]!s_stmnote_bank_18n(B109,$A109,1)="0","",[1]!s_stmnote_bank_18n(B109,$A109,1))</f>
        <v>0</v>
      </c>
      <c r="Z109" s="41">
        <f>IF([1]!s_stmnote_bank_58(B109,$A109,1)="0","",[1]!s_stmnote_bank_58(B109,$A109,1))</f>
        <v>0</v>
      </c>
      <c r="AA109" s="52">
        <f>IF([1]!s_stmnote_bank_60(B109,$A109,1)="0","",[1]!s_stmnote_bank_60(B109,$A109,1))</f>
        <v>0</v>
      </c>
      <c r="AB109" s="52">
        <f>[1]!s_stmnote_bank_5444(B109,$A109,1)</f>
        <v>0</v>
      </c>
      <c r="AC109" s="38">
        <f>[1]!s_stmnote_bank_129n($B109,$A109,1)</f>
        <v>0</v>
      </c>
      <c r="AD109" s="54">
        <f>[1]!s_stmnote_bank_30(B109,$A109,1)</f>
        <v>0</v>
      </c>
    </row>
    <row r="110" spans="1:30" s="46" customFormat="1" ht="24">
      <c r="A110" s="1" t="s">
        <v>1110</v>
      </c>
      <c r="B110" s="87" t="s">
        <v>1218</v>
      </c>
      <c r="C110" s="8">
        <f>IF([1]!b_info_issuer(B110)="0","",IFERROR([1]!b_info_issuer(B110),""))</f>
        <v>0</v>
      </c>
      <c r="D110" s="11">
        <f>IF([1]!b_info_latestissurercreditrating(B110)="0","",IFERROR([1]!b_info_latestissurercreditrating(B110),""))</f>
        <v>0</v>
      </c>
      <c r="E110" s="27" t="str">
        <f>IFERROR(([1]!b_stm07_bs($B110,47,$A110,1,100000000))/[1]!b_stm07_bs($B110,109,$A110,1,100000000),"")</f>
        <v/>
      </c>
      <c r="F110" s="18" t="str">
        <f>IFERROR(([1]!s_stmnote_bank_26($B110,$A110,1,100000000)-[1]!s_stmnote_bank_26($B110,#REF!,1,100000000)+#REF!)/[1]!s_stmnote_bank_1n($B110,#REF!,1,100000000),"")</f>
        <v/>
      </c>
      <c r="G110" s="21" t="str">
        <f t="shared" si="2"/>
        <v/>
      </c>
      <c r="H110" s="18" t="str">
        <f>IFERROR([1]!s_stmnote_bank($B110,"34",$A110,100000000)/[1]!s_stmnote_bank_1n(B110,$A110,1,100000000),"")</f>
        <v/>
      </c>
      <c r="I110" s="25">
        <f>[1]!b_stm07_bs(B110,74,$A110,1,100000000)</f>
        <v>0</v>
      </c>
      <c r="J110" s="25">
        <f>[1]!b_stm07_bs(B110,109,$A110,1,100000000)</f>
        <v>0</v>
      </c>
      <c r="K110" s="10">
        <f>[1]!s_stmnote_bank_5n(B110,$A110,1)</f>
        <v>0</v>
      </c>
      <c r="L110" s="25">
        <f>[1]!s_stmnote_bank_23n(B110,$A110,1)</f>
        <v>0</v>
      </c>
      <c r="M110" s="25">
        <f>[1]!s_stmnote_bank_capadequacyratio(B110,$A110,1)</f>
        <v>0</v>
      </c>
      <c r="N110" s="25">
        <f>[1]!s_stmnote_bank_capadequacyratio_ct1(B110,$A110,1)</f>
        <v>0</v>
      </c>
      <c r="O110" s="6">
        <f>IF(OR([1]!s_fa_roe(B110,20201231)="0",[1]!s_fa_roe(B110,20211231)="0",[1]!s_fa_roe(B110,20221231)="0"),"",IFERROR(([1]!s_fa_roe(B110,20221231)+[1]!s_fa_roe(B110,20201231)+[1]!s_fa_roe(B110,20211231))/3,""))</f>
        <v>0</v>
      </c>
      <c r="P110" s="28" t="str">
        <f>IFERROR(([1]!s_stmnote_bank_65(B110,$A110,1,2,4,100000000)+[1]!s_stmnote_bank_65(B110,$A110,1,2,6,100000000))/[1]!s_stmnote_bank_1n(B110,$A110,1,100000000),"")</f>
        <v/>
      </c>
      <c r="Q110" s="28" t="str">
        <f>IFERROR([1]!s_stmnote_bank_614(B110,$A110,1,2,100000000)/[1]!s_stmnote_bank_647(B110,$A110,1,2,100000000),"")</f>
        <v/>
      </c>
      <c r="R110" s="28" t="str">
        <f>IFERROR(([1]!b_stm07_bs(B110,104,$A110,1,100000000)+[1]!b_stm07_bs(B110,106,$A110,1,100000000)+[1]!b_stm07_bs(B110,76,$A110,1,100000000)+[1]!b_stm07_bs(B110,108,$A110,1,100000000)+[1]!b_stm07_bs(B110,95,$A110,1,100000000))/[1]!b_stm07_bs(B110,128,$A110,1,100000000),"")</f>
        <v/>
      </c>
      <c r="S110" s="28" t="str">
        <f>IFERROR(([1]!s_stmnote_bank_614(B110,$A110,1,2,100000000)+[1]!b_stm07_bs(B110,104,$A110,1,100000000)+[1]!b_stm07_bs(B110,106,$A110,1,100000000)+[1]!b_stm07_bs(B110,76,$A110,1,100000000)+[1]!b_stm07_bs(B110,108,$A110,1,100000000)+[1]!b_stm07_bs(B110,95,$A110,1,100000000))/[1]!b_stm07_bs(B110,128,$A110,1,100000000),"")</f>
        <v/>
      </c>
      <c r="T110" s="11">
        <f>[1]!b_issuer_shareholder(B110,"",1)</f>
        <v>0</v>
      </c>
      <c r="U110" s="10">
        <f>[1]!b_issuer_propofshareholder(B110,"",1)</f>
        <v>0</v>
      </c>
      <c r="V110" s="33" t="str">
        <f t="shared" si="3"/>
        <v>0</v>
      </c>
      <c r="W110" s="33">
        <f>[1]!s_info_city(B110)</f>
        <v>0</v>
      </c>
      <c r="X110" s="10">
        <f>IF([1]!s_stmnote_bank_17n(B110,$A110,1)="0","",[1]!s_stmnote_bank_17n(B110,$A110,1))</f>
        <v>0</v>
      </c>
      <c r="Y110" s="10">
        <f>IF([1]!s_stmnote_bank_18n(B110,$A110,1)="0","",[1]!s_stmnote_bank_18n(B110,$A110,1))</f>
        <v>0</v>
      </c>
      <c r="Z110" s="41">
        <f>IF([1]!s_stmnote_bank_58(B110,$A110,1)="0","",[1]!s_stmnote_bank_58(B110,$A110,1))</f>
        <v>0</v>
      </c>
      <c r="AA110" s="52">
        <f>IF([1]!s_stmnote_bank_60(B110,$A110,1)="0","",[1]!s_stmnote_bank_60(B110,$A110,1))</f>
        <v>0</v>
      </c>
      <c r="AB110" s="52">
        <f>[1]!s_stmnote_bank_5444(B110,$A110,1)</f>
        <v>0</v>
      </c>
      <c r="AC110" s="38">
        <f>[1]!s_stmnote_bank_129n($B110,$A110,1)</f>
        <v>0</v>
      </c>
      <c r="AD110" s="54">
        <f>[1]!s_stmnote_bank_30(B110,$A110,1)</f>
        <v>0</v>
      </c>
    </row>
    <row r="111" spans="1:30" s="46" customFormat="1" ht="24">
      <c r="A111" s="1" t="s">
        <v>1110</v>
      </c>
      <c r="B111" s="87" t="s">
        <v>1219</v>
      </c>
      <c r="C111" s="8">
        <f>IF([1]!b_info_issuer(B111)="0","",IFERROR([1]!b_info_issuer(B111),""))</f>
        <v>0</v>
      </c>
      <c r="D111" s="11">
        <f>IF([1]!b_info_latestissurercreditrating(B111)="0","",IFERROR([1]!b_info_latestissurercreditrating(B111),""))</f>
        <v>0</v>
      </c>
      <c r="E111" s="27" t="str">
        <f>IFERROR(([1]!b_stm07_bs($B111,47,$A111,1,100000000))/[1]!b_stm07_bs($B111,109,$A111,1,100000000),"")</f>
        <v/>
      </c>
      <c r="F111" s="18" t="str">
        <f>IFERROR(([1]!s_stmnote_bank_26($B111,$A111,1,100000000)-[1]!s_stmnote_bank_26($B111,#REF!,1,100000000)+#REF!)/[1]!s_stmnote_bank_1n($B111,#REF!,1,100000000),"")</f>
        <v/>
      </c>
      <c r="G111" s="21" t="str">
        <f t="shared" si="2"/>
        <v/>
      </c>
      <c r="H111" s="18" t="str">
        <f>IFERROR([1]!s_stmnote_bank($B111,"34",$A111,100000000)/[1]!s_stmnote_bank_1n(B111,$A111,1,100000000),"")</f>
        <v/>
      </c>
      <c r="I111" s="25">
        <f>[1]!b_stm07_bs(B111,74,$A111,1,100000000)</f>
        <v>0</v>
      </c>
      <c r="J111" s="25">
        <f>[1]!b_stm07_bs(B111,109,$A111,1,100000000)</f>
        <v>0</v>
      </c>
      <c r="K111" s="10">
        <f>[1]!s_stmnote_bank_5n(B111,$A111,1)</f>
        <v>0</v>
      </c>
      <c r="L111" s="25">
        <f>[1]!s_stmnote_bank_23n(B111,$A111,1)</f>
        <v>0</v>
      </c>
      <c r="M111" s="25">
        <f>[1]!s_stmnote_bank_capadequacyratio(B111,$A111,1)</f>
        <v>0</v>
      </c>
      <c r="N111" s="25">
        <f>[1]!s_stmnote_bank_capadequacyratio_ct1(B111,$A111,1)</f>
        <v>0</v>
      </c>
      <c r="O111" s="6">
        <f>IF(OR([1]!s_fa_roe(B111,20201231)="0",[1]!s_fa_roe(B111,20211231)="0",[1]!s_fa_roe(B111,20221231)="0"),"",IFERROR(([1]!s_fa_roe(B111,20221231)+[1]!s_fa_roe(B111,20201231)+[1]!s_fa_roe(B111,20211231))/3,""))</f>
        <v>0</v>
      </c>
      <c r="P111" s="28" t="str">
        <f>IFERROR(([1]!s_stmnote_bank_65(B111,$A111,1,2,4,100000000)+[1]!s_stmnote_bank_65(B111,$A111,1,2,6,100000000))/[1]!s_stmnote_bank_1n(B111,$A111,1,100000000),"")</f>
        <v/>
      </c>
      <c r="Q111" s="28" t="str">
        <f>IFERROR([1]!s_stmnote_bank_614(B111,$A111,1,2,100000000)/[1]!s_stmnote_bank_647(B111,$A111,1,2,100000000),"")</f>
        <v/>
      </c>
      <c r="R111" s="28" t="str">
        <f>IFERROR(([1]!b_stm07_bs(B111,104,$A111,1,100000000)+[1]!b_stm07_bs(B111,106,$A111,1,100000000)+[1]!b_stm07_bs(B111,76,$A111,1,100000000)+[1]!b_stm07_bs(B111,108,$A111,1,100000000)+[1]!b_stm07_bs(B111,95,$A111,1,100000000))/[1]!b_stm07_bs(B111,128,$A111,1,100000000),"")</f>
        <v/>
      </c>
      <c r="S111" s="28" t="str">
        <f>IFERROR(([1]!s_stmnote_bank_614(B111,$A111,1,2,100000000)+[1]!b_stm07_bs(B111,104,$A111,1,100000000)+[1]!b_stm07_bs(B111,106,$A111,1,100000000)+[1]!b_stm07_bs(B111,76,$A111,1,100000000)+[1]!b_stm07_bs(B111,108,$A111,1,100000000)+[1]!b_stm07_bs(B111,95,$A111,1,100000000))/[1]!b_stm07_bs(B111,128,$A111,1,100000000),"")</f>
        <v/>
      </c>
      <c r="T111" s="11">
        <f>[1]!b_issuer_shareholder(B111,"",1)</f>
        <v>0</v>
      </c>
      <c r="U111" s="10">
        <f>[1]!b_issuer_propofshareholder(B111,"",1)</f>
        <v>0</v>
      </c>
      <c r="V111" s="33" t="str">
        <f t="shared" si="3"/>
        <v>0</v>
      </c>
      <c r="W111" s="33">
        <f>[1]!s_info_city(B111)</f>
        <v>0</v>
      </c>
      <c r="X111" s="10">
        <f>IF([1]!s_stmnote_bank_17n(B111,$A111,1)="0","",[1]!s_stmnote_bank_17n(B111,$A111,1))</f>
        <v>0</v>
      </c>
      <c r="Y111" s="10">
        <f>IF([1]!s_stmnote_bank_18n(B111,$A111,1)="0","",[1]!s_stmnote_bank_18n(B111,$A111,1))</f>
        <v>0</v>
      </c>
      <c r="Z111" s="41">
        <f>IF([1]!s_stmnote_bank_58(B111,$A111,1)="0","",[1]!s_stmnote_bank_58(B111,$A111,1))</f>
        <v>0</v>
      </c>
      <c r="AA111" s="52">
        <f>IF([1]!s_stmnote_bank_60(B111,$A111,1)="0","",[1]!s_stmnote_bank_60(B111,$A111,1))</f>
        <v>0</v>
      </c>
      <c r="AB111" s="52">
        <f>[1]!s_stmnote_bank_5444(B111,$A111,1)</f>
        <v>0</v>
      </c>
      <c r="AC111" s="38">
        <f>[1]!s_stmnote_bank_129n($B111,$A111,1)</f>
        <v>0</v>
      </c>
      <c r="AD111" s="54">
        <f>[1]!s_stmnote_bank_30(B111,$A111,1)</f>
        <v>0</v>
      </c>
    </row>
    <row r="112" spans="1:30" s="46" customFormat="1" ht="24">
      <c r="A112" s="1" t="s">
        <v>1110</v>
      </c>
      <c r="B112" s="87" t="s">
        <v>1220</v>
      </c>
      <c r="C112" s="8">
        <f>IF([1]!b_info_issuer(B112)="0","",IFERROR([1]!b_info_issuer(B112),""))</f>
        <v>0</v>
      </c>
      <c r="D112" s="11">
        <f>IF([1]!b_info_latestissurercreditrating(B112)="0","",IFERROR([1]!b_info_latestissurercreditrating(B112),""))</f>
        <v>0</v>
      </c>
      <c r="E112" s="27" t="str">
        <f>IFERROR(([1]!b_stm07_bs($B112,47,$A112,1,100000000))/[1]!b_stm07_bs($B112,109,$A112,1,100000000),"")</f>
        <v/>
      </c>
      <c r="F112" s="18" t="str">
        <f>IFERROR(([1]!s_stmnote_bank_26($B112,$A112,1,100000000)-[1]!s_stmnote_bank_26($B112,#REF!,1,100000000)+#REF!)/[1]!s_stmnote_bank_1n($B112,#REF!,1,100000000),"")</f>
        <v/>
      </c>
      <c r="G112" s="21" t="str">
        <f t="shared" si="2"/>
        <v/>
      </c>
      <c r="H112" s="18" t="str">
        <f>IFERROR([1]!s_stmnote_bank($B112,"34",$A112,100000000)/[1]!s_stmnote_bank_1n(B112,$A112,1,100000000),"")</f>
        <v/>
      </c>
      <c r="I112" s="25">
        <f>[1]!b_stm07_bs(B112,74,$A112,1,100000000)</f>
        <v>0</v>
      </c>
      <c r="J112" s="25">
        <f>[1]!b_stm07_bs(B112,109,$A112,1,100000000)</f>
        <v>0</v>
      </c>
      <c r="K112" s="10">
        <f>[1]!s_stmnote_bank_5n(B112,$A112,1)</f>
        <v>0</v>
      </c>
      <c r="L112" s="25">
        <f>[1]!s_stmnote_bank_23n(B112,$A112,1)</f>
        <v>0</v>
      </c>
      <c r="M112" s="25">
        <f>[1]!s_stmnote_bank_capadequacyratio(B112,$A112,1)</f>
        <v>0</v>
      </c>
      <c r="N112" s="25">
        <f>[1]!s_stmnote_bank_capadequacyratio_ct1(B112,$A112,1)</f>
        <v>0</v>
      </c>
      <c r="O112" s="6">
        <f>IF(OR([1]!s_fa_roe(B112,20201231)="0",[1]!s_fa_roe(B112,20211231)="0",[1]!s_fa_roe(B112,20221231)="0"),"",IFERROR(([1]!s_fa_roe(B112,20221231)+[1]!s_fa_roe(B112,20201231)+[1]!s_fa_roe(B112,20211231))/3,""))</f>
        <v>0</v>
      </c>
      <c r="P112" s="28" t="str">
        <f>IFERROR(([1]!s_stmnote_bank_65(B112,$A112,1,2,4,100000000)+[1]!s_stmnote_bank_65(B112,$A112,1,2,6,100000000))/[1]!s_stmnote_bank_1n(B112,$A112,1,100000000),"")</f>
        <v/>
      </c>
      <c r="Q112" s="28" t="str">
        <f>IFERROR([1]!s_stmnote_bank_614(B112,$A112,1,2,100000000)/[1]!s_stmnote_bank_647(B112,$A112,1,2,100000000),"")</f>
        <v/>
      </c>
      <c r="R112" s="28" t="str">
        <f>IFERROR(([1]!b_stm07_bs(B112,104,$A112,1,100000000)+[1]!b_stm07_bs(B112,106,$A112,1,100000000)+[1]!b_stm07_bs(B112,76,$A112,1,100000000)+[1]!b_stm07_bs(B112,108,$A112,1,100000000)+[1]!b_stm07_bs(B112,95,$A112,1,100000000))/[1]!b_stm07_bs(B112,128,$A112,1,100000000),"")</f>
        <v/>
      </c>
      <c r="S112" s="28" t="str">
        <f>IFERROR(([1]!s_stmnote_bank_614(B112,$A112,1,2,100000000)+[1]!b_stm07_bs(B112,104,$A112,1,100000000)+[1]!b_stm07_bs(B112,106,$A112,1,100000000)+[1]!b_stm07_bs(B112,76,$A112,1,100000000)+[1]!b_stm07_bs(B112,108,$A112,1,100000000)+[1]!b_stm07_bs(B112,95,$A112,1,100000000))/[1]!b_stm07_bs(B112,128,$A112,1,100000000),"")</f>
        <v/>
      </c>
      <c r="T112" s="11">
        <f>[1]!b_issuer_shareholder(B112,"",1)</f>
        <v>0</v>
      </c>
      <c r="U112" s="10">
        <f>[1]!b_issuer_propofshareholder(B112,"",1)</f>
        <v>0</v>
      </c>
      <c r="V112" s="33" t="str">
        <f t="shared" si="3"/>
        <v>0</v>
      </c>
      <c r="W112" s="33">
        <f>[1]!s_info_city(B112)</f>
        <v>0</v>
      </c>
      <c r="X112" s="10">
        <f>IF([1]!s_stmnote_bank_17n(B112,$A112,1)="0","",[1]!s_stmnote_bank_17n(B112,$A112,1))</f>
        <v>0</v>
      </c>
      <c r="Y112" s="10">
        <f>IF([1]!s_stmnote_bank_18n(B112,$A112,1)="0","",[1]!s_stmnote_bank_18n(B112,$A112,1))</f>
        <v>0</v>
      </c>
      <c r="Z112" s="41">
        <f>IF([1]!s_stmnote_bank_58(B112,$A112,1)="0","",[1]!s_stmnote_bank_58(B112,$A112,1))</f>
        <v>0</v>
      </c>
      <c r="AA112" s="52">
        <f>IF([1]!s_stmnote_bank_60(B112,$A112,1)="0","",[1]!s_stmnote_bank_60(B112,$A112,1))</f>
        <v>0</v>
      </c>
      <c r="AB112" s="52">
        <f>[1]!s_stmnote_bank_5444(B112,$A112,1)</f>
        <v>0</v>
      </c>
      <c r="AC112" s="38">
        <f>[1]!s_stmnote_bank_129n($B112,$A112,1)</f>
        <v>0</v>
      </c>
      <c r="AD112" s="54">
        <f>[1]!s_stmnote_bank_30(B112,$A112,1)</f>
        <v>0</v>
      </c>
    </row>
    <row r="113" spans="1:30" s="46" customFormat="1" ht="24">
      <c r="A113" s="1" t="s">
        <v>1110</v>
      </c>
      <c r="B113" s="87" t="s">
        <v>1221</v>
      </c>
      <c r="C113" s="8">
        <f>IF([1]!b_info_issuer(B113)="0","",IFERROR([1]!b_info_issuer(B113),""))</f>
        <v>0</v>
      </c>
      <c r="D113" s="11">
        <f>IF([1]!b_info_latestissurercreditrating(B113)="0","",IFERROR([1]!b_info_latestissurercreditrating(B113),""))</f>
        <v>0</v>
      </c>
      <c r="E113" s="27" t="str">
        <f>IFERROR(([1]!b_stm07_bs($B113,47,$A113,1,100000000))/[1]!b_stm07_bs($B113,109,$A113,1,100000000),"")</f>
        <v/>
      </c>
      <c r="F113" s="18" t="str">
        <f>IFERROR(([1]!s_stmnote_bank_26($B113,$A113,1,100000000)-[1]!s_stmnote_bank_26($B113,#REF!,1,100000000)+#REF!)/[1]!s_stmnote_bank_1n($B113,#REF!,1,100000000),"")</f>
        <v/>
      </c>
      <c r="G113" s="21" t="str">
        <f t="shared" si="2"/>
        <v/>
      </c>
      <c r="H113" s="18" t="str">
        <f>IFERROR([1]!s_stmnote_bank($B113,"34",$A113,100000000)/[1]!s_stmnote_bank_1n(B113,$A113,1,100000000),"")</f>
        <v/>
      </c>
      <c r="I113" s="25">
        <f>[1]!b_stm07_bs(B113,74,$A113,1,100000000)</f>
        <v>0</v>
      </c>
      <c r="J113" s="25">
        <f>[1]!b_stm07_bs(B113,109,$A113,1,100000000)</f>
        <v>0</v>
      </c>
      <c r="K113" s="10">
        <f>[1]!s_stmnote_bank_5n(B113,$A113,1)</f>
        <v>0</v>
      </c>
      <c r="L113" s="25">
        <f>[1]!s_stmnote_bank_23n(B113,$A113,1)</f>
        <v>0</v>
      </c>
      <c r="M113" s="25">
        <f>[1]!s_stmnote_bank_capadequacyratio(B113,$A113,1)</f>
        <v>0</v>
      </c>
      <c r="N113" s="25">
        <f>[1]!s_stmnote_bank_capadequacyratio_ct1(B113,$A113,1)</f>
        <v>0</v>
      </c>
      <c r="O113" s="6">
        <f>IF(OR([1]!s_fa_roe(B113,20201231)="0",[1]!s_fa_roe(B113,20211231)="0",[1]!s_fa_roe(B113,20221231)="0"),"",IFERROR(([1]!s_fa_roe(B113,20221231)+[1]!s_fa_roe(B113,20201231)+[1]!s_fa_roe(B113,20211231))/3,""))</f>
        <v>0</v>
      </c>
      <c r="P113" s="28" t="str">
        <f>IFERROR(([1]!s_stmnote_bank_65(B113,$A113,1,2,4,100000000)+[1]!s_stmnote_bank_65(B113,$A113,1,2,6,100000000))/[1]!s_stmnote_bank_1n(B113,$A113,1,100000000),"")</f>
        <v/>
      </c>
      <c r="Q113" s="28" t="str">
        <f>IFERROR([1]!s_stmnote_bank_614(B113,$A113,1,2,100000000)/[1]!s_stmnote_bank_647(B113,$A113,1,2,100000000),"")</f>
        <v/>
      </c>
      <c r="R113" s="28" t="str">
        <f>IFERROR(([1]!b_stm07_bs(B113,104,$A113,1,100000000)+[1]!b_stm07_bs(B113,106,$A113,1,100000000)+[1]!b_stm07_bs(B113,76,$A113,1,100000000)+[1]!b_stm07_bs(B113,108,$A113,1,100000000)+[1]!b_stm07_bs(B113,95,$A113,1,100000000))/[1]!b_stm07_bs(B113,128,$A113,1,100000000),"")</f>
        <v/>
      </c>
      <c r="S113" s="28" t="str">
        <f>IFERROR(([1]!s_stmnote_bank_614(B113,$A113,1,2,100000000)+[1]!b_stm07_bs(B113,104,$A113,1,100000000)+[1]!b_stm07_bs(B113,106,$A113,1,100000000)+[1]!b_stm07_bs(B113,76,$A113,1,100000000)+[1]!b_stm07_bs(B113,108,$A113,1,100000000)+[1]!b_stm07_bs(B113,95,$A113,1,100000000))/[1]!b_stm07_bs(B113,128,$A113,1,100000000),"")</f>
        <v/>
      </c>
      <c r="T113" s="11">
        <f>[1]!b_issuer_shareholder(B113,"",1)</f>
        <v>0</v>
      </c>
      <c r="U113" s="10">
        <f>[1]!b_issuer_propofshareholder(B113,"",1)</f>
        <v>0</v>
      </c>
      <c r="V113" s="33" t="str">
        <f t="shared" si="3"/>
        <v>0</v>
      </c>
      <c r="W113" s="33">
        <f>[1]!s_info_city(B113)</f>
        <v>0</v>
      </c>
      <c r="X113" s="10">
        <f>IF([1]!s_stmnote_bank_17n(B113,$A113,1)="0","",[1]!s_stmnote_bank_17n(B113,$A113,1))</f>
        <v>0</v>
      </c>
      <c r="Y113" s="10">
        <f>IF([1]!s_stmnote_bank_18n(B113,$A113,1)="0","",[1]!s_stmnote_bank_18n(B113,$A113,1))</f>
        <v>0</v>
      </c>
      <c r="Z113" s="41">
        <f>IF([1]!s_stmnote_bank_58(B113,$A113,1)="0","",[1]!s_stmnote_bank_58(B113,$A113,1))</f>
        <v>0</v>
      </c>
      <c r="AA113" s="52">
        <f>IF([1]!s_stmnote_bank_60(B113,$A113,1)="0","",[1]!s_stmnote_bank_60(B113,$A113,1))</f>
        <v>0</v>
      </c>
      <c r="AB113" s="52">
        <f>[1]!s_stmnote_bank_5444(B113,$A113,1)</f>
        <v>0</v>
      </c>
      <c r="AC113" s="38">
        <f>[1]!s_stmnote_bank_129n($B113,$A113,1)</f>
        <v>0</v>
      </c>
      <c r="AD113" s="54">
        <f>[1]!s_stmnote_bank_30(B113,$A113,1)</f>
        <v>0</v>
      </c>
    </row>
    <row r="114" spans="1:30" s="46" customFormat="1" ht="24">
      <c r="A114" s="1" t="s">
        <v>1110</v>
      </c>
      <c r="B114" s="87" t="s">
        <v>1222</v>
      </c>
      <c r="C114" s="8">
        <f>IF([1]!b_info_issuer(B114)="0","",IFERROR([1]!b_info_issuer(B114),""))</f>
        <v>0</v>
      </c>
      <c r="D114" s="11">
        <f>IF([1]!b_info_latestissurercreditrating(B114)="0","",IFERROR([1]!b_info_latestissurercreditrating(B114),""))</f>
        <v>0</v>
      </c>
      <c r="E114" s="27" t="str">
        <f>IFERROR(([1]!b_stm07_bs($B114,47,$A114,1,100000000))/[1]!b_stm07_bs($B114,109,$A114,1,100000000),"")</f>
        <v/>
      </c>
      <c r="F114" s="18" t="str">
        <f>IFERROR(([1]!s_stmnote_bank_26($B114,$A114,1,100000000)-[1]!s_stmnote_bank_26($B114,#REF!,1,100000000)+#REF!)/[1]!s_stmnote_bank_1n($B114,#REF!,1,100000000),"")</f>
        <v/>
      </c>
      <c r="G114" s="21" t="str">
        <f t="shared" si="2"/>
        <v/>
      </c>
      <c r="H114" s="18" t="str">
        <f>IFERROR([1]!s_stmnote_bank($B114,"34",$A114,100000000)/[1]!s_stmnote_bank_1n(B114,$A114,1,100000000),"")</f>
        <v/>
      </c>
      <c r="I114" s="25">
        <f>[1]!b_stm07_bs(B114,74,$A114,1,100000000)</f>
        <v>0</v>
      </c>
      <c r="J114" s="25">
        <f>[1]!b_stm07_bs(B114,109,$A114,1,100000000)</f>
        <v>0</v>
      </c>
      <c r="K114" s="10">
        <f>[1]!s_stmnote_bank_5n(B114,$A114,1)</f>
        <v>0</v>
      </c>
      <c r="L114" s="25">
        <f>[1]!s_stmnote_bank_23n(B114,$A114,1)</f>
        <v>0</v>
      </c>
      <c r="M114" s="25">
        <f>[1]!s_stmnote_bank_capadequacyratio(B114,$A114,1)</f>
        <v>0</v>
      </c>
      <c r="N114" s="25">
        <f>[1]!s_stmnote_bank_capadequacyratio_ct1(B114,$A114,1)</f>
        <v>0</v>
      </c>
      <c r="O114" s="6">
        <f>IF(OR([1]!s_fa_roe(B114,20201231)="0",[1]!s_fa_roe(B114,20211231)="0",[1]!s_fa_roe(B114,20221231)="0"),"",IFERROR(([1]!s_fa_roe(B114,20221231)+[1]!s_fa_roe(B114,20201231)+[1]!s_fa_roe(B114,20211231))/3,""))</f>
        <v>0</v>
      </c>
      <c r="P114" s="28" t="str">
        <f>IFERROR(([1]!s_stmnote_bank_65(B114,$A114,1,2,4,100000000)+[1]!s_stmnote_bank_65(B114,$A114,1,2,6,100000000))/[1]!s_stmnote_bank_1n(B114,$A114,1,100000000),"")</f>
        <v/>
      </c>
      <c r="Q114" s="28" t="str">
        <f>IFERROR([1]!s_stmnote_bank_614(B114,$A114,1,2,100000000)/[1]!s_stmnote_bank_647(B114,$A114,1,2,100000000),"")</f>
        <v/>
      </c>
      <c r="R114" s="28" t="str">
        <f>IFERROR(([1]!b_stm07_bs(B114,104,$A114,1,100000000)+[1]!b_stm07_bs(B114,106,$A114,1,100000000)+[1]!b_stm07_bs(B114,76,$A114,1,100000000)+[1]!b_stm07_bs(B114,108,$A114,1,100000000)+[1]!b_stm07_bs(B114,95,$A114,1,100000000))/[1]!b_stm07_bs(B114,128,$A114,1,100000000),"")</f>
        <v/>
      </c>
      <c r="S114" s="28" t="str">
        <f>IFERROR(([1]!s_stmnote_bank_614(B114,$A114,1,2,100000000)+[1]!b_stm07_bs(B114,104,$A114,1,100000000)+[1]!b_stm07_bs(B114,106,$A114,1,100000000)+[1]!b_stm07_bs(B114,76,$A114,1,100000000)+[1]!b_stm07_bs(B114,108,$A114,1,100000000)+[1]!b_stm07_bs(B114,95,$A114,1,100000000))/[1]!b_stm07_bs(B114,128,$A114,1,100000000),"")</f>
        <v/>
      </c>
      <c r="T114" s="11">
        <f>[1]!b_issuer_shareholder(B114,"",1)</f>
        <v>0</v>
      </c>
      <c r="U114" s="10">
        <f>[1]!b_issuer_propofshareholder(B114,"",1)</f>
        <v>0</v>
      </c>
      <c r="V114" s="33" t="str">
        <f t="shared" si="3"/>
        <v>0</v>
      </c>
      <c r="W114" s="33">
        <f>[1]!s_info_city(B114)</f>
        <v>0</v>
      </c>
      <c r="X114" s="10">
        <f>IF([1]!s_stmnote_bank_17n(B114,$A114,1)="0","",[1]!s_stmnote_bank_17n(B114,$A114,1))</f>
        <v>0</v>
      </c>
      <c r="Y114" s="10">
        <f>IF([1]!s_stmnote_bank_18n(B114,$A114,1)="0","",[1]!s_stmnote_bank_18n(B114,$A114,1))</f>
        <v>0</v>
      </c>
      <c r="Z114" s="41">
        <f>IF([1]!s_stmnote_bank_58(B114,$A114,1)="0","",[1]!s_stmnote_bank_58(B114,$A114,1))</f>
        <v>0</v>
      </c>
      <c r="AA114" s="52">
        <f>IF([1]!s_stmnote_bank_60(B114,$A114,1)="0","",[1]!s_stmnote_bank_60(B114,$A114,1))</f>
        <v>0</v>
      </c>
      <c r="AB114" s="52">
        <f>[1]!s_stmnote_bank_5444(B114,$A114,1)</f>
        <v>0</v>
      </c>
      <c r="AC114" s="38">
        <f>[1]!s_stmnote_bank_129n($B114,$A114,1)</f>
        <v>0</v>
      </c>
      <c r="AD114" s="54">
        <f>[1]!s_stmnote_bank_30(B114,$A114,1)</f>
        <v>0</v>
      </c>
    </row>
    <row r="115" spans="1:30" s="46" customFormat="1" ht="24">
      <c r="A115" s="1" t="s">
        <v>1110</v>
      </c>
      <c r="B115" s="87" t="s">
        <v>1223</v>
      </c>
      <c r="C115" s="8">
        <f>IF([1]!b_info_issuer(B115)="0","",IFERROR([1]!b_info_issuer(B115),""))</f>
        <v>0</v>
      </c>
      <c r="D115" s="11">
        <f>IF([1]!b_info_latestissurercreditrating(B115)="0","",IFERROR([1]!b_info_latestissurercreditrating(B115),""))</f>
        <v>0</v>
      </c>
      <c r="E115" s="27" t="str">
        <f>IFERROR(([1]!b_stm07_bs($B115,47,$A115,1,100000000))/[1]!b_stm07_bs($B115,109,$A115,1,100000000),"")</f>
        <v/>
      </c>
      <c r="F115" s="18" t="str">
        <f>IFERROR(([1]!s_stmnote_bank_26($B115,$A115,1,100000000)-[1]!s_stmnote_bank_26($B115,#REF!,1,100000000)+#REF!)/[1]!s_stmnote_bank_1n($B115,#REF!,1,100000000),"")</f>
        <v/>
      </c>
      <c r="G115" s="21" t="str">
        <f t="shared" si="2"/>
        <v/>
      </c>
      <c r="H115" s="18" t="str">
        <f>IFERROR([1]!s_stmnote_bank($B115,"34",$A115,100000000)/[1]!s_stmnote_bank_1n(B115,$A115,1,100000000),"")</f>
        <v/>
      </c>
      <c r="I115" s="25">
        <f>[1]!b_stm07_bs(B115,74,$A115,1,100000000)</f>
        <v>0</v>
      </c>
      <c r="J115" s="25">
        <f>[1]!b_stm07_bs(B115,109,$A115,1,100000000)</f>
        <v>0</v>
      </c>
      <c r="K115" s="10">
        <f>[1]!s_stmnote_bank_5n(B115,$A115,1)</f>
        <v>0</v>
      </c>
      <c r="L115" s="25">
        <f>[1]!s_stmnote_bank_23n(B115,$A115,1)</f>
        <v>0</v>
      </c>
      <c r="M115" s="25">
        <f>[1]!s_stmnote_bank_capadequacyratio(B115,$A115,1)</f>
        <v>0</v>
      </c>
      <c r="N115" s="25">
        <f>[1]!s_stmnote_bank_capadequacyratio_ct1(B115,$A115,1)</f>
        <v>0</v>
      </c>
      <c r="O115" s="6">
        <f>IF(OR([1]!s_fa_roe(B115,20201231)="0",[1]!s_fa_roe(B115,20211231)="0",[1]!s_fa_roe(B115,20221231)="0"),"",IFERROR(([1]!s_fa_roe(B115,20221231)+[1]!s_fa_roe(B115,20201231)+[1]!s_fa_roe(B115,20211231))/3,""))</f>
        <v>0</v>
      </c>
      <c r="P115" s="28" t="str">
        <f>IFERROR(([1]!s_stmnote_bank_65(B115,$A115,1,2,4,100000000)+[1]!s_stmnote_bank_65(B115,$A115,1,2,6,100000000))/[1]!s_stmnote_bank_1n(B115,$A115,1,100000000),"")</f>
        <v/>
      </c>
      <c r="Q115" s="28" t="str">
        <f>IFERROR([1]!s_stmnote_bank_614(B115,$A115,1,2,100000000)/[1]!s_stmnote_bank_647(B115,$A115,1,2,100000000),"")</f>
        <v/>
      </c>
      <c r="R115" s="28" t="str">
        <f>IFERROR(([1]!b_stm07_bs(B115,104,$A115,1,100000000)+[1]!b_stm07_bs(B115,106,$A115,1,100000000)+[1]!b_stm07_bs(B115,76,$A115,1,100000000)+[1]!b_stm07_bs(B115,108,$A115,1,100000000)+[1]!b_stm07_bs(B115,95,$A115,1,100000000))/[1]!b_stm07_bs(B115,128,$A115,1,100000000),"")</f>
        <v/>
      </c>
      <c r="S115" s="28" t="str">
        <f>IFERROR(([1]!s_stmnote_bank_614(B115,$A115,1,2,100000000)+[1]!b_stm07_bs(B115,104,$A115,1,100000000)+[1]!b_stm07_bs(B115,106,$A115,1,100000000)+[1]!b_stm07_bs(B115,76,$A115,1,100000000)+[1]!b_stm07_bs(B115,108,$A115,1,100000000)+[1]!b_stm07_bs(B115,95,$A115,1,100000000))/[1]!b_stm07_bs(B115,128,$A115,1,100000000),"")</f>
        <v/>
      </c>
      <c r="T115" s="11">
        <f>[1]!b_issuer_shareholder(B115,"",1)</f>
        <v>0</v>
      </c>
      <c r="U115" s="10">
        <f>[1]!b_issuer_propofshareholder(B115,"",1)</f>
        <v>0</v>
      </c>
      <c r="V115" s="33" t="str">
        <f t="shared" si="3"/>
        <v>0</v>
      </c>
      <c r="W115" s="33">
        <f>[1]!s_info_city(B115)</f>
        <v>0</v>
      </c>
      <c r="X115" s="10">
        <f>IF([1]!s_stmnote_bank_17n(B115,$A115,1)="0","",[1]!s_stmnote_bank_17n(B115,$A115,1))</f>
        <v>0</v>
      </c>
      <c r="Y115" s="10">
        <f>IF([1]!s_stmnote_bank_18n(B115,$A115,1)="0","",[1]!s_stmnote_bank_18n(B115,$A115,1))</f>
        <v>0</v>
      </c>
      <c r="Z115" s="41">
        <f>IF([1]!s_stmnote_bank_58(B115,$A115,1)="0","",[1]!s_stmnote_bank_58(B115,$A115,1))</f>
        <v>0</v>
      </c>
      <c r="AA115" s="52">
        <f>IF([1]!s_stmnote_bank_60(B115,$A115,1)="0","",[1]!s_stmnote_bank_60(B115,$A115,1))</f>
        <v>0</v>
      </c>
      <c r="AB115" s="52">
        <f>[1]!s_stmnote_bank_5444(B115,$A115,1)</f>
        <v>0</v>
      </c>
      <c r="AC115" s="38">
        <f>[1]!s_stmnote_bank_129n($B115,$A115,1)</f>
        <v>0</v>
      </c>
      <c r="AD115" s="54">
        <f>[1]!s_stmnote_bank_30(B115,$A115,1)</f>
        <v>0</v>
      </c>
    </row>
    <row r="116" spans="1:30" s="46" customFormat="1" ht="24">
      <c r="A116" s="1" t="s">
        <v>1110</v>
      </c>
      <c r="B116" s="87" t="s">
        <v>1224</v>
      </c>
      <c r="C116" s="8">
        <f>IF([1]!b_info_issuer(B116)="0","",IFERROR([1]!b_info_issuer(B116),""))</f>
        <v>0</v>
      </c>
      <c r="D116" s="11">
        <f>IF([1]!b_info_latestissurercreditrating(B116)="0","",IFERROR([1]!b_info_latestissurercreditrating(B116),""))</f>
        <v>0</v>
      </c>
      <c r="E116" s="27" t="str">
        <f>IFERROR(([1]!b_stm07_bs($B116,47,$A116,1,100000000))/[1]!b_stm07_bs($B116,109,$A116,1,100000000),"")</f>
        <v/>
      </c>
      <c r="F116" s="18" t="str">
        <f>IFERROR(([1]!s_stmnote_bank_26($B116,$A116,1,100000000)-[1]!s_stmnote_bank_26($B116,#REF!,1,100000000)+#REF!)/[1]!s_stmnote_bank_1n($B116,#REF!,1,100000000),"")</f>
        <v/>
      </c>
      <c r="G116" s="21" t="str">
        <f t="shared" si="2"/>
        <v/>
      </c>
      <c r="H116" s="18" t="str">
        <f>IFERROR([1]!s_stmnote_bank($B116,"34",$A116,100000000)/[1]!s_stmnote_bank_1n(B116,$A116,1,100000000),"")</f>
        <v/>
      </c>
      <c r="I116" s="25">
        <f>[1]!b_stm07_bs(B116,74,$A116,1,100000000)</f>
        <v>0</v>
      </c>
      <c r="J116" s="25">
        <f>[1]!b_stm07_bs(B116,109,$A116,1,100000000)</f>
        <v>0</v>
      </c>
      <c r="K116" s="10">
        <f>[1]!s_stmnote_bank_5n(B116,$A116,1)</f>
        <v>0</v>
      </c>
      <c r="L116" s="25">
        <f>[1]!s_stmnote_bank_23n(B116,$A116,1)</f>
        <v>0</v>
      </c>
      <c r="M116" s="25">
        <f>[1]!s_stmnote_bank_capadequacyratio(B116,$A116,1)</f>
        <v>0</v>
      </c>
      <c r="N116" s="25">
        <f>[1]!s_stmnote_bank_capadequacyratio_ct1(B116,$A116,1)</f>
        <v>0</v>
      </c>
      <c r="O116" s="6">
        <f>IF(OR([1]!s_fa_roe(B116,20201231)="0",[1]!s_fa_roe(B116,20211231)="0",[1]!s_fa_roe(B116,20221231)="0"),"",IFERROR(([1]!s_fa_roe(B116,20221231)+[1]!s_fa_roe(B116,20201231)+[1]!s_fa_roe(B116,20211231))/3,""))</f>
        <v>0</v>
      </c>
      <c r="P116" s="28" t="str">
        <f>IFERROR(([1]!s_stmnote_bank_65(B116,$A116,1,2,4,100000000)+[1]!s_stmnote_bank_65(B116,$A116,1,2,6,100000000))/[1]!s_stmnote_bank_1n(B116,$A116,1,100000000),"")</f>
        <v/>
      </c>
      <c r="Q116" s="28" t="str">
        <f>IFERROR([1]!s_stmnote_bank_614(B116,$A116,1,2,100000000)/[1]!s_stmnote_bank_647(B116,$A116,1,2,100000000),"")</f>
        <v/>
      </c>
      <c r="R116" s="28" t="str">
        <f>IFERROR(([1]!b_stm07_bs(B116,104,$A116,1,100000000)+[1]!b_stm07_bs(B116,106,$A116,1,100000000)+[1]!b_stm07_bs(B116,76,$A116,1,100000000)+[1]!b_stm07_bs(B116,108,$A116,1,100000000)+[1]!b_stm07_bs(B116,95,$A116,1,100000000))/[1]!b_stm07_bs(B116,128,$A116,1,100000000),"")</f>
        <v/>
      </c>
      <c r="S116" s="28" t="str">
        <f>IFERROR(([1]!s_stmnote_bank_614(B116,$A116,1,2,100000000)+[1]!b_stm07_bs(B116,104,$A116,1,100000000)+[1]!b_stm07_bs(B116,106,$A116,1,100000000)+[1]!b_stm07_bs(B116,76,$A116,1,100000000)+[1]!b_stm07_bs(B116,108,$A116,1,100000000)+[1]!b_stm07_bs(B116,95,$A116,1,100000000))/[1]!b_stm07_bs(B116,128,$A116,1,100000000),"")</f>
        <v/>
      </c>
      <c r="T116" s="11">
        <f>[1]!b_issuer_shareholder(B116,"",1)</f>
        <v>0</v>
      </c>
      <c r="U116" s="10">
        <f>[1]!b_issuer_propofshareholder(B116,"",1)</f>
        <v>0</v>
      </c>
      <c r="V116" s="33" t="str">
        <f t="shared" si="3"/>
        <v>0</v>
      </c>
      <c r="W116" s="33">
        <f>[1]!s_info_city(B116)</f>
        <v>0</v>
      </c>
      <c r="X116" s="10">
        <f>IF([1]!s_stmnote_bank_17n(B116,$A116,1)="0","",[1]!s_stmnote_bank_17n(B116,$A116,1))</f>
        <v>0</v>
      </c>
      <c r="Y116" s="10">
        <f>IF([1]!s_stmnote_bank_18n(B116,$A116,1)="0","",[1]!s_stmnote_bank_18n(B116,$A116,1))</f>
        <v>0</v>
      </c>
      <c r="Z116" s="41">
        <f>IF([1]!s_stmnote_bank_58(B116,$A116,1)="0","",[1]!s_stmnote_bank_58(B116,$A116,1))</f>
        <v>0</v>
      </c>
      <c r="AA116" s="52">
        <f>IF([1]!s_stmnote_bank_60(B116,$A116,1)="0","",[1]!s_stmnote_bank_60(B116,$A116,1))</f>
        <v>0</v>
      </c>
      <c r="AB116" s="52">
        <f>[1]!s_stmnote_bank_5444(B116,$A116,1)</f>
        <v>0</v>
      </c>
      <c r="AC116" s="38">
        <f>[1]!s_stmnote_bank_129n($B116,$A116,1)</f>
        <v>0</v>
      </c>
      <c r="AD116" s="54">
        <f>[1]!s_stmnote_bank_30(B116,$A116,1)</f>
        <v>0</v>
      </c>
    </row>
    <row r="117" spans="1:30" s="46" customFormat="1" ht="24">
      <c r="A117" s="1" t="s">
        <v>1110</v>
      </c>
      <c r="B117" s="87" t="s">
        <v>1225</v>
      </c>
      <c r="C117" s="8">
        <f>IF([1]!b_info_issuer(B117)="0","",IFERROR([1]!b_info_issuer(B117),""))</f>
        <v>0</v>
      </c>
      <c r="D117" s="11">
        <f>IF([1]!b_info_latestissurercreditrating(B117)="0","",IFERROR([1]!b_info_latestissurercreditrating(B117),""))</f>
        <v>0</v>
      </c>
      <c r="E117" s="27" t="str">
        <f>IFERROR(([1]!b_stm07_bs($B117,47,$A117,1,100000000))/[1]!b_stm07_bs($B117,109,$A117,1,100000000),"")</f>
        <v/>
      </c>
      <c r="F117" s="18" t="str">
        <f>IFERROR(([1]!s_stmnote_bank_26($B117,$A117,1,100000000)-[1]!s_stmnote_bank_26($B117,#REF!,1,100000000)+#REF!)/[1]!s_stmnote_bank_1n($B117,#REF!,1,100000000),"")</f>
        <v/>
      </c>
      <c r="G117" s="21" t="str">
        <f t="shared" si="2"/>
        <v/>
      </c>
      <c r="H117" s="18" t="str">
        <f>IFERROR([1]!s_stmnote_bank($B117,"34",$A117,100000000)/[1]!s_stmnote_bank_1n(B117,$A117,1,100000000),"")</f>
        <v/>
      </c>
      <c r="I117" s="25">
        <f>[1]!b_stm07_bs(B117,74,$A117,1,100000000)</f>
        <v>0</v>
      </c>
      <c r="J117" s="25">
        <f>[1]!b_stm07_bs(B117,109,$A117,1,100000000)</f>
        <v>0</v>
      </c>
      <c r="K117" s="10">
        <f>[1]!s_stmnote_bank_5n(B117,$A117,1)</f>
        <v>0</v>
      </c>
      <c r="L117" s="25">
        <f>[1]!s_stmnote_bank_23n(B117,$A117,1)</f>
        <v>0</v>
      </c>
      <c r="M117" s="25">
        <f>[1]!s_stmnote_bank_capadequacyratio(B117,$A117,1)</f>
        <v>0</v>
      </c>
      <c r="N117" s="25">
        <f>[1]!s_stmnote_bank_capadequacyratio_ct1(B117,$A117,1)</f>
        <v>0</v>
      </c>
      <c r="O117" s="6">
        <f>IF(OR([1]!s_fa_roe(B117,20201231)="0",[1]!s_fa_roe(B117,20211231)="0",[1]!s_fa_roe(B117,20221231)="0"),"",IFERROR(([1]!s_fa_roe(B117,20221231)+[1]!s_fa_roe(B117,20201231)+[1]!s_fa_roe(B117,20211231))/3,""))</f>
        <v>0</v>
      </c>
      <c r="P117" s="28" t="str">
        <f>IFERROR(([1]!s_stmnote_bank_65(B117,$A117,1,2,4,100000000)+[1]!s_stmnote_bank_65(B117,$A117,1,2,6,100000000))/[1]!s_stmnote_bank_1n(B117,$A117,1,100000000),"")</f>
        <v/>
      </c>
      <c r="Q117" s="28" t="str">
        <f>IFERROR([1]!s_stmnote_bank_614(B117,$A117,1,2,100000000)/[1]!s_stmnote_bank_647(B117,$A117,1,2,100000000),"")</f>
        <v/>
      </c>
      <c r="R117" s="28" t="str">
        <f>IFERROR(([1]!b_stm07_bs(B117,104,$A117,1,100000000)+[1]!b_stm07_bs(B117,106,$A117,1,100000000)+[1]!b_stm07_bs(B117,76,$A117,1,100000000)+[1]!b_stm07_bs(B117,108,$A117,1,100000000)+[1]!b_stm07_bs(B117,95,$A117,1,100000000))/[1]!b_stm07_bs(B117,128,$A117,1,100000000),"")</f>
        <v/>
      </c>
      <c r="S117" s="28" t="str">
        <f>IFERROR(([1]!s_stmnote_bank_614(B117,$A117,1,2,100000000)+[1]!b_stm07_bs(B117,104,$A117,1,100000000)+[1]!b_stm07_bs(B117,106,$A117,1,100000000)+[1]!b_stm07_bs(B117,76,$A117,1,100000000)+[1]!b_stm07_bs(B117,108,$A117,1,100000000)+[1]!b_stm07_bs(B117,95,$A117,1,100000000))/[1]!b_stm07_bs(B117,128,$A117,1,100000000),"")</f>
        <v/>
      </c>
      <c r="T117" s="11">
        <f>[1]!b_issuer_shareholder(B117,"",1)</f>
        <v>0</v>
      </c>
      <c r="U117" s="10">
        <f>[1]!b_issuer_propofshareholder(B117,"",1)</f>
        <v>0</v>
      </c>
      <c r="V117" s="33" t="str">
        <f t="shared" si="3"/>
        <v>0</v>
      </c>
      <c r="W117" s="33">
        <f>[1]!s_info_city(B117)</f>
        <v>0</v>
      </c>
      <c r="X117" s="10">
        <f>IF([1]!s_stmnote_bank_17n(B117,$A117,1)="0","",[1]!s_stmnote_bank_17n(B117,$A117,1))</f>
        <v>0</v>
      </c>
      <c r="Y117" s="10">
        <f>IF([1]!s_stmnote_bank_18n(B117,$A117,1)="0","",[1]!s_stmnote_bank_18n(B117,$A117,1))</f>
        <v>0</v>
      </c>
      <c r="Z117" s="41">
        <f>IF([1]!s_stmnote_bank_58(B117,$A117,1)="0","",[1]!s_stmnote_bank_58(B117,$A117,1))</f>
        <v>0</v>
      </c>
      <c r="AA117" s="52">
        <f>IF([1]!s_stmnote_bank_60(B117,$A117,1)="0","",[1]!s_stmnote_bank_60(B117,$A117,1))</f>
        <v>0</v>
      </c>
      <c r="AB117" s="52">
        <f>[1]!s_stmnote_bank_5444(B117,$A117,1)</f>
        <v>0</v>
      </c>
      <c r="AC117" s="38">
        <f>[1]!s_stmnote_bank_129n($B117,$A117,1)</f>
        <v>0</v>
      </c>
      <c r="AD117" s="54">
        <f>[1]!s_stmnote_bank_30(B117,$A117,1)</f>
        <v>0</v>
      </c>
    </row>
    <row r="118" spans="1:30" s="46" customFormat="1" ht="24">
      <c r="A118" s="1" t="s">
        <v>1110</v>
      </c>
      <c r="B118" s="87" t="s">
        <v>1226</v>
      </c>
      <c r="C118" s="8">
        <f>IF([1]!b_info_issuer(B118)="0","",IFERROR([1]!b_info_issuer(B118),""))</f>
        <v>0</v>
      </c>
      <c r="D118" s="11">
        <f>IF([1]!b_info_latestissurercreditrating(B118)="0","",IFERROR([1]!b_info_latestissurercreditrating(B118),""))</f>
        <v>0</v>
      </c>
      <c r="E118" s="27" t="str">
        <f>IFERROR(([1]!b_stm07_bs($B118,47,$A118,1,100000000))/[1]!b_stm07_bs($B118,109,$A118,1,100000000),"")</f>
        <v/>
      </c>
      <c r="F118" s="18" t="str">
        <f>IFERROR(([1]!s_stmnote_bank_26($B118,$A118,1,100000000)-[1]!s_stmnote_bank_26($B118,#REF!,1,100000000)+#REF!)/[1]!s_stmnote_bank_1n($B118,#REF!,1,100000000),"")</f>
        <v/>
      </c>
      <c r="G118" s="21" t="str">
        <f t="shared" si="2"/>
        <v/>
      </c>
      <c r="H118" s="18" t="str">
        <f>IFERROR([1]!s_stmnote_bank($B118,"34",$A118,100000000)/[1]!s_stmnote_bank_1n(B118,$A118,1,100000000),"")</f>
        <v/>
      </c>
      <c r="I118" s="25">
        <f>[1]!b_stm07_bs(B118,74,$A118,1,100000000)</f>
        <v>0</v>
      </c>
      <c r="J118" s="25">
        <f>[1]!b_stm07_bs(B118,109,$A118,1,100000000)</f>
        <v>0</v>
      </c>
      <c r="K118" s="10">
        <f>[1]!s_stmnote_bank_5n(B118,$A118,1)</f>
        <v>0</v>
      </c>
      <c r="L118" s="25">
        <f>[1]!s_stmnote_bank_23n(B118,$A118,1)</f>
        <v>0</v>
      </c>
      <c r="M118" s="25">
        <f>[1]!s_stmnote_bank_capadequacyratio(B118,$A118,1)</f>
        <v>0</v>
      </c>
      <c r="N118" s="25">
        <f>[1]!s_stmnote_bank_capadequacyratio_ct1(B118,$A118,1)</f>
        <v>0</v>
      </c>
      <c r="O118" s="6">
        <f>IF(OR([1]!s_fa_roe(B118,20201231)="0",[1]!s_fa_roe(B118,20211231)="0",[1]!s_fa_roe(B118,20221231)="0"),"",IFERROR(([1]!s_fa_roe(B118,20221231)+[1]!s_fa_roe(B118,20201231)+[1]!s_fa_roe(B118,20211231))/3,""))</f>
        <v>0</v>
      </c>
      <c r="P118" s="28" t="str">
        <f>IFERROR(([1]!s_stmnote_bank_65(B118,$A118,1,2,4,100000000)+[1]!s_stmnote_bank_65(B118,$A118,1,2,6,100000000))/[1]!s_stmnote_bank_1n(B118,$A118,1,100000000),"")</f>
        <v/>
      </c>
      <c r="Q118" s="28" t="str">
        <f>IFERROR([1]!s_stmnote_bank_614(B118,$A118,1,2,100000000)/[1]!s_stmnote_bank_647(B118,$A118,1,2,100000000),"")</f>
        <v/>
      </c>
      <c r="R118" s="28" t="str">
        <f>IFERROR(([1]!b_stm07_bs(B118,104,$A118,1,100000000)+[1]!b_stm07_bs(B118,106,$A118,1,100000000)+[1]!b_stm07_bs(B118,76,$A118,1,100000000)+[1]!b_stm07_bs(B118,108,$A118,1,100000000)+[1]!b_stm07_bs(B118,95,$A118,1,100000000))/[1]!b_stm07_bs(B118,128,$A118,1,100000000),"")</f>
        <v/>
      </c>
      <c r="S118" s="28" t="str">
        <f>IFERROR(([1]!s_stmnote_bank_614(B118,$A118,1,2,100000000)+[1]!b_stm07_bs(B118,104,$A118,1,100000000)+[1]!b_stm07_bs(B118,106,$A118,1,100000000)+[1]!b_stm07_bs(B118,76,$A118,1,100000000)+[1]!b_stm07_bs(B118,108,$A118,1,100000000)+[1]!b_stm07_bs(B118,95,$A118,1,100000000))/[1]!b_stm07_bs(B118,128,$A118,1,100000000),"")</f>
        <v/>
      </c>
      <c r="T118" s="11">
        <f>[1]!b_issuer_shareholder(B118,"",1)</f>
        <v>0</v>
      </c>
      <c r="U118" s="10">
        <f>[1]!b_issuer_propofshareholder(B118,"",1)</f>
        <v>0</v>
      </c>
      <c r="V118" s="33" t="str">
        <f t="shared" si="3"/>
        <v>0</v>
      </c>
      <c r="W118" s="33">
        <f>[1]!s_info_city(B118)</f>
        <v>0</v>
      </c>
      <c r="X118" s="10">
        <f>IF([1]!s_stmnote_bank_17n(B118,$A118,1)="0","",[1]!s_stmnote_bank_17n(B118,$A118,1))</f>
        <v>0</v>
      </c>
      <c r="Y118" s="10">
        <f>IF([1]!s_stmnote_bank_18n(B118,$A118,1)="0","",[1]!s_stmnote_bank_18n(B118,$A118,1))</f>
        <v>0</v>
      </c>
      <c r="Z118" s="41">
        <f>IF([1]!s_stmnote_bank_58(B118,$A118,1)="0","",[1]!s_stmnote_bank_58(B118,$A118,1))</f>
        <v>0</v>
      </c>
      <c r="AA118" s="52">
        <f>IF([1]!s_stmnote_bank_60(B118,$A118,1)="0","",[1]!s_stmnote_bank_60(B118,$A118,1))</f>
        <v>0</v>
      </c>
      <c r="AB118" s="52">
        <f>[1]!s_stmnote_bank_5444(B118,$A118,1)</f>
        <v>0</v>
      </c>
      <c r="AC118" s="38">
        <f>[1]!s_stmnote_bank_129n($B118,$A118,1)</f>
        <v>0</v>
      </c>
      <c r="AD118" s="54">
        <f>[1]!s_stmnote_bank_30(B118,$A118,1)</f>
        <v>0</v>
      </c>
    </row>
    <row r="119" spans="1:30" s="46" customFormat="1" ht="24">
      <c r="A119" s="1" t="s">
        <v>1110</v>
      </c>
      <c r="B119" s="87" t="s">
        <v>1227</v>
      </c>
      <c r="C119" s="8">
        <f>IF([1]!b_info_issuer(B119)="0","",IFERROR([1]!b_info_issuer(B119),""))</f>
        <v>0</v>
      </c>
      <c r="D119" s="11">
        <f>IF([1]!b_info_latestissurercreditrating(B119)="0","",IFERROR([1]!b_info_latestissurercreditrating(B119),""))</f>
        <v>0</v>
      </c>
      <c r="E119" s="27" t="str">
        <f>IFERROR(([1]!b_stm07_bs($B119,47,$A119,1,100000000))/[1]!b_stm07_bs($B119,109,$A119,1,100000000),"")</f>
        <v/>
      </c>
      <c r="F119" s="18" t="str">
        <f>IFERROR(([1]!s_stmnote_bank_26($B119,$A119,1,100000000)-[1]!s_stmnote_bank_26($B119,#REF!,1,100000000)+#REF!)/[1]!s_stmnote_bank_1n($B119,#REF!,1,100000000),"")</f>
        <v/>
      </c>
      <c r="G119" s="21" t="str">
        <f t="shared" si="2"/>
        <v/>
      </c>
      <c r="H119" s="18" t="str">
        <f>IFERROR([1]!s_stmnote_bank($B119,"34",$A119,100000000)/[1]!s_stmnote_bank_1n(B119,$A119,1,100000000),"")</f>
        <v/>
      </c>
      <c r="I119" s="25">
        <f>[1]!b_stm07_bs(B119,74,$A119,1,100000000)</f>
        <v>0</v>
      </c>
      <c r="J119" s="25">
        <f>[1]!b_stm07_bs(B119,109,$A119,1,100000000)</f>
        <v>0</v>
      </c>
      <c r="K119" s="10">
        <f>[1]!s_stmnote_bank_5n(B119,$A119,1)</f>
        <v>0</v>
      </c>
      <c r="L119" s="25">
        <f>[1]!s_stmnote_bank_23n(B119,$A119,1)</f>
        <v>0</v>
      </c>
      <c r="M119" s="25">
        <f>[1]!s_stmnote_bank_capadequacyratio(B119,$A119,1)</f>
        <v>0</v>
      </c>
      <c r="N119" s="25">
        <f>[1]!s_stmnote_bank_capadequacyratio_ct1(B119,$A119,1)</f>
        <v>0</v>
      </c>
      <c r="O119" s="6">
        <f>IF(OR([1]!s_fa_roe(B119,20201231)="0",[1]!s_fa_roe(B119,20211231)="0",[1]!s_fa_roe(B119,20221231)="0"),"",IFERROR(([1]!s_fa_roe(B119,20221231)+[1]!s_fa_roe(B119,20201231)+[1]!s_fa_roe(B119,20211231))/3,""))</f>
        <v>0</v>
      </c>
      <c r="P119" s="28" t="str">
        <f>IFERROR(([1]!s_stmnote_bank_65(B119,$A119,1,2,4,100000000)+[1]!s_stmnote_bank_65(B119,$A119,1,2,6,100000000))/[1]!s_stmnote_bank_1n(B119,$A119,1,100000000),"")</f>
        <v/>
      </c>
      <c r="Q119" s="28" t="str">
        <f>IFERROR([1]!s_stmnote_bank_614(B119,$A119,1,2,100000000)/[1]!s_stmnote_bank_647(B119,$A119,1,2,100000000),"")</f>
        <v/>
      </c>
      <c r="R119" s="28" t="str">
        <f>IFERROR(([1]!b_stm07_bs(B119,104,$A119,1,100000000)+[1]!b_stm07_bs(B119,106,$A119,1,100000000)+[1]!b_stm07_bs(B119,76,$A119,1,100000000)+[1]!b_stm07_bs(B119,108,$A119,1,100000000)+[1]!b_stm07_bs(B119,95,$A119,1,100000000))/[1]!b_stm07_bs(B119,128,$A119,1,100000000),"")</f>
        <v/>
      </c>
      <c r="S119" s="28" t="str">
        <f>IFERROR(([1]!s_stmnote_bank_614(B119,$A119,1,2,100000000)+[1]!b_stm07_bs(B119,104,$A119,1,100000000)+[1]!b_stm07_bs(B119,106,$A119,1,100000000)+[1]!b_stm07_bs(B119,76,$A119,1,100000000)+[1]!b_stm07_bs(B119,108,$A119,1,100000000)+[1]!b_stm07_bs(B119,95,$A119,1,100000000))/[1]!b_stm07_bs(B119,128,$A119,1,100000000),"")</f>
        <v/>
      </c>
      <c r="T119" s="11">
        <f>[1]!b_issuer_shareholder(B119,"",1)</f>
        <v>0</v>
      </c>
      <c r="U119" s="10">
        <f>[1]!b_issuer_propofshareholder(B119,"",1)</f>
        <v>0</v>
      </c>
      <c r="V119" s="33" t="str">
        <f t="shared" si="3"/>
        <v>0</v>
      </c>
      <c r="W119" s="33">
        <f>[1]!s_info_city(B119)</f>
        <v>0</v>
      </c>
      <c r="X119" s="10">
        <f>IF([1]!s_stmnote_bank_17n(B119,$A119,1)="0","",[1]!s_stmnote_bank_17n(B119,$A119,1))</f>
        <v>0</v>
      </c>
      <c r="Y119" s="10">
        <f>IF([1]!s_stmnote_bank_18n(B119,$A119,1)="0","",[1]!s_stmnote_bank_18n(B119,$A119,1))</f>
        <v>0</v>
      </c>
      <c r="Z119" s="41">
        <f>IF([1]!s_stmnote_bank_58(B119,$A119,1)="0","",[1]!s_stmnote_bank_58(B119,$A119,1))</f>
        <v>0</v>
      </c>
      <c r="AA119" s="52">
        <f>IF([1]!s_stmnote_bank_60(B119,$A119,1)="0","",[1]!s_stmnote_bank_60(B119,$A119,1))</f>
        <v>0</v>
      </c>
      <c r="AB119" s="52">
        <f>[1]!s_stmnote_bank_5444(B119,$A119,1)</f>
        <v>0</v>
      </c>
      <c r="AC119" s="38">
        <f>[1]!s_stmnote_bank_129n($B119,$A119,1)</f>
        <v>0</v>
      </c>
      <c r="AD119" s="54">
        <f>[1]!s_stmnote_bank_30(B119,$A119,1)</f>
        <v>0</v>
      </c>
    </row>
    <row r="120" spans="1:30" s="46" customFormat="1" ht="24">
      <c r="A120" s="1" t="s">
        <v>1110</v>
      </c>
      <c r="B120" s="87" t="s">
        <v>1228</v>
      </c>
      <c r="C120" s="8">
        <f>IF([1]!b_info_issuer(B120)="0","",IFERROR([1]!b_info_issuer(B120),""))</f>
        <v>0</v>
      </c>
      <c r="D120" s="11">
        <f>IF([1]!b_info_latestissurercreditrating(B120)="0","",IFERROR([1]!b_info_latestissurercreditrating(B120),""))</f>
        <v>0</v>
      </c>
      <c r="E120" s="27" t="str">
        <f>IFERROR(([1]!b_stm07_bs($B120,47,$A120,1,100000000))/[1]!b_stm07_bs($B120,109,$A120,1,100000000),"")</f>
        <v/>
      </c>
      <c r="F120" s="18" t="str">
        <f>IFERROR(([1]!s_stmnote_bank_26($B120,$A120,1,100000000)-[1]!s_stmnote_bank_26($B120,#REF!,1,100000000)+#REF!)/[1]!s_stmnote_bank_1n($B120,#REF!,1,100000000),"")</f>
        <v/>
      </c>
      <c r="G120" s="21" t="str">
        <f t="shared" si="2"/>
        <v/>
      </c>
      <c r="H120" s="18" t="str">
        <f>IFERROR([1]!s_stmnote_bank($B120,"34",$A120,100000000)/[1]!s_stmnote_bank_1n(B120,$A120,1,100000000),"")</f>
        <v/>
      </c>
      <c r="I120" s="25">
        <f>[1]!b_stm07_bs(B120,74,$A120,1,100000000)</f>
        <v>0</v>
      </c>
      <c r="J120" s="25">
        <f>[1]!b_stm07_bs(B120,109,$A120,1,100000000)</f>
        <v>0</v>
      </c>
      <c r="K120" s="10">
        <f>[1]!s_stmnote_bank_5n(B120,$A120,1)</f>
        <v>0</v>
      </c>
      <c r="L120" s="25">
        <f>[1]!s_stmnote_bank_23n(B120,$A120,1)</f>
        <v>0</v>
      </c>
      <c r="M120" s="25">
        <f>[1]!s_stmnote_bank_capadequacyratio(B120,$A120,1)</f>
        <v>0</v>
      </c>
      <c r="N120" s="25">
        <f>[1]!s_stmnote_bank_capadequacyratio_ct1(B120,$A120,1)</f>
        <v>0</v>
      </c>
      <c r="O120" s="6">
        <f>IF(OR([1]!s_fa_roe(B120,20201231)="0",[1]!s_fa_roe(B120,20211231)="0",[1]!s_fa_roe(B120,20221231)="0"),"",IFERROR(([1]!s_fa_roe(B120,20221231)+[1]!s_fa_roe(B120,20201231)+[1]!s_fa_roe(B120,20211231))/3,""))</f>
        <v>0</v>
      </c>
      <c r="P120" s="28" t="str">
        <f>IFERROR(([1]!s_stmnote_bank_65(B120,$A120,1,2,4,100000000)+[1]!s_stmnote_bank_65(B120,$A120,1,2,6,100000000))/[1]!s_stmnote_bank_1n(B120,$A120,1,100000000),"")</f>
        <v/>
      </c>
      <c r="Q120" s="28" t="str">
        <f>IFERROR([1]!s_stmnote_bank_614(B120,$A120,1,2,100000000)/[1]!s_stmnote_bank_647(B120,$A120,1,2,100000000),"")</f>
        <v/>
      </c>
      <c r="R120" s="28" t="str">
        <f>IFERROR(([1]!b_stm07_bs(B120,104,$A120,1,100000000)+[1]!b_stm07_bs(B120,106,$A120,1,100000000)+[1]!b_stm07_bs(B120,76,$A120,1,100000000)+[1]!b_stm07_bs(B120,108,$A120,1,100000000)+[1]!b_stm07_bs(B120,95,$A120,1,100000000))/[1]!b_stm07_bs(B120,128,$A120,1,100000000),"")</f>
        <v/>
      </c>
      <c r="S120" s="28" t="str">
        <f>IFERROR(([1]!s_stmnote_bank_614(B120,$A120,1,2,100000000)+[1]!b_stm07_bs(B120,104,$A120,1,100000000)+[1]!b_stm07_bs(B120,106,$A120,1,100000000)+[1]!b_stm07_bs(B120,76,$A120,1,100000000)+[1]!b_stm07_bs(B120,108,$A120,1,100000000)+[1]!b_stm07_bs(B120,95,$A120,1,100000000))/[1]!b_stm07_bs(B120,128,$A120,1,100000000),"")</f>
        <v/>
      </c>
      <c r="T120" s="11">
        <f>[1]!b_issuer_shareholder(B120,"",1)</f>
        <v>0</v>
      </c>
      <c r="U120" s="10">
        <f>[1]!b_issuer_propofshareholder(B120,"",1)</f>
        <v>0</v>
      </c>
      <c r="V120" s="33" t="str">
        <f t="shared" si="3"/>
        <v>0</v>
      </c>
      <c r="W120" s="33">
        <f>[1]!s_info_city(B120)</f>
        <v>0</v>
      </c>
      <c r="X120" s="10">
        <f>IF([1]!s_stmnote_bank_17n(B120,$A120,1)="0","",[1]!s_stmnote_bank_17n(B120,$A120,1))</f>
        <v>0</v>
      </c>
      <c r="Y120" s="10">
        <f>IF([1]!s_stmnote_bank_18n(B120,$A120,1)="0","",[1]!s_stmnote_bank_18n(B120,$A120,1))</f>
        <v>0</v>
      </c>
      <c r="Z120" s="41">
        <f>IF([1]!s_stmnote_bank_58(B120,$A120,1)="0","",[1]!s_stmnote_bank_58(B120,$A120,1))</f>
        <v>0</v>
      </c>
      <c r="AA120" s="52">
        <f>IF([1]!s_stmnote_bank_60(B120,$A120,1)="0","",[1]!s_stmnote_bank_60(B120,$A120,1))</f>
        <v>0</v>
      </c>
      <c r="AB120" s="52">
        <f>[1]!s_stmnote_bank_5444(B120,$A120,1)</f>
        <v>0</v>
      </c>
      <c r="AC120" s="38">
        <f>[1]!s_stmnote_bank_129n($B120,$A120,1)</f>
        <v>0</v>
      </c>
      <c r="AD120" s="54">
        <f>[1]!s_stmnote_bank_30(B120,$A120,1)</f>
        <v>0</v>
      </c>
    </row>
    <row r="121" spans="1:30" s="46" customFormat="1" ht="24">
      <c r="A121" s="1" t="s">
        <v>1110</v>
      </c>
      <c r="B121" s="87" t="s">
        <v>1229</v>
      </c>
      <c r="C121" s="8">
        <f>IF([1]!b_info_issuer(B121)="0","",IFERROR([1]!b_info_issuer(B121),""))</f>
        <v>0</v>
      </c>
      <c r="D121" s="11">
        <f>IF([1]!b_info_latestissurercreditrating(B121)="0","",IFERROR([1]!b_info_latestissurercreditrating(B121),""))</f>
        <v>0</v>
      </c>
      <c r="E121" s="27" t="str">
        <f>IFERROR(([1]!b_stm07_bs($B121,47,$A121,1,100000000))/[1]!b_stm07_bs($B121,109,$A121,1,100000000),"")</f>
        <v/>
      </c>
      <c r="F121" s="18" t="str">
        <f>IFERROR(([1]!s_stmnote_bank_26($B121,$A121,1,100000000)-[1]!s_stmnote_bank_26($B121,#REF!,1,100000000)+#REF!)/[1]!s_stmnote_bank_1n($B121,#REF!,1,100000000),"")</f>
        <v/>
      </c>
      <c r="G121" s="21" t="str">
        <f t="shared" si="2"/>
        <v/>
      </c>
      <c r="H121" s="18" t="str">
        <f>IFERROR([1]!s_stmnote_bank($B121,"34",$A121,100000000)/[1]!s_stmnote_bank_1n(B121,$A121,1,100000000),"")</f>
        <v/>
      </c>
      <c r="I121" s="25">
        <f>[1]!b_stm07_bs(B121,74,$A121,1,100000000)</f>
        <v>0</v>
      </c>
      <c r="J121" s="25">
        <f>[1]!b_stm07_bs(B121,109,$A121,1,100000000)</f>
        <v>0</v>
      </c>
      <c r="K121" s="10">
        <f>[1]!s_stmnote_bank_5n(B121,$A121,1)</f>
        <v>0</v>
      </c>
      <c r="L121" s="25">
        <f>[1]!s_stmnote_bank_23n(B121,$A121,1)</f>
        <v>0</v>
      </c>
      <c r="M121" s="25">
        <f>[1]!s_stmnote_bank_capadequacyratio(B121,$A121,1)</f>
        <v>0</v>
      </c>
      <c r="N121" s="25">
        <f>[1]!s_stmnote_bank_capadequacyratio_ct1(B121,$A121,1)</f>
        <v>0</v>
      </c>
      <c r="O121" s="6">
        <f>IF(OR([1]!s_fa_roe(B121,20201231)="0",[1]!s_fa_roe(B121,20211231)="0",[1]!s_fa_roe(B121,20221231)="0"),"",IFERROR(([1]!s_fa_roe(B121,20221231)+[1]!s_fa_roe(B121,20201231)+[1]!s_fa_roe(B121,20211231))/3,""))</f>
        <v>0</v>
      </c>
      <c r="P121" s="28" t="str">
        <f>IFERROR(([1]!s_stmnote_bank_65(B121,$A121,1,2,4,100000000)+[1]!s_stmnote_bank_65(B121,$A121,1,2,6,100000000))/[1]!s_stmnote_bank_1n(B121,$A121,1,100000000),"")</f>
        <v/>
      </c>
      <c r="Q121" s="28" t="str">
        <f>IFERROR([1]!s_stmnote_bank_614(B121,$A121,1,2,100000000)/[1]!s_stmnote_bank_647(B121,$A121,1,2,100000000),"")</f>
        <v/>
      </c>
      <c r="R121" s="28" t="str">
        <f>IFERROR(([1]!b_stm07_bs(B121,104,$A121,1,100000000)+[1]!b_stm07_bs(B121,106,$A121,1,100000000)+[1]!b_stm07_bs(B121,76,$A121,1,100000000)+[1]!b_stm07_bs(B121,108,$A121,1,100000000)+[1]!b_stm07_bs(B121,95,$A121,1,100000000))/[1]!b_stm07_bs(B121,128,$A121,1,100000000),"")</f>
        <v/>
      </c>
      <c r="S121" s="28" t="str">
        <f>IFERROR(([1]!s_stmnote_bank_614(B121,$A121,1,2,100000000)+[1]!b_stm07_bs(B121,104,$A121,1,100000000)+[1]!b_stm07_bs(B121,106,$A121,1,100000000)+[1]!b_stm07_bs(B121,76,$A121,1,100000000)+[1]!b_stm07_bs(B121,108,$A121,1,100000000)+[1]!b_stm07_bs(B121,95,$A121,1,100000000))/[1]!b_stm07_bs(B121,128,$A121,1,100000000),"")</f>
        <v/>
      </c>
      <c r="T121" s="11">
        <f>[1]!b_issuer_shareholder(B121,"",1)</f>
        <v>0</v>
      </c>
      <c r="U121" s="10">
        <f>[1]!b_issuer_propofshareholder(B121,"",1)</f>
        <v>0</v>
      </c>
      <c r="V121" s="33" t="str">
        <f t="shared" si="3"/>
        <v>0</v>
      </c>
      <c r="W121" s="33">
        <f>[1]!s_info_city(B121)</f>
        <v>0</v>
      </c>
      <c r="X121" s="10">
        <f>IF([1]!s_stmnote_bank_17n(B121,$A121,1)="0","",[1]!s_stmnote_bank_17n(B121,$A121,1))</f>
        <v>0</v>
      </c>
      <c r="Y121" s="10">
        <f>IF([1]!s_stmnote_bank_18n(B121,$A121,1)="0","",[1]!s_stmnote_bank_18n(B121,$A121,1))</f>
        <v>0</v>
      </c>
      <c r="Z121" s="41">
        <f>IF([1]!s_stmnote_bank_58(B121,$A121,1)="0","",[1]!s_stmnote_bank_58(B121,$A121,1))</f>
        <v>0</v>
      </c>
      <c r="AA121" s="52">
        <f>IF([1]!s_stmnote_bank_60(B121,$A121,1)="0","",[1]!s_stmnote_bank_60(B121,$A121,1))</f>
        <v>0</v>
      </c>
      <c r="AB121" s="52">
        <f>[1]!s_stmnote_bank_5444(B121,$A121,1)</f>
        <v>0</v>
      </c>
      <c r="AC121" s="38">
        <f>[1]!s_stmnote_bank_129n($B121,$A121,1)</f>
        <v>0</v>
      </c>
      <c r="AD121" s="54">
        <f>[1]!s_stmnote_bank_30(B121,$A121,1)</f>
        <v>0</v>
      </c>
    </row>
    <row r="122" spans="1:30" s="46" customFormat="1" ht="24">
      <c r="A122" s="1" t="s">
        <v>1110</v>
      </c>
      <c r="B122" s="87" t="s">
        <v>1230</v>
      </c>
      <c r="C122" s="8">
        <f>IF([1]!b_info_issuer(B122)="0","",IFERROR([1]!b_info_issuer(B122),""))</f>
        <v>0</v>
      </c>
      <c r="D122" s="11">
        <f>IF([1]!b_info_latestissurercreditrating(B122)="0","",IFERROR([1]!b_info_latestissurercreditrating(B122),""))</f>
        <v>0</v>
      </c>
      <c r="E122" s="27" t="str">
        <f>IFERROR(([1]!b_stm07_bs($B122,47,$A122,1,100000000))/[1]!b_stm07_bs($B122,109,$A122,1,100000000),"")</f>
        <v/>
      </c>
      <c r="F122" s="18" t="str">
        <f>IFERROR(([1]!s_stmnote_bank_26($B122,$A122,1,100000000)-[1]!s_stmnote_bank_26($B122,#REF!,1,100000000)+#REF!)/[1]!s_stmnote_bank_1n($B122,#REF!,1,100000000),"")</f>
        <v/>
      </c>
      <c r="G122" s="21" t="str">
        <f t="shared" si="2"/>
        <v/>
      </c>
      <c r="H122" s="18" t="str">
        <f>IFERROR([1]!s_stmnote_bank($B122,"34",$A122,100000000)/[1]!s_stmnote_bank_1n(B122,$A122,1,100000000),"")</f>
        <v/>
      </c>
      <c r="I122" s="25">
        <f>[1]!b_stm07_bs(B122,74,$A122,1,100000000)</f>
        <v>0</v>
      </c>
      <c r="J122" s="25">
        <f>[1]!b_stm07_bs(B122,109,$A122,1,100000000)</f>
        <v>0</v>
      </c>
      <c r="K122" s="10">
        <f>[1]!s_stmnote_bank_5n(B122,$A122,1)</f>
        <v>0</v>
      </c>
      <c r="L122" s="25">
        <f>[1]!s_stmnote_bank_23n(B122,$A122,1)</f>
        <v>0</v>
      </c>
      <c r="M122" s="25">
        <f>[1]!s_stmnote_bank_capadequacyratio(B122,$A122,1)</f>
        <v>0</v>
      </c>
      <c r="N122" s="25">
        <f>[1]!s_stmnote_bank_capadequacyratio_ct1(B122,$A122,1)</f>
        <v>0</v>
      </c>
      <c r="O122" s="6">
        <f>IF(OR([1]!s_fa_roe(B122,20201231)="0",[1]!s_fa_roe(B122,20211231)="0",[1]!s_fa_roe(B122,20221231)="0"),"",IFERROR(([1]!s_fa_roe(B122,20221231)+[1]!s_fa_roe(B122,20201231)+[1]!s_fa_roe(B122,20211231))/3,""))</f>
        <v>0</v>
      </c>
      <c r="P122" s="28" t="str">
        <f>IFERROR(([1]!s_stmnote_bank_65(B122,$A122,1,2,4,100000000)+[1]!s_stmnote_bank_65(B122,$A122,1,2,6,100000000))/[1]!s_stmnote_bank_1n(B122,$A122,1,100000000),"")</f>
        <v/>
      </c>
      <c r="Q122" s="28" t="str">
        <f>IFERROR([1]!s_stmnote_bank_614(B122,$A122,1,2,100000000)/[1]!s_stmnote_bank_647(B122,$A122,1,2,100000000),"")</f>
        <v/>
      </c>
      <c r="R122" s="28" t="str">
        <f>IFERROR(([1]!b_stm07_bs(B122,104,$A122,1,100000000)+[1]!b_stm07_bs(B122,106,$A122,1,100000000)+[1]!b_stm07_bs(B122,76,$A122,1,100000000)+[1]!b_stm07_bs(B122,108,$A122,1,100000000)+[1]!b_stm07_bs(B122,95,$A122,1,100000000))/[1]!b_stm07_bs(B122,128,$A122,1,100000000),"")</f>
        <v/>
      </c>
      <c r="S122" s="28" t="str">
        <f>IFERROR(([1]!s_stmnote_bank_614(B122,$A122,1,2,100000000)+[1]!b_stm07_bs(B122,104,$A122,1,100000000)+[1]!b_stm07_bs(B122,106,$A122,1,100000000)+[1]!b_stm07_bs(B122,76,$A122,1,100000000)+[1]!b_stm07_bs(B122,108,$A122,1,100000000)+[1]!b_stm07_bs(B122,95,$A122,1,100000000))/[1]!b_stm07_bs(B122,128,$A122,1,100000000),"")</f>
        <v/>
      </c>
      <c r="T122" s="11">
        <f>[1]!b_issuer_shareholder(B122,"",1)</f>
        <v>0</v>
      </c>
      <c r="U122" s="10">
        <f>[1]!b_issuer_propofshareholder(B122,"",1)</f>
        <v>0</v>
      </c>
      <c r="V122" s="33" t="str">
        <f t="shared" si="3"/>
        <v>0</v>
      </c>
      <c r="W122" s="33">
        <f>[1]!s_info_city(B122)</f>
        <v>0</v>
      </c>
      <c r="X122" s="10">
        <f>IF([1]!s_stmnote_bank_17n(B122,$A122,1)="0","",[1]!s_stmnote_bank_17n(B122,$A122,1))</f>
        <v>0</v>
      </c>
      <c r="Y122" s="10">
        <f>IF([1]!s_stmnote_bank_18n(B122,$A122,1)="0","",[1]!s_stmnote_bank_18n(B122,$A122,1))</f>
        <v>0</v>
      </c>
      <c r="Z122" s="41">
        <f>IF([1]!s_stmnote_bank_58(B122,$A122,1)="0","",[1]!s_stmnote_bank_58(B122,$A122,1))</f>
        <v>0</v>
      </c>
      <c r="AA122" s="52">
        <f>IF([1]!s_stmnote_bank_60(B122,$A122,1)="0","",[1]!s_stmnote_bank_60(B122,$A122,1))</f>
        <v>0</v>
      </c>
      <c r="AB122" s="52">
        <f>[1]!s_stmnote_bank_5444(B122,$A122,1)</f>
        <v>0</v>
      </c>
      <c r="AC122" s="38">
        <f>[1]!s_stmnote_bank_129n($B122,$A122,1)</f>
        <v>0</v>
      </c>
      <c r="AD122" s="54">
        <f>[1]!s_stmnote_bank_30(B122,$A122,1)</f>
        <v>0</v>
      </c>
    </row>
    <row r="123" spans="1:30" s="46" customFormat="1" ht="24">
      <c r="A123" s="1" t="s">
        <v>1110</v>
      </c>
      <c r="B123" s="87" t="s">
        <v>1231</v>
      </c>
      <c r="C123" s="8">
        <f>IF([1]!b_info_issuer(B123)="0","",IFERROR([1]!b_info_issuer(B123),""))</f>
        <v>0</v>
      </c>
      <c r="D123" s="11">
        <f>IF([1]!b_info_latestissurercreditrating(B123)="0","",IFERROR([1]!b_info_latestissurercreditrating(B123),""))</f>
        <v>0</v>
      </c>
      <c r="E123" s="27" t="str">
        <f>IFERROR(([1]!b_stm07_bs($B123,47,$A123,1,100000000))/[1]!b_stm07_bs($B123,109,$A123,1,100000000),"")</f>
        <v/>
      </c>
      <c r="F123" s="18" t="str">
        <f>IFERROR(([1]!s_stmnote_bank_26($B123,$A123,1,100000000)-[1]!s_stmnote_bank_26($B123,#REF!,1,100000000)+#REF!)/[1]!s_stmnote_bank_1n($B123,#REF!,1,100000000),"")</f>
        <v/>
      </c>
      <c r="G123" s="21" t="str">
        <f t="shared" si="2"/>
        <v/>
      </c>
      <c r="H123" s="18" t="str">
        <f>IFERROR([1]!s_stmnote_bank($B123,"34",$A123,100000000)/[1]!s_stmnote_bank_1n(B123,$A123,1,100000000),"")</f>
        <v/>
      </c>
      <c r="I123" s="25">
        <f>[1]!b_stm07_bs(B123,74,$A123,1,100000000)</f>
        <v>0</v>
      </c>
      <c r="J123" s="25">
        <f>[1]!b_stm07_bs(B123,109,$A123,1,100000000)</f>
        <v>0</v>
      </c>
      <c r="K123" s="10">
        <f>[1]!s_stmnote_bank_5n(B123,$A123,1)</f>
        <v>0</v>
      </c>
      <c r="L123" s="25">
        <f>[1]!s_stmnote_bank_23n(B123,$A123,1)</f>
        <v>0</v>
      </c>
      <c r="M123" s="25">
        <f>[1]!s_stmnote_bank_capadequacyratio(B123,$A123,1)</f>
        <v>0</v>
      </c>
      <c r="N123" s="25">
        <f>[1]!s_stmnote_bank_capadequacyratio_ct1(B123,$A123,1)</f>
        <v>0</v>
      </c>
      <c r="O123" s="6">
        <f>IF(OR([1]!s_fa_roe(B123,20201231)="0",[1]!s_fa_roe(B123,20211231)="0",[1]!s_fa_roe(B123,20221231)="0"),"",IFERROR(([1]!s_fa_roe(B123,20221231)+[1]!s_fa_roe(B123,20201231)+[1]!s_fa_roe(B123,20211231))/3,""))</f>
        <v>0</v>
      </c>
      <c r="P123" s="28" t="str">
        <f>IFERROR(([1]!s_stmnote_bank_65(B123,$A123,1,2,4,100000000)+[1]!s_stmnote_bank_65(B123,$A123,1,2,6,100000000))/[1]!s_stmnote_bank_1n(B123,$A123,1,100000000),"")</f>
        <v/>
      </c>
      <c r="Q123" s="28" t="str">
        <f>IFERROR([1]!s_stmnote_bank_614(B123,$A123,1,2,100000000)/[1]!s_stmnote_bank_647(B123,$A123,1,2,100000000),"")</f>
        <v/>
      </c>
      <c r="R123" s="28" t="str">
        <f>IFERROR(([1]!b_stm07_bs(B123,104,$A123,1,100000000)+[1]!b_stm07_bs(B123,106,$A123,1,100000000)+[1]!b_stm07_bs(B123,76,$A123,1,100000000)+[1]!b_stm07_bs(B123,108,$A123,1,100000000)+[1]!b_stm07_bs(B123,95,$A123,1,100000000))/[1]!b_stm07_bs(B123,128,$A123,1,100000000),"")</f>
        <v/>
      </c>
      <c r="S123" s="28" t="str">
        <f>IFERROR(([1]!s_stmnote_bank_614(B123,$A123,1,2,100000000)+[1]!b_stm07_bs(B123,104,$A123,1,100000000)+[1]!b_stm07_bs(B123,106,$A123,1,100000000)+[1]!b_stm07_bs(B123,76,$A123,1,100000000)+[1]!b_stm07_bs(B123,108,$A123,1,100000000)+[1]!b_stm07_bs(B123,95,$A123,1,100000000))/[1]!b_stm07_bs(B123,128,$A123,1,100000000),"")</f>
        <v/>
      </c>
      <c r="T123" s="11">
        <f>[1]!b_issuer_shareholder(B123,"",1)</f>
        <v>0</v>
      </c>
      <c r="U123" s="10">
        <f>[1]!b_issuer_propofshareholder(B123,"",1)</f>
        <v>0</v>
      </c>
      <c r="V123" s="33" t="str">
        <f t="shared" si="3"/>
        <v>0</v>
      </c>
      <c r="W123" s="33">
        <f>[1]!s_info_city(B123)</f>
        <v>0</v>
      </c>
      <c r="X123" s="10">
        <f>IF([1]!s_stmnote_bank_17n(B123,$A123,1)="0","",[1]!s_stmnote_bank_17n(B123,$A123,1))</f>
        <v>0</v>
      </c>
      <c r="Y123" s="10">
        <f>IF([1]!s_stmnote_bank_18n(B123,$A123,1)="0","",[1]!s_stmnote_bank_18n(B123,$A123,1))</f>
        <v>0</v>
      </c>
      <c r="Z123" s="41">
        <f>IF([1]!s_stmnote_bank_58(B123,$A123,1)="0","",[1]!s_stmnote_bank_58(B123,$A123,1))</f>
        <v>0</v>
      </c>
      <c r="AA123" s="52">
        <f>IF([1]!s_stmnote_bank_60(B123,$A123,1)="0","",[1]!s_stmnote_bank_60(B123,$A123,1))</f>
        <v>0</v>
      </c>
      <c r="AB123" s="52">
        <f>[1]!s_stmnote_bank_5444(B123,$A123,1)</f>
        <v>0</v>
      </c>
      <c r="AC123" s="38">
        <f>[1]!s_stmnote_bank_129n($B123,$A123,1)</f>
        <v>0</v>
      </c>
      <c r="AD123" s="54">
        <f>[1]!s_stmnote_bank_30(B123,$A123,1)</f>
        <v>0</v>
      </c>
    </row>
    <row r="124" spans="1:30" s="46" customFormat="1" ht="24">
      <c r="A124" s="1" t="s">
        <v>1110</v>
      </c>
      <c r="B124" s="87" t="s">
        <v>1232</v>
      </c>
      <c r="C124" s="8">
        <f>IF([1]!b_info_issuer(B124)="0","",IFERROR([1]!b_info_issuer(B124),""))</f>
        <v>0</v>
      </c>
      <c r="D124" s="11">
        <f>IF([1]!b_info_latestissurercreditrating(B124)="0","",IFERROR([1]!b_info_latestissurercreditrating(B124),""))</f>
        <v>0</v>
      </c>
      <c r="E124" s="27" t="str">
        <f>IFERROR(([1]!b_stm07_bs($B124,47,$A124,1,100000000))/[1]!b_stm07_bs($B124,109,$A124,1,100000000),"")</f>
        <v/>
      </c>
      <c r="F124" s="18" t="str">
        <f>IFERROR(([1]!s_stmnote_bank_26($B124,$A124,1,100000000)-[1]!s_stmnote_bank_26($B124,#REF!,1,100000000)+#REF!)/[1]!s_stmnote_bank_1n($B124,#REF!,1,100000000),"")</f>
        <v/>
      </c>
      <c r="G124" s="21" t="str">
        <f t="shared" si="2"/>
        <v/>
      </c>
      <c r="H124" s="18" t="str">
        <f>IFERROR([1]!s_stmnote_bank($B124,"34",$A124,100000000)/[1]!s_stmnote_bank_1n(B124,$A124,1,100000000),"")</f>
        <v/>
      </c>
      <c r="I124" s="25">
        <f>[1]!b_stm07_bs(B124,74,$A124,1,100000000)</f>
        <v>0</v>
      </c>
      <c r="J124" s="25">
        <f>[1]!b_stm07_bs(B124,109,$A124,1,100000000)</f>
        <v>0</v>
      </c>
      <c r="K124" s="10">
        <f>[1]!s_stmnote_bank_5n(B124,$A124,1)</f>
        <v>0</v>
      </c>
      <c r="L124" s="25">
        <f>[1]!s_stmnote_bank_23n(B124,$A124,1)</f>
        <v>0</v>
      </c>
      <c r="M124" s="25">
        <f>[1]!s_stmnote_bank_capadequacyratio(B124,$A124,1)</f>
        <v>0</v>
      </c>
      <c r="N124" s="25">
        <f>[1]!s_stmnote_bank_capadequacyratio_ct1(B124,$A124,1)</f>
        <v>0</v>
      </c>
      <c r="O124" s="6">
        <f>IF(OR([1]!s_fa_roe(B124,20201231)="0",[1]!s_fa_roe(B124,20211231)="0",[1]!s_fa_roe(B124,20221231)="0"),"",IFERROR(([1]!s_fa_roe(B124,20221231)+[1]!s_fa_roe(B124,20201231)+[1]!s_fa_roe(B124,20211231))/3,""))</f>
        <v>0</v>
      </c>
      <c r="P124" s="28" t="str">
        <f>IFERROR(([1]!s_stmnote_bank_65(B124,$A124,1,2,4,100000000)+[1]!s_stmnote_bank_65(B124,$A124,1,2,6,100000000))/[1]!s_stmnote_bank_1n(B124,$A124,1,100000000),"")</f>
        <v/>
      </c>
      <c r="Q124" s="28" t="str">
        <f>IFERROR([1]!s_stmnote_bank_614(B124,$A124,1,2,100000000)/[1]!s_stmnote_bank_647(B124,$A124,1,2,100000000),"")</f>
        <v/>
      </c>
      <c r="R124" s="28" t="str">
        <f>IFERROR(([1]!b_stm07_bs(B124,104,$A124,1,100000000)+[1]!b_stm07_bs(B124,106,$A124,1,100000000)+[1]!b_stm07_bs(B124,76,$A124,1,100000000)+[1]!b_stm07_bs(B124,108,$A124,1,100000000)+[1]!b_stm07_bs(B124,95,$A124,1,100000000))/[1]!b_stm07_bs(B124,128,$A124,1,100000000),"")</f>
        <v/>
      </c>
      <c r="S124" s="28" t="str">
        <f>IFERROR(([1]!s_stmnote_bank_614(B124,$A124,1,2,100000000)+[1]!b_stm07_bs(B124,104,$A124,1,100000000)+[1]!b_stm07_bs(B124,106,$A124,1,100000000)+[1]!b_stm07_bs(B124,76,$A124,1,100000000)+[1]!b_stm07_bs(B124,108,$A124,1,100000000)+[1]!b_stm07_bs(B124,95,$A124,1,100000000))/[1]!b_stm07_bs(B124,128,$A124,1,100000000),"")</f>
        <v/>
      </c>
      <c r="T124" s="11">
        <f>[1]!b_issuer_shareholder(B124,"",1)</f>
        <v>0</v>
      </c>
      <c r="U124" s="10">
        <f>[1]!b_issuer_propofshareholder(B124,"",1)</f>
        <v>0</v>
      </c>
      <c r="V124" s="33" t="str">
        <f t="shared" si="3"/>
        <v>0</v>
      </c>
      <c r="W124" s="33">
        <f>[1]!s_info_city(B124)</f>
        <v>0</v>
      </c>
      <c r="X124" s="10">
        <f>IF([1]!s_stmnote_bank_17n(B124,$A124,1)="0","",[1]!s_stmnote_bank_17n(B124,$A124,1))</f>
        <v>0</v>
      </c>
      <c r="Y124" s="10">
        <f>IF([1]!s_stmnote_bank_18n(B124,$A124,1)="0","",[1]!s_stmnote_bank_18n(B124,$A124,1))</f>
        <v>0</v>
      </c>
      <c r="Z124" s="41">
        <f>IF([1]!s_stmnote_bank_58(B124,$A124,1)="0","",[1]!s_stmnote_bank_58(B124,$A124,1))</f>
        <v>0</v>
      </c>
      <c r="AA124" s="52">
        <f>IF([1]!s_stmnote_bank_60(B124,$A124,1)="0","",[1]!s_stmnote_bank_60(B124,$A124,1))</f>
        <v>0</v>
      </c>
      <c r="AB124" s="52">
        <f>[1]!s_stmnote_bank_5444(B124,$A124,1)</f>
        <v>0</v>
      </c>
      <c r="AC124" s="38">
        <f>[1]!s_stmnote_bank_129n($B124,$A124,1)</f>
        <v>0</v>
      </c>
      <c r="AD124" s="54">
        <f>[1]!s_stmnote_bank_30(B124,$A124,1)</f>
        <v>0</v>
      </c>
    </row>
    <row r="125" spans="1:30" s="46" customFormat="1" ht="24">
      <c r="A125" s="1" t="s">
        <v>1110</v>
      </c>
      <c r="B125" s="87" t="s">
        <v>1233</v>
      </c>
      <c r="C125" s="8">
        <f>IF([1]!b_info_issuer(B125)="0","",IFERROR([1]!b_info_issuer(B125),""))</f>
        <v>0</v>
      </c>
      <c r="D125" s="11">
        <f>IF([1]!b_info_latestissurercreditrating(B125)="0","",IFERROR([1]!b_info_latestissurercreditrating(B125),""))</f>
        <v>0</v>
      </c>
      <c r="E125" s="27" t="str">
        <f>IFERROR(([1]!b_stm07_bs($B125,47,$A125,1,100000000))/[1]!b_stm07_bs($B125,109,$A125,1,100000000),"")</f>
        <v/>
      </c>
      <c r="F125" s="18" t="str">
        <f>IFERROR(([1]!s_stmnote_bank_26($B125,$A125,1,100000000)-[1]!s_stmnote_bank_26($B125,#REF!,1,100000000)+#REF!)/[1]!s_stmnote_bank_1n($B125,#REF!,1,100000000),"")</f>
        <v/>
      </c>
      <c r="G125" s="21" t="str">
        <f t="shared" si="2"/>
        <v/>
      </c>
      <c r="H125" s="18" t="str">
        <f>IFERROR([1]!s_stmnote_bank($B125,"34",$A125,100000000)/[1]!s_stmnote_bank_1n(B125,$A125,1,100000000),"")</f>
        <v/>
      </c>
      <c r="I125" s="25">
        <f>[1]!b_stm07_bs(B125,74,$A125,1,100000000)</f>
        <v>0</v>
      </c>
      <c r="J125" s="25">
        <f>[1]!b_stm07_bs(B125,109,$A125,1,100000000)</f>
        <v>0</v>
      </c>
      <c r="K125" s="10">
        <f>[1]!s_stmnote_bank_5n(B125,$A125,1)</f>
        <v>0</v>
      </c>
      <c r="L125" s="25">
        <f>[1]!s_stmnote_bank_23n(B125,$A125,1)</f>
        <v>0</v>
      </c>
      <c r="M125" s="25">
        <f>[1]!s_stmnote_bank_capadequacyratio(B125,$A125,1)</f>
        <v>0</v>
      </c>
      <c r="N125" s="25">
        <f>[1]!s_stmnote_bank_capadequacyratio_ct1(B125,$A125,1)</f>
        <v>0</v>
      </c>
      <c r="O125" s="6">
        <f>IF(OR([1]!s_fa_roe(B125,20201231)="0",[1]!s_fa_roe(B125,20211231)="0",[1]!s_fa_roe(B125,20221231)="0"),"",IFERROR(([1]!s_fa_roe(B125,20221231)+[1]!s_fa_roe(B125,20201231)+[1]!s_fa_roe(B125,20211231))/3,""))</f>
        <v>0</v>
      </c>
      <c r="P125" s="28" t="str">
        <f>IFERROR(([1]!s_stmnote_bank_65(B125,$A125,1,2,4,100000000)+[1]!s_stmnote_bank_65(B125,$A125,1,2,6,100000000))/[1]!s_stmnote_bank_1n(B125,$A125,1,100000000),"")</f>
        <v/>
      </c>
      <c r="Q125" s="28" t="str">
        <f>IFERROR([1]!s_stmnote_bank_614(B125,$A125,1,2,100000000)/[1]!s_stmnote_bank_647(B125,$A125,1,2,100000000),"")</f>
        <v/>
      </c>
      <c r="R125" s="28" t="str">
        <f>IFERROR(([1]!b_stm07_bs(B125,104,$A125,1,100000000)+[1]!b_stm07_bs(B125,106,$A125,1,100000000)+[1]!b_stm07_bs(B125,76,$A125,1,100000000)+[1]!b_stm07_bs(B125,108,$A125,1,100000000)+[1]!b_stm07_bs(B125,95,$A125,1,100000000))/[1]!b_stm07_bs(B125,128,$A125,1,100000000),"")</f>
        <v/>
      </c>
      <c r="S125" s="28" t="str">
        <f>IFERROR(([1]!s_stmnote_bank_614(B125,$A125,1,2,100000000)+[1]!b_stm07_bs(B125,104,$A125,1,100000000)+[1]!b_stm07_bs(B125,106,$A125,1,100000000)+[1]!b_stm07_bs(B125,76,$A125,1,100000000)+[1]!b_stm07_bs(B125,108,$A125,1,100000000)+[1]!b_stm07_bs(B125,95,$A125,1,100000000))/[1]!b_stm07_bs(B125,128,$A125,1,100000000),"")</f>
        <v/>
      </c>
      <c r="T125" s="11">
        <f>[1]!b_issuer_shareholder(B125,"",1)</f>
        <v>0</v>
      </c>
      <c r="U125" s="10">
        <f>[1]!b_issuer_propofshareholder(B125,"",1)</f>
        <v>0</v>
      </c>
      <c r="V125" s="33" t="str">
        <f t="shared" si="3"/>
        <v>0</v>
      </c>
      <c r="W125" s="33">
        <f>[1]!s_info_city(B125)</f>
        <v>0</v>
      </c>
      <c r="X125" s="10">
        <f>IF([1]!s_stmnote_bank_17n(B125,$A125,1)="0","",[1]!s_stmnote_bank_17n(B125,$A125,1))</f>
        <v>0</v>
      </c>
      <c r="Y125" s="10">
        <f>IF([1]!s_stmnote_bank_18n(B125,$A125,1)="0","",[1]!s_stmnote_bank_18n(B125,$A125,1))</f>
        <v>0</v>
      </c>
      <c r="Z125" s="41">
        <f>IF([1]!s_stmnote_bank_58(B125,$A125,1)="0","",[1]!s_stmnote_bank_58(B125,$A125,1))</f>
        <v>0</v>
      </c>
      <c r="AA125" s="52">
        <f>IF([1]!s_stmnote_bank_60(B125,$A125,1)="0","",[1]!s_stmnote_bank_60(B125,$A125,1))</f>
        <v>0</v>
      </c>
      <c r="AB125" s="52">
        <f>[1]!s_stmnote_bank_5444(B125,$A125,1)</f>
        <v>0</v>
      </c>
      <c r="AC125" s="38">
        <f>[1]!s_stmnote_bank_129n($B125,$A125,1)</f>
        <v>0</v>
      </c>
      <c r="AD125" s="54">
        <f>[1]!s_stmnote_bank_30(B125,$A125,1)</f>
        <v>0</v>
      </c>
    </row>
    <row r="126" spans="1:30" s="46" customFormat="1" ht="24">
      <c r="A126" s="1" t="s">
        <v>1110</v>
      </c>
      <c r="B126" s="87" t="s">
        <v>1234</v>
      </c>
      <c r="C126" s="8">
        <f>IF([1]!b_info_issuer(B126)="0","",IFERROR([1]!b_info_issuer(B126),""))</f>
        <v>0</v>
      </c>
      <c r="D126" s="11">
        <f>IF([1]!b_info_latestissurercreditrating(B126)="0","",IFERROR([1]!b_info_latestissurercreditrating(B126),""))</f>
        <v>0</v>
      </c>
      <c r="E126" s="27" t="str">
        <f>IFERROR(([1]!b_stm07_bs($B126,47,$A126,1,100000000))/[1]!b_stm07_bs($B126,109,$A126,1,100000000),"")</f>
        <v/>
      </c>
      <c r="F126" s="18" t="str">
        <f>IFERROR(([1]!s_stmnote_bank_26($B126,$A126,1,100000000)-[1]!s_stmnote_bank_26($B126,#REF!,1,100000000)+#REF!)/[1]!s_stmnote_bank_1n($B126,#REF!,1,100000000),"")</f>
        <v/>
      </c>
      <c r="G126" s="21" t="str">
        <f t="shared" si="2"/>
        <v/>
      </c>
      <c r="H126" s="18" t="str">
        <f>IFERROR([1]!s_stmnote_bank($B126,"34",$A126,100000000)/[1]!s_stmnote_bank_1n(B126,$A126,1,100000000),"")</f>
        <v/>
      </c>
      <c r="I126" s="25">
        <f>[1]!b_stm07_bs(B126,74,$A126,1,100000000)</f>
        <v>0</v>
      </c>
      <c r="J126" s="25">
        <f>[1]!b_stm07_bs(B126,109,$A126,1,100000000)</f>
        <v>0</v>
      </c>
      <c r="K126" s="10">
        <f>[1]!s_stmnote_bank_5n(B126,$A126,1)</f>
        <v>0</v>
      </c>
      <c r="L126" s="25">
        <f>[1]!s_stmnote_bank_23n(B126,$A126,1)</f>
        <v>0</v>
      </c>
      <c r="M126" s="25">
        <f>[1]!s_stmnote_bank_capadequacyratio(B126,$A126,1)</f>
        <v>0</v>
      </c>
      <c r="N126" s="25">
        <f>[1]!s_stmnote_bank_capadequacyratio_ct1(B126,$A126,1)</f>
        <v>0</v>
      </c>
      <c r="O126" s="6">
        <f>IF(OR([1]!s_fa_roe(B126,20201231)="0",[1]!s_fa_roe(B126,20211231)="0",[1]!s_fa_roe(B126,20221231)="0"),"",IFERROR(([1]!s_fa_roe(B126,20221231)+[1]!s_fa_roe(B126,20201231)+[1]!s_fa_roe(B126,20211231))/3,""))</f>
        <v>0</v>
      </c>
      <c r="P126" s="28" t="str">
        <f>IFERROR(([1]!s_stmnote_bank_65(B126,$A126,1,2,4,100000000)+[1]!s_stmnote_bank_65(B126,$A126,1,2,6,100000000))/[1]!s_stmnote_bank_1n(B126,$A126,1,100000000),"")</f>
        <v/>
      </c>
      <c r="Q126" s="28" t="str">
        <f>IFERROR([1]!s_stmnote_bank_614(B126,$A126,1,2,100000000)/[1]!s_stmnote_bank_647(B126,$A126,1,2,100000000),"")</f>
        <v/>
      </c>
      <c r="R126" s="28" t="str">
        <f>IFERROR(([1]!b_stm07_bs(B126,104,$A126,1,100000000)+[1]!b_stm07_bs(B126,106,$A126,1,100000000)+[1]!b_stm07_bs(B126,76,$A126,1,100000000)+[1]!b_stm07_bs(B126,108,$A126,1,100000000)+[1]!b_stm07_bs(B126,95,$A126,1,100000000))/[1]!b_stm07_bs(B126,128,$A126,1,100000000),"")</f>
        <v/>
      </c>
      <c r="S126" s="28" t="str">
        <f>IFERROR(([1]!s_stmnote_bank_614(B126,$A126,1,2,100000000)+[1]!b_stm07_bs(B126,104,$A126,1,100000000)+[1]!b_stm07_bs(B126,106,$A126,1,100000000)+[1]!b_stm07_bs(B126,76,$A126,1,100000000)+[1]!b_stm07_bs(B126,108,$A126,1,100000000)+[1]!b_stm07_bs(B126,95,$A126,1,100000000))/[1]!b_stm07_bs(B126,128,$A126,1,100000000),"")</f>
        <v/>
      </c>
      <c r="T126" s="11">
        <f>[1]!b_issuer_shareholder(B126,"",1)</f>
        <v>0</v>
      </c>
      <c r="U126" s="10">
        <f>[1]!b_issuer_propofshareholder(B126,"",1)</f>
        <v>0</v>
      </c>
      <c r="V126" s="33" t="str">
        <f t="shared" si="3"/>
        <v>0</v>
      </c>
      <c r="W126" s="33">
        <f>[1]!s_info_city(B126)</f>
        <v>0</v>
      </c>
      <c r="X126" s="10">
        <f>IF([1]!s_stmnote_bank_17n(B126,$A126,1)="0","",[1]!s_stmnote_bank_17n(B126,$A126,1))</f>
        <v>0</v>
      </c>
      <c r="Y126" s="10">
        <f>IF([1]!s_stmnote_bank_18n(B126,$A126,1)="0","",[1]!s_stmnote_bank_18n(B126,$A126,1))</f>
        <v>0</v>
      </c>
      <c r="Z126" s="41">
        <f>IF([1]!s_stmnote_bank_58(B126,$A126,1)="0","",[1]!s_stmnote_bank_58(B126,$A126,1))</f>
        <v>0</v>
      </c>
      <c r="AA126" s="52">
        <f>IF([1]!s_stmnote_bank_60(B126,$A126,1)="0","",[1]!s_stmnote_bank_60(B126,$A126,1))</f>
        <v>0</v>
      </c>
      <c r="AB126" s="52">
        <f>[1]!s_stmnote_bank_5444(B126,$A126,1)</f>
        <v>0</v>
      </c>
      <c r="AC126" s="38">
        <f>[1]!s_stmnote_bank_129n($B126,$A126,1)</f>
        <v>0</v>
      </c>
      <c r="AD126" s="54">
        <f>[1]!s_stmnote_bank_30(B126,$A126,1)</f>
        <v>0</v>
      </c>
    </row>
    <row r="127" spans="1:30" s="46" customFormat="1" ht="24">
      <c r="A127" s="1" t="s">
        <v>1110</v>
      </c>
      <c r="B127" s="87" t="s">
        <v>1235</v>
      </c>
      <c r="C127" s="8">
        <f>IF([1]!b_info_issuer(B127)="0","",IFERROR([1]!b_info_issuer(B127),""))</f>
        <v>0</v>
      </c>
      <c r="D127" s="11">
        <f>IF([1]!b_info_latestissurercreditrating(B127)="0","",IFERROR([1]!b_info_latestissurercreditrating(B127),""))</f>
        <v>0</v>
      </c>
      <c r="E127" s="27" t="str">
        <f>IFERROR(([1]!b_stm07_bs($B127,47,$A127,1,100000000))/[1]!b_stm07_bs($B127,109,$A127,1,100000000),"")</f>
        <v/>
      </c>
      <c r="F127" s="18" t="str">
        <f>IFERROR(([1]!s_stmnote_bank_26($B127,$A127,1,100000000)-[1]!s_stmnote_bank_26($B127,#REF!,1,100000000)+#REF!)/[1]!s_stmnote_bank_1n($B127,#REF!,1,100000000),"")</f>
        <v/>
      </c>
      <c r="G127" s="21" t="str">
        <f t="shared" si="2"/>
        <v/>
      </c>
      <c r="H127" s="18" t="str">
        <f>IFERROR([1]!s_stmnote_bank($B127,"34",$A127,100000000)/[1]!s_stmnote_bank_1n(B127,$A127,1,100000000),"")</f>
        <v/>
      </c>
      <c r="I127" s="25">
        <f>[1]!b_stm07_bs(B127,74,$A127,1,100000000)</f>
        <v>0</v>
      </c>
      <c r="J127" s="25">
        <f>[1]!b_stm07_bs(B127,109,$A127,1,100000000)</f>
        <v>0</v>
      </c>
      <c r="K127" s="10">
        <f>[1]!s_stmnote_bank_5n(B127,$A127,1)</f>
        <v>0</v>
      </c>
      <c r="L127" s="25">
        <f>[1]!s_stmnote_bank_23n(B127,$A127,1)</f>
        <v>0</v>
      </c>
      <c r="M127" s="25">
        <f>[1]!s_stmnote_bank_capadequacyratio(B127,$A127,1)</f>
        <v>0</v>
      </c>
      <c r="N127" s="25">
        <f>[1]!s_stmnote_bank_capadequacyratio_ct1(B127,$A127,1)</f>
        <v>0</v>
      </c>
      <c r="O127" s="6">
        <f>IF(OR([1]!s_fa_roe(B127,20201231)="0",[1]!s_fa_roe(B127,20211231)="0",[1]!s_fa_roe(B127,20221231)="0"),"",IFERROR(([1]!s_fa_roe(B127,20221231)+[1]!s_fa_roe(B127,20201231)+[1]!s_fa_roe(B127,20211231))/3,""))</f>
        <v>0</v>
      </c>
      <c r="P127" s="28" t="str">
        <f>IFERROR(([1]!s_stmnote_bank_65(B127,$A127,1,2,4,100000000)+[1]!s_stmnote_bank_65(B127,$A127,1,2,6,100000000))/[1]!s_stmnote_bank_1n(B127,$A127,1,100000000),"")</f>
        <v/>
      </c>
      <c r="Q127" s="28" t="str">
        <f>IFERROR([1]!s_stmnote_bank_614(B127,$A127,1,2,100000000)/[1]!s_stmnote_bank_647(B127,$A127,1,2,100000000),"")</f>
        <v/>
      </c>
      <c r="R127" s="28" t="str">
        <f>IFERROR(([1]!b_stm07_bs(B127,104,$A127,1,100000000)+[1]!b_stm07_bs(B127,106,$A127,1,100000000)+[1]!b_stm07_bs(B127,76,$A127,1,100000000)+[1]!b_stm07_bs(B127,108,$A127,1,100000000)+[1]!b_stm07_bs(B127,95,$A127,1,100000000))/[1]!b_stm07_bs(B127,128,$A127,1,100000000),"")</f>
        <v/>
      </c>
      <c r="S127" s="28" t="str">
        <f>IFERROR(([1]!s_stmnote_bank_614(B127,$A127,1,2,100000000)+[1]!b_stm07_bs(B127,104,$A127,1,100000000)+[1]!b_stm07_bs(B127,106,$A127,1,100000000)+[1]!b_stm07_bs(B127,76,$A127,1,100000000)+[1]!b_stm07_bs(B127,108,$A127,1,100000000)+[1]!b_stm07_bs(B127,95,$A127,1,100000000))/[1]!b_stm07_bs(B127,128,$A127,1,100000000),"")</f>
        <v/>
      </c>
      <c r="T127" s="11">
        <f>[1]!b_issuer_shareholder(B127,"",1)</f>
        <v>0</v>
      </c>
      <c r="U127" s="10">
        <f>[1]!b_issuer_propofshareholder(B127,"",1)</f>
        <v>0</v>
      </c>
      <c r="V127" s="33" t="str">
        <f t="shared" si="3"/>
        <v>0</v>
      </c>
      <c r="W127" s="33">
        <f>[1]!s_info_city(B127)</f>
        <v>0</v>
      </c>
      <c r="X127" s="10">
        <f>IF([1]!s_stmnote_bank_17n(B127,$A127,1)="0","",[1]!s_stmnote_bank_17n(B127,$A127,1))</f>
        <v>0</v>
      </c>
      <c r="Y127" s="10">
        <f>IF([1]!s_stmnote_bank_18n(B127,$A127,1)="0","",[1]!s_stmnote_bank_18n(B127,$A127,1))</f>
        <v>0</v>
      </c>
      <c r="Z127" s="41">
        <f>IF([1]!s_stmnote_bank_58(B127,$A127,1)="0","",[1]!s_stmnote_bank_58(B127,$A127,1))</f>
        <v>0</v>
      </c>
      <c r="AA127" s="52">
        <f>IF([1]!s_stmnote_bank_60(B127,$A127,1)="0","",[1]!s_stmnote_bank_60(B127,$A127,1))</f>
        <v>0</v>
      </c>
      <c r="AB127" s="52">
        <f>[1]!s_stmnote_bank_5444(B127,$A127,1)</f>
        <v>0</v>
      </c>
      <c r="AC127" s="38">
        <f>[1]!s_stmnote_bank_129n($B127,$A127,1)</f>
        <v>0</v>
      </c>
      <c r="AD127" s="54">
        <f>[1]!s_stmnote_bank_30(B127,$A127,1)</f>
        <v>0</v>
      </c>
    </row>
    <row r="128" spans="1:30" s="46" customFormat="1" ht="24">
      <c r="A128" s="1" t="s">
        <v>1110</v>
      </c>
      <c r="B128" s="87" t="s">
        <v>1236</v>
      </c>
      <c r="C128" s="8">
        <f>IF([1]!b_info_issuer(B128)="0","",IFERROR([1]!b_info_issuer(B128),""))</f>
        <v>0</v>
      </c>
      <c r="D128" s="11">
        <f>IF([1]!b_info_latestissurercreditrating(B128)="0","",IFERROR([1]!b_info_latestissurercreditrating(B128),""))</f>
        <v>0</v>
      </c>
      <c r="E128" s="27" t="str">
        <f>IFERROR(([1]!b_stm07_bs($B128,47,$A128,1,100000000))/[1]!b_stm07_bs($B128,109,$A128,1,100000000),"")</f>
        <v/>
      </c>
      <c r="F128" s="18" t="str">
        <f>IFERROR(([1]!s_stmnote_bank_26($B128,$A128,1,100000000)-[1]!s_stmnote_bank_26($B128,#REF!,1,100000000)+#REF!)/[1]!s_stmnote_bank_1n($B128,#REF!,1,100000000),"")</f>
        <v/>
      </c>
      <c r="G128" s="21" t="str">
        <f t="shared" si="2"/>
        <v/>
      </c>
      <c r="H128" s="18" t="str">
        <f>IFERROR([1]!s_stmnote_bank($B128,"34",$A128,100000000)/[1]!s_stmnote_bank_1n(B128,$A128,1,100000000),"")</f>
        <v/>
      </c>
      <c r="I128" s="25">
        <f>[1]!b_stm07_bs(B128,74,$A128,1,100000000)</f>
        <v>0</v>
      </c>
      <c r="J128" s="25">
        <f>[1]!b_stm07_bs(B128,109,$A128,1,100000000)</f>
        <v>0</v>
      </c>
      <c r="K128" s="10">
        <f>[1]!s_stmnote_bank_5n(B128,$A128,1)</f>
        <v>0</v>
      </c>
      <c r="L128" s="25">
        <f>[1]!s_stmnote_bank_23n(B128,$A128,1)</f>
        <v>0</v>
      </c>
      <c r="M128" s="25">
        <f>[1]!s_stmnote_bank_capadequacyratio(B128,$A128,1)</f>
        <v>0</v>
      </c>
      <c r="N128" s="25">
        <f>[1]!s_stmnote_bank_capadequacyratio_ct1(B128,$A128,1)</f>
        <v>0</v>
      </c>
      <c r="O128" s="6">
        <f>IF(OR([1]!s_fa_roe(B128,20201231)="0",[1]!s_fa_roe(B128,20211231)="0",[1]!s_fa_roe(B128,20221231)="0"),"",IFERROR(([1]!s_fa_roe(B128,20221231)+[1]!s_fa_roe(B128,20201231)+[1]!s_fa_roe(B128,20211231))/3,""))</f>
        <v>0</v>
      </c>
      <c r="P128" s="28" t="str">
        <f>IFERROR(([1]!s_stmnote_bank_65(B128,$A128,1,2,4,100000000)+[1]!s_stmnote_bank_65(B128,$A128,1,2,6,100000000))/[1]!s_stmnote_bank_1n(B128,$A128,1,100000000),"")</f>
        <v/>
      </c>
      <c r="Q128" s="28" t="str">
        <f>IFERROR([1]!s_stmnote_bank_614(B128,$A128,1,2,100000000)/[1]!s_stmnote_bank_647(B128,$A128,1,2,100000000),"")</f>
        <v/>
      </c>
      <c r="R128" s="28" t="str">
        <f>IFERROR(([1]!b_stm07_bs(B128,104,$A128,1,100000000)+[1]!b_stm07_bs(B128,106,$A128,1,100000000)+[1]!b_stm07_bs(B128,76,$A128,1,100000000)+[1]!b_stm07_bs(B128,108,$A128,1,100000000)+[1]!b_stm07_bs(B128,95,$A128,1,100000000))/[1]!b_stm07_bs(B128,128,$A128,1,100000000),"")</f>
        <v/>
      </c>
      <c r="S128" s="28" t="str">
        <f>IFERROR(([1]!s_stmnote_bank_614(B128,$A128,1,2,100000000)+[1]!b_stm07_bs(B128,104,$A128,1,100000000)+[1]!b_stm07_bs(B128,106,$A128,1,100000000)+[1]!b_stm07_bs(B128,76,$A128,1,100000000)+[1]!b_stm07_bs(B128,108,$A128,1,100000000)+[1]!b_stm07_bs(B128,95,$A128,1,100000000))/[1]!b_stm07_bs(B128,128,$A128,1,100000000),"")</f>
        <v/>
      </c>
      <c r="T128" s="11">
        <f>[1]!b_issuer_shareholder(B128,"",1)</f>
        <v>0</v>
      </c>
      <c r="U128" s="10">
        <f>[1]!b_issuer_propofshareholder(B128,"",1)</f>
        <v>0</v>
      </c>
      <c r="V128" s="33" t="str">
        <f t="shared" si="3"/>
        <v>0</v>
      </c>
      <c r="W128" s="33">
        <f>[1]!s_info_city(B128)</f>
        <v>0</v>
      </c>
      <c r="X128" s="10">
        <f>IF([1]!s_stmnote_bank_17n(B128,$A128,1)="0","",[1]!s_stmnote_bank_17n(B128,$A128,1))</f>
        <v>0</v>
      </c>
      <c r="Y128" s="10">
        <f>IF([1]!s_stmnote_bank_18n(B128,$A128,1)="0","",[1]!s_stmnote_bank_18n(B128,$A128,1))</f>
        <v>0</v>
      </c>
      <c r="Z128" s="41">
        <f>IF([1]!s_stmnote_bank_58(B128,$A128,1)="0","",[1]!s_stmnote_bank_58(B128,$A128,1))</f>
        <v>0</v>
      </c>
      <c r="AA128" s="52">
        <f>IF([1]!s_stmnote_bank_60(B128,$A128,1)="0","",[1]!s_stmnote_bank_60(B128,$A128,1))</f>
        <v>0</v>
      </c>
      <c r="AB128" s="52">
        <f>[1]!s_stmnote_bank_5444(B128,$A128,1)</f>
        <v>0</v>
      </c>
      <c r="AC128" s="38">
        <f>[1]!s_stmnote_bank_129n($B128,$A128,1)</f>
        <v>0</v>
      </c>
      <c r="AD128" s="54">
        <f>[1]!s_stmnote_bank_30(B128,$A128,1)</f>
        <v>0</v>
      </c>
    </row>
    <row r="129" spans="1:30" s="46" customFormat="1" ht="24">
      <c r="A129" s="1" t="s">
        <v>1110</v>
      </c>
      <c r="B129" s="87" t="s">
        <v>1237</v>
      </c>
      <c r="C129" s="8">
        <f>IF([1]!b_info_issuer(B129)="0","",IFERROR([1]!b_info_issuer(B129),""))</f>
        <v>0</v>
      </c>
      <c r="D129" s="11">
        <f>IF([1]!b_info_latestissurercreditrating(B129)="0","",IFERROR([1]!b_info_latestissurercreditrating(B129),""))</f>
        <v>0</v>
      </c>
      <c r="E129" s="27" t="str">
        <f>IFERROR(([1]!b_stm07_bs($B129,47,$A129,1,100000000))/[1]!b_stm07_bs($B129,109,$A129,1,100000000),"")</f>
        <v/>
      </c>
      <c r="F129" s="18" t="str">
        <f>IFERROR(([1]!s_stmnote_bank_26($B129,$A129,1,100000000)-[1]!s_stmnote_bank_26($B129,#REF!,1,100000000)+#REF!)/[1]!s_stmnote_bank_1n($B129,#REF!,1,100000000),"")</f>
        <v/>
      </c>
      <c r="G129" s="21" t="str">
        <f t="shared" si="2"/>
        <v/>
      </c>
      <c r="H129" s="18" t="str">
        <f>IFERROR([1]!s_stmnote_bank($B129,"34",$A129,100000000)/[1]!s_stmnote_bank_1n(B129,$A129,1,100000000),"")</f>
        <v/>
      </c>
      <c r="I129" s="25">
        <f>[1]!b_stm07_bs(B129,74,$A129,1,100000000)</f>
        <v>0</v>
      </c>
      <c r="J129" s="25">
        <f>[1]!b_stm07_bs(B129,109,$A129,1,100000000)</f>
        <v>0</v>
      </c>
      <c r="K129" s="10">
        <f>[1]!s_stmnote_bank_5n(B129,$A129,1)</f>
        <v>0</v>
      </c>
      <c r="L129" s="25">
        <f>[1]!s_stmnote_bank_23n(B129,$A129,1)</f>
        <v>0</v>
      </c>
      <c r="M129" s="25">
        <f>[1]!s_stmnote_bank_capadequacyratio(B129,$A129,1)</f>
        <v>0</v>
      </c>
      <c r="N129" s="25">
        <f>[1]!s_stmnote_bank_capadequacyratio_ct1(B129,$A129,1)</f>
        <v>0</v>
      </c>
      <c r="O129" s="6">
        <f>IF(OR([1]!s_fa_roe(B129,20201231)="0",[1]!s_fa_roe(B129,20211231)="0",[1]!s_fa_roe(B129,20221231)="0"),"",IFERROR(([1]!s_fa_roe(B129,20221231)+[1]!s_fa_roe(B129,20201231)+[1]!s_fa_roe(B129,20211231))/3,""))</f>
        <v>0</v>
      </c>
      <c r="P129" s="28" t="str">
        <f>IFERROR(([1]!s_stmnote_bank_65(B129,$A129,1,2,4,100000000)+[1]!s_stmnote_bank_65(B129,$A129,1,2,6,100000000))/[1]!s_stmnote_bank_1n(B129,$A129,1,100000000),"")</f>
        <v/>
      </c>
      <c r="Q129" s="28" t="str">
        <f>IFERROR([1]!s_stmnote_bank_614(B129,$A129,1,2,100000000)/[1]!s_stmnote_bank_647(B129,$A129,1,2,100000000),"")</f>
        <v/>
      </c>
      <c r="R129" s="28" t="str">
        <f>IFERROR(([1]!b_stm07_bs(B129,104,$A129,1,100000000)+[1]!b_stm07_bs(B129,106,$A129,1,100000000)+[1]!b_stm07_bs(B129,76,$A129,1,100000000)+[1]!b_stm07_bs(B129,108,$A129,1,100000000)+[1]!b_stm07_bs(B129,95,$A129,1,100000000))/[1]!b_stm07_bs(B129,128,$A129,1,100000000),"")</f>
        <v/>
      </c>
      <c r="S129" s="28" t="str">
        <f>IFERROR(([1]!s_stmnote_bank_614(B129,$A129,1,2,100000000)+[1]!b_stm07_bs(B129,104,$A129,1,100000000)+[1]!b_stm07_bs(B129,106,$A129,1,100000000)+[1]!b_stm07_bs(B129,76,$A129,1,100000000)+[1]!b_stm07_bs(B129,108,$A129,1,100000000)+[1]!b_stm07_bs(B129,95,$A129,1,100000000))/[1]!b_stm07_bs(B129,128,$A129,1,100000000),"")</f>
        <v/>
      </c>
      <c r="T129" s="11">
        <f>[1]!b_issuer_shareholder(B129,"",1)</f>
        <v>0</v>
      </c>
      <c r="U129" s="10">
        <f>[1]!b_issuer_propofshareholder(B129,"",1)</f>
        <v>0</v>
      </c>
      <c r="V129" s="33" t="str">
        <f t="shared" si="3"/>
        <v>0</v>
      </c>
      <c r="W129" s="33">
        <f>[1]!s_info_city(B129)</f>
        <v>0</v>
      </c>
      <c r="X129" s="10">
        <f>IF([1]!s_stmnote_bank_17n(B129,$A129,1)="0","",[1]!s_stmnote_bank_17n(B129,$A129,1))</f>
        <v>0</v>
      </c>
      <c r="Y129" s="10">
        <f>IF([1]!s_stmnote_bank_18n(B129,$A129,1)="0","",[1]!s_stmnote_bank_18n(B129,$A129,1))</f>
        <v>0</v>
      </c>
      <c r="Z129" s="41">
        <f>IF([1]!s_stmnote_bank_58(B129,$A129,1)="0","",[1]!s_stmnote_bank_58(B129,$A129,1))</f>
        <v>0</v>
      </c>
      <c r="AA129" s="52">
        <f>IF([1]!s_stmnote_bank_60(B129,$A129,1)="0","",[1]!s_stmnote_bank_60(B129,$A129,1))</f>
        <v>0</v>
      </c>
      <c r="AB129" s="52">
        <f>[1]!s_stmnote_bank_5444(B129,$A129,1)</f>
        <v>0</v>
      </c>
      <c r="AC129" s="38">
        <f>[1]!s_stmnote_bank_129n($B129,$A129,1)</f>
        <v>0</v>
      </c>
      <c r="AD129" s="54">
        <f>[1]!s_stmnote_bank_30(B129,$A129,1)</f>
        <v>0</v>
      </c>
    </row>
    <row r="130" spans="1:30" s="46" customFormat="1" ht="24">
      <c r="A130" s="1" t="s">
        <v>1110</v>
      </c>
      <c r="B130" s="87" t="s">
        <v>1238</v>
      </c>
      <c r="C130" s="8">
        <f>IF([1]!b_info_issuer(B130)="0","",IFERROR([1]!b_info_issuer(B130),""))</f>
        <v>0</v>
      </c>
      <c r="D130" s="11">
        <f>IF([1]!b_info_latestissurercreditrating(B130)="0","",IFERROR([1]!b_info_latestissurercreditrating(B130),""))</f>
        <v>0</v>
      </c>
      <c r="E130" s="27" t="str">
        <f>IFERROR(([1]!b_stm07_bs($B130,47,$A130,1,100000000))/[1]!b_stm07_bs($B130,109,$A130,1,100000000),"")</f>
        <v/>
      </c>
      <c r="F130" s="18" t="str">
        <f>IFERROR(([1]!s_stmnote_bank_26($B130,$A130,1,100000000)-[1]!s_stmnote_bank_26($B130,#REF!,1,100000000)+#REF!)/[1]!s_stmnote_bank_1n($B130,#REF!,1,100000000),"")</f>
        <v/>
      </c>
      <c r="G130" s="21" t="str">
        <f t="shared" si="2"/>
        <v/>
      </c>
      <c r="H130" s="18" t="str">
        <f>IFERROR([1]!s_stmnote_bank($B130,"34",$A130,100000000)/[1]!s_stmnote_bank_1n(B130,$A130,1,100000000),"")</f>
        <v/>
      </c>
      <c r="I130" s="25">
        <f>[1]!b_stm07_bs(B130,74,$A130,1,100000000)</f>
        <v>0</v>
      </c>
      <c r="J130" s="25">
        <f>[1]!b_stm07_bs(B130,109,$A130,1,100000000)</f>
        <v>0</v>
      </c>
      <c r="K130" s="10">
        <f>[1]!s_stmnote_bank_5n(B130,$A130,1)</f>
        <v>0</v>
      </c>
      <c r="L130" s="25">
        <f>[1]!s_stmnote_bank_23n(B130,$A130,1)</f>
        <v>0</v>
      </c>
      <c r="M130" s="25">
        <f>[1]!s_stmnote_bank_capadequacyratio(B130,$A130,1)</f>
        <v>0</v>
      </c>
      <c r="N130" s="25">
        <f>[1]!s_stmnote_bank_capadequacyratio_ct1(B130,$A130,1)</f>
        <v>0</v>
      </c>
      <c r="O130" s="6">
        <f>IF(OR([1]!s_fa_roe(B130,20201231)="0",[1]!s_fa_roe(B130,20211231)="0",[1]!s_fa_roe(B130,20221231)="0"),"",IFERROR(([1]!s_fa_roe(B130,20221231)+[1]!s_fa_roe(B130,20201231)+[1]!s_fa_roe(B130,20211231))/3,""))</f>
        <v>0</v>
      </c>
      <c r="P130" s="28" t="str">
        <f>IFERROR(([1]!s_stmnote_bank_65(B130,$A130,1,2,4,100000000)+[1]!s_stmnote_bank_65(B130,$A130,1,2,6,100000000))/[1]!s_stmnote_bank_1n(B130,$A130,1,100000000),"")</f>
        <v/>
      </c>
      <c r="Q130" s="28" t="str">
        <f>IFERROR([1]!s_stmnote_bank_614(B130,$A130,1,2,100000000)/[1]!s_stmnote_bank_647(B130,$A130,1,2,100000000),"")</f>
        <v/>
      </c>
      <c r="R130" s="28" t="str">
        <f>IFERROR(([1]!b_stm07_bs(B130,104,$A130,1,100000000)+[1]!b_stm07_bs(B130,106,$A130,1,100000000)+[1]!b_stm07_bs(B130,76,$A130,1,100000000)+[1]!b_stm07_bs(B130,108,$A130,1,100000000)+[1]!b_stm07_bs(B130,95,$A130,1,100000000))/[1]!b_stm07_bs(B130,128,$A130,1,100000000),"")</f>
        <v/>
      </c>
      <c r="S130" s="28" t="str">
        <f>IFERROR(([1]!s_stmnote_bank_614(B130,$A130,1,2,100000000)+[1]!b_stm07_bs(B130,104,$A130,1,100000000)+[1]!b_stm07_bs(B130,106,$A130,1,100000000)+[1]!b_stm07_bs(B130,76,$A130,1,100000000)+[1]!b_stm07_bs(B130,108,$A130,1,100000000)+[1]!b_stm07_bs(B130,95,$A130,1,100000000))/[1]!b_stm07_bs(B130,128,$A130,1,100000000),"")</f>
        <v/>
      </c>
      <c r="T130" s="11">
        <f>[1]!b_issuer_shareholder(B130,"",1)</f>
        <v>0</v>
      </c>
      <c r="U130" s="10">
        <f>[1]!b_issuer_propofshareholder(B130,"",1)</f>
        <v>0</v>
      </c>
      <c r="V130" s="33" t="str">
        <f t="shared" si="3"/>
        <v>0</v>
      </c>
      <c r="W130" s="33">
        <f>[1]!s_info_city(B130)</f>
        <v>0</v>
      </c>
      <c r="X130" s="10">
        <f>IF([1]!s_stmnote_bank_17n(B130,$A130,1)="0","",[1]!s_stmnote_bank_17n(B130,$A130,1))</f>
        <v>0</v>
      </c>
      <c r="Y130" s="10">
        <f>IF([1]!s_stmnote_bank_18n(B130,$A130,1)="0","",[1]!s_stmnote_bank_18n(B130,$A130,1))</f>
        <v>0</v>
      </c>
      <c r="Z130" s="41">
        <f>IF([1]!s_stmnote_bank_58(B130,$A130,1)="0","",[1]!s_stmnote_bank_58(B130,$A130,1))</f>
        <v>0</v>
      </c>
      <c r="AA130" s="52">
        <f>IF([1]!s_stmnote_bank_60(B130,$A130,1)="0","",[1]!s_stmnote_bank_60(B130,$A130,1))</f>
        <v>0</v>
      </c>
      <c r="AB130" s="52">
        <f>[1]!s_stmnote_bank_5444(B130,$A130,1)</f>
        <v>0</v>
      </c>
      <c r="AC130" s="38">
        <f>[1]!s_stmnote_bank_129n($B130,$A130,1)</f>
        <v>0</v>
      </c>
      <c r="AD130" s="54">
        <f>[1]!s_stmnote_bank_30(B130,$A130,1)</f>
        <v>0</v>
      </c>
    </row>
    <row r="131" spans="1:30" s="46" customFormat="1" ht="24">
      <c r="A131" s="1" t="s">
        <v>1110</v>
      </c>
      <c r="B131" s="87" t="s">
        <v>1239</v>
      </c>
      <c r="C131" s="8">
        <f>IF([1]!b_info_issuer(B131)="0","",IFERROR([1]!b_info_issuer(B131),""))</f>
        <v>0</v>
      </c>
      <c r="D131" s="11">
        <f>IF([1]!b_info_latestissurercreditrating(B131)="0","",IFERROR([1]!b_info_latestissurercreditrating(B131),""))</f>
        <v>0</v>
      </c>
      <c r="E131" s="27" t="str">
        <f>IFERROR(([1]!b_stm07_bs($B131,47,$A131,1,100000000))/[1]!b_stm07_bs($B131,109,$A131,1,100000000),"")</f>
        <v/>
      </c>
      <c r="F131" s="18" t="str">
        <f>IFERROR(([1]!s_stmnote_bank_26($B131,$A131,1,100000000)-[1]!s_stmnote_bank_26($B131,#REF!,1,100000000)+#REF!)/[1]!s_stmnote_bank_1n($B131,#REF!,1,100000000),"")</f>
        <v/>
      </c>
      <c r="G131" s="21" t="str">
        <f t="shared" ref="G131:G194" si="4">IFERROR(H131+K131/100,"")</f>
        <v/>
      </c>
      <c r="H131" s="18" t="str">
        <f>IFERROR([1]!s_stmnote_bank($B131,"34",$A131,100000000)/[1]!s_stmnote_bank_1n(B131,$A131,1,100000000),"")</f>
        <v/>
      </c>
      <c r="I131" s="25">
        <f>[1]!b_stm07_bs(B131,74,$A131,1,100000000)</f>
        <v>0</v>
      </c>
      <c r="J131" s="25">
        <f>[1]!b_stm07_bs(B131,109,$A131,1,100000000)</f>
        <v>0</v>
      </c>
      <c r="K131" s="10">
        <f>[1]!s_stmnote_bank_5n(B131,$A131,1)</f>
        <v>0</v>
      </c>
      <c r="L131" s="25">
        <f>[1]!s_stmnote_bank_23n(B131,$A131,1)</f>
        <v>0</v>
      </c>
      <c r="M131" s="25">
        <f>[1]!s_stmnote_bank_capadequacyratio(B131,$A131,1)</f>
        <v>0</v>
      </c>
      <c r="N131" s="25">
        <f>[1]!s_stmnote_bank_capadequacyratio_ct1(B131,$A131,1)</f>
        <v>0</v>
      </c>
      <c r="O131" s="6">
        <f>IF(OR([1]!s_fa_roe(B131,20201231)="0",[1]!s_fa_roe(B131,20211231)="0",[1]!s_fa_roe(B131,20221231)="0"),"",IFERROR(([1]!s_fa_roe(B131,20221231)+[1]!s_fa_roe(B131,20201231)+[1]!s_fa_roe(B131,20211231))/3,""))</f>
        <v>0</v>
      </c>
      <c r="P131" s="28" t="str">
        <f>IFERROR(([1]!s_stmnote_bank_65(B131,$A131,1,2,4,100000000)+[1]!s_stmnote_bank_65(B131,$A131,1,2,6,100000000))/[1]!s_stmnote_bank_1n(B131,$A131,1,100000000),"")</f>
        <v/>
      </c>
      <c r="Q131" s="28" t="str">
        <f>IFERROR([1]!s_stmnote_bank_614(B131,$A131,1,2,100000000)/[1]!s_stmnote_bank_647(B131,$A131,1,2,100000000),"")</f>
        <v/>
      </c>
      <c r="R131" s="28" t="str">
        <f>IFERROR(([1]!b_stm07_bs(B131,104,$A131,1,100000000)+[1]!b_stm07_bs(B131,106,$A131,1,100000000)+[1]!b_stm07_bs(B131,76,$A131,1,100000000)+[1]!b_stm07_bs(B131,108,$A131,1,100000000)+[1]!b_stm07_bs(B131,95,$A131,1,100000000))/[1]!b_stm07_bs(B131,128,$A131,1,100000000),"")</f>
        <v/>
      </c>
      <c r="S131" s="28" t="str">
        <f>IFERROR(([1]!s_stmnote_bank_614(B131,$A131,1,2,100000000)+[1]!b_stm07_bs(B131,104,$A131,1,100000000)+[1]!b_stm07_bs(B131,106,$A131,1,100000000)+[1]!b_stm07_bs(B131,76,$A131,1,100000000)+[1]!b_stm07_bs(B131,108,$A131,1,100000000)+[1]!b_stm07_bs(B131,95,$A131,1,100000000))/[1]!b_stm07_bs(B131,128,$A131,1,100000000),"")</f>
        <v/>
      </c>
      <c r="T131" s="11">
        <f>[1]!b_issuer_shareholder(B131,"",1)</f>
        <v>0</v>
      </c>
      <c r="U131" s="10">
        <f>[1]!b_issuer_propofshareholder(B131,"",1)</f>
        <v>0</v>
      </c>
      <c r="V131" s="33" t="str">
        <f t="shared" ref="V131:V194" si="5">LEFT(C131,2)</f>
        <v>0</v>
      </c>
      <c r="W131" s="33">
        <f>[1]!s_info_city(B131)</f>
        <v>0</v>
      </c>
      <c r="X131" s="10">
        <f>IF([1]!s_stmnote_bank_17n(B131,$A131,1)="0","",[1]!s_stmnote_bank_17n(B131,$A131,1))</f>
        <v>0</v>
      </c>
      <c r="Y131" s="10">
        <f>IF([1]!s_stmnote_bank_18n(B131,$A131,1)="0","",[1]!s_stmnote_bank_18n(B131,$A131,1))</f>
        <v>0</v>
      </c>
      <c r="Z131" s="41">
        <f>IF([1]!s_stmnote_bank_58(B131,$A131,1)="0","",[1]!s_stmnote_bank_58(B131,$A131,1))</f>
        <v>0</v>
      </c>
      <c r="AA131" s="52">
        <f>IF([1]!s_stmnote_bank_60(B131,$A131,1)="0","",[1]!s_stmnote_bank_60(B131,$A131,1))</f>
        <v>0</v>
      </c>
      <c r="AB131" s="52">
        <f>[1]!s_stmnote_bank_5444(B131,$A131,1)</f>
        <v>0</v>
      </c>
      <c r="AC131" s="38">
        <f>[1]!s_stmnote_bank_129n($B131,$A131,1)</f>
        <v>0</v>
      </c>
      <c r="AD131" s="54">
        <f>[1]!s_stmnote_bank_30(B131,$A131,1)</f>
        <v>0</v>
      </c>
    </row>
    <row r="132" spans="1:30" s="46" customFormat="1" ht="24">
      <c r="A132" s="1" t="s">
        <v>1110</v>
      </c>
      <c r="B132" s="87" t="s">
        <v>1240</v>
      </c>
      <c r="C132" s="8">
        <f>IF([1]!b_info_issuer(B132)="0","",IFERROR([1]!b_info_issuer(B132),""))</f>
        <v>0</v>
      </c>
      <c r="D132" s="11">
        <f>IF([1]!b_info_latestissurercreditrating(B132)="0","",IFERROR([1]!b_info_latestissurercreditrating(B132),""))</f>
        <v>0</v>
      </c>
      <c r="E132" s="27" t="str">
        <f>IFERROR(([1]!b_stm07_bs($B132,47,$A132,1,100000000))/[1]!b_stm07_bs($B132,109,$A132,1,100000000),"")</f>
        <v/>
      </c>
      <c r="F132" s="18" t="str">
        <f>IFERROR(([1]!s_stmnote_bank_26($B132,$A132,1,100000000)-[1]!s_stmnote_bank_26($B132,#REF!,1,100000000)+#REF!)/[1]!s_stmnote_bank_1n($B132,#REF!,1,100000000),"")</f>
        <v/>
      </c>
      <c r="G132" s="21" t="str">
        <f t="shared" si="4"/>
        <v/>
      </c>
      <c r="H132" s="18" t="str">
        <f>IFERROR([1]!s_stmnote_bank($B132,"34",$A132,100000000)/[1]!s_stmnote_bank_1n(B132,$A132,1,100000000),"")</f>
        <v/>
      </c>
      <c r="I132" s="25">
        <f>[1]!b_stm07_bs(B132,74,$A132,1,100000000)</f>
        <v>0</v>
      </c>
      <c r="J132" s="25">
        <f>[1]!b_stm07_bs(B132,109,$A132,1,100000000)</f>
        <v>0</v>
      </c>
      <c r="K132" s="10">
        <f>[1]!s_stmnote_bank_5n(B132,$A132,1)</f>
        <v>0</v>
      </c>
      <c r="L132" s="25">
        <f>[1]!s_stmnote_bank_23n(B132,$A132,1)</f>
        <v>0</v>
      </c>
      <c r="M132" s="25">
        <f>[1]!s_stmnote_bank_capadequacyratio(B132,$A132,1)</f>
        <v>0</v>
      </c>
      <c r="N132" s="25">
        <f>[1]!s_stmnote_bank_capadequacyratio_ct1(B132,$A132,1)</f>
        <v>0</v>
      </c>
      <c r="O132" s="6">
        <f>IF(OR([1]!s_fa_roe(B132,20201231)="0",[1]!s_fa_roe(B132,20211231)="0",[1]!s_fa_roe(B132,20221231)="0"),"",IFERROR(([1]!s_fa_roe(B132,20221231)+[1]!s_fa_roe(B132,20201231)+[1]!s_fa_roe(B132,20211231))/3,""))</f>
        <v>0</v>
      </c>
      <c r="P132" s="28" t="str">
        <f>IFERROR(([1]!s_stmnote_bank_65(B132,$A132,1,2,4,100000000)+[1]!s_stmnote_bank_65(B132,$A132,1,2,6,100000000))/[1]!s_stmnote_bank_1n(B132,$A132,1,100000000),"")</f>
        <v/>
      </c>
      <c r="Q132" s="28" t="str">
        <f>IFERROR([1]!s_stmnote_bank_614(B132,$A132,1,2,100000000)/[1]!s_stmnote_bank_647(B132,$A132,1,2,100000000),"")</f>
        <v/>
      </c>
      <c r="R132" s="28" t="str">
        <f>IFERROR(([1]!b_stm07_bs(B132,104,$A132,1,100000000)+[1]!b_stm07_bs(B132,106,$A132,1,100000000)+[1]!b_stm07_bs(B132,76,$A132,1,100000000)+[1]!b_stm07_bs(B132,108,$A132,1,100000000)+[1]!b_stm07_bs(B132,95,$A132,1,100000000))/[1]!b_stm07_bs(B132,128,$A132,1,100000000),"")</f>
        <v/>
      </c>
      <c r="S132" s="28" t="str">
        <f>IFERROR(([1]!s_stmnote_bank_614(B132,$A132,1,2,100000000)+[1]!b_stm07_bs(B132,104,$A132,1,100000000)+[1]!b_stm07_bs(B132,106,$A132,1,100000000)+[1]!b_stm07_bs(B132,76,$A132,1,100000000)+[1]!b_stm07_bs(B132,108,$A132,1,100000000)+[1]!b_stm07_bs(B132,95,$A132,1,100000000))/[1]!b_stm07_bs(B132,128,$A132,1,100000000),"")</f>
        <v/>
      </c>
      <c r="T132" s="11">
        <f>[1]!b_issuer_shareholder(B132,"",1)</f>
        <v>0</v>
      </c>
      <c r="U132" s="10">
        <f>[1]!b_issuer_propofshareholder(B132,"",1)</f>
        <v>0</v>
      </c>
      <c r="V132" s="33" t="str">
        <f t="shared" si="5"/>
        <v>0</v>
      </c>
      <c r="W132" s="33">
        <f>[1]!s_info_city(B132)</f>
        <v>0</v>
      </c>
      <c r="X132" s="10">
        <f>IF([1]!s_stmnote_bank_17n(B132,$A132,1)="0","",[1]!s_stmnote_bank_17n(B132,$A132,1))</f>
        <v>0</v>
      </c>
      <c r="Y132" s="10">
        <f>IF([1]!s_stmnote_bank_18n(B132,$A132,1)="0","",[1]!s_stmnote_bank_18n(B132,$A132,1))</f>
        <v>0</v>
      </c>
      <c r="Z132" s="41">
        <f>IF([1]!s_stmnote_bank_58(B132,$A132,1)="0","",[1]!s_stmnote_bank_58(B132,$A132,1))</f>
        <v>0</v>
      </c>
      <c r="AA132" s="52">
        <f>IF([1]!s_stmnote_bank_60(B132,$A132,1)="0","",[1]!s_stmnote_bank_60(B132,$A132,1))</f>
        <v>0</v>
      </c>
      <c r="AB132" s="52">
        <f>[1]!s_stmnote_bank_5444(B132,$A132,1)</f>
        <v>0</v>
      </c>
      <c r="AC132" s="38">
        <f>[1]!s_stmnote_bank_129n($B132,$A132,1)</f>
        <v>0</v>
      </c>
      <c r="AD132" s="54">
        <f>[1]!s_stmnote_bank_30(B132,$A132,1)</f>
        <v>0</v>
      </c>
    </row>
    <row r="133" spans="1:30" s="46" customFormat="1" ht="24">
      <c r="A133" s="1" t="s">
        <v>1110</v>
      </c>
      <c r="B133" s="87" t="s">
        <v>1241</v>
      </c>
      <c r="C133" s="8">
        <f>IF([1]!b_info_issuer(B133)="0","",IFERROR([1]!b_info_issuer(B133),""))</f>
        <v>0</v>
      </c>
      <c r="D133" s="11">
        <f>IF([1]!b_info_latestissurercreditrating(B133)="0","",IFERROR([1]!b_info_latestissurercreditrating(B133),""))</f>
        <v>0</v>
      </c>
      <c r="E133" s="27" t="str">
        <f>IFERROR(([1]!b_stm07_bs($B133,47,$A133,1,100000000))/[1]!b_stm07_bs($B133,109,$A133,1,100000000),"")</f>
        <v/>
      </c>
      <c r="F133" s="18" t="str">
        <f>IFERROR(([1]!s_stmnote_bank_26($B133,$A133,1,100000000)-[1]!s_stmnote_bank_26($B133,#REF!,1,100000000)+#REF!)/[1]!s_stmnote_bank_1n($B133,#REF!,1,100000000),"")</f>
        <v/>
      </c>
      <c r="G133" s="21" t="str">
        <f t="shared" si="4"/>
        <v/>
      </c>
      <c r="H133" s="18" t="str">
        <f>IFERROR([1]!s_stmnote_bank($B133,"34",$A133,100000000)/[1]!s_stmnote_bank_1n(B133,$A133,1,100000000),"")</f>
        <v/>
      </c>
      <c r="I133" s="25">
        <f>[1]!b_stm07_bs(B133,74,$A133,1,100000000)</f>
        <v>0</v>
      </c>
      <c r="J133" s="25">
        <f>[1]!b_stm07_bs(B133,109,$A133,1,100000000)</f>
        <v>0</v>
      </c>
      <c r="K133" s="10">
        <f>[1]!s_stmnote_bank_5n(B133,$A133,1)</f>
        <v>0</v>
      </c>
      <c r="L133" s="25">
        <f>[1]!s_stmnote_bank_23n(B133,$A133,1)</f>
        <v>0</v>
      </c>
      <c r="M133" s="25">
        <f>[1]!s_stmnote_bank_capadequacyratio(B133,$A133,1)</f>
        <v>0</v>
      </c>
      <c r="N133" s="25">
        <f>[1]!s_stmnote_bank_capadequacyratio_ct1(B133,$A133,1)</f>
        <v>0</v>
      </c>
      <c r="O133" s="6">
        <f>IF(OR([1]!s_fa_roe(B133,20201231)="0",[1]!s_fa_roe(B133,20211231)="0",[1]!s_fa_roe(B133,20221231)="0"),"",IFERROR(([1]!s_fa_roe(B133,20221231)+[1]!s_fa_roe(B133,20201231)+[1]!s_fa_roe(B133,20211231))/3,""))</f>
        <v>0</v>
      </c>
      <c r="P133" s="28" t="str">
        <f>IFERROR(([1]!s_stmnote_bank_65(B133,$A133,1,2,4,100000000)+[1]!s_stmnote_bank_65(B133,$A133,1,2,6,100000000))/[1]!s_stmnote_bank_1n(B133,$A133,1,100000000),"")</f>
        <v/>
      </c>
      <c r="Q133" s="28" t="str">
        <f>IFERROR([1]!s_stmnote_bank_614(B133,$A133,1,2,100000000)/[1]!s_stmnote_bank_647(B133,$A133,1,2,100000000),"")</f>
        <v/>
      </c>
      <c r="R133" s="28" t="str">
        <f>IFERROR(([1]!b_stm07_bs(B133,104,$A133,1,100000000)+[1]!b_stm07_bs(B133,106,$A133,1,100000000)+[1]!b_stm07_bs(B133,76,$A133,1,100000000)+[1]!b_stm07_bs(B133,108,$A133,1,100000000)+[1]!b_stm07_bs(B133,95,$A133,1,100000000))/[1]!b_stm07_bs(B133,128,$A133,1,100000000),"")</f>
        <v/>
      </c>
      <c r="S133" s="28" t="str">
        <f>IFERROR(([1]!s_stmnote_bank_614(B133,$A133,1,2,100000000)+[1]!b_stm07_bs(B133,104,$A133,1,100000000)+[1]!b_stm07_bs(B133,106,$A133,1,100000000)+[1]!b_stm07_bs(B133,76,$A133,1,100000000)+[1]!b_stm07_bs(B133,108,$A133,1,100000000)+[1]!b_stm07_bs(B133,95,$A133,1,100000000))/[1]!b_stm07_bs(B133,128,$A133,1,100000000),"")</f>
        <v/>
      </c>
      <c r="T133" s="11">
        <f>[1]!b_issuer_shareholder(B133,"",1)</f>
        <v>0</v>
      </c>
      <c r="U133" s="10">
        <f>[1]!b_issuer_propofshareholder(B133,"",1)</f>
        <v>0</v>
      </c>
      <c r="V133" s="33" t="str">
        <f t="shared" si="5"/>
        <v>0</v>
      </c>
      <c r="W133" s="33">
        <f>[1]!s_info_city(B133)</f>
        <v>0</v>
      </c>
      <c r="X133" s="10">
        <f>IF([1]!s_stmnote_bank_17n(B133,$A133,1)="0","",[1]!s_stmnote_bank_17n(B133,$A133,1))</f>
        <v>0</v>
      </c>
      <c r="Y133" s="10">
        <f>IF([1]!s_stmnote_bank_18n(B133,$A133,1)="0","",[1]!s_stmnote_bank_18n(B133,$A133,1))</f>
        <v>0</v>
      </c>
      <c r="Z133" s="41">
        <f>IF([1]!s_stmnote_bank_58(B133,$A133,1)="0","",[1]!s_stmnote_bank_58(B133,$A133,1))</f>
        <v>0</v>
      </c>
      <c r="AA133" s="52">
        <f>IF([1]!s_stmnote_bank_60(B133,$A133,1)="0","",[1]!s_stmnote_bank_60(B133,$A133,1))</f>
        <v>0</v>
      </c>
      <c r="AB133" s="52">
        <f>[1]!s_stmnote_bank_5444(B133,$A133,1)</f>
        <v>0</v>
      </c>
      <c r="AC133" s="38">
        <f>[1]!s_stmnote_bank_129n($B133,$A133,1)</f>
        <v>0</v>
      </c>
      <c r="AD133" s="54">
        <f>[1]!s_stmnote_bank_30(B133,$A133,1)</f>
        <v>0</v>
      </c>
    </row>
    <row r="134" spans="1:30" s="46" customFormat="1" ht="24">
      <c r="A134" s="1" t="s">
        <v>1110</v>
      </c>
      <c r="B134" s="87" t="s">
        <v>1242</v>
      </c>
      <c r="C134" s="8">
        <f>IF([1]!b_info_issuer(B134)="0","",IFERROR([1]!b_info_issuer(B134),""))</f>
        <v>0</v>
      </c>
      <c r="D134" s="11">
        <f>IF([1]!b_info_latestissurercreditrating(B134)="0","",IFERROR([1]!b_info_latestissurercreditrating(B134),""))</f>
        <v>0</v>
      </c>
      <c r="E134" s="27" t="str">
        <f>IFERROR(([1]!b_stm07_bs($B134,47,$A134,1,100000000))/[1]!b_stm07_bs($B134,109,$A134,1,100000000),"")</f>
        <v/>
      </c>
      <c r="F134" s="18" t="str">
        <f>IFERROR(([1]!s_stmnote_bank_26($B134,$A134,1,100000000)-[1]!s_stmnote_bank_26($B134,#REF!,1,100000000)+#REF!)/[1]!s_stmnote_bank_1n($B134,#REF!,1,100000000),"")</f>
        <v/>
      </c>
      <c r="G134" s="21" t="str">
        <f t="shared" si="4"/>
        <v/>
      </c>
      <c r="H134" s="18" t="str">
        <f>IFERROR([1]!s_stmnote_bank($B134,"34",$A134,100000000)/[1]!s_stmnote_bank_1n(B134,$A134,1,100000000),"")</f>
        <v/>
      </c>
      <c r="I134" s="25">
        <f>[1]!b_stm07_bs(B134,74,$A134,1,100000000)</f>
        <v>0</v>
      </c>
      <c r="J134" s="25">
        <f>[1]!b_stm07_bs(B134,109,$A134,1,100000000)</f>
        <v>0</v>
      </c>
      <c r="K134" s="10">
        <f>[1]!s_stmnote_bank_5n(B134,$A134,1)</f>
        <v>0</v>
      </c>
      <c r="L134" s="25">
        <f>[1]!s_stmnote_bank_23n(B134,$A134,1)</f>
        <v>0</v>
      </c>
      <c r="M134" s="25">
        <f>[1]!s_stmnote_bank_capadequacyratio(B134,$A134,1)</f>
        <v>0</v>
      </c>
      <c r="N134" s="25">
        <f>[1]!s_stmnote_bank_capadequacyratio_ct1(B134,$A134,1)</f>
        <v>0</v>
      </c>
      <c r="O134" s="6">
        <f>IF(OR([1]!s_fa_roe(B134,20201231)="0",[1]!s_fa_roe(B134,20211231)="0",[1]!s_fa_roe(B134,20221231)="0"),"",IFERROR(([1]!s_fa_roe(B134,20221231)+[1]!s_fa_roe(B134,20201231)+[1]!s_fa_roe(B134,20211231))/3,""))</f>
        <v>0</v>
      </c>
      <c r="P134" s="28" t="str">
        <f>IFERROR(([1]!s_stmnote_bank_65(B134,$A134,1,2,4,100000000)+[1]!s_stmnote_bank_65(B134,$A134,1,2,6,100000000))/[1]!s_stmnote_bank_1n(B134,$A134,1,100000000),"")</f>
        <v/>
      </c>
      <c r="Q134" s="28" t="str">
        <f>IFERROR([1]!s_stmnote_bank_614(B134,$A134,1,2,100000000)/[1]!s_stmnote_bank_647(B134,$A134,1,2,100000000),"")</f>
        <v/>
      </c>
      <c r="R134" s="28" t="str">
        <f>IFERROR(([1]!b_stm07_bs(B134,104,$A134,1,100000000)+[1]!b_stm07_bs(B134,106,$A134,1,100000000)+[1]!b_stm07_bs(B134,76,$A134,1,100000000)+[1]!b_stm07_bs(B134,108,$A134,1,100000000)+[1]!b_stm07_bs(B134,95,$A134,1,100000000))/[1]!b_stm07_bs(B134,128,$A134,1,100000000),"")</f>
        <v/>
      </c>
      <c r="S134" s="28" t="str">
        <f>IFERROR(([1]!s_stmnote_bank_614(B134,$A134,1,2,100000000)+[1]!b_stm07_bs(B134,104,$A134,1,100000000)+[1]!b_stm07_bs(B134,106,$A134,1,100000000)+[1]!b_stm07_bs(B134,76,$A134,1,100000000)+[1]!b_stm07_bs(B134,108,$A134,1,100000000)+[1]!b_stm07_bs(B134,95,$A134,1,100000000))/[1]!b_stm07_bs(B134,128,$A134,1,100000000),"")</f>
        <v/>
      </c>
      <c r="T134" s="11">
        <f>[1]!b_issuer_shareholder(B134,"",1)</f>
        <v>0</v>
      </c>
      <c r="U134" s="10">
        <f>[1]!b_issuer_propofshareholder(B134,"",1)</f>
        <v>0</v>
      </c>
      <c r="V134" s="33" t="str">
        <f t="shared" si="5"/>
        <v>0</v>
      </c>
      <c r="W134" s="33">
        <f>[1]!s_info_city(B134)</f>
        <v>0</v>
      </c>
      <c r="X134" s="10">
        <f>IF([1]!s_stmnote_bank_17n(B134,$A134,1)="0","",[1]!s_stmnote_bank_17n(B134,$A134,1))</f>
        <v>0</v>
      </c>
      <c r="Y134" s="10">
        <f>IF([1]!s_stmnote_bank_18n(B134,$A134,1)="0","",[1]!s_stmnote_bank_18n(B134,$A134,1))</f>
        <v>0</v>
      </c>
      <c r="Z134" s="41">
        <f>IF([1]!s_stmnote_bank_58(B134,$A134,1)="0","",[1]!s_stmnote_bank_58(B134,$A134,1))</f>
        <v>0</v>
      </c>
      <c r="AA134" s="52">
        <f>IF([1]!s_stmnote_bank_60(B134,$A134,1)="0","",[1]!s_stmnote_bank_60(B134,$A134,1))</f>
        <v>0</v>
      </c>
      <c r="AB134" s="52">
        <f>[1]!s_stmnote_bank_5444(B134,$A134,1)</f>
        <v>0</v>
      </c>
      <c r="AC134" s="38">
        <f>[1]!s_stmnote_bank_129n($B134,$A134,1)</f>
        <v>0</v>
      </c>
      <c r="AD134" s="54">
        <f>[1]!s_stmnote_bank_30(B134,$A134,1)</f>
        <v>0</v>
      </c>
    </row>
    <row r="135" spans="1:30" s="46" customFormat="1" ht="24">
      <c r="A135" s="1" t="s">
        <v>1110</v>
      </c>
      <c r="B135" s="87" t="s">
        <v>1243</v>
      </c>
      <c r="C135" s="8">
        <f>IF([1]!b_info_issuer(B135)="0","",IFERROR([1]!b_info_issuer(B135),""))</f>
        <v>0</v>
      </c>
      <c r="D135" s="11">
        <f>IF([1]!b_info_latestissurercreditrating(B135)="0","",IFERROR([1]!b_info_latestissurercreditrating(B135),""))</f>
        <v>0</v>
      </c>
      <c r="E135" s="27" t="str">
        <f>IFERROR(([1]!b_stm07_bs($B135,47,$A135,1,100000000))/[1]!b_stm07_bs($B135,109,$A135,1,100000000),"")</f>
        <v/>
      </c>
      <c r="F135" s="18" t="str">
        <f>IFERROR(([1]!s_stmnote_bank_26($B135,$A135,1,100000000)-[1]!s_stmnote_bank_26($B135,#REF!,1,100000000)+#REF!)/[1]!s_stmnote_bank_1n($B135,#REF!,1,100000000),"")</f>
        <v/>
      </c>
      <c r="G135" s="21" t="str">
        <f t="shared" si="4"/>
        <v/>
      </c>
      <c r="H135" s="18" t="str">
        <f>IFERROR([1]!s_stmnote_bank($B135,"34",$A135,100000000)/[1]!s_stmnote_bank_1n(B135,$A135,1,100000000),"")</f>
        <v/>
      </c>
      <c r="I135" s="25">
        <f>[1]!b_stm07_bs(B135,74,$A135,1,100000000)</f>
        <v>0</v>
      </c>
      <c r="J135" s="25">
        <f>[1]!b_stm07_bs(B135,109,$A135,1,100000000)</f>
        <v>0</v>
      </c>
      <c r="K135" s="10">
        <f>[1]!s_stmnote_bank_5n(B135,$A135,1)</f>
        <v>0</v>
      </c>
      <c r="L135" s="25">
        <f>[1]!s_stmnote_bank_23n(B135,$A135,1)</f>
        <v>0</v>
      </c>
      <c r="M135" s="25">
        <f>[1]!s_stmnote_bank_capadequacyratio(B135,$A135,1)</f>
        <v>0</v>
      </c>
      <c r="N135" s="25">
        <f>[1]!s_stmnote_bank_capadequacyratio_ct1(B135,$A135,1)</f>
        <v>0</v>
      </c>
      <c r="O135" s="6">
        <f>IF(OR([1]!s_fa_roe(B135,20201231)="0",[1]!s_fa_roe(B135,20211231)="0",[1]!s_fa_roe(B135,20221231)="0"),"",IFERROR(([1]!s_fa_roe(B135,20221231)+[1]!s_fa_roe(B135,20201231)+[1]!s_fa_roe(B135,20211231))/3,""))</f>
        <v>0</v>
      </c>
      <c r="P135" s="28" t="str">
        <f>IFERROR(([1]!s_stmnote_bank_65(B135,$A135,1,2,4,100000000)+[1]!s_stmnote_bank_65(B135,$A135,1,2,6,100000000))/[1]!s_stmnote_bank_1n(B135,$A135,1,100000000),"")</f>
        <v/>
      </c>
      <c r="Q135" s="28" t="str">
        <f>IFERROR([1]!s_stmnote_bank_614(B135,$A135,1,2,100000000)/[1]!s_stmnote_bank_647(B135,$A135,1,2,100000000),"")</f>
        <v/>
      </c>
      <c r="R135" s="28" t="str">
        <f>IFERROR(([1]!b_stm07_bs(B135,104,$A135,1,100000000)+[1]!b_stm07_bs(B135,106,$A135,1,100000000)+[1]!b_stm07_bs(B135,76,$A135,1,100000000)+[1]!b_stm07_bs(B135,108,$A135,1,100000000)+[1]!b_stm07_bs(B135,95,$A135,1,100000000))/[1]!b_stm07_bs(B135,128,$A135,1,100000000),"")</f>
        <v/>
      </c>
      <c r="S135" s="28" t="str">
        <f>IFERROR(([1]!s_stmnote_bank_614(B135,$A135,1,2,100000000)+[1]!b_stm07_bs(B135,104,$A135,1,100000000)+[1]!b_stm07_bs(B135,106,$A135,1,100000000)+[1]!b_stm07_bs(B135,76,$A135,1,100000000)+[1]!b_stm07_bs(B135,108,$A135,1,100000000)+[1]!b_stm07_bs(B135,95,$A135,1,100000000))/[1]!b_stm07_bs(B135,128,$A135,1,100000000),"")</f>
        <v/>
      </c>
      <c r="T135" s="11">
        <f>[1]!b_issuer_shareholder(B135,"",1)</f>
        <v>0</v>
      </c>
      <c r="U135" s="10">
        <f>[1]!b_issuer_propofshareholder(B135,"",1)</f>
        <v>0</v>
      </c>
      <c r="V135" s="33" t="str">
        <f t="shared" si="5"/>
        <v>0</v>
      </c>
      <c r="W135" s="33">
        <f>[1]!s_info_city(B135)</f>
        <v>0</v>
      </c>
      <c r="X135" s="10">
        <f>IF([1]!s_stmnote_bank_17n(B135,$A135,1)="0","",[1]!s_stmnote_bank_17n(B135,$A135,1))</f>
        <v>0</v>
      </c>
      <c r="Y135" s="10">
        <f>IF([1]!s_stmnote_bank_18n(B135,$A135,1)="0","",[1]!s_stmnote_bank_18n(B135,$A135,1))</f>
        <v>0</v>
      </c>
      <c r="Z135" s="41">
        <f>IF([1]!s_stmnote_bank_58(B135,$A135,1)="0","",[1]!s_stmnote_bank_58(B135,$A135,1))</f>
        <v>0</v>
      </c>
      <c r="AA135" s="52">
        <f>IF([1]!s_stmnote_bank_60(B135,$A135,1)="0","",[1]!s_stmnote_bank_60(B135,$A135,1))</f>
        <v>0</v>
      </c>
      <c r="AB135" s="52">
        <f>[1]!s_stmnote_bank_5444(B135,$A135,1)</f>
        <v>0</v>
      </c>
      <c r="AC135" s="38">
        <f>[1]!s_stmnote_bank_129n($B135,$A135,1)</f>
        <v>0</v>
      </c>
      <c r="AD135" s="54">
        <f>[1]!s_stmnote_bank_30(B135,$A135,1)</f>
        <v>0</v>
      </c>
    </row>
    <row r="136" spans="1:30" s="46" customFormat="1" ht="24">
      <c r="A136" s="1" t="s">
        <v>1110</v>
      </c>
      <c r="B136" s="87" t="s">
        <v>1244</v>
      </c>
      <c r="C136" s="8">
        <f>IF([1]!b_info_issuer(B136)="0","",IFERROR([1]!b_info_issuer(B136),""))</f>
        <v>0</v>
      </c>
      <c r="D136" s="11">
        <f>IF([1]!b_info_latestissurercreditrating(B136)="0","",IFERROR([1]!b_info_latestissurercreditrating(B136),""))</f>
        <v>0</v>
      </c>
      <c r="E136" s="27" t="str">
        <f>IFERROR(([1]!b_stm07_bs($B136,47,$A136,1,100000000))/[1]!b_stm07_bs($B136,109,$A136,1,100000000),"")</f>
        <v/>
      </c>
      <c r="F136" s="18" t="str">
        <f>IFERROR(([1]!s_stmnote_bank_26($B136,$A136,1,100000000)-[1]!s_stmnote_bank_26($B136,#REF!,1,100000000)+#REF!)/[1]!s_stmnote_bank_1n($B136,#REF!,1,100000000),"")</f>
        <v/>
      </c>
      <c r="G136" s="21" t="str">
        <f t="shared" si="4"/>
        <v/>
      </c>
      <c r="H136" s="18" t="str">
        <f>IFERROR([1]!s_stmnote_bank($B136,"34",$A136,100000000)/[1]!s_stmnote_bank_1n(B136,$A136,1,100000000),"")</f>
        <v/>
      </c>
      <c r="I136" s="25">
        <f>[1]!b_stm07_bs(B136,74,$A136,1,100000000)</f>
        <v>0</v>
      </c>
      <c r="J136" s="25">
        <f>[1]!b_stm07_bs(B136,109,$A136,1,100000000)</f>
        <v>0</v>
      </c>
      <c r="K136" s="10">
        <f>[1]!s_stmnote_bank_5n(B136,$A136,1)</f>
        <v>0</v>
      </c>
      <c r="L136" s="25">
        <f>[1]!s_stmnote_bank_23n(B136,$A136,1)</f>
        <v>0</v>
      </c>
      <c r="M136" s="25">
        <f>[1]!s_stmnote_bank_capadequacyratio(B136,$A136,1)</f>
        <v>0</v>
      </c>
      <c r="N136" s="25">
        <f>[1]!s_stmnote_bank_capadequacyratio_ct1(B136,$A136,1)</f>
        <v>0</v>
      </c>
      <c r="O136" s="6">
        <f>IF(OR([1]!s_fa_roe(B136,20201231)="0",[1]!s_fa_roe(B136,20211231)="0",[1]!s_fa_roe(B136,20221231)="0"),"",IFERROR(([1]!s_fa_roe(B136,20221231)+[1]!s_fa_roe(B136,20201231)+[1]!s_fa_roe(B136,20211231))/3,""))</f>
        <v>0</v>
      </c>
      <c r="P136" s="28" t="str">
        <f>IFERROR(([1]!s_stmnote_bank_65(B136,$A136,1,2,4,100000000)+[1]!s_stmnote_bank_65(B136,$A136,1,2,6,100000000))/[1]!s_stmnote_bank_1n(B136,$A136,1,100000000),"")</f>
        <v/>
      </c>
      <c r="Q136" s="28" t="str">
        <f>IFERROR([1]!s_stmnote_bank_614(B136,$A136,1,2,100000000)/[1]!s_stmnote_bank_647(B136,$A136,1,2,100000000),"")</f>
        <v/>
      </c>
      <c r="R136" s="28" t="str">
        <f>IFERROR(([1]!b_stm07_bs(B136,104,$A136,1,100000000)+[1]!b_stm07_bs(B136,106,$A136,1,100000000)+[1]!b_stm07_bs(B136,76,$A136,1,100000000)+[1]!b_stm07_bs(B136,108,$A136,1,100000000)+[1]!b_stm07_bs(B136,95,$A136,1,100000000))/[1]!b_stm07_bs(B136,128,$A136,1,100000000),"")</f>
        <v/>
      </c>
      <c r="S136" s="28" t="str">
        <f>IFERROR(([1]!s_stmnote_bank_614(B136,$A136,1,2,100000000)+[1]!b_stm07_bs(B136,104,$A136,1,100000000)+[1]!b_stm07_bs(B136,106,$A136,1,100000000)+[1]!b_stm07_bs(B136,76,$A136,1,100000000)+[1]!b_stm07_bs(B136,108,$A136,1,100000000)+[1]!b_stm07_bs(B136,95,$A136,1,100000000))/[1]!b_stm07_bs(B136,128,$A136,1,100000000),"")</f>
        <v/>
      </c>
      <c r="T136" s="11">
        <f>[1]!b_issuer_shareholder(B136,"",1)</f>
        <v>0</v>
      </c>
      <c r="U136" s="10">
        <f>[1]!b_issuer_propofshareholder(B136,"",1)</f>
        <v>0</v>
      </c>
      <c r="V136" s="33" t="str">
        <f t="shared" si="5"/>
        <v>0</v>
      </c>
      <c r="W136" s="33">
        <f>[1]!s_info_city(B136)</f>
        <v>0</v>
      </c>
      <c r="X136" s="10">
        <f>IF([1]!s_stmnote_bank_17n(B136,$A136,1)="0","",[1]!s_stmnote_bank_17n(B136,$A136,1))</f>
        <v>0</v>
      </c>
      <c r="Y136" s="10">
        <f>IF([1]!s_stmnote_bank_18n(B136,$A136,1)="0","",[1]!s_stmnote_bank_18n(B136,$A136,1))</f>
        <v>0</v>
      </c>
      <c r="Z136" s="41">
        <f>IF([1]!s_stmnote_bank_58(B136,$A136,1)="0","",[1]!s_stmnote_bank_58(B136,$A136,1))</f>
        <v>0</v>
      </c>
      <c r="AA136" s="52">
        <f>IF([1]!s_stmnote_bank_60(B136,$A136,1)="0","",[1]!s_stmnote_bank_60(B136,$A136,1))</f>
        <v>0</v>
      </c>
      <c r="AB136" s="52">
        <f>[1]!s_stmnote_bank_5444(B136,$A136,1)</f>
        <v>0</v>
      </c>
      <c r="AC136" s="38">
        <f>[1]!s_stmnote_bank_129n($B136,$A136,1)</f>
        <v>0</v>
      </c>
      <c r="AD136" s="54">
        <f>[1]!s_stmnote_bank_30(B136,$A136,1)</f>
        <v>0</v>
      </c>
    </row>
    <row r="137" spans="1:30" s="46" customFormat="1" ht="24">
      <c r="A137" s="1" t="s">
        <v>1110</v>
      </c>
      <c r="B137" s="87" t="s">
        <v>1245</v>
      </c>
      <c r="C137" s="8">
        <f>IF([1]!b_info_issuer(B137)="0","",IFERROR([1]!b_info_issuer(B137),""))</f>
        <v>0</v>
      </c>
      <c r="D137" s="11">
        <f>IF([1]!b_info_latestissurercreditrating(B137)="0","",IFERROR([1]!b_info_latestissurercreditrating(B137),""))</f>
        <v>0</v>
      </c>
      <c r="E137" s="27" t="str">
        <f>IFERROR(([1]!b_stm07_bs($B137,47,$A137,1,100000000))/[1]!b_stm07_bs($B137,109,$A137,1,100000000),"")</f>
        <v/>
      </c>
      <c r="F137" s="18" t="str">
        <f>IFERROR(([1]!s_stmnote_bank_26($B137,$A137,1,100000000)-[1]!s_stmnote_bank_26($B137,#REF!,1,100000000)+#REF!)/[1]!s_stmnote_bank_1n($B137,#REF!,1,100000000),"")</f>
        <v/>
      </c>
      <c r="G137" s="21" t="str">
        <f t="shared" si="4"/>
        <v/>
      </c>
      <c r="H137" s="18" t="str">
        <f>IFERROR([1]!s_stmnote_bank($B137,"34",$A137,100000000)/[1]!s_stmnote_bank_1n(B137,$A137,1,100000000),"")</f>
        <v/>
      </c>
      <c r="I137" s="25">
        <f>[1]!b_stm07_bs(B137,74,$A137,1,100000000)</f>
        <v>0</v>
      </c>
      <c r="J137" s="25">
        <f>[1]!b_stm07_bs(B137,109,$A137,1,100000000)</f>
        <v>0</v>
      </c>
      <c r="K137" s="10">
        <f>[1]!s_stmnote_bank_5n(B137,$A137,1)</f>
        <v>0</v>
      </c>
      <c r="L137" s="25">
        <f>[1]!s_stmnote_bank_23n(B137,$A137,1)</f>
        <v>0</v>
      </c>
      <c r="M137" s="25">
        <f>[1]!s_stmnote_bank_capadequacyratio(B137,$A137,1)</f>
        <v>0</v>
      </c>
      <c r="N137" s="25">
        <f>[1]!s_stmnote_bank_capadequacyratio_ct1(B137,$A137,1)</f>
        <v>0</v>
      </c>
      <c r="O137" s="6">
        <f>IF(OR([1]!s_fa_roe(B137,20201231)="0",[1]!s_fa_roe(B137,20211231)="0",[1]!s_fa_roe(B137,20221231)="0"),"",IFERROR(([1]!s_fa_roe(B137,20221231)+[1]!s_fa_roe(B137,20201231)+[1]!s_fa_roe(B137,20211231))/3,""))</f>
        <v>0</v>
      </c>
      <c r="P137" s="28" t="str">
        <f>IFERROR(([1]!s_stmnote_bank_65(B137,$A137,1,2,4,100000000)+[1]!s_stmnote_bank_65(B137,$A137,1,2,6,100000000))/[1]!s_stmnote_bank_1n(B137,$A137,1,100000000),"")</f>
        <v/>
      </c>
      <c r="Q137" s="28" t="str">
        <f>IFERROR([1]!s_stmnote_bank_614(B137,$A137,1,2,100000000)/[1]!s_stmnote_bank_647(B137,$A137,1,2,100000000),"")</f>
        <v/>
      </c>
      <c r="R137" s="28" t="str">
        <f>IFERROR(([1]!b_stm07_bs(B137,104,$A137,1,100000000)+[1]!b_stm07_bs(B137,106,$A137,1,100000000)+[1]!b_stm07_bs(B137,76,$A137,1,100000000)+[1]!b_stm07_bs(B137,108,$A137,1,100000000)+[1]!b_stm07_bs(B137,95,$A137,1,100000000))/[1]!b_stm07_bs(B137,128,$A137,1,100000000),"")</f>
        <v/>
      </c>
      <c r="S137" s="28" t="str">
        <f>IFERROR(([1]!s_stmnote_bank_614(B137,$A137,1,2,100000000)+[1]!b_stm07_bs(B137,104,$A137,1,100000000)+[1]!b_stm07_bs(B137,106,$A137,1,100000000)+[1]!b_stm07_bs(B137,76,$A137,1,100000000)+[1]!b_stm07_bs(B137,108,$A137,1,100000000)+[1]!b_stm07_bs(B137,95,$A137,1,100000000))/[1]!b_stm07_bs(B137,128,$A137,1,100000000),"")</f>
        <v/>
      </c>
      <c r="T137" s="11">
        <f>[1]!b_issuer_shareholder(B137,"",1)</f>
        <v>0</v>
      </c>
      <c r="U137" s="10">
        <f>[1]!b_issuer_propofshareholder(B137,"",1)</f>
        <v>0</v>
      </c>
      <c r="V137" s="33" t="str">
        <f t="shared" si="5"/>
        <v>0</v>
      </c>
      <c r="W137" s="33">
        <f>[1]!s_info_city(B137)</f>
        <v>0</v>
      </c>
      <c r="X137" s="10">
        <f>IF([1]!s_stmnote_bank_17n(B137,$A137,1)="0","",[1]!s_stmnote_bank_17n(B137,$A137,1))</f>
        <v>0</v>
      </c>
      <c r="Y137" s="10">
        <f>IF([1]!s_stmnote_bank_18n(B137,$A137,1)="0","",[1]!s_stmnote_bank_18n(B137,$A137,1))</f>
        <v>0</v>
      </c>
      <c r="Z137" s="41">
        <f>IF([1]!s_stmnote_bank_58(B137,$A137,1)="0","",[1]!s_stmnote_bank_58(B137,$A137,1))</f>
        <v>0</v>
      </c>
      <c r="AA137" s="52">
        <f>IF([1]!s_stmnote_bank_60(B137,$A137,1)="0","",[1]!s_stmnote_bank_60(B137,$A137,1))</f>
        <v>0</v>
      </c>
      <c r="AB137" s="52">
        <f>[1]!s_stmnote_bank_5444(B137,$A137,1)</f>
        <v>0</v>
      </c>
      <c r="AC137" s="38">
        <f>[1]!s_stmnote_bank_129n($B137,$A137,1)</f>
        <v>0</v>
      </c>
      <c r="AD137" s="54">
        <f>[1]!s_stmnote_bank_30(B137,$A137,1)</f>
        <v>0</v>
      </c>
    </row>
    <row r="138" spans="1:30" s="46" customFormat="1" ht="24">
      <c r="A138" s="1" t="s">
        <v>1110</v>
      </c>
      <c r="B138" s="87" t="s">
        <v>1246</v>
      </c>
      <c r="C138" s="8">
        <f>IF([1]!b_info_issuer(B138)="0","",IFERROR([1]!b_info_issuer(B138),""))</f>
        <v>0</v>
      </c>
      <c r="D138" s="11">
        <f>IF([1]!b_info_latestissurercreditrating(B138)="0","",IFERROR([1]!b_info_latestissurercreditrating(B138),""))</f>
        <v>0</v>
      </c>
      <c r="E138" s="27" t="str">
        <f>IFERROR(([1]!b_stm07_bs($B138,47,$A138,1,100000000))/[1]!b_stm07_bs($B138,109,$A138,1,100000000),"")</f>
        <v/>
      </c>
      <c r="F138" s="18" t="str">
        <f>IFERROR(([1]!s_stmnote_bank_26($B138,$A138,1,100000000)-[1]!s_stmnote_bank_26($B138,#REF!,1,100000000)+#REF!)/[1]!s_stmnote_bank_1n($B138,#REF!,1,100000000),"")</f>
        <v/>
      </c>
      <c r="G138" s="21" t="str">
        <f t="shared" si="4"/>
        <v/>
      </c>
      <c r="H138" s="18" t="str">
        <f>IFERROR([1]!s_stmnote_bank($B138,"34",$A138,100000000)/[1]!s_stmnote_bank_1n(B138,$A138,1,100000000),"")</f>
        <v/>
      </c>
      <c r="I138" s="25">
        <f>[1]!b_stm07_bs(B138,74,$A138,1,100000000)</f>
        <v>0</v>
      </c>
      <c r="J138" s="25">
        <f>[1]!b_stm07_bs(B138,109,$A138,1,100000000)</f>
        <v>0</v>
      </c>
      <c r="K138" s="10">
        <f>[1]!s_stmnote_bank_5n(B138,$A138,1)</f>
        <v>0</v>
      </c>
      <c r="L138" s="25">
        <f>[1]!s_stmnote_bank_23n(B138,$A138,1)</f>
        <v>0</v>
      </c>
      <c r="M138" s="25">
        <f>[1]!s_stmnote_bank_capadequacyratio(B138,$A138,1)</f>
        <v>0</v>
      </c>
      <c r="N138" s="25">
        <f>[1]!s_stmnote_bank_capadequacyratio_ct1(B138,$A138,1)</f>
        <v>0</v>
      </c>
      <c r="O138" s="6">
        <f>IF(OR([1]!s_fa_roe(B138,20201231)="0",[1]!s_fa_roe(B138,20211231)="0",[1]!s_fa_roe(B138,20221231)="0"),"",IFERROR(([1]!s_fa_roe(B138,20221231)+[1]!s_fa_roe(B138,20201231)+[1]!s_fa_roe(B138,20211231))/3,""))</f>
        <v>0</v>
      </c>
      <c r="P138" s="28" t="str">
        <f>IFERROR(([1]!s_stmnote_bank_65(B138,$A138,1,2,4,100000000)+[1]!s_stmnote_bank_65(B138,$A138,1,2,6,100000000))/[1]!s_stmnote_bank_1n(B138,$A138,1,100000000),"")</f>
        <v/>
      </c>
      <c r="Q138" s="28" t="str">
        <f>IFERROR([1]!s_stmnote_bank_614(B138,$A138,1,2,100000000)/[1]!s_stmnote_bank_647(B138,$A138,1,2,100000000),"")</f>
        <v/>
      </c>
      <c r="R138" s="28" t="str">
        <f>IFERROR(([1]!b_stm07_bs(B138,104,$A138,1,100000000)+[1]!b_stm07_bs(B138,106,$A138,1,100000000)+[1]!b_stm07_bs(B138,76,$A138,1,100000000)+[1]!b_stm07_bs(B138,108,$A138,1,100000000)+[1]!b_stm07_bs(B138,95,$A138,1,100000000))/[1]!b_stm07_bs(B138,128,$A138,1,100000000),"")</f>
        <v/>
      </c>
      <c r="S138" s="28" t="str">
        <f>IFERROR(([1]!s_stmnote_bank_614(B138,$A138,1,2,100000000)+[1]!b_stm07_bs(B138,104,$A138,1,100000000)+[1]!b_stm07_bs(B138,106,$A138,1,100000000)+[1]!b_stm07_bs(B138,76,$A138,1,100000000)+[1]!b_stm07_bs(B138,108,$A138,1,100000000)+[1]!b_stm07_bs(B138,95,$A138,1,100000000))/[1]!b_stm07_bs(B138,128,$A138,1,100000000),"")</f>
        <v/>
      </c>
      <c r="T138" s="11">
        <f>[1]!b_issuer_shareholder(B138,"",1)</f>
        <v>0</v>
      </c>
      <c r="U138" s="10">
        <f>[1]!b_issuer_propofshareholder(B138,"",1)</f>
        <v>0</v>
      </c>
      <c r="V138" s="33" t="str">
        <f t="shared" si="5"/>
        <v>0</v>
      </c>
      <c r="W138" s="33">
        <f>[1]!s_info_city(B138)</f>
        <v>0</v>
      </c>
      <c r="X138" s="10">
        <f>IF([1]!s_stmnote_bank_17n(B138,$A138,1)="0","",[1]!s_stmnote_bank_17n(B138,$A138,1))</f>
        <v>0</v>
      </c>
      <c r="Y138" s="10">
        <f>IF([1]!s_stmnote_bank_18n(B138,$A138,1)="0","",[1]!s_stmnote_bank_18n(B138,$A138,1))</f>
        <v>0</v>
      </c>
      <c r="Z138" s="41">
        <f>IF([1]!s_stmnote_bank_58(B138,$A138,1)="0","",[1]!s_stmnote_bank_58(B138,$A138,1))</f>
        <v>0</v>
      </c>
      <c r="AA138" s="52">
        <f>IF([1]!s_stmnote_bank_60(B138,$A138,1)="0","",[1]!s_stmnote_bank_60(B138,$A138,1))</f>
        <v>0</v>
      </c>
      <c r="AB138" s="52">
        <f>[1]!s_stmnote_bank_5444(B138,$A138,1)</f>
        <v>0</v>
      </c>
      <c r="AC138" s="38">
        <f>[1]!s_stmnote_bank_129n($B138,$A138,1)</f>
        <v>0</v>
      </c>
      <c r="AD138" s="54">
        <f>[1]!s_stmnote_bank_30(B138,$A138,1)</f>
        <v>0</v>
      </c>
    </row>
    <row r="139" spans="1:30" s="46" customFormat="1" ht="24">
      <c r="A139" s="1" t="s">
        <v>1110</v>
      </c>
      <c r="B139" s="87" t="s">
        <v>1247</v>
      </c>
      <c r="C139" s="8">
        <f>IF([1]!b_info_issuer(B139)="0","",IFERROR([1]!b_info_issuer(B139),""))</f>
        <v>0</v>
      </c>
      <c r="D139" s="11">
        <f>IF([1]!b_info_latestissurercreditrating(B139)="0","",IFERROR([1]!b_info_latestissurercreditrating(B139),""))</f>
        <v>0</v>
      </c>
      <c r="E139" s="27" t="str">
        <f>IFERROR(([1]!b_stm07_bs($B139,47,$A139,1,100000000))/[1]!b_stm07_bs($B139,109,$A139,1,100000000),"")</f>
        <v/>
      </c>
      <c r="F139" s="18" t="str">
        <f>IFERROR(([1]!s_stmnote_bank_26($B139,$A139,1,100000000)-[1]!s_stmnote_bank_26($B139,#REF!,1,100000000)+#REF!)/[1]!s_stmnote_bank_1n($B139,#REF!,1,100000000),"")</f>
        <v/>
      </c>
      <c r="G139" s="21" t="str">
        <f t="shared" si="4"/>
        <v/>
      </c>
      <c r="H139" s="18" t="str">
        <f>IFERROR([1]!s_stmnote_bank($B139,"34",$A139,100000000)/[1]!s_stmnote_bank_1n(B139,$A139,1,100000000),"")</f>
        <v/>
      </c>
      <c r="I139" s="25">
        <f>[1]!b_stm07_bs(B139,74,$A139,1,100000000)</f>
        <v>0</v>
      </c>
      <c r="J139" s="25">
        <f>[1]!b_stm07_bs(B139,109,$A139,1,100000000)</f>
        <v>0</v>
      </c>
      <c r="K139" s="10">
        <f>[1]!s_stmnote_bank_5n(B139,$A139,1)</f>
        <v>0</v>
      </c>
      <c r="L139" s="25">
        <f>[1]!s_stmnote_bank_23n(B139,$A139,1)</f>
        <v>0</v>
      </c>
      <c r="M139" s="25">
        <f>[1]!s_stmnote_bank_capadequacyratio(B139,$A139,1)</f>
        <v>0</v>
      </c>
      <c r="N139" s="25">
        <f>[1]!s_stmnote_bank_capadequacyratio_ct1(B139,$A139,1)</f>
        <v>0</v>
      </c>
      <c r="O139" s="6">
        <f>IF(OR([1]!s_fa_roe(B139,20201231)="0",[1]!s_fa_roe(B139,20211231)="0",[1]!s_fa_roe(B139,20221231)="0"),"",IFERROR(([1]!s_fa_roe(B139,20221231)+[1]!s_fa_roe(B139,20201231)+[1]!s_fa_roe(B139,20211231))/3,""))</f>
        <v>0</v>
      </c>
      <c r="P139" s="28" t="str">
        <f>IFERROR(([1]!s_stmnote_bank_65(B139,$A139,1,2,4,100000000)+[1]!s_stmnote_bank_65(B139,$A139,1,2,6,100000000))/[1]!s_stmnote_bank_1n(B139,$A139,1,100000000),"")</f>
        <v/>
      </c>
      <c r="Q139" s="28" t="str">
        <f>IFERROR([1]!s_stmnote_bank_614(B139,$A139,1,2,100000000)/[1]!s_stmnote_bank_647(B139,$A139,1,2,100000000),"")</f>
        <v/>
      </c>
      <c r="R139" s="28" t="str">
        <f>IFERROR(([1]!b_stm07_bs(B139,104,$A139,1,100000000)+[1]!b_stm07_bs(B139,106,$A139,1,100000000)+[1]!b_stm07_bs(B139,76,$A139,1,100000000)+[1]!b_stm07_bs(B139,108,$A139,1,100000000)+[1]!b_stm07_bs(B139,95,$A139,1,100000000))/[1]!b_stm07_bs(B139,128,$A139,1,100000000),"")</f>
        <v/>
      </c>
      <c r="S139" s="28" t="str">
        <f>IFERROR(([1]!s_stmnote_bank_614(B139,$A139,1,2,100000000)+[1]!b_stm07_bs(B139,104,$A139,1,100000000)+[1]!b_stm07_bs(B139,106,$A139,1,100000000)+[1]!b_stm07_bs(B139,76,$A139,1,100000000)+[1]!b_stm07_bs(B139,108,$A139,1,100000000)+[1]!b_stm07_bs(B139,95,$A139,1,100000000))/[1]!b_stm07_bs(B139,128,$A139,1,100000000),"")</f>
        <v/>
      </c>
      <c r="T139" s="11">
        <f>[1]!b_issuer_shareholder(B139,"",1)</f>
        <v>0</v>
      </c>
      <c r="U139" s="10">
        <f>[1]!b_issuer_propofshareholder(B139,"",1)</f>
        <v>0</v>
      </c>
      <c r="V139" s="33" t="str">
        <f t="shared" si="5"/>
        <v>0</v>
      </c>
      <c r="W139" s="33">
        <f>[1]!s_info_city(B139)</f>
        <v>0</v>
      </c>
      <c r="X139" s="10">
        <f>IF([1]!s_stmnote_bank_17n(B139,$A139,1)="0","",[1]!s_stmnote_bank_17n(B139,$A139,1))</f>
        <v>0</v>
      </c>
      <c r="Y139" s="10">
        <f>IF([1]!s_stmnote_bank_18n(B139,$A139,1)="0","",[1]!s_stmnote_bank_18n(B139,$A139,1))</f>
        <v>0</v>
      </c>
      <c r="Z139" s="41">
        <f>IF([1]!s_stmnote_bank_58(B139,$A139,1)="0","",[1]!s_stmnote_bank_58(B139,$A139,1))</f>
        <v>0</v>
      </c>
      <c r="AA139" s="52">
        <f>IF([1]!s_stmnote_bank_60(B139,$A139,1)="0","",[1]!s_stmnote_bank_60(B139,$A139,1))</f>
        <v>0</v>
      </c>
      <c r="AB139" s="52">
        <f>[1]!s_stmnote_bank_5444(B139,$A139,1)</f>
        <v>0</v>
      </c>
      <c r="AC139" s="38">
        <f>[1]!s_stmnote_bank_129n($B139,$A139,1)</f>
        <v>0</v>
      </c>
      <c r="AD139" s="54">
        <f>[1]!s_stmnote_bank_30(B139,$A139,1)</f>
        <v>0</v>
      </c>
    </row>
    <row r="140" spans="1:30" s="46" customFormat="1" ht="24">
      <c r="A140" s="1" t="s">
        <v>1110</v>
      </c>
      <c r="B140" s="87" t="s">
        <v>1248</v>
      </c>
      <c r="C140" s="8">
        <f>IF([1]!b_info_issuer(B140)="0","",IFERROR([1]!b_info_issuer(B140),""))</f>
        <v>0</v>
      </c>
      <c r="D140" s="11">
        <f>IF([1]!b_info_latestissurercreditrating(B140)="0","",IFERROR([1]!b_info_latestissurercreditrating(B140),""))</f>
        <v>0</v>
      </c>
      <c r="E140" s="27" t="str">
        <f>IFERROR(([1]!b_stm07_bs($B140,47,$A140,1,100000000))/[1]!b_stm07_bs($B140,109,$A140,1,100000000),"")</f>
        <v/>
      </c>
      <c r="F140" s="18" t="str">
        <f>IFERROR(([1]!s_stmnote_bank_26($B140,$A140,1,100000000)-[1]!s_stmnote_bank_26($B140,#REF!,1,100000000)+#REF!)/[1]!s_stmnote_bank_1n($B140,#REF!,1,100000000),"")</f>
        <v/>
      </c>
      <c r="G140" s="21" t="str">
        <f t="shared" si="4"/>
        <v/>
      </c>
      <c r="H140" s="18" t="str">
        <f>IFERROR([1]!s_stmnote_bank($B140,"34",$A140,100000000)/[1]!s_stmnote_bank_1n(B140,$A140,1,100000000),"")</f>
        <v/>
      </c>
      <c r="I140" s="25">
        <f>[1]!b_stm07_bs(B140,74,$A140,1,100000000)</f>
        <v>0</v>
      </c>
      <c r="J140" s="25">
        <f>[1]!b_stm07_bs(B140,109,$A140,1,100000000)</f>
        <v>0</v>
      </c>
      <c r="K140" s="10">
        <f>[1]!s_stmnote_bank_5n(B140,$A140,1)</f>
        <v>0</v>
      </c>
      <c r="L140" s="25">
        <f>[1]!s_stmnote_bank_23n(B140,$A140,1)</f>
        <v>0</v>
      </c>
      <c r="M140" s="25">
        <f>[1]!s_stmnote_bank_capadequacyratio(B140,$A140,1)</f>
        <v>0</v>
      </c>
      <c r="N140" s="25">
        <f>[1]!s_stmnote_bank_capadequacyratio_ct1(B140,$A140,1)</f>
        <v>0</v>
      </c>
      <c r="O140" s="6">
        <f>IF(OR([1]!s_fa_roe(B140,20201231)="0",[1]!s_fa_roe(B140,20211231)="0",[1]!s_fa_roe(B140,20221231)="0"),"",IFERROR(([1]!s_fa_roe(B140,20221231)+[1]!s_fa_roe(B140,20201231)+[1]!s_fa_roe(B140,20211231))/3,""))</f>
        <v>0</v>
      </c>
      <c r="P140" s="28" t="str">
        <f>IFERROR(([1]!s_stmnote_bank_65(B140,$A140,1,2,4,100000000)+[1]!s_stmnote_bank_65(B140,$A140,1,2,6,100000000))/[1]!s_stmnote_bank_1n(B140,$A140,1,100000000),"")</f>
        <v/>
      </c>
      <c r="Q140" s="28" t="str">
        <f>IFERROR([1]!s_stmnote_bank_614(B140,$A140,1,2,100000000)/[1]!s_stmnote_bank_647(B140,$A140,1,2,100000000),"")</f>
        <v/>
      </c>
      <c r="R140" s="28" t="str">
        <f>IFERROR(([1]!b_stm07_bs(B140,104,$A140,1,100000000)+[1]!b_stm07_bs(B140,106,$A140,1,100000000)+[1]!b_stm07_bs(B140,76,$A140,1,100000000)+[1]!b_stm07_bs(B140,108,$A140,1,100000000)+[1]!b_stm07_bs(B140,95,$A140,1,100000000))/[1]!b_stm07_bs(B140,128,$A140,1,100000000),"")</f>
        <v/>
      </c>
      <c r="S140" s="28" t="str">
        <f>IFERROR(([1]!s_stmnote_bank_614(B140,$A140,1,2,100000000)+[1]!b_stm07_bs(B140,104,$A140,1,100000000)+[1]!b_stm07_bs(B140,106,$A140,1,100000000)+[1]!b_stm07_bs(B140,76,$A140,1,100000000)+[1]!b_stm07_bs(B140,108,$A140,1,100000000)+[1]!b_stm07_bs(B140,95,$A140,1,100000000))/[1]!b_stm07_bs(B140,128,$A140,1,100000000),"")</f>
        <v/>
      </c>
      <c r="T140" s="11">
        <f>[1]!b_issuer_shareholder(B140,"",1)</f>
        <v>0</v>
      </c>
      <c r="U140" s="10">
        <f>[1]!b_issuer_propofshareholder(B140,"",1)</f>
        <v>0</v>
      </c>
      <c r="V140" s="33" t="str">
        <f t="shared" si="5"/>
        <v>0</v>
      </c>
      <c r="W140" s="33">
        <f>[1]!s_info_city(B140)</f>
        <v>0</v>
      </c>
      <c r="X140" s="10">
        <f>IF([1]!s_stmnote_bank_17n(B140,$A140,1)="0","",[1]!s_stmnote_bank_17n(B140,$A140,1))</f>
        <v>0</v>
      </c>
      <c r="Y140" s="10">
        <f>IF([1]!s_stmnote_bank_18n(B140,$A140,1)="0","",[1]!s_stmnote_bank_18n(B140,$A140,1))</f>
        <v>0</v>
      </c>
      <c r="Z140" s="41">
        <f>IF([1]!s_stmnote_bank_58(B140,$A140,1)="0","",[1]!s_stmnote_bank_58(B140,$A140,1))</f>
        <v>0</v>
      </c>
      <c r="AA140" s="52">
        <f>IF([1]!s_stmnote_bank_60(B140,$A140,1)="0","",[1]!s_stmnote_bank_60(B140,$A140,1))</f>
        <v>0</v>
      </c>
      <c r="AB140" s="52">
        <f>[1]!s_stmnote_bank_5444(B140,$A140,1)</f>
        <v>0</v>
      </c>
      <c r="AC140" s="38">
        <f>[1]!s_stmnote_bank_129n($B140,$A140,1)</f>
        <v>0</v>
      </c>
      <c r="AD140" s="54">
        <f>[1]!s_stmnote_bank_30(B140,$A140,1)</f>
        <v>0</v>
      </c>
    </row>
    <row r="141" spans="1:30" s="46" customFormat="1" ht="24">
      <c r="A141" s="1" t="s">
        <v>1110</v>
      </c>
      <c r="B141" s="87" t="s">
        <v>1249</v>
      </c>
      <c r="C141" s="8">
        <f>IF([1]!b_info_issuer(B141)="0","",IFERROR([1]!b_info_issuer(B141),""))</f>
        <v>0</v>
      </c>
      <c r="D141" s="11">
        <f>IF([1]!b_info_latestissurercreditrating(B141)="0","",IFERROR([1]!b_info_latestissurercreditrating(B141),""))</f>
        <v>0</v>
      </c>
      <c r="E141" s="27" t="str">
        <f>IFERROR(([1]!b_stm07_bs($B141,47,$A141,1,100000000))/[1]!b_stm07_bs($B141,109,$A141,1,100000000),"")</f>
        <v/>
      </c>
      <c r="F141" s="18" t="str">
        <f>IFERROR(([1]!s_stmnote_bank_26($B141,$A141,1,100000000)-[1]!s_stmnote_bank_26($B141,#REF!,1,100000000)+#REF!)/[1]!s_stmnote_bank_1n($B141,#REF!,1,100000000),"")</f>
        <v/>
      </c>
      <c r="G141" s="21" t="str">
        <f t="shared" si="4"/>
        <v/>
      </c>
      <c r="H141" s="18" t="str">
        <f>IFERROR([1]!s_stmnote_bank($B141,"34",$A141,100000000)/[1]!s_stmnote_bank_1n(B141,$A141,1,100000000),"")</f>
        <v/>
      </c>
      <c r="I141" s="25">
        <f>[1]!b_stm07_bs(B141,74,$A141,1,100000000)</f>
        <v>0</v>
      </c>
      <c r="J141" s="25">
        <f>[1]!b_stm07_bs(B141,109,$A141,1,100000000)</f>
        <v>0</v>
      </c>
      <c r="K141" s="10">
        <f>[1]!s_stmnote_bank_5n(B141,$A141,1)</f>
        <v>0</v>
      </c>
      <c r="L141" s="25">
        <f>[1]!s_stmnote_bank_23n(B141,$A141,1)</f>
        <v>0</v>
      </c>
      <c r="M141" s="25">
        <f>[1]!s_stmnote_bank_capadequacyratio(B141,$A141,1)</f>
        <v>0</v>
      </c>
      <c r="N141" s="25">
        <f>[1]!s_stmnote_bank_capadequacyratio_ct1(B141,$A141,1)</f>
        <v>0</v>
      </c>
      <c r="O141" s="6">
        <f>IF(OR([1]!s_fa_roe(B141,20201231)="0",[1]!s_fa_roe(B141,20211231)="0",[1]!s_fa_roe(B141,20221231)="0"),"",IFERROR(([1]!s_fa_roe(B141,20221231)+[1]!s_fa_roe(B141,20201231)+[1]!s_fa_roe(B141,20211231))/3,""))</f>
        <v>0</v>
      </c>
      <c r="P141" s="28" t="str">
        <f>IFERROR(([1]!s_stmnote_bank_65(B141,$A141,1,2,4,100000000)+[1]!s_stmnote_bank_65(B141,$A141,1,2,6,100000000))/[1]!s_stmnote_bank_1n(B141,$A141,1,100000000),"")</f>
        <v/>
      </c>
      <c r="Q141" s="28" t="str">
        <f>IFERROR([1]!s_stmnote_bank_614(B141,$A141,1,2,100000000)/[1]!s_stmnote_bank_647(B141,$A141,1,2,100000000),"")</f>
        <v/>
      </c>
      <c r="R141" s="28" t="str">
        <f>IFERROR(([1]!b_stm07_bs(B141,104,$A141,1,100000000)+[1]!b_stm07_bs(B141,106,$A141,1,100000000)+[1]!b_stm07_bs(B141,76,$A141,1,100000000)+[1]!b_stm07_bs(B141,108,$A141,1,100000000)+[1]!b_stm07_bs(B141,95,$A141,1,100000000))/[1]!b_stm07_bs(B141,128,$A141,1,100000000),"")</f>
        <v/>
      </c>
      <c r="S141" s="28" t="str">
        <f>IFERROR(([1]!s_stmnote_bank_614(B141,$A141,1,2,100000000)+[1]!b_stm07_bs(B141,104,$A141,1,100000000)+[1]!b_stm07_bs(B141,106,$A141,1,100000000)+[1]!b_stm07_bs(B141,76,$A141,1,100000000)+[1]!b_stm07_bs(B141,108,$A141,1,100000000)+[1]!b_stm07_bs(B141,95,$A141,1,100000000))/[1]!b_stm07_bs(B141,128,$A141,1,100000000),"")</f>
        <v/>
      </c>
      <c r="T141" s="11">
        <f>[1]!b_issuer_shareholder(B141,"",1)</f>
        <v>0</v>
      </c>
      <c r="U141" s="10">
        <f>[1]!b_issuer_propofshareholder(B141,"",1)</f>
        <v>0</v>
      </c>
      <c r="V141" s="33" t="str">
        <f t="shared" si="5"/>
        <v>0</v>
      </c>
      <c r="W141" s="33">
        <f>[1]!s_info_city(B141)</f>
        <v>0</v>
      </c>
      <c r="X141" s="10">
        <f>IF([1]!s_stmnote_bank_17n(B141,$A141,1)="0","",[1]!s_stmnote_bank_17n(B141,$A141,1))</f>
        <v>0</v>
      </c>
      <c r="Y141" s="10">
        <f>IF([1]!s_stmnote_bank_18n(B141,$A141,1)="0","",[1]!s_stmnote_bank_18n(B141,$A141,1))</f>
        <v>0</v>
      </c>
      <c r="Z141" s="41">
        <f>IF([1]!s_stmnote_bank_58(B141,$A141,1)="0","",[1]!s_stmnote_bank_58(B141,$A141,1))</f>
        <v>0</v>
      </c>
      <c r="AA141" s="52">
        <f>IF([1]!s_stmnote_bank_60(B141,$A141,1)="0","",[1]!s_stmnote_bank_60(B141,$A141,1))</f>
        <v>0</v>
      </c>
      <c r="AB141" s="52">
        <f>[1]!s_stmnote_bank_5444(B141,$A141,1)</f>
        <v>0</v>
      </c>
      <c r="AC141" s="38">
        <f>[1]!s_stmnote_bank_129n($B141,$A141,1)</f>
        <v>0</v>
      </c>
      <c r="AD141" s="54">
        <f>[1]!s_stmnote_bank_30(B141,$A141,1)</f>
        <v>0</v>
      </c>
    </row>
    <row r="142" spans="1:30" s="46" customFormat="1" ht="24">
      <c r="A142" s="1" t="s">
        <v>1110</v>
      </c>
      <c r="B142" s="87" t="s">
        <v>1250</v>
      </c>
      <c r="C142" s="8">
        <f>IF([1]!b_info_issuer(B142)="0","",IFERROR([1]!b_info_issuer(B142),""))</f>
        <v>0</v>
      </c>
      <c r="D142" s="11">
        <f>IF([1]!b_info_latestissurercreditrating(B142)="0","",IFERROR([1]!b_info_latestissurercreditrating(B142),""))</f>
        <v>0</v>
      </c>
      <c r="E142" s="27" t="str">
        <f>IFERROR(([1]!b_stm07_bs($B142,47,$A142,1,100000000))/[1]!b_stm07_bs($B142,109,$A142,1,100000000),"")</f>
        <v/>
      </c>
      <c r="F142" s="18" t="str">
        <f>IFERROR(([1]!s_stmnote_bank_26($B142,$A142,1,100000000)-[1]!s_stmnote_bank_26($B142,#REF!,1,100000000)+#REF!)/[1]!s_stmnote_bank_1n($B142,#REF!,1,100000000),"")</f>
        <v/>
      </c>
      <c r="G142" s="21" t="str">
        <f t="shared" si="4"/>
        <v/>
      </c>
      <c r="H142" s="18" t="str">
        <f>IFERROR([1]!s_stmnote_bank($B142,"34",$A142,100000000)/[1]!s_stmnote_bank_1n(B142,$A142,1,100000000),"")</f>
        <v/>
      </c>
      <c r="I142" s="25">
        <f>[1]!b_stm07_bs(B142,74,$A142,1,100000000)</f>
        <v>0</v>
      </c>
      <c r="J142" s="25">
        <f>[1]!b_stm07_bs(B142,109,$A142,1,100000000)</f>
        <v>0</v>
      </c>
      <c r="K142" s="10">
        <f>[1]!s_stmnote_bank_5n(B142,$A142,1)</f>
        <v>0</v>
      </c>
      <c r="L142" s="25">
        <f>[1]!s_stmnote_bank_23n(B142,$A142,1)</f>
        <v>0</v>
      </c>
      <c r="M142" s="25">
        <f>[1]!s_stmnote_bank_capadequacyratio(B142,$A142,1)</f>
        <v>0</v>
      </c>
      <c r="N142" s="25">
        <f>[1]!s_stmnote_bank_capadequacyratio_ct1(B142,$A142,1)</f>
        <v>0</v>
      </c>
      <c r="O142" s="6">
        <f>IF(OR([1]!s_fa_roe(B142,20201231)="0",[1]!s_fa_roe(B142,20211231)="0",[1]!s_fa_roe(B142,20221231)="0"),"",IFERROR(([1]!s_fa_roe(B142,20221231)+[1]!s_fa_roe(B142,20201231)+[1]!s_fa_roe(B142,20211231))/3,""))</f>
        <v>0</v>
      </c>
      <c r="P142" s="28" t="str">
        <f>IFERROR(([1]!s_stmnote_bank_65(B142,$A142,1,2,4,100000000)+[1]!s_stmnote_bank_65(B142,$A142,1,2,6,100000000))/[1]!s_stmnote_bank_1n(B142,$A142,1,100000000),"")</f>
        <v/>
      </c>
      <c r="Q142" s="28" t="str">
        <f>IFERROR([1]!s_stmnote_bank_614(B142,$A142,1,2,100000000)/[1]!s_stmnote_bank_647(B142,$A142,1,2,100000000),"")</f>
        <v/>
      </c>
      <c r="R142" s="28" t="str">
        <f>IFERROR(([1]!b_stm07_bs(B142,104,$A142,1,100000000)+[1]!b_stm07_bs(B142,106,$A142,1,100000000)+[1]!b_stm07_bs(B142,76,$A142,1,100000000)+[1]!b_stm07_bs(B142,108,$A142,1,100000000)+[1]!b_stm07_bs(B142,95,$A142,1,100000000))/[1]!b_stm07_bs(B142,128,$A142,1,100000000),"")</f>
        <v/>
      </c>
      <c r="S142" s="28" t="str">
        <f>IFERROR(([1]!s_stmnote_bank_614(B142,$A142,1,2,100000000)+[1]!b_stm07_bs(B142,104,$A142,1,100000000)+[1]!b_stm07_bs(B142,106,$A142,1,100000000)+[1]!b_stm07_bs(B142,76,$A142,1,100000000)+[1]!b_stm07_bs(B142,108,$A142,1,100000000)+[1]!b_stm07_bs(B142,95,$A142,1,100000000))/[1]!b_stm07_bs(B142,128,$A142,1,100000000),"")</f>
        <v/>
      </c>
      <c r="T142" s="11">
        <f>[1]!b_issuer_shareholder(B142,"",1)</f>
        <v>0</v>
      </c>
      <c r="U142" s="10">
        <f>[1]!b_issuer_propofshareholder(B142,"",1)</f>
        <v>0</v>
      </c>
      <c r="V142" s="33" t="str">
        <f t="shared" si="5"/>
        <v>0</v>
      </c>
      <c r="W142" s="33">
        <f>[1]!s_info_city(B142)</f>
        <v>0</v>
      </c>
      <c r="X142" s="10">
        <f>IF([1]!s_stmnote_bank_17n(B142,$A142,1)="0","",[1]!s_stmnote_bank_17n(B142,$A142,1))</f>
        <v>0</v>
      </c>
      <c r="Y142" s="10">
        <f>IF([1]!s_stmnote_bank_18n(B142,$A142,1)="0","",[1]!s_stmnote_bank_18n(B142,$A142,1))</f>
        <v>0</v>
      </c>
      <c r="Z142" s="41">
        <f>IF([1]!s_stmnote_bank_58(B142,$A142,1)="0","",[1]!s_stmnote_bank_58(B142,$A142,1))</f>
        <v>0</v>
      </c>
      <c r="AA142" s="52">
        <f>IF([1]!s_stmnote_bank_60(B142,$A142,1)="0","",[1]!s_stmnote_bank_60(B142,$A142,1))</f>
        <v>0</v>
      </c>
      <c r="AB142" s="52">
        <f>[1]!s_stmnote_bank_5444(B142,$A142,1)</f>
        <v>0</v>
      </c>
      <c r="AC142" s="38">
        <f>[1]!s_stmnote_bank_129n($B142,$A142,1)</f>
        <v>0</v>
      </c>
      <c r="AD142" s="54">
        <f>[1]!s_stmnote_bank_30(B142,$A142,1)</f>
        <v>0</v>
      </c>
    </row>
    <row r="143" spans="1:30" s="46" customFormat="1" ht="24">
      <c r="A143" s="1" t="s">
        <v>1110</v>
      </c>
      <c r="B143" s="87" t="s">
        <v>1251</v>
      </c>
      <c r="C143" s="8">
        <f>IF([1]!b_info_issuer(B143)="0","",IFERROR([1]!b_info_issuer(B143),""))</f>
        <v>0</v>
      </c>
      <c r="D143" s="11">
        <f>IF([1]!b_info_latestissurercreditrating(B143)="0","",IFERROR([1]!b_info_latestissurercreditrating(B143),""))</f>
        <v>0</v>
      </c>
      <c r="E143" s="27" t="str">
        <f>IFERROR(([1]!b_stm07_bs($B143,47,$A143,1,100000000))/[1]!b_stm07_bs($B143,109,$A143,1,100000000),"")</f>
        <v/>
      </c>
      <c r="F143" s="18" t="str">
        <f>IFERROR(([1]!s_stmnote_bank_26($B143,$A143,1,100000000)-[1]!s_stmnote_bank_26($B143,#REF!,1,100000000)+#REF!)/[1]!s_stmnote_bank_1n($B143,#REF!,1,100000000),"")</f>
        <v/>
      </c>
      <c r="G143" s="21" t="str">
        <f t="shared" si="4"/>
        <v/>
      </c>
      <c r="H143" s="18" t="str">
        <f>IFERROR([1]!s_stmnote_bank($B143,"34",$A143,100000000)/[1]!s_stmnote_bank_1n(B143,$A143,1,100000000),"")</f>
        <v/>
      </c>
      <c r="I143" s="25">
        <f>[1]!b_stm07_bs(B143,74,$A143,1,100000000)</f>
        <v>0</v>
      </c>
      <c r="J143" s="25">
        <f>[1]!b_stm07_bs(B143,109,$A143,1,100000000)</f>
        <v>0</v>
      </c>
      <c r="K143" s="10">
        <f>[1]!s_stmnote_bank_5n(B143,$A143,1)</f>
        <v>0</v>
      </c>
      <c r="L143" s="25">
        <f>[1]!s_stmnote_bank_23n(B143,$A143,1)</f>
        <v>0</v>
      </c>
      <c r="M143" s="25">
        <f>[1]!s_stmnote_bank_capadequacyratio(B143,$A143,1)</f>
        <v>0</v>
      </c>
      <c r="N143" s="25">
        <f>[1]!s_stmnote_bank_capadequacyratio_ct1(B143,$A143,1)</f>
        <v>0</v>
      </c>
      <c r="O143" s="6">
        <f>IF(OR([1]!s_fa_roe(B143,20201231)="0",[1]!s_fa_roe(B143,20211231)="0",[1]!s_fa_roe(B143,20221231)="0"),"",IFERROR(([1]!s_fa_roe(B143,20221231)+[1]!s_fa_roe(B143,20201231)+[1]!s_fa_roe(B143,20211231))/3,""))</f>
        <v>0</v>
      </c>
      <c r="P143" s="28" t="str">
        <f>IFERROR(([1]!s_stmnote_bank_65(B143,$A143,1,2,4,100000000)+[1]!s_stmnote_bank_65(B143,$A143,1,2,6,100000000))/[1]!s_stmnote_bank_1n(B143,$A143,1,100000000),"")</f>
        <v/>
      </c>
      <c r="Q143" s="28" t="str">
        <f>IFERROR([1]!s_stmnote_bank_614(B143,$A143,1,2,100000000)/[1]!s_stmnote_bank_647(B143,$A143,1,2,100000000),"")</f>
        <v/>
      </c>
      <c r="R143" s="28" t="str">
        <f>IFERROR(([1]!b_stm07_bs(B143,104,$A143,1,100000000)+[1]!b_stm07_bs(B143,106,$A143,1,100000000)+[1]!b_stm07_bs(B143,76,$A143,1,100000000)+[1]!b_stm07_bs(B143,108,$A143,1,100000000)+[1]!b_stm07_bs(B143,95,$A143,1,100000000))/[1]!b_stm07_bs(B143,128,$A143,1,100000000),"")</f>
        <v/>
      </c>
      <c r="S143" s="28" t="str">
        <f>IFERROR(([1]!s_stmnote_bank_614(B143,$A143,1,2,100000000)+[1]!b_stm07_bs(B143,104,$A143,1,100000000)+[1]!b_stm07_bs(B143,106,$A143,1,100000000)+[1]!b_stm07_bs(B143,76,$A143,1,100000000)+[1]!b_stm07_bs(B143,108,$A143,1,100000000)+[1]!b_stm07_bs(B143,95,$A143,1,100000000))/[1]!b_stm07_bs(B143,128,$A143,1,100000000),"")</f>
        <v/>
      </c>
      <c r="T143" s="11">
        <f>[1]!b_issuer_shareholder(B143,"",1)</f>
        <v>0</v>
      </c>
      <c r="U143" s="10">
        <f>[1]!b_issuer_propofshareholder(B143,"",1)</f>
        <v>0</v>
      </c>
      <c r="V143" s="33" t="str">
        <f t="shared" si="5"/>
        <v>0</v>
      </c>
      <c r="W143" s="33">
        <f>[1]!s_info_city(B143)</f>
        <v>0</v>
      </c>
      <c r="X143" s="10">
        <f>IF([1]!s_stmnote_bank_17n(B143,$A143,1)="0","",[1]!s_stmnote_bank_17n(B143,$A143,1))</f>
        <v>0</v>
      </c>
      <c r="Y143" s="10">
        <f>IF([1]!s_stmnote_bank_18n(B143,$A143,1)="0","",[1]!s_stmnote_bank_18n(B143,$A143,1))</f>
        <v>0</v>
      </c>
      <c r="Z143" s="41">
        <f>IF([1]!s_stmnote_bank_58(B143,$A143,1)="0","",[1]!s_stmnote_bank_58(B143,$A143,1))</f>
        <v>0</v>
      </c>
      <c r="AA143" s="52">
        <f>IF([1]!s_stmnote_bank_60(B143,$A143,1)="0","",[1]!s_stmnote_bank_60(B143,$A143,1))</f>
        <v>0</v>
      </c>
      <c r="AB143" s="52">
        <f>[1]!s_stmnote_bank_5444(B143,$A143,1)</f>
        <v>0</v>
      </c>
      <c r="AC143" s="38">
        <f>[1]!s_stmnote_bank_129n($B143,$A143,1)</f>
        <v>0</v>
      </c>
      <c r="AD143" s="54">
        <f>[1]!s_stmnote_bank_30(B143,$A143,1)</f>
        <v>0</v>
      </c>
    </row>
    <row r="144" spans="1:30" s="46" customFormat="1" ht="24">
      <c r="A144" s="1" t="s">
        <v>1110</v>
      </c>
      <c r="B144" s="87" t="s">
        <v>1252</v>
      </c>
      <c r="C144" s="8">
        <f>IF([1]!b_info_issuer(B144)="0","",IFERROR([1]!b_info_issuer(B144),""))</f>
        <v>0</v>
      </c>
      <c r="D144" s="11">
        <f>IF([1]!b_info_latestissurercreditrating(B144)="0","",IFERROR([1]!b_info_latestissurercreditrating(B144),""))</f>
        <v>0</v>
      </c>
      <c r="E144" s="27" t="str">
        <f>IFERROR(([1]!b_stm07_bs($B144,47,$A144,1,100000000))/[1]!b_stm07_bs($B144,109,$A144,1,100000000),"")</f>
        <v/>
      </c>
      <c r="F144" s="18" t="str">
        <f>IFERROR(([1]!s_stmnote_bank_26($B144,$A144,1,100000000)-[1]!s_stmnote_bank_26($B144,#REF!,1,100000000)+#REF!)/[1]!s_stmnote_bank_1n($B144,#REF!,1,100000000),"")</f>
        <v/>
      </c>
      <c r="G144" s="21" t="str">
        <f t="shared" si="4"/>
        <v/>
      </c>
      <c r="H144" s="18" t="str">
        <f>IFERROR([1]!s_stmnote_bank($B144,"34",$A144,100000000)/[1]!s_stmnote_bank_1n(B144,$A144,1,100000000),"")</f>
        <v/>
      </c>
      <c r="I144" s="25">
        <f>[1]!b_stm07_bs(B144,74,$A144,1,100000000)</f>
        <v>0</v>
      </c>
      <c r="J144" s="25">
        <f>[1]!b_stm07_bs(B144,109,$A144,1,100000000)</f>
        <v>0</v>
      </c>
      <c r="K144" s="10">
        <f>[1]!s_stmnote_bank_5n(B144,$A144,1)</f>
        <v>0</v>
      </c>
      <c r="L144" s="25">
        <f>[1]!s_stmnote_bank_23n(B144,$A144,1)</f>
        <v>0</v>
      </c>
      <c r="M144" s="25">
        <f>[1]!s_stmnote_bank_capadequacyratio(B144,$A144,1)</f>
        <v>0</v>
      </c>
      <c r="N144" s="25">
        <f>[1]!s_stmnote_bank_capadequacyratio_ct1(B144,$A144,1)</f>
        <v>0</v>
      </c>
      <c r="O144" s="6">
        <f>IF(OR([1]!s_fa_roe(B144,20201231)="0",[1]!s_fa_roe(B144,20211231)="0",[1]!s_fa_roe(B144,20221231)="0"),"",IFERROR(([1]!s_fa_roe(B144,20221231)+[1]!s_fa_roe(B144,20201231)+[1]!s_fa_roe(B144,20211231))/3,""))</f>
        <v>0</v>
      </c>
      <c r="P144" s="28" t="str">
        <f>IFERROR(([1]!s_stmnote_bank_65(B144,$A144,1,2,4,100000000)+[1]!s_stmnote_bank_65(B144,$A144,1,2,6,100000000))/[1]!s_stmnote_bank_1n(B144,$A144,1,100000000),"")</f>
        <v/>
      </c>
      <c r="Q144" s="28" t="str">
        <f>IFERROR([1]!s_stmnote_bank_614(B144,$A144,1,2,100000000)/[1]!s_stmnote_bank_647(B144,$A144,1,2,100000000),"")</f>
        <v/>
      </c>
      <c r="R144" s="28" t="str">
        <f>IFERROR(([1]!b_stm07_bs(B144,104,$A144,1,100000000)+[1]!b_stm07_bs(B144,106,$A144,1,100000000)+[1]!b_stm07_bs(B144,76,$A144,1,100000000)+[1]!b_stm07_bs(B144,108,$A144,1,100000000)+[1]!b_stm07_bs(B144,95,$A144,1,100000000))/[1]!b_stm07_bs(B144,128,$A144,1,100000000),"")</f>
        <v/>
      </c>
      <c r="S144" s="28" t="str">
        <f>IFERROR(([1]!s_stmnote_bank_614(B144,$A144,1,2,100000000)+[1]!b_stm07_bs(B144,104,$A144,1,100000000)+[1]!b_stm07_bs(B144,106,$A144,1,100000000)+[1]!b_stm07_bs(B144,76,$A144,1,100000000)+[1]!b_stm07_bs(B144,108,$A144,1,100000000)+[1]!b_stm07_bs(B144,95,$A144,1,100000000))/[1]!b_stm07_bs(B144,128,$A144,1,100000000),"")</f>
        <v/>
      </c>
      <c r="T144" s="11">
        <f>[1]!b_issuer_shareholder(B144,"",1)</f>
        <v>0</v>
      </c>
      <c r="U144" s="10">
        <f>[1]!b_issuer_propofshareholder(B144,"",1)</f>
        <v>0</v>
      </c>
      <c r="V144" s="33" t="str">
        <f t="shared" si="5"/>
        <v>0</v>
      </c>
      <c r="W144" s="33">
        <f>[1]!s_info_city(B144)</f>
        <v>0</v>
      </c>
      <c r="X144" s="10">
        <f>IF([1]!s_stmnote_bank_17n(B144,$A144,1)="0","",[1]!s_stmnote_bank_17n(B144,$A144,1))</f>
        <v>0</v>
      </c>
      <c r="Y144" s="10">
        <f>IF([1]!s_stmnote_bank_18n(B144,$A144,1)="0","",[1]!s_stmnote_bank_18n(B144,$A144,1))</f>
        <v>0</v>
      </c>
      <c r="Z144" s="41">
        <f>IF([1]!s_stmnote_bank_58(B144,$A144,1)="0","",[1]!s_stmnote_bank_58(B144,$A144,1))</f>
        <v>0</v>
      </c>
      <c r="AA144" s="52">
        <f>IF([1]!s_stmnote_bank_60(B144,$A144,1)="0","",[1]!s_stmnote_bank_60(B144,$A144,1))</f>
        <v>0</v>
      </c>
      <c r="AB144" s="52">
        <f>[1]!s_stmnote_bank_5444(B144,$A144,1)</f>
        <v>0</v>
      </c>
      <c r="AC144" s="38">
        <f>[1]!s_stmnote_bank_129n($B144,$A144,1)</f>
        <v>0</v>
      </c>
      <c r="AD144" s="54">
        <f>[1]!s_stmnote_bank_30(B144,$A144,1)</f>
        <v>0</v>
      </c>
    </row>
    <row r="145" spans="1:30" s="46" customFormat="1" ht="24">
      <c r="A145" s="1" t="s">
        <v>1110</v>
      </c>
      <c r="B145" s="87" t="s">
        <v>1253</v>
      </c>
      <c r="C145" s="8">
        <f>IF([1]!b_info_issuer(B145)="0","",IFERROR([1]!b_info_issuer(B145),""))</f>
        <v>0</v>
      </c>
      <c r="D145" s="11">
        <f>IF([1]!b_info_latestissurercreditrating(B145)="0","",IFERROR([1]!b_info_latestissurercreditrating(B145),""))</f>
        <v>0</v>
      </c>
      <c r="E145" s="27" t="str">
        <f>IFERROR(([1]!b_stm07_bs($B145,47,$A145,1,100000000))/[1]!b_stm07_bs($B145,109,$A145,1,100000000),"")</f>
        <v/>
      </c>
      <c r="F145" s="18" t="str">
        <f>IFERROR(([1]!s_stmnote_bank_26($B145,$A145,1,100000000)-[1]!s_stmnote_bank_26($B145,#REF!,1,100000000)+#REF!)/[1]!s_stmnote_bank_1n($B145,#REF!,1,100000000),"")</f>
        <v/>
      </c>
      <c r="G145" s="21" t="str">
        <f t="shared" si="4"/>
        <v/>
      </c>
      <c r="H145" s="18" t="str">
        <f>IFERROR([1]!s_stmnote_bank($B145,"34",$A145,100000000)/[1]!s_stmnote_bank_1n(B145,$A145,1,100000000),"")</f>
        <v/>
      </c>
      <c r="I145" s="25">
        <f>[1]!b_stm07_bs(B145,74,$A145,1,100000000)</f>
        <v>0</v>
      </c>
      <c r="J145" s="25">
        <f>[1]!b_stm07_bs(B145,109,$A145,1,100000000)</f>
        <v>0</v>
      </c>
      <c r="K145" s="10">
        <f>[1]!s_stmnote_bank_5n(B145,$A145,1)</f>
        <v>0</v>
      </c>
      <c r="L145" s="25">
        <f>[1]!s_stmnote_bank_23n(B145,$A145,1)</f>
        <v>0</v>
      </c>
      <c r="M145" s="25">
        <f>[1]!s_stmnote_bank_capadequacyratio(B145,$A145,1)</f>
        <v>0</v>
      </c>
      <c r="N145" s="25">
        <f>[1]!s_stmnote_bank_capadequacyratio_ct1(B145,$A145,1)</f>
        <v>0</v>
      </c>
      <c r="O145" s="6">
        <f>IF(OR([1]!s_fa_roe(B145,20201231)="0",[1]!s_fa_roe(B145,20211231)="0",[1]!s_fa_roe(B145,20221231)="0"),"",IFERROR(([1]!s_fa_roe(B145,20221231)+[1]!s_fa_roe(B145,20201231)+[1]!s_fa_roe(B145,20211231))/3,""))</f>
        <v>0</v>
      </c>
      <c r="P145" s="28" t="str">
        <f>IFERROR(([1]!s_stmnote_bank_65(B145,$A145,1,2,4,100000000)+[1]!s_stmnote_bank_65(B145,$A145,1,2,6,100000000))/[1]!s_stmnote_bank_1n(B145,$A145,1,100000000),"")</f>
        <v/>
      </c>
      <c r="Q145" s="28" t="str">
        <f>IFERROR([1]!s_stmnote_bank_614(B145,$A145,1,2,100000000)/[1]!s_stmnote_bank_647(B145,$A145,1,2,100000000),"")</f>
        <v/>
      </c>
      <c r="R145" s="28" t="str">
        <f>IFERROR(([1]!b_stm07_bs(B145,104,$A145,1,100000000)+[1]!b_stm07_bs(B145,106,$A145,1,100000000)+[1]!b_stm07_bs(B145,76,$A145,1,100000000)+[1]!b_stm07_bs(B145,108,$A145,1,100000000)+[1]!b_stm07_bs(B145,95,$A145,1,100000000))/[1]!b_stm07_bs(B145,128,$A145,1,100000000),"")</f>
        <v/>
      </c>
      <c r="S145" s="28" t="str">
        <f>IFERROR(([1]!s_stmnote_bank_614(B145,$A145,1,2,100000000)+[1]!b_stm07_bs(B145,104,$A145,1,100000000)+[1]!b_stm07_bs(B145,106,$A145,1,100000000)+[1]!b_stm07_bs(B145,76,$A145,1,100000000)+[1]!b_stm07_bs(B145,108,$A145,1,100000000)+[1]!b_stm07_bs(B145,95,$A145,1,100000000))/[1]!b_stm07_bs(B145,128,$A145,1,100000000),"")</f>
        <v/>
      </c>
      <c r="T145" s="11">
        <f>[1]!b_issuer_shareholder(B145,"",1)</f>
        <v>0</v>
      </c>
      <c r="U145" s="10">
        <f>[1]!b_issuer_propofshareholder(B145,"",1)</f>
        <v>0</v>
      </c>
      <c r="V145" s="33" t="str">
        <f t="shared" si="5"/>
        <v>0</v>
      </c>
      <c r="W145" s="33">
        <f>[1]!s_info_city(B145)</f>
        <v>0</v>
      </c>
      <c r="X145" s="10">
        <f>IF([1]!s_stmnote_bank_17n(B145,$A145,1)="0","",[1]!s_stmnote_bank_17n(B145,$A145,1))</f>
        <v>0</v>
      </c>
      <c r="Y145" s="10">
        <f>IF([1]!s_stmnote_bank_18n(B145,$A145,1)="0","",[1]!s_stmnote_bank_18n(B145,$A145,1))</f>
        <v>0</v>
      </c>
      <c r="Z145" s="41">
        <f>IF([1]!s_stmnote_bank_58(B145,$A145,1)="0","",[1]!s_stmnote_bank_58(B145,$A145,1))</f>
        <v>0</v>
      </c>
      <c r="AA145" s="52">
        <f>IF([1]!s_stmnote_bank_60(B145,$A145,1)="0","",[1]!s_stmnote_bank_60(B145,$A145,1))</f>
        <v>0</v>
      </c>
      <c r="AB145" s="52">
        <f>[1]!s_stmnote_bank_5444(B145,$A145,1)</f>
        <v>0</v>
      </c>
      <c r="AC145" s="38">
        <f>[1]!s_stmnote_bank_129n($B145,$A145,1)</f>
        <v>0</v>
      </c>
      <c r="AD145" s="54">
        <f>[1]!s_stmnote_bank_30(B145,$A145,1)</f>
        <v>0</v>
      </c>
    </row>
    <row r="146" spans="1:30" s="46" customFormat="1" ht="24">
      <c r="A146" s="1" t="s">
        <v>1110</v>
      </c>
      <c r="B146" s="87" t="s">
        <v>1254</v>
      </c>
      <c r="C146" s="8">
        <f>IF([1]!b_info_issuer(B146)="0","",IFERROR([1]!b_info_issuer(B146),""))</f>
        <v>0</v>
      </c>
      <c r="D146" s="11">
        <f>IF([1]!b_info_latestissurercreditrating(B146)="0","",IFERROR([1]!b_info_latestissurercreditrating(B146),""))</f>
        <v>0</v>
      </c>
      <c r="E146" s="27" t="str">
        <f>IFERROR(([1]!b_stm07_bs($B146,47,$A146,1,100000000))/[1]!b_stm07_bs($B146,109,$A146,1,100000000),"")</f>
        <v/>
      </c>
      <c r="F146" s="18" t="str">
        <f>IFERROR(([1]!s_stmnote_bank_26($B146,$A146,1,100000000)-[1]!s_stmnote_bank_26($B146,#REF!,1,100000000)+#REF!)/[1]!s_stmnote_bank_1n($B146,#REF!,1,100000000),"")</f>
        <v/>
      </c>
      <c r="G146" s="21" t="str">
        <f t="shared" si="4"/>
        <v/>
      </c>
      <c r="H146" s="18" t="str">
        <f>IFERROR([1]!s_stmnote_bank($B146,"34",$A146,100000000)/[1]!s_stmnote_bank_1n(B146,$A146,1,100000000),"")</f>
        <v/>
      </c>
      <c r="I146" s="25">
        <f>[1]!b_stm07_bs(B146,74,$A146,1,100000000)</f>
        <v>0</v>
      </c>
      <c r="J146" s="25">
        <f>[1]!b_stm07_bs(B146,109,$A146,1,100000000)</f>
        <v>0</v>
      </c>
      <c r="K146" s="10">
        <f>[1]!s_stmnote_bank_5n(B146,$A146,1)</f>
        <v>0</v>
      </c>
      <c r="L146" s="25">
        <f>[1]!s_stmnote_bank_23n(B146,$A146,1)</f>
        <v>0</v>
      </c>
      <c r="M146" s="25">
        <f>[1]!s_stmnote_bank_capadequacyratio(B146,$A146,1)</f>
        <v>0</v>
      </c>
      <c r="N146" s="25">
        <f>[1]!s_stmnote_bank_capadequacyratio_ct1(B146,$A146,1)</f>
        <v>0</v>
      </c>
      <c r="O146" s="6">
        <f>IF(OR([1]!s_fa_roe(B146,20201231)="0",[1]!s_fa_roe(B146,20211231)="0",[1]!s_fa_roe(B146,20221231)="0"),"",IFERROR(([1]!s_fa_roe(B146,20221231)+[1]!s_fa_roe(B146,20201231)+[1]!s_fa_roe(B146,20211231))/3,""))</f>
        <v>0</v>
      </c>
      <c r="P146" s="28" t="str">
        <f>IFERROR(([1]!s_stmnote_bank_65(B146,$A146,1,2,4,100000000)+[1]!s_stmnote_bank_65(B146,$A146,1,2,6,100000000))/[1]!s_stmnote_bank_1n(B146,$A146,1,100000000),"")</f>
        <v/>
      </c>
      <c r="Q146" s="28" t="str">
        <f>IFERROR([1]!s_stmnote_bank_614(B146,$A146,1,2,100000000)/[1]!s_stmnote_bank_647(B146,$A146,1,2,100000000),"")</f>
        <v/>
      </c>
      <c r="R146" s="28" t="str">
        <f>IFERROR(([1]!b_stm07_bs(B146,104,$A146,1,100000000)+[1]!b_stm07_bs(B146,106,$A146,1,100000000)+[1]!b_stm07_bs(B146,76,$A146,1,100000000)+[1]!b_stm07_bs(B146,108,$A146,1,100000000)+[1]!b_stm07_bs(B146,95,$A146,1,100000000))/[1]!b_stm07_bs(B146,128,$A146,1,100000000),"")</f>
        <v/>
      </c>
      <c r="S146" s="28" t="str">
        <f>IFERROR(([1]!s_stmnote_bank_614(B146,$A146,1,2,100000000)+[1]!b_stm07_bs(B146,104,$A146,1,100000000)+[1]!b_stm07_bs(B146,106,$A146,1,100000000)+[1]!b_stm07_bs(B146,76,$A146,1,100000000)+[1]!b_stm07_bs(B146,108,$A146,1,100000000)+[1]!b_stm07_bs(B146,95,$A146,1,100000000))/[1]!b_stm07_bs(B146,128,$A146,1,100000000),"")</f>
        <v/>
      </c>
      <c r="T146" s="11">
        <f>[1]!b_issuer_shareholder(B146,"",1)</f>
        <v>0</v>
      </c>
      <c r="U146" s="10">
        <f>[1]!b_issuer_propofshareholder(B146,"",1)</f>
        <v>0</v>
      </c>
      <c r="V146" s="33" t="str">
        <f t="shared" si="5"/>
        <v>0</v>
      </c>
      <c r="W146" s="33">
        <f>[1]!s_info_city(B146)</f>
        <v>0</v>
      </c>
      <c r="X146" s="10">
        <f>IF([1]!s_stmnote_bank_17n(B146,$A146,1)="0","",[1]!s_stmnote_bank_17n(B146,$A146,1))</f>
        <v>0</v>
      </c>
      <c r="Y146" s="10">
        <f>IF([1]!s_stmnote_bank_18n(B146,$A146,1)="0","",[1]!s_stmnote_bank_18n(B146,$A146,1))</f>
        <v>0</v>
      </c>
      <c r="Z146" s="41">
        <f>IF([1]!s_stmnote_bank_58(B146,$A146,1)="0","",[1]!s_stmnote_bank_58(B146,$A146,1))</f>
        <v>0</v>
      </c>
      <c r="AA146" s="52">
        <f>IF([1]!s_stmnote_bank_60(B146,$A146,1)="0","",[1]!s_stmnote_bank_60(B146,$A146,1))</f>
        <v>0</v>
      </c>
      <c r="AB146" s="52">
        <f>[1]!s_stmnote_bank_5444(B146,$A146,1)</f>
        <v>0</v>
      </c>
      <c r="AC146" s="38">
        <f>[1]!s_stmnote_bank_129n($B146,$A146,1)</f>
        <v>0</v>
      </c>
      <c r="AD146" s="54">
        <f>[1]!s_stmnote_bank_30(B146,$A146,1)</f>
        <v>0</v>
      </c>
    </row>
    <row r="147" spans="1:30" s="46" customFormat="1" ht="24">
      <c r="A147" s="1" t="s">
        <v>1110</v>
      </c>
      <c r="B147" s="87" t="s">
        <v>1255</v>
      </c>
      <c r="C147" s="8">
        <f>IF([1]!b_info_issuer(B147)="0","",IFERROR([1]!b_info_issuer(B147),""))</f>
        <v>0</v>
      </c>
      <c r="D147" s="11">
        <f>IF([1]!b_info_latestissurercreditrating(B147)="0","",IFERROR([1]!b_info_latestissurercreditrating(B147),""))</f>
        <v>0</v>
      </c>
      <c r="E147" s="27" t="str">
        <f>IFERROR(([1]!b_stm07_bs($B147,47,$A147,1,100000000))/[1]!b_stm07_bs($B147,109,$A147,1,100000000),"")</f>
        <v/>
      </c>
      <c r="F147" s="18" t="str">
        <f>IFERROR(([1]!s_stmnote_bank_26($B147,$A147,1,100000000)-[1]!s_stmnote_bank_26($B147,#REF!,1,100000000)+#REF!)/[1]!s_stmnote_bank_1n($B147,#REF!,1,100000000),"")</f>
        <v/>
      </c>
      <c r="G147" s="21" t="str">
        <f t="shared" si="4"/>
        <v/>
      </c>
      <c r="H147" s="18" t="str">
        <f>IFERROR([1]!s_stmnote_bank($B147,"34",$A147,100000000)/[1]!s_stmnote_bank_1n(B147,$A147,1,100000000),"")</f>
        <v/>
      </c>
      <c r="I147" s="25">
        <f>[1]!b_stm07_bs(B147,74,$A147,1,100000000)</f>
        <v>0</v>
      </c>
      <c r="J147" s="25">
        <f>[1]!b_stm07_bs(B147,109,$A147,1,100000000)</f>
        <v>0</v>
      </c>
      <c r="K147" s="10">
        <f>[1]!s_stmnote_bank_5n(B147,$A147,1)</f>
        <v>0</v>
      </c>
      <c r="L147" s="25">
        <f>[1]!s_stmnote_bank_23n(B147,$A147,1)</f>
        <v>0</v>
      </c>
      <c r="M147" s="25">
        <f>[1]!s_stmnote_bank_capadequacyratio(B147,$A147,1)</f>
        <v>0</v>
      </c>
      <c r="N147" s="25">
        <f>[1]!s_stmnote_bank_capadequacyratio_ct1(B147,$A147,1)</f>
        <v>0</v>
      </c>
      <c r="O147" s="6">
        <f>IF(OR([1]!s_fa_roe(B147,20201231)="0",[1]!s_fa_roe(B147,20211231)="0",[1]!s_fa_roe(B147,20221231)="0"),"",IFERROR(([1]!s_fa_roe(B147,20221231)+[1]!s_fa_roe(B147,20201231)+[1]!s_fa_roe(B147,20211231))/3,""))</f>
        <v>0</v>
      </c>
      <c r="P147" s="28" t="str">
        <f>IFERROR(([1]!s_stmnote_bank_65(B147,$A147,1,2,4,100000000)+[1]!s_stmnote_bank_65(B147,$A147,1,2,6,100000000))/[1]!s_stmnote_bank_1n(B147,$A147,1,100000000),"")</f>
        <v/>
      </c>
      <c r="Q147" s="28" t="str">
        <f>IFERROR([1]!s_stmnote_bank_614(B147,$A147,1,2,100000000)/[1]!s_stmnote_bank_647(B147,$A147,1,2,100000000),"")</f>
        <v/>
      </c>
      <c r="R147" s="28" t="str">
        <f>IFERROR(([1]!b_stm07_bs(B147,104,$A147,1,100000000)+[1]!b_stm07_bs(B147,106,$A147,1,100000000)+[1]!b_stm07_bs(B147,76,$A147,1,100000000)+[1]!b_stm07_bs(B147,108,$A147,1,100000000)+[1]!b_stm07_bs(B147,95,$A147,1,100000000))/[1]!b_stm07_bs(B147,128,$A147,1,100000000),"")</f>
        <v/>
      </c>
      <c r="S147" s="28" t="str">
        <f>IFERROR(([1]!s_stmnote_bank_614(B147,$A147,1,2,100000000)+[1]!b_stm07_bs(B147,104,$A147,1,100000000)+[1]!b_stm07_bs(B147,106,$A147,1,100000000)+[1]!b_stm07_bs(B147,76,$A147,1,100000000)+[1]!b_stm07_bs(B147,108,$A147,1,100000000)+[1]!b_stm07_bs(B147,95,$A147,1,100000000))/[1]!b_stm07_bs(B147,128,$A147,1,100000000),"")</f>
        <v/>
      </c>
      <c r="T147" s="11">
        <f>[1]!b_issuer_shareholder(B147,"",1)</f>
        <v>0</v>
      </c>
      <c r="U147" s="10">
        <f>[1]!b_issuer_propofshareholder(B147,"",1)</f>
        <v>0</v>
      </c>
      <c r="V147" s="33" t="str">
        <f t="shared" si="5"/>
        <v>0</v>
      </c>
      <c r="W147" s="33">
        <f>[1]!s_info_city(B147)</f>
        <v>0</v>
      </c>
      <c r="X147" s="10">
        <f>IF([1]!s_stmnote_bank_17n(B147,$A147,1)="0","",[1]!s_stmnote_bank_17n(B147,$A147,1))</f>
        <v>0</v>
      </c>
      <c r="Y147" s="10">
        <f>IF([1]!s_stmnote_bank_18n(B147,$A147,1)="0","",[1]!s_stmnote_bank_18n(B147,$A147,1))</f>
        <v>0</v>
      </c>
      <c r="Z147" s="41">
        <f>IF([1]!s_stmnote_bank_58(B147,$A147,1)="0","",[1]!s_stmnote_bank_58(B147,$A147,1))</f>
        <v>0</v>
      </c>
      <c r="AA147" s="52">
        <f>IF([1]!s_stmnote_bank_60(B147,$A147,1)="0","",[1]!s_stmnote_bank_60(B147,$A147,1))</f>
        <v>0</v>
      </c>
      <c r="AB147" s="52">
        <f>[1]!s_stmnote_bank_5444(B147,$A147,1)</f>
        <v>0</v>
      </c>
      <c r="AC147" s="38">
        <f>[1]!s_stmnote_bank_129n($B147,$A147,1)</f>
        <v>0</v>
      </c>
      <c r="AD147" s="54">
        <f>[1]!s_stmnote_bank_30(B147,$A147,1)</f>
        <v>0</v>
      </c>
    </row>
    <row r="148" spans="1:30" s="46" customFormat="1" ht="24">
      <c r="A148" s="1" t="s">
        <v>1110</v>
      </c>
      <c r="B148" s="87" t="s">
        <v>1256</v>
      </c>
      <c r="C148" s="8">
        <f>IF([1]!b_info_issuer(B148)="0","",IFERROR([1]!b_info_issuer(B148),""))</f>
        <v>0</v>
      </c>
      <c r="D148" s="11">
        <f>IF([1]!b_info_latestissurercreditrating(B148)="0","",IFERROR([1]!b_info_latestissurercreditrating(B148),""))</f>
        <v>0</v>
      </c>
      <c r="E148" s="27" t="str">
        <f>IFERROR(([1]!b_stm07_bs($B148,47,$A148,1,100000000))/[1]!b_stm07_bs($B148,109,$A148,1,100000000),"")</f>
        <v/>
      </c>
      <c r="F148" s="18" t="str">
        <f>IFERROR(([1]!s_stmnote_bank_26($B148,$A148,1,100000000)-[1]!s_stmnote_bank_26($B148,#REF!,1,100000000)+#REF!)/[1]!s_stmnote_bank_1n($B148,#REF!,1,100000000),"")</f>
        <v/>
      </c>
      <c r="G148" s="21" t="str">
        <f t="shared" si="4"/>
        <v/>
      </c>
      <c r="H148" s="18" t="str">
        <f>IFERROR([1]!s_stmnote_bank($B148,"34",$A148,100000000)/[1]!s_stmnote_bank_1n(B148,$A148,1,100000000),"")</f>
        <v/>
      </c>
      <c r="I148" s="25">
        <f>[1]!b_stm07_bs(B148,74,$A148,1,100000000)</f>
        <v>0</v>
      </c>
      <c r="J148" s="25">
        <f>[1]!b_stm07_bs(B148,109,$A148,1,100000000)</f>
        <v>0</v>
      </c>
      <c r="K148" s="10">
        <f>[1]!s_stmnote_bank_5n(B148,$A148,1)</f>
        <v>0</v>
      </c>
      <c r="L148" s="25">
        <f>[1]!s_stmnote_bank_23n(B148,$A148,1)</f>
        <v>0</v>
      </c>
      <c r="M148" s="25">
        <f>[1]!s_stmnote_bank_capadequacyratio(B148,$A148,1)</f>
        <v>0</v>
      </c>
      <c r="N148" s="25">
        <f>[1]!s_stmnote_bank_capadequacyratio_ct1(B148,$A148,1)</f>
        <v>0</v>
      </c>
      <c r="O148" s="6">
        <f>IF(OR([1]!s_fa_roe(B148,20201231)="0",[1]!s_fa_roe(B148,20211231)="0",[1]!s_fa_roe(B148,20221231)="0"),"",IFERROR(([1]!s_fa_roe(B148,20221231)+[1]!s_fa_roe(B148,20201231)+[1]!s_fa_roe(B148,20211231))/3,""))</f>
        <v>0</v>
      </c>
      <c r="P148" s="28" t="str">
        <f>IFERROR(([1]!s_stmnote_bank_65(B148,$A148,1,2,4,100000000)+[1]!s_stmnote_bank_65(B148,$A148,1,2,6,100000000))/[1]!s_stmnote_bank_1n(B148,$A148,1,100000000),"")</f>
        <v/>
      </c>
      <c r="Q148" s="28" t="str">
        <f>IFERROR([1]!s_stmnote_bank_614(B148,$A148,1,2,100000000)/[1]!s_stmnote_bank_647(B148,$A148,1,2,100000000),"")</f>
        <v/>
      </c>
      <c r="R148" s="28" t="str">
        <f>IFERROR(([1]!b_stm07_bs(B148,104,$A148,1,100000000)+[1]!b_stm07_bs(B148,106,$A148,1,100000000)+[1]!b_stm07_bs(B148,76,$A148,1,100000000)+[1]!b_stm07_bs(B148,108,$A148,1,100000000)+[1]!b_stm07_bs(B148,95,$A148,1,100000000))/[1]!b_stm07_bs(B148,128,$A148,1,100000000),"")</f>
        <v/>
      </c>
      <c r="S148" s="28" t="str">
        <f>IFERROR(([1]!s_stmnote_bank_614(B148,$A148,1,2,100000000)+[1]!b_stm07_bs(B148,104,$A148,1,100000000)+[1]!b_stm07_bs(B148,106,$A148,1,100000000)+[1]!b_stm07_bs(B148,76,$A148,1,100000000)+[1]!b_stm07_bs(B148,108,$A148,1,100000000)+[1]!b_stm07_bs(B148,95,$A148,1,100000000))/[1]!b_stm07_bs(B148,128,$A148,1,100000000),"")</f>
        <v/>
      </c>
      <c r="T148" s="11">
        <f>[1]!b_issuer_shareholder(B148,"",1)</f>
        <v>0</v>
      </c>
      <c r="U148" s="10">
        <f>[1]!b_issuer_propofshareholder(B148,"",1)</f>
        <v>0</v>
      </c>
      <c r="V148" s="33" t="str">
        <f t="shared" si="5"/>
        <v>0</v>
      </c>
      <c r="W148" s="33">
        <f>[1]!s_info_city(B148)</f>
        <v>0</v>
      </c>
      <c r="X148" s="10">
        <f>IF([1]!s_stmnote_bank_17n(B148,$A148,1)="0","",[1]!s_stmnote_bank_17n(B148,$A148,1))</f>
        <v>0</v>
      </c>
      <c r="Y148" s="10">
        <f>IF([1]!s_stmnote_bank_18n(B148,$A148,1)="0","",[1]!s_stmnote_bank_18n(B148,$A148,1))</f>
        <v>0</v>
      </c>
      <c r="Z148" s="41">
        <f>IF([1]!s_stmnote_bank_58(B148,$A148,1)="0","",[1]!s_stmnote_bank_58(B148,$A148,1))</f>
        <v>0</v>
      </c>
      <c r="AA148" s="52">
        <f>IF([1]!s_stmnote_bank_60(B148,$A148,1)="0","",[1]!s_stmnote_bank_60(B148,$A148,1))</f>
        <v>0</v>
      </c>
      <c r="AB148" s="52">
        <f>[1]!s_stmnote_bank_5444(B148,$A148,1)</f>
        <v>0</v>
      </c>
      <c r="AC148" s="38">
        <f>[1]!s_stmnote_bank_129n($B148,$A148,1)</f>
        <v>0</v>
      </c>
      <c r="AD148" s="54">
        <f>[1]!s_stmnote_bank_30(B148,$A148,1)</f>
        <v>0</v>
      </c>
    </row>
    <row r="149" spans="1:30" s="46" customFormat="1" ht="24">
      <c r="A149" s="1" t="s">
        <v>1110</v>
      </c>
      <c r="B149" s="87" t="s">
        <v>1257</v>
      </c>
      <c r="C149" s="8">
        <f>IF([1]!b_info_issuer(B149)="0","",IFERROR([1]!b_info_issuer(B149),""))</f>
        <v>0</v>
      </c>
      <c r="D149" s="11">
        <f>IF([1]!b_info_latestissurercreditrating(B149)="0","",IFERROR([1]!b_info_latestissurercreditrating(B149),""))</f>
        <v>0</v>
      </c>
      <c r="E149" s="27" t="str">
        <f>IFERROR(([1]!b_stm07_bs($B149,47,$A149,1,100000000))/[1]!b_stm07_bs($B149,109,$A149,1,100000000),"")</f>
        <v/>
      </c>
      <c r="F149" s="18" t="str">
        <f>IFERROR(([1]!s_stmnote_bank_26($B149,$A149,1,100000000)-[1]!s_stmnote_bank_26($B149,#REF!,1,100000000)+#REF!)/[1]!s_stmnote_bank_1n($B149,#REF!,1,100000000),"")</f>
        <v/>
      </c>
      <c r="G149" s="21" t="str">
        <f t="shared" si="4"/>
        <v/>
      </c>
      <c r="H149" s="18" t="str">
        <f>IFERROR([1]!s_stmnote_bank($B149,"34",$A149,100000000)/[1]!s_stmnote_bank_1n(B149,$A149,1,100000000),"")</f>
        <v/>
      </c>
      <c r="I149" s="25">
        <f>[1]!b_stm07_bs(B149,74,$A149,1,100000000)</f>
        <v>0</v>
      </c>
      <c r="J149" s="25">
        <f>[1]!b_stm07_bs(B149,109,$A149,1,100000000)</f>
        <v>0</v>
      </c>
      <c r="K149" s="10">
        <f>[1]!s_stmnote_bank_5n(B149,$A149,1)</f>
        <v>0</v>
      </c>
      <c r="L149" s="25">
        <f>[1]!s_stmnote_bank_23n(B149,$A149,1)</f>
        <v>0</v>
      </c>
      <c r="M149" s="25">
        <f>[1]!s_stmnote_bank_capadequacyratio(B149,$A149,1)</f>
        <v>0</v>
      </c>
      <c r="N149" s="25">
        <f>[1]!s_stmnote_bank_capadequacyratio_ct1(B149,$A149,1)</f>
        <v>0</v>
      </c>
      <c r="O149" s="6">
        <f>IF(OR([1]!s_fa_roe(B149,20201231)="0",[1]!s_fa_roe(B149,20211231)="0",[1]!s_fa_roe(B149,20221231)="0"),"",IFERROR(([1]!s_fa_roe(B149,20221231)+[1]!s_fa_roe(B149,20201231)+[1]!s_fa_roe(B149,20211231))/3,""))</f>
        <v>0</v>
      </c>
      <c r="P149" s="28" t="str">
        <f>IFERROR(([1]!s_stmnote_bank_65(B149,$A149,1,2,4,100000000)+[1]!s_stmnote_bank_65(B149,$A149,1,2,6,100000000))/[1]!s_stmnote_bank_1n(B149,$A149,1,100000000),"")</f>
        <v/>
      </c>
      <c r="Q149" s="28" t="str">
        <f>IFERROR([1]!s_stmnote_bank_614(B149,$A149,1,2,100000000)/[1]!s_stmnote_bank_647(B149,$A149,1,2,100000000),"")</f>
        <v/>
      </c>
      <c r="R149" s="28" t="str">
        <f>IFERROR(([1]!b_stm07_bs(B149,104,$A149,1,100000000)+[1]!b_stm07_bs(B149,106,$A149,1,100000000)+[1]!b_stm07_bs(B149,76,$A149,1,100000000)+[1]!b_stm07_bs(B149,108,$A149,1,100000000)+[1]!b_stm07_bs(B149,95,$A149,1,100000000))/[1]!b_stm07_bs(B149,128,$A149,1,100000000),"")</f>
        <v/>
      </c>
      <c r="S149" s="28" t="str">
        <f>IFERROR(([1]!s_stmnote_bank_614(B149,$A149,1,2,100000000)+[1]!b_stm07_bs(B149,104,$A149,1,100000000)+[1]!b_stm07_bs(B149,106,$A149,1,100000000)+[1]!b_stm07_bs(B149,76,$A149,1,100000000)+[1]!b_stm07_bs(B149,108,$A149,1,100000000)+[1]!b_stm07_bs(B149,95,$A149,1,100000000))/[1]!b_stm07_bs(B149,128,$A149,1,100000000),"")</f>
        <v/>
      </c>
      <c r="T149" s="11">
        <f>[1]!b_issuer_shareholder(B149,"",1)</f>
        <v>0</v>
      </c>
      <c r="U149" s="10">
        <f>[1]!b_issuer_propofshareholder(B149,"",1)</f>
        <v>0</v>
      </c>
      <c r="V149" s="33" t="str">
        <f t="shared" si="5"/>
        <v>0</v>
      </c>
      <c r="W149" s="33">
        <f>[1]!s_info_city(B149)</f>
        <v>0</v>
      </c>
      <c r="X149" s="10">
        <f>IF([1]!s_stmnote_bank_17n(B149,$A149,1)="0","",[1]!s_stmnote_bank_17n(B149,$A149,1))</f>
        <v>0</v>
      </c>
      <c r="Y149" s="10">
        <f>IF([1]!s_stmnote_bank_18n(B149,$A149,1)="0","",[1]!s_stmnote_bank_18n(B149,$A149,1))</f>
        <v>0</v>
      </c>
      <c r="Z149" s="41">
        <f>IF([1]!s_stmnote_bank_58(B149,$A149,1)="0","",[1]!s_stmnote_bank_58(B149,$A149,1))</f>
        <v>0</v>
      </c>
      <c r="AA149" s="52">
        <f>IF([1]!s_stmnote_bank_60(B149,$A149,1)="0","",[1]!s_stmnote_bank_60(B149,$A149,1))</f>
        <v>0</v>
      </c>
      <c r="AB149" s="52">
        <f>[1]!s_stmnote_bank_5444(B149,$A149,1)</f>
        <v>0</v>
      </c>
      <c r="AC149" s="38">
        <f>[1]!s_stmnote_bank_129n($B149,$A149,1)</f>
        <v>0</v>
      </c>
      <c r="AD149" s="54">
        <f>[1]!s_stmnote_bank_30(B149,$A149,1)</f>
        <v>0</v>
      </c>
    </row>
    <row r="150" spans="1:30" s="46" customFormat="1" ht="24">
      <c r="A150" s="1" t="s">
        <v>1110</v>
      </c>
      <c r="B150" s="87" t="s">
        <v>1258</v>
      </c>
      <c r="C150" s="8">
        <f>IF([1]!b_info_issuer(B150)="0","",IFERROR([1]!b_info_issuer(B150),""))</f>
        <v>0</v>
      </c>
      <c r="D150" s="11">
        <f>IF([1]!b_info_latestissurercreditrating(B150)="0","",IFERROR([1]!b_info_latestissurercreditrating(B150),""))</f>
        <v>0</v>
      </c>
      <c r="E150" s="27" t="str">
        <f>IFERROR(([1]!b_stm07_bs($B150,47,$A150,1,100000000))/[1]!b_stm07_bs($B150,109,$A150,1,100000000),"")</f>
        <v/>
      </c>
      <c r="F150" s="18" t="str">
        <f>IFERROR(([1]!s_stmnote_bank_26($B150,$A150,1,100000000)-[1]!s_stmnote_bank_26($B150,#REF!,1,100000000)+#REF!)/[1]!s_stmnote_bank_1n($B150,#REF!,1,100000000),"")</f>
        <v/>
      </c>
      <c r="G150" s="21" t="str">
        <f t="shared" si="4"/>
        <v/>
      </c>
      <c r="H150" s="18" t="str">
        <f>IFERROR([1]!s_stmnote_bank($B150,"34",$A150,100000000)/[1]!s_stmnote_bank_1n(B150,$A150,1,100000000),"")</f>
        <v/>
      </c>
      <c r="I150" s="25">
        <f>[1]!b_stm07_bs(B150,74,$A150,1,100000000)</f>
        <v>0</v>
      </c>
      <c r="J150" s="25">
        <f>[1]!b_stm07_bs(B150,109,$A150,1,100000000)</f>
        <v>0</v>
      </c>
      <c r="K150" s="10">
        <f>[1]!s_stmnote_bank_5n(B150,$A150,1)</f>
        <v>0</v>
      </c>
      <c r="L150" s="25">
        <f>[1]!s_stmnote_bank_23n(B150,$A150,1)</f>
        <v>0</v>
      </c>
      <c r="M150" s="25">
        <f>[1]!s_stmnote_bank_capadequacyratio(B150,$A150,1)</f>
        <v>0</v>
      </c>
      <c r="N150" s="25">
        <f>[1]!s_stmnote_bank_capadequacyratio_ct1(B150,$A150,1)</f>
        <v>0</v>
      </c>
      <c r="O150" s="6">
        <f>IF(OR([1]!s_fa_roe(B150,20201231)="0",[1]!s_fa_roe(B150,20211231)="0",[1]!s_fa_roe(B150,20221231)="0"),"",IFERROR(([1]!s_fa_roe(B150,20221231)+[1]!s_fa_roe(B150,20201231)+[1]!s_fa_roe(B150,20211231))/3,""))</f>
        <v>0</v>
      </c>
      <c r="P150" s="28" t="str">
        <f>IFERROR(([1]!s_stmnote_bank_65(B150,$A150,1,2,4,100000000)+[1]!s_stmnote_bank_65(B150,$A150,1,2,6,100000000))/[1]!s_stmnote_bank_1n(B150,$A150,1,100000000),"")</f>
        <v/>
      </c>
      <c r="Q150" s="28" t="str">
        <f>IFERROR([1]!s_stmnote_bank_614(B150,$A150,1,2,100000000)/[1]!s_stmnote_bank_647(B150,$A150,1,2,100000000),"")</f>
        <v/>
      </c>
      <c r="R150" s="28" t="str">
        <f>IFERROR(([1]!b_stm07_bs(B150,104,$A150,1,100000000)+[1]!b_stm07_bs(B150,106,$A150,1,100000000)+[1]!b_stm07_bs(B150,76,$A150,1,100000000)+[1]!b_stm07_bs(B150,108,$A150,1,100000000)+[1]!b_stm07_bs(B150,95,$A150,1,100000000))/[1]!b_stm07_bs(B150,128,$A150,1,100000000),"")</f>
        <v/>
      </c>
      <c r="S150" s="28" t="str">
        <f>IFERROR(([1]!s_stmnote_bank_614(B150,$A150,1,2,100000000)+[1]!b_stm07_bs(B150,104,$A150,1,100000000)+[1]!b_stm07_bs(B150,106,$A150,1,100000000)+[1]!b_stm07_bs(B150,76,$A150,1,100000000)+[1]!b_stm07_bs(B150,108,$A150,1,100000000)+[1]!b_stm07_bs(B150,95,$A150,1,100000000))/[1]!b_stm07_bs(B150,128,$A150,1,100000000),"")</f>
        <v/>
      </c>
      <c r="T150" s="11">
        <f>[1]!b_issuer_shareholder(B150,"",1)</f>
        <v>0</v>
      </c>
      <c r="U150" s="10">
        <f>[1]!b_issuer_propofshareholder(B150,"",1)</f>
        <v>0</v>
      </c>
      <c r="V150" s="33" t="str">
        <f t="shared" si="5"/>
        <v>0</v>
      </c>
      <c r="W150" s="33">
        <f>[1]!s_info_city(B150)</f>
        <v>0</v>
      </c>
      <c r="X150" s="10">
        <f>IF([1]!s_stmnote_bank_17n(B150,$A150,1)="0","",[1]!s_stmnote_bank_17n(B150,$A150,1))</f>
        <v>0</v>
      </c>
      <c r="Y150" s="10">
        <f>IF([1]!s_stmnote_bank_18n(B150,$A150,1)="0","",[1]!s_stmnote_bank_18n(B150,$A150,1))</f>
        <v>0</v>
      </c>
      <c r="Z150" s="41">
        <f>IF([1]!s_stmnote_bank_58(B150,$A150,1)="0","",[1]!s_stmnote_bank_58(B150,$A150,1))</f>
        <v>0</v>
      </c>
      <c r="AA150" s="52">
        <f>IF([1]!s_stmnote_bank_60(B150,$A150,1)="0","",[1]!s_stmnote_bank_60(B150,$A150,1))</f>
        <v>0</v>
      </c>
      <c r="AB150" s="52">
        <f>[1]!s_stmnote_bank_5444(B150,$A150,1)</f>
        <v>0</v>
      </c>
      <c r="AC150" s="38">
        <f>[1]!s_stmnote_bank_129n($B150,$A150,1)</f>
        <v>0</v>
      </c>
      <c r="AD150" s="54">
        <f>[1]!s_stmnote_bank_30(B150,$A150,1)</f>
        <v>0</v>
      </c>
    </row>
    <row r="151" spans="1:30" s="46" customFormat="1" ht="24">
      <c r="A151" s="1" t="s">
        <v>1110</v>
      </c>
      <c r="B151" s="87" t="s">
        <v>1259</v>
      </c>
      <c r="C151" s="8">
        <f>IF([1]!b_info_issuer(B151)="0","",IFERROR([1]!b_info_issuer(B151),""))</f>
        <v>0</v>
      </c>
      <c r="D151" s="11">
        <f>IF([1]!b_info_latestissurercreditrating(B151)="0","",IFERROR([1]!b_info_latestissurercreditrating(B151),""))</f>
        <v>0</v>
      </c>
      <c r="E151" s="27" t="str">
        <f>IFERROR(([1]!b_stm07_bs($B151,47,$A151,1,100000000))/[1]!b_stm07_bs($B151,109,$A151,1,100000000),"")</f>
        <v/>
      </c>
      <c r="F151" s="18" t="str">
        <f>IFERROR(([1]!s_stmnote_bank_26($B151,$A151,1,100000000)-[1]!s_stmnote_bank_26($B151,#REF!,1,100000000)+#REF!)/[1]!s_stmnote_bank_1n($B151,#REF!,1,100000000),"")</f>
        <v/>
      </c>
      <c r="G151" s="21" t="str">
        <f t="shared" si="4"/>
        <v/>
      </c>
      <c r="H151" s="18" t="str">
        <f>IFERROR([1]!s_stmnote_bank($B151,"34",$A151,100000000)/[1]!s_stmnote_bank_1n(B151,$A151,1,100000000),"")</f>
        <v/>
      </c>
      <c r="I151" s="25">
        <f>[1]!b_stm07_bs(B151,74,$A151,1,100000000)</f>
        <v>0</v>
      </c>
      <c r="J151" s="25">
        <f>[1]!b_stm07_bs(B151,109,$A151,1,100000000)</f>
        <v>0</v>
      </c>
      <c r="K151" s="10">
        <f>[1]!s_stmnote_bank_5n(B151,$A151,1)</f>
        <v>0</v>
      </c>
      <c r="L151" s="25">
        <f>[1]!s_stmnote_bank_23n(B151,$A151,1)</f>
        <v>0</v>
      </c>
      <c r="M151" s="25">
        <f>[1]!s_stmnote_bank_capadequacyratio(B151,$A151,1)</f>
        <v>0</v>
      </c>
      <c r="N151" s="25">
        <f>[1]!s_stmnote_bank_capadequacyratio_ct1(B151,$A151,1)</f>
        <v>0</v>
      </c>
      <c r="O151" s="6">
        <f>IF(OR([1]!s_fa_roe(B151,20201231)="0",[1]!s_fa_roe(B151,20211231)="0",[1]!s_fa_roe(B151,20221231)="0"),"",IFERROR(([1]!s_fa_roe(B151,20221231)+[1]!s_fa_roe(B151,20201231)+[1]!s_fa_roe(B151,20211231))/3,""))</f>
        <v>0</v>
      </c>
      <c r="P151" s="28" t="str">
        <f>IFERROR(([1]!s_stmnote_bank_65(B151,$A151,1,2,4,100000000)+[1]!s_stmnote_bank_65(B151,$A151,1,2,6,100000000))/[1]!s_stmnote_bank_1n(B151,$A151,1,100000000),"")</f>
        <v/>
      </c>
      <c r="Q151" s="28" t="str">
        <f>IFERROR([1]!s_stmnote_bank_614(B151,$A151,1,2,100000000)/[1]!s_stmnote_bank_647(B151,$A151,1,2,100000000),"")</f>
        <v/>
      </c>
      <c r="R151" s="28" t="str">
        <f>IFERROR(([1]!b_stm07_bs(B151,104,$A151,1,100000000)+[1]!b_stm07_bs(B151,106,$A151,1,100000000)+[1]!b_stm07_bs(B151,76,$A151,1,100000000)+[1]!b_stm07_bs(B151,108,$A151,1,100000000)+[1]!b_stm07_bs(B151,95,$A151,1,100000000))/[1]!b_stm07_bs(B151,128,$A151,1,100000000),"")</f>
        <v/>
      </c>
      <c r="S151" s="28" t="str">
        <f>IFERROR(([1]!s_stmnote_bank_614(B151,$A151,1,2,100000000)+[1]!b_stm07_bs(B151,104,$A151,1,100000000)+[1]!b_stm07_bs(B151,106,$A151,1,100000000)+[1]!b_stm07_bs(B151,76,$A151,1,100000000)+[1]!b_stm07_bs(B151,108,$A151,1,100000000)+[1]!b_stm07_bs(B151,95,$A151,1,100000000))/[1]!b_stm07_bs(B151,128,$A151,1,100000000),"")</f>
        <v/>
      </c>
      <c r="T151" s="11">
        <f>[1]!b_issuer_shareholder(B151,"",1)</f>
        <v>0</v>
      </c>
      <c r="U151" s="10">
        <f>[1]!b_issuer_propofshareholder(B151,"",1)</f>
        <v>0</v>
      </c>
      <c r="V151" s="33" t="str">
        <f t="shared" si="5"/>
        <v>0</v>
      </c>
      <c r="W151" s="33">
        <f>[1]!s_info_city(B151)</f>
        <v>0</v>
      </c>
      <c r="X151" s="10">
        <f>IF([1]!s_stmnote_bank_17n(B151,$A151,1)="0","",[1]!s_stmnote_bank_17n(B151,$A151,1))</f>
        <v>0</v>
      </c>
      <c r="Y151" s="10">
        <f>IF([1]!s_stmnote_bank_18n(B151,$A151,1)="0","",[1]!s_stmnote_bank_18n(B151,$A151,1))</f>
        <v>0</v>
      </c>
      <c r="Z151" s="41">
        <f>IF([1]!s_stmnote_bank_58(B151,$A151,1)="0","",[1]!s_stmnote_bank_58(B151,$A151,1))</f>
        <v>0</v>
      </c>
      <c r="AA151" s="52">
        <f>IF([1]!s_stmnote_bank_60(B151,$A151,1)="0","",[1]!s_stmnote_bank_60(B151,$A151,1))</f>
        <v>0</v>
      </c>
      <c r="AB151" s="52">
        <f>[1]!s_stmnote_bank_5444(B151,$A151,1)</f>
        <v>0</v>
      </c>
      <c r="AC151" s="38">
        <f>[1]!s_stmnote_bank_129n($B151,$A151,1)</f>
        <v>0</v>
      </c>
      <c r="AD151" s="54">
        <f>[1]!s_stmnote_bank_30(B151,$A151,1)</f>
        <v>0</v>
      </c>
    </row>
    <row r="152" spans="1:30" s="46" customFormat="1" ht="24">
      <c r="A152" s="1" t="s">
        <v>1110</v>
      </c>
      <c r="B152" s="87" t="s">
        <v>1260</v>
      </c>
      <c r="C152" s="8">
        <f>IF([1]!b_info_issuer(B152)="0","",IFERROR([1]!b_info_issuer(B152),""))</f>
        <v>0</v>
      </c>
      <c r="D152" s="11">
        <f>IF([1]!b_info_latestissurercreditrating(B152)="0","",IFERROR([1]!b_info_latestissurercreditrating(B152),""))</f>
        <v>0</v>
      </c>
      <c r="E152" s="27" t="str">
        <f>IFERROR(([1]!b_stm07_bs($B152,47,$A152,1,100000000))/[1]!b_stm07_bs($B152,109,$A152,1,100000000),"")</f>
        <v/>
      </c>
      <c r="F152" s="18" t="str">
        <f>IFERROR(([1]!s_stmnote_bank_26($B152,$A152,1,100000000)-[1]!s_stmnote_bank_26($B152,#REF!,1,100000000)+#REF!)/[1]!s_stmnote_bank_1n($B152,#REF!,1,100000000),"")</f>
        <v/>
      </c>
      <c r="G152" s="21" t="str">
        <f t="shared" si="4"/>
        <v/>
      </c>
      <c r="H152" s="18" t="str">
        <f>IFERROR([1]!s_stmnote_bank($B152,"34",$A152,100000000)/[1]!s_stmnote_bank_1n(B152,$A152,1,100000000),"")</f>
        <v/>
      </c>
      <c r="I152" s="25">
        <f>[1]!b_stm07_bs(B152,74,$A152,1,100000000)</f>
        <v>0</v>
      </c>
      <c r="J152" s="25">
        <f>[1]!b_stm07_bs(B152,109,$A152,1,100000000)</f>
        <v>0</v>
      </c>
      <c r="K152" s="10">
        <f>[1]!s_stmnote_bank_5n(B152,$A152,1)</f>
        <v>0</v>
      </c>
      <c r="L152" s="25">
        <f>[1]!s_stmnote_bank_23n(B152,$A152,1)</f>
        <v>0</v>
      </c>
      <c r="M152" s="25">
        <f>[1]!s_stmnote_bank_capadequacyratio(B152,$A152,1)</f>
        <v>0</v>
      </c>
      <c r="N152" s="25">
        <f>[1]!s_stmnote_bank_capadequacyratio_ct1(B152,$A152,1)</f>
        <v>0</v>
      </c>
      <c r="O152" s="6">
        <f>IF(OR([1]!s_fa_roe(B152,20201231)="0",[1]!s_fa_roe(B152,20211231)="0",[1]!s_fa_roe(B152,20221231)="0"),"",IFERROR(([1]!s_fa_roe(B152,20221231)+[1]!s_fa_roe(B152,20201231)+[1]!s_fa_roe(B152,20211231))/3,""))</f>
        <v>0</v>
      </c>
      <c r="P152" s="28" t="str">
        <f>IFERROR(([1]!s_stmnote_bank_65(B152,$A152,1,2,4,100000000)+[1]!s_stmnote_bank_65(B152,$A152,1,2,6,100000000))/[1]!s_stmnote_bank_1n(B152,$A152,1,100000000),"")</f>
        <v/>
      </c>
      <c r="Q152" s="28" t="str">
        <f>IFERROR([1]!s_stmnote_bank_614(B152,$A152,1,2,100000000)/[1]!s_stmnote_bank_647(B152,$A152,1,2,100000000),"")</f>
        <v/>
      </c>
      <c r="R152" s="28" t="str">
        <f>IFERROR(([1]!b_stm07_bs(B152,104,$A152,1,100000000)+[1]!b_stm07_bs(B152,106,$A152,1,100000000)+[1]!b_stm07_bs(B152,76,$A152,1,100000000)+[1]!b_stm07_bs(B152,108,$A152,1,100000000)+[1]!b_stm07_bs(B152,95,$A152,1,100000000))/[1]!b_stm07_bs(B152,128,$A152,1,100000000),"")</f>
        <v/>
      </c>
      <c r="S152" s="28" t="str">
        <f>IFERROR(([1]!s_stmnote_bank_614(B152,$A152,1,2,100000000)+[1]!b_stm07_bs(B152,104,$A152,1,100000000)+[1]!b_stm07_bs(B152,106,$A152,1,100000000)+[1]!b_stm07_bs(B152,76,$A152,1,100000000)+[1]!b_stm07_bs(B152,108,$A152,1,100000000)+[1]!b_stm07_bs(B152,95,$A152,1,100000000))/[1]!b_stm07_bs(B152,128,$A152,1,100000000),"")</f>
        <v/>
      </c>
      <c r="T152" s="11">
        <f>[1]!b_issuer_shareholder(B152,"",1)</f>
        <v>0</v>
      </c>
      <c r="U152" s="10">
        <f>[1]!b_issuer_propofshareholder(B152,"",1)</f>
        <v>0</v>
      </c>
      <c r="V152" s="33" t="str">
        <f t="shared" si="5"/>
        <v>0</v>
      </c>
      <c r="W152" s="33">
        <f>[1]!s_info_city(B152)</f>
        <v>0</v>
      </c>
      <c r="X152" s="10">
        <f>IF([1]!s_stmnote_bank_17n(B152,$A152,1)="0","",[1]!s_stmnote_bank_17n(B152,$A152,1))</f>
        <v>0</v>
      </c>
      <c r="Y152" s="10">
        <f>IF([1]!s_stmnote_bank_18n(B152,$A152,1)="0","",[1]!s_stmnote_bank_18n(B152,$A152,1))</f>
        <v>0</v>
      </c>
      <c r="Z152" s="41">
        <f>IF([1]!s_stmnote_bank_58(B152,$A152,1)="0","",[1]!s_stmnote_bank_58(B152,$A152,1))</f>
        <v>0</v>
      </c>
      <c r="AA152" s="52">
        <f>IF([1]!s_stmnote_bank_60(B152,$A152,1)="0","",[1]!s_stmnote_bank_60(B152,$A152,1))</f>
        <v>0</v>
      </c>
      <c r="AB152" s="52">
        <f>[1]!s_stmnote_bank_5444(B152,$A152,1)</f>
        <v>0</v>
      </c>
      <c r="AC152" s="38">
        <f>[1]!s_stmnote_bank_129n($B152,$A152,1)</f>
        <v>0</v>
      </c>
      <c r="AD152" s="54">
        <f>[1]!s_stmnote_bank_30(B152,$A152,1)</f>
        <v>0</v>
      </c>
    </row>
    <row r="153" spans="1:30" s="46" customFormat="1" ht="24">
      <c r="A153" s="1" t="s">
        <v>1110</v>
      </c>
      <c r="B153" s="87" t="s">
        <v>1261</v>
      </c>
      <c r="C153" s="8">
        <f>IF([1]!b_info_issuer(B153)="0","",IFERROR([1]!b_info_issuer(B153),""))</f>
        <v>0</v>
      </c>
      <c r="D153" s="11">
        <f>IF([1]!b_info_latestissurercreditrating(B153)="0","",IFERROR([1]!b_info_latestissurercreditrating(B153),""))</f>
        <v>0</v>
      </c>
      <c r="E153" s="27" t="str">
        <f>IFERROR(([1]!b_stm07_bs($B153,47,$A153,1,100000000))/[1]!b_stm07_bs($B153,109,$A153,1,100000000),"")</f>
        <v/>
      </c>
      <c r="F153" s="18" t="str">
        <f>IFERROR(([1]!s_stmnote_bank_26($B153,$A153,1,100000000)-[1]!s_stmnote_bank_26($B153,#REF!,1,100000000)+#REF!)/[1]!s_stmnote_bank_1n($B153,#REF!,1,100000000),"")</f>
        <v/>
      </c>
      <c r="G153" s="21" t="str">
        <f t="shared" si="4"/>
        <v/>
      </c>
      <c r="H153" s="18" t="str">
        <f>IFERROR([1]!s_stmnote_bank($B153,"34",$A153,100000000)/[1]!s_stmnote_bank_1n(B153,$A153,1,100000000),"")</f>
        <v/>
      </c>
      <c r="I153" s="25">
        <f>[1]!b_stm07_bs(B153,74,$A153,1,100000000)</f>
        <v>0</v>
      </c>
      <c r="J153" s="25">
        <f>[1]!b_stm07_bs(B153,109,$A153,1,100000000)</f>
        <v>0</v>
      </c>
      <c r="K153" s="10">
        <f>[1]!s_stmnote_bank_5n(B153,$A153,1)</f>
        <v>0</v>
      </c>
      <c r="L153" s="25">
        <f>[1]!s_stmnote_bank_23n(B153,$A153,1)</f>
        <v>0</v>
      </c>
      <c r="M153" s="25">
        <f>[1]!s_stmnote_bank_capadequacyratio(B153,$A153,1)</f>
        <v>0</v>
      </c>
      <c r="N153" s="25">
        <f>[1]!s_stmnote_bank_capadequacyratio_ct1(B153,$A153,1)</f>
        <v>0</v>
      </c>
      <c r="O153" s="6">
        <f>IF(OR([1]!s_fa_roe(B153,20201231)="0",[1]!s_fa_roe(B153,20211231)="0",[1]!s_fa_roe(B153,20221231)="0"),"",IFERROR(([1]!s_fa_roe(B153,20221231)+[1]!s_fa_roe(B153,20201231)+[1]!s_fa_roe(B153,20211231))/3,""))</f>
        <v>0</v>
      </c>
      <c r="P153" s="28" t="str">
        <f>IFERROR(([1]!s_stmnote_bank_65(B153,$A153,1,2,4,100000000)+[1]!s_stmnote_bank_65(B153,$A153,1,2,6,100000000))/[1]!s_stmnote_bank_1n(B153,$A153,1,100000000),"")</f>
        <v/>
      </c>
      <c r="Q153" s="28" t="str">
        <f>IFERROR([1]!s_stmnote_bank_614(B153,$A153,1,2,100000000)/[1]!s_stmnote_bank_647(B153,$A153,1,2,100000000),"")</f>
        <v/>
      </c>
      <c r="R153" s="28" t="str">
        <f>IFERROR(([1]!b_stm07_bs(B153,104,$A153,1,100000000)+[1]!b_stm07_bs(B153,106,$A153,1,100000000)+[1]!b_stm07_bs(B153,76,$A153,1,100000000)+[1]!b_stm07_bs(B153,108,$A153,1,100000000)+[1]!b_stm07_bs(B153,95,$A153,1,100000000))/[1]!b_stm07_bs(B153,128,$A153,1,100000000),"")</f>
        <v/>
      </c>
      <c r="S153" s="28" t="str">
        <f>IFERROR(([1]!s_stmnote_bank_614(B153,$A153,1,2,100000000)+[1]!b_stm07_bs(B153,104,$A153,1,100000000)+[1]!b_stm07_bs(B153,106,$A153,1,100000000)+[1]!b_stm07_bs(B153,76,$A153,1,100000000)+[1]!b_stm07_bs(B153,108,$A153,1,100000000)+[1]!b_stm07_bs(B153,95,$A153,1,100000000))/[1]!b_stm07_bs(B153,128,$A153,1,100000000),"")</f>
        <v/>
      </c>
      <c r="T153" s="11">
        <f>[1]!b_issuer_shareholder(B153,"",1)</f>
        <v>0</v>
      </c>
      <c r="U153" s="10">
        <f>[1]!b_issuer_propofshareholder(B153,"",1)</f>
        <v>0</v>
      </c>
      <c r="V153" s="33" t="str">
        <f t="shared" si="5"/>
        <v>0</v>
      </c>
      <c r="W153" s="33">
        <f>[1]!s_info_city(B153)</f>
        <v>0</v>
      </c>
      <c r="X153" s="10">
        <f>IF([1]!s_stmnote_bank_17n(B153,$A153,1)="0","",[1]!s_stmnote_bank_17n(B153,$A153,1))</f>
        <v>0</v>
      </c>
      <c r="Y153" s="10">
        <f>IF([1]!s_stmnote_bank_18n(B153,$A153,1)="0","",[1]!s_stmnote_bank_18n(B153,$A153,1))</f>
        <v>0</v>
      </c>
      <c r="Z153" s="41">
        <f>IF([1]!s_stmnote_bank_58(B153,$A153,1)="0","",[1]!s_stmnote_bank_58(B153,$A153,1))</f>
        <v>0</v>
      </c>
      <c r="AA153" s="52">
        <f>IF([1]!s_stmnote_bank_60(B153,$A153,1)="0","",[1]!s_stmnote_bank_60(B153,$A153,1))</f>
        <v>0</v>
      </c>
      <c r="AB153" s="52">
        <f>[1]!s_stmnote_bank_5444(B153,$A153,1)</f>
        <v>0</v>
      </c>
      <c r="AC153" s="38">
        <f>[1]!s_stmnote_bank_129n($B153,$A153,1)</f>
        <v>0</v>
      </c>
      <c r="AD153" s="54">
        <f>[1]!s_stmnote_bank_30(B153,$A153,1)</f>
        <v>0</v>
      </c>
    </row>
    <row r="154" spans="1:30" s="46" customFormat="1" ht="24">
      <c r="A154" s="1" t="s">
        <v>1110</v>
      </c>
      <c r="B154" s="87" t="s">
        <v>1262</v>
      </c>
      <c r="C154" s="8">
        <f>IF([1]!b_info_issuer(B154)="0","",IFERROR([1]!b_info_issuer(B154),""))</f>
        <v>0</v>
      </c>
      <c r="D154" s="11">
        <f>IF([1]!b_info_latestissurercreditrating(B154)="0","",IFERROR([1]!b_info_latestissurercreditrating(B154),""))</f>
        <v>0</v>
      </c>
      <c r="E154" s="27" t="str">
        <f>IFERROR(([1]!b_stm07_bs($B154,47,$A154,1,100000000))/[1]!b_stm07_bs($B154,109,$A154,1,100000000),"")</f>
        <v/>
      </c>
      <c r="F154" s="18" t="str">
        <f>IFERROR(([1]!s_stmnote_bank_26($B154,$A154,1,100000000)-[1]!s_stmnote_bank_26($B154,#REF!,1,100000000)+#REF!)/[1]!s_stmnote_bank_1n($B154,#REF!,1,100000000),"")</f>
        <v/>
      </c>
      <c r="G154" s="21" t="str">
        <f t="shared" si="4"/>
        <v/>
      </c>
      <c r="H154" s="18" t="str">
        <f>IFERROR([1]!s_stmnote_bank($B154,"34",$A154,100000000)/[1]!s_stmnote_bank_1n(B154,$A154,1,100000000),"")</f>
        <v/>
      </c>
      <c r="I154" s="25">
        <f>[1]!b_stm07_bs(B154,74,$A154,1,100000000)</f>
        <v>0</v>
      </c>
      <c r="J154" s="25">
        <f>[1]!b_stm07_bs(B154,109,$A154,1,100000000)</f>
        <v>0</v>
      </c>
      <c r="K154" s="10">
        <f>[1]!s_stmnote_bank_5n(B154,$A154,1)</f>
        <v>0</v>
      </c>
      <c r="L154" s="25">
        <f>[1]!s_stmnote_bank_23n(B154,$A154,1)</f>
        <v>0</v>
      </c>
      <c r="M154" s="25">
        <f>[1]!s_stmnote_bank_capadequacyratio(B154,$A154,1)</f>
        <v>0</v>
      </c>
      <c r="N154" s="25">
        <f>[1]!s_stmnote_bank_capadequacyratio_ct1(B154,$A154,1)</f>
        <v>0</v>
      </c>
      <c r="O154" s="6">
        <f>IF(OR([1]!s_fa_roe(B154,20201231)="0",[1]!s_fa_roe(B154,20211231)="0",[1]!s_fa_roe(B154,20221231)="0"),"",IFERROR(([1]!s_fa_roe(B154,20221231)+[1]!s_fa_roe(B154,20201231)+[1]!s_fa_roe(B154,20211231))/3,""))</f>
        <v>0</v>
      </c>
      <c r="P154" s="28" t="str">
        <f>IFERROR(([1]!s_stmnote_bank_65(B154,$A154,1,2,4,100000000)+[1]!s_stmnote_bank_65(B154,$A154,1,2,6,100000000))/[1]!s_stmnote_bank_1n(B154,$A154,1,100000000),"")</f>
        <v/>
      </c>
      <c r="Q154" s="28" t="str">
        <f>IFERROR([1]!s_stmnote_bank_614(B154,$A154,1,2,100000000)/[1]!s_stmnote_bank_647(B154,$A154,1,2,100000000),"")</f>
        <v/>
      </c>
      <c r="R154" s="28" t="str">
        <f>IFERROR(([1]!b_stm07_bs(B154,104,$A154,1,100000000)+[1]!b_stm07_bs(B154,106,$A154,1,100000000)+[1]!b_stm07_bs(B154,76,$A154,1,100000000)+[1]!b_stm07_bs(B154,108,$A154,1,100000000)+[1]!b_stm07_bs(B154,95,$A154,1,100000000))/[1]!b_stm07_bs(B154,128,$A154,1,100000000),"")</f>
        <v/>
      </c>
      <c r="S154" s="28" t="str">
        <f>IFERROR(([1]!s_stmnote_bank_614(B154,$A154,1,2,100000000)+[1]!b_stm07_bs(B154,104,$A154,1,100000000)+[1]!b_stm07_bs(B154,106,$A154,1,100000000)+[1]!b_stm07_bs(B154,76,$A154,1,100000000)+[1]!b_stm07_bs(B154,108,$A154,1,100000000)+[1]!b_stm07_bs(B154,95,$A154,1,100000000))/[1]!b_stm07_bs(B154,128,$A154,1,100000000),"")</f>
        <v/>
      </c>
      <c r="T154" s="11">
        <f>[1]!b_issuer_shareholder(B154,"",1)</f>
        <v>0</v>
      </c>
      <c r="U154" s="10">
        <f>[1]!b_issuer_propofshareholder(B154,"",1)</f>
        <v>0</v>
      </c>
      <c r="V154" s="33" t="str">
        <f t="shared" si="5"/>
        <v>0</v>
      </c>
      <c r="W154" s="33">
        <f>[1]!s_info_city(B154)</f>
        <v>0</v>
      </c>
      <c r="X154" s="10">
        <f>IF([1]!s_stmnote_bank_17n(B154,$A154,1)="0","",[1]!s_stmnote_bank_17n(B154,$A154,1))</f>
        <v>0</v>
      </c>
      <c r="Y154" s="10">
        <f>IF([1]!s_stmnote_bank_18n(B154,$A154,1)="0","",[1]!s_stmnote_bank_18n(B154,$A154,1))</f>
        <v>0</v>
      </c>
      <c r="Z154" s="41">
        <f>IF([1]!s_stmnote_bank_58(B154,$A154,1)="0","",[1]!s_stmnote_bank_58(B154,$A154,1))</f>
        <v>0</v>
      </c>
      <c r="AA154" s="52">
        <f>IF([1]!s_stmnote_bank_60(B154,$A154,1)="0","",[1]!s_stmnote_bank_60(B154,$A154,1))</f>
        <v>0</v>
      </c>
      <c r="AB154" s="52">
        <f>[1]!s_stmnote_bank_5444(B154,$A154,1)</f>
        <v>0</v>
      </c>
      <c r="AC154" s="38">
        <f>[1]!s_stmnote_bank_129n($B154,$A154,1)</f>
        <v>0</v>
      </c>
      <c r="AD154" s="54">
        <f>[1]!s_stmnote_bank_30(B154,$A154,1)</f>
        <v>0</v>
      </c>
    </row>
    <row r="155" spans="1:30" s="46" customFormat="1" ht="24">
      <c r="A155" s="1" t="s">
        <v>1110</v>
      </c>
      <c r="B155" s="87" t="s">
        <v>1263</v>
      </c>
      <c r="C155" s="8">
        <f>IF([1]!b_info_issuer(B155)="0","",IFERROR([1]!b_info_issuer(B155),""))</f>
        <v>0</v>
      </c>
      <c r="D155" s="11">
        <f>IF([1]!b_info_latestissurercreditrating(B155)="0","",IFERROR([1]!b_info_latestissurercreditrating(B155),""))</f>
        <v>0</v>
      </c>
      <c r="E155" s="27" t="str">
        <f>IFERROR(([1]!b_stm07_bs($B155,47,$A155,1,100000000))/[1]!b_stm07_bs($B155,109,$A155,1,100000000),"")</f>
        <v/>
      </c>
      <c r="F155" s="18" t="str">
        <f>IFERROR(([1]!s_stmnote_bank_26($B155,$A155,1,100000000)-[1]!s_stmnote_bank_26($B155,#REF!,1,100000000)+#REF!)/[1]!s_stmnote_bank_1n($B155,#REF!,1,100000000),"")</f>
        <v/>
      </c>
      <c r="G155" s="21" t="str">
        <f t="shared" si="4"/>
        <v/>
      </c>
      <c r="H155" s="18" t="str">
        <f>IFERROR([1]!s_stmnote_bank($B155,"34",$A155,100000000)/[1]!s_stmnote_bank_1n(B155,$A155,1,100000000),"")</f>
        <v/>
      </c>
      <c r="I155" s="25">
        <f>[1]!b_stm07_bs(B155,74,$A155,1,100000000)</f>
        <v>0</v>
      </c>
      <c r="J155" s="25">
        <f>[1]!b_stm07_bs(B155,109,$A155,1,100000000)</f>
        <v>0</v>
      </c>
      <c r="K155" s="10">
        <f>[1]!s_stmnote_bank_5n(B155,$A155,1)</f>
        <v>0</v>
      </c>
      <c r="L155" s="25">
        <f>[1]!s_stmnote_bank_23n(B155,$A155,1)</f>
        <v>0</v>
      </c>
      <c r="M155" s="25">
        <f>[1]!s_stmnote_bank_capadequacyratio(B155,$A155,1)</f>
        <v>0</v>
      </c>
      <c r="N155" s="25">
        <f>[1]!s_stmnote_bank_capadequacyratio_ct1(B155,$A155,1)</f>
        <v>0</v>
      </c>
      <c r="O155" s="6">
        <f>IF(OR([1]!s_fa_roe(B155,20201231)="0",[1]!s_fa_roe(B155,20211231)="0",[1]!s_fa_roe(B155,20221231)="0"),"",IFERROR(([1]!s_fa_roe(B155,20221231)+[1]!s_fa_roe(B155,20201231)+[1]!s_fa_roe(B155,20211231))/3,""))</f>
        <v>0</v>
      </c>
      <c r="P155" s="28" t="str">
        <f>IFERROR(([1]!s_stmnote_bank_65(B155,$A155,1,2,4,100000000)+[1]!s_stmnote_bank_65(B155,$A155,1,2,6,100000000))/[1]!s_stmnote_bank_1n(B155,$A155,1,100000000),"")</f>
        <v/>
      </c>
      <c r="Q155" s="28" t="str">
        <f>IFERROR([1]!s_stmnote_bank_614(B155,$A155,1,2,100000000)/[1]!s_stmnote_bank_647(B155,$A155,1,2,100000000),"")</f>
        <v/>
      </c>
      <c r="R155" s="28" t="str">
        <f>IFERROR(([1]!b_stm07_bs(B155,104,$A155,1,100000000)+[1]!b_stm07_bs(B155,106,$A155,1,100000000)+[1]!b_stm07_bs(B155,76,$A155,1,100000000)+[1]!b_stm07_bs(B155,108,$A155,1,100000000)+[1]!b_stm07_bs(B155,95,$A155,1,100000000))/[1]!b_stm07_bs(B155,128,$A155,1,100000000),"")</f>
        <v/>
      </c>
      <c r="S155" s="28" t="str">
        <f>IFERROR(([1]!s_stmnote_bank_614(B155,$A155,1,2,100000000)+[1]!b_stm07_bs(B155,104,$A155,1,100000000)+[1]!b_stm07_bs(B155,106,$A155,1,100000000)+[1]!b_stm07_bs(B155,76,$A155,1,100000000)+[1]!b_stm07_bs(B155,108,$A155,1,100000000)+[1]!b_stm07_bs(B155,95,$A155,1,100000000))/[1]!b_stm07_bs(B155,128,$A155,1,100000000),"")</f>
        <v/>
      </c>
      <c r="T155" s="11">
        <f>[1]!b_issuer_shareholder(B155,"",1)</f>
        <v>0</v>
      </c>
      <c r="U155" s="10">
        <f>[1]!b_issuer_propofshareholder(B155,"",1)</f>
        <v>0</v>
      </c>
      <c r="V155" s="33" t="str">
        <f t="shared" si="5"/>
        <v>0</v>
      </c>
      <c r="W155" s="33">
        <f>[1]!s_info_city(B155)</f>
        <v>0</v>
      </c>
      <c r="X155" s="10">
        <f>IF([1]!s_stmnote_bank_17n(B155,$A155,1)="0","",[1]!s_stmnote_bank_17n(B155,$A155,1))</f>
        <v>0</v>
      </c>
      <c r="Y155" s="10">
        <f>IF([1]!s_stmnote_bank_18n(B155,$A155,1)="0","",[1]!s_stmnote_bank_18n(B155,$A155,1))</f>
        <v>0</v>
      </c>
      <c r="Z155" s="41">
        <f>IF([1]!s_stmnote_bank_58(B155,$A155,1)="0","",[1]!s_stmnote_bank_58(B155,$A155,1))</f>
        <v>0</v>
      </c>
      <c r="AA155" s="52">
        <f>IF([1]!s_stmnote_bank_60(B155,$A155,1)="0","",[1]!s_stmnote_bank_60(B155,$A155,1))</f>
        <v>0</v>
      </c>
      <c r="AB155" s="52">
        <f>[1]!s_stmnote_bank_5444(B155,$A155,1)</f>
        <v>0</v>
      </c>
      <c r="AC155" s="38">
        <f>[1]!s_stmnote_bank_129n($B155,$A155,1)</f>
        <v>0</v>
      </c>
      <c r="AD155" s="54">
        <f>[1]!s_stmnote_bank_30(B155,$A155,1)</f>
        <v>0</v>
      </c>
    </row>
    <row r="156" spans="1:30" s="46" customFormat="1" ht="24">
      <c r="A156" s="1" t="s">
        <v>1110</v>
      </c>
      <c r="B156" s="87" t="s">
        <v>1264</v>
      </c>
      <c r="C156" s="8">
        <f>IF([1]!b_info_issuer(B156)="0","",IFERROR([1]!b_info_issuer(B156),""))</f>
        <v>0</v>
      </c>
      <c r="D156" s="11">
        <f>IF([1]!b_info_latestissurercreditrating(B156)="0","",IFERROR([1]!b_info_latestissurercreditrating(B156),""))</f>
        <v>0</v>
      </c>
      <c r="E156" s="27" t="str">
        <f>IFERROR(([1]!b_stm07_bs($B156,47,$A156,1,100000000))/[1]!b_stm07_bs($B156,109,$A156,1,100000000),"")</f>
        <v/>
      </c>
      <c r="F156" s="18" t="str">
        <f>IFERROR(([1]!s_stmnote_bank_26($B156,$A156,1,100000000)-[1]!s_stmnote_bank_26($B156,#REF!,1,100000000)+#REF!)/[1]!s_stmnote_bank_1n($B156,#REF!,1,100000000),"")</f>
        <v/>
      </c>
      <c r="G156" s="21" t="str">
        <f t="shared" si="4"/>
        <v/>
      </c>
      <c r="H156" s="18" t="str">
        <f>IFERROR([1]!s_stmnote_bank($B156,"34",$A156,100000000)/[1]!s_stmnote_bank_1n(B156,$A156,1,100000000),"")</f>
        <v/>
      </c>
      <c r="I156" s="25">
        <f>[1]!b_stm07_bs(B156,74,$A156,1,100000000)</f>
        <v>0</v>
      </c>
      <c r="J156" s="25">
        <f>[1]!b_stm07_bs(B156,109,$A156,1,100000000)</f>
        <v>0</v>
      </c>
      <c r="K156" s="10">
        <f>[1]!s_stmnote_bank_5n(B156,$A156,1)</f>
        <v>0</v>
      </c>
      <c r="L156" s="25">
        <f>[1]!s_stmnote_bank_23n(B156,$A156,1)</f>
        <v>0</v>
      </c>
      <c r="M156" s="25">
        <f>[1]!s_stmnote_bank_capadequacyratio(B156,$A156,1)</f>
        <v>0</v>
      </c>
      <c r="N156" s="25">
        <f>[1]!s_stmnote_bank_capadequacyratio_ct1(B156,$A156,1)</f>
        <v>0</v>
      </c>
      <c r="O156" s="6">
        <f>IF(OR([1]!s_fa_roe(B156,20201231)="0",[1]!s_fa_roe(B156,20211231)="0",[1]!s_fa_roe(B156,20221231)="0"),"",IFERROR(([1]!s_fa_roe(B156,20221231)+[1]!s_fa_roe(B156,20201231)+[1]!s_fa_roe(B156,20211231))/3,""))</f>
        <v>0</v>
      </c>
      <c r="P156" s="28" t="str">
        <f>IFERROR(([1]!s_stmnote_bank_65(B156,$A156,1,2,4,100000000)+[1]!s_stmnote_bank_65(B156,$A156,1,2,6,100000000))/[1]!s_stmnote_bank_1n(B156,$A156,1,100000000),"")</f>
        <v/>
      </c>
      <c r="Q156" s="28" t="str">
        <f>IFERROR([1]!s_stmnote_bank_614(B156,$A156,1,2,100000000)/[1]!s_stmnote_bank_647(B156,$A156,1,2,100000000),"")</f>
        <v/>
      </c>
      <c r="R156" s="28" t="str">
        <f>IFERROR(([1]!b_stm07_bs(B156,104,$A156,1,100000000)+[1]!b_stm07_bs(B156,106,$A156,1,100000000)+[1]!b_stm07_bs(B156,76,$A156,1,100000000)+[1]!b_stm07_bs(B156,108,$A156,1,100000000)+[1]!b_stm07_bs(B156,95,$A156,1,100000000))/[1]!b_stm07_bs(B156,128,$A156,1,100000000),"")</f>
        <v/>
      </c>
      <c r="S156" s="28" t="str">
        <f>IFERROR(([1]!s_stmnote_bank_614(B156,$A156,1,2,100000000)+[1]!b_stm07_bs(B156,104,$A156,1,100000000)+[1]!b_stm07_bs(B156,106,$A156,1,100000000)+[1]!b_stm07_bs(B156,76,$A156,1,100000000)+[1]!b_stm07_bs(B156,108,$A156,1,100000000)+[1]!b_stm07_bs(B156,95,$A156,1,100000000))/[1]!b_stm07_bs(B156,128,$A156,1,100000000),"")</f>
        <v/>
      </c>
      <c r="T156" s="11">
        <f>[1]!b_issuer_shareholder(B156,"",1)</f>
        <v>0</v>
      </c>
      <c r="U156" s="10">
        <f>[1]!b_issuer_propofshareholder(B156,"",1)</f>
        <v>0</v>
      </c>
      <c r="V156" s="33" t="str">
        <f t="shared" si="5"/>
        <v>0</v>
      </c>
      <c r="W156" s="33">
        <f>[1]!s_info_city(B156)</f>
        <v>0</v>
      </c>
      <c r="X156" s="10">
        <f>IF([1]!s_stmnote_bank_17n(B156,$A156,1)="0","",[1]!s_stmnote_bank_17n(B156,$A156,1))</f>
        <v>0</v>
      </c>
      <c r="Y156" s="10">
        <f>IF([1]!s_stmnote_bank_18n(B156,$A156,1)="0","",[1]!s_stmnote_bank_18n(B156,$A156,1))</f>
        <v>0</v>
      </c>
      <c r="Z156" s="41">
        <f>IF([1]!s_stmnote_bank_58(B156,$A156,1)="0","",[1]!s_stmnote_bank_58(B156,$A156,1))</f>
        <v>0</v>
      </c>
      <c r="AA156" s="52">
        <f>IF([1]!s_stmnote_bank_60(B156,$A156,1)="0","",[1]!s_stmnote_bank_60(B156,$A156,1))</f>
        <v>0</v>
      </c>
      <c r="AB156" s="52">
        <f>[1]!s_stmnote_bank_5444(B156,$A156,1)</f>
        <v>0</v>
      </c>
      <c r="AC156" s="38">
        <f>[1]!s_stmnote_bank_129n($B156,$A156,1)</f>
        <v>0</v>
      </c>
      <c r="AD156" s="54">
        <f>[1]!s_stmnote_bank_30(B156,$A156,1)</f>
        <v>0</v>
      </c>
    </row>
    <row r="157" spans="1:30" s="46" customFormat="1" ht="24">
      <c r="A157" s="1" t="s">
        <v>1110</v>
      </c>
      <c r="B157" s="87" t="s">
        <v>1265</v>
      </c>
      <c r="C157" s="8">
        <f>IF([1]!b_info_issuer(B157)="0","",IFERROR([1]!b_info_issuer(B157),""))</f>
        <v>0</v>
      </c>
      <c r="D157" s="11">
        <f>IF([1]!b_info_latestissurercreditrating(B157)="0","",IFERROR([1]!b_info_latestissurercreditrating(B157),""))</f>
        <v>0</v>
      </c>
      <c r="E157" s="27" t="str">
        <f>IFERROR(([1]!b_stm07_bs($B157,47,$A157,1,100000000))/[1]!b_stm07_bs($B157,109,$A157,1,100000000),"")</f>
        <v/>
      </c>
      <c r="F157" s="18" t="str">
        <f>IFERROR(([1]!s_stmnote_bank_26($B157,$A157,1,100000000)-[1]!s_stmnote_bank_26($B157,#REF!,1,100000000)+#REF!)/[1]!s_stmnote_bank_1n($B157,#REF!,1,100000000),"")</f>
        <v/>
      </c>
      <c r="G157" s="21" t="str">
        <f t="shared" si="4"/>
        <v/>
      </c>
      <c r="H157" s="18" t="str">
        <f>IFERROR([1]!s_stmnote_bank($B157,"34",$A157,100000000)/[1]!s_stmnote_bank_1n(B157,$A157,1,100000000),"")</f>
        <v/>
      </c>
      <c r="I157" s="25">
        <f>[1]!b_stm07_bs(B157,74,$A157,1,100000000)</f>
        <v>0</v>
      </c>
      <c r="J157" s="25">
        <f>[1]!b_stm07_bs(B157,109,$A157,1,100000000)</f>
        <v>0</v>
      </c>
      <c r="K157" s="10">
        <f>[1]!s_stmnote_bank_5n(B157,$A157,1)</f>
        <v>0</v>
      </c>
      <c r="L157" s="25">
        <f>[1]!s_stmnote_bank_23n(B157,$A157,1)</f>
        <v>0</v>
      </c>
      <c r="M157" s="25">
        <f>[1]!s_stmnote_bank_capadequacyratio(B157,$A157,1)</f>
        <v>0</v>
      </c>
      <c r="N157" s="25">
        <f>[1]!s_stmnote_bank_capadequacyratio_ct1(B157,$A157,1)</f>
        <v>0</v>
      </c>
      <c r="O157" s="6">
        <f>IF(OR([1]!s_fa_roe(B157,20201231)="0",[1]!s_fa_roe(B157,20211231)="0",[1]!s_fa_roe(B157,20221231)="0"),"",IFERROR(([1]!s_fa_roe(B157,20221231)+[1]!s_fa_roe(B157,20201231)+[1]!s_fa_roe(B157,20211231))/3,""))</f>
        <v>0</v>
      </c>
      <c r="P157" s="28" t="str">
        <f>IFERROR(([1]!s_stmnote_bank_65(B157,$A157,1,2,4,100000000)+[1]!s_stmnote_bank_65(B157,$A157,1,2,6,100000000))/[1]!s_stmnote_bank_1n(B157,$A157,1,100000000),"")</f>
        <v/>
      </c>
      <c r="Q157" s="28" t="str">
        <f>IFERROR([1]!s_stmnote_bank_614(B157,$A157,1,2,100000000)/[1]!s_stmnote_bank_647(B157,$A157,1,2,100000000),"")</f>
        <v/>
      </c>
      <c r="R157" s="28" t="str">
        <f>IFERROR(([1]!b_stm07_bs(B157,104,$A157,1,100000000)+[1]!b_stm07_bs(B157,106,$A157,1,100000000)+[1]!b_stm07_bs(B157,76,$A157,1,100000000)+[1]!b_stm07_bs(B157,108,$A157,1,100000000)+[1]!b_stm07_bs(B157,95,$A157,1,100000000))/[1]!b_stm07_bs(B157,128,$A157,1,100000000),"")</f>
        <v/>
      </c>
      <c r="S157" s="28" t="str">
        <f>IFERROR(([1]!s_stmnote_bank_614(B157,$A157,1,2,100000000)+[1]!b_stm07_bs(B157,104,$A157,1,100000000)+[1]!b_stm07_bs(B157,106,$A157,1,100000000)+[1]!b_stm07_bs(B157,76,$A157,1,100000000)+[1]!b_stm07_bs(B157,108,$A157,1,100000000)+[1]!b_stm07_bs(B157,95,$A157,1,100000000))/[1]!b_stm07_bs(B157,128,$A157,1,100000000),"")</f>
        <v/>
      </c>
      <c r="T157" s="11">
        <f>[1]!b_issuer_shareholder(B157,"",1)</f>
        <v>0</v>
      </c>
      <c r="U157" s="10">
        <f>[1]!b_issuer_propofshareholder(B157,"",1)</f>
        <v>0</v>
      </c>
      <c r="V157" s="33" t="str">
        <f t="shared" si="5"/>
        <v>0</v>
      </c>
      <c r="W157" s="33">
        <f>[1]!s_info_city(B157)</f>
        <v>0</v>
      </c>
      <c r="X157" s="10">
        <f>IF([1]!s_stmnote_bank_17n(B157,$A157,1)="0","",[1]!s_stmnote_bank_17n(B157,$A157,1))</f>
        <v>0</v>
      </c>
      <c r="Y157" s="10">
        <f>IF([1]!s_stmnote_bank_18n(B157,$A157,1)="0","",[1]!s_stmnote_bank_18n(B157,$A157,1))</f>
        <v>0</v>
      </c>
      <c r="Z157" s="41">
        <f>IF([1]!s_stmnote_bank_58(B157,$A157,1)="0","",[1]!s_stmnote_bank_58(B157,$A157,1))</f>
        <v>0</v>
      </c>
      <c r="AA157" s="52">
        <f>IF([1]!s_stmnote_bank_60(B157,$A157,1)="0","",[1]!s_stmnote_bank_60(B157,$A157,1))</f>
        <v>0</v>
      </c>
      <c r="AB157" s="52">
        <f>[1]!s_stmnote_bank_5444(B157,$A157,1)</f>
        <v>0</v>
      </c>
      <c r="AC157" s="38">
        <f>[1]!s_stmnote_bank_129n($B157,$A157,1)</f>
        <v>0</v>
      </c>
      <c r="AD157" s="54">
        <f>[1]!s_stmnote_bank_30(B157,$A157,1)</f>
        <v>0</v>
      </c>
    </row>
    <row r="158" spans="1:30" s="46" customFormat="1" ht="24">
      <c r="A158" s="1" t="s">
        <v>1110</v>
      </c>
      <c r="B158" s="87" t="s">
        <v>1266</v>
      </c>
      <c r="C158" s="8">
        <f>IF([1]!b_info_issuer(B158)="0","",IFERROR([1]!b_info_issuer(B158),""))</f>
        <v>0</v>
      </c>
      <c r="D158" s="11">
        <f>IF([1]!b_info_latestissurercreditrating(B158)="0","",IFERROR([1]!b_info_latestissurercreditrating(B158),""))</f>
        <v>0</v>
      </c>
      <c r="E158" s="27" t="str">
        <f>IFERROR(([1]!b_stm07_bs($B158,47,$A158,1,100000000))/[1]!b_stm07_bs($B158,109,$A158,1,100000000),"")</f>
        <v/>
      </c>
      <c r="F158" s="18" t="str">
        <f>IFERROR(([1]!s_stmnote_bank_26($B158,$A158,1,100000000)-[1]!s_stmnote_bank_26($B158,#REF!,1,100000000)+#REF!)/[1]!s_stmnote_bank_1n($B158,#REF!,1,100000000),"")</f>
        <v/>
      </c>
      <c r="G158" s="21" t="str">
        <f t="shared" si="4"/>
        <v/>
      </c>
      <c r="H158" s="18" t="str">
        <f>IFERROR([1]!s_stmnote_bank($B158,"34",$A158,100000000)/[1]!s_stmnote_bank_1n(B158,$A158,1,100000000),"")</f>
        <v/>
      </c>
      <c r="I158" s="25">
        <f>[1]!b_stm07_bs(B158,74,$A158,1,100000000)</f>
        <v>0</v>
      </c>
      <c r="J158" s="25">
        <f>[1]!b_stm07_bs(B158,109,$A158,1,100000000)</f>
        <v>0</v>
      </c>
      <c r="K158" s="10">
        <f>[1]!s_stmnote_bank_5n(B158,$A158,1)</f>
        <v>0</v>
      </c>
      <c r="L158" s="25">
        <f>[1]!s_stmnote_bank_23n(B158,$A158,1)</f>
        <v>0</v>
      </c>
      <c r="M158" s="25">
        <f>[1]!s_stmnote_bank_capadequacyratio(B158,$A158,1)</f>
        <v>0</v>
      </c>
      <c r="N158" s="25">
        <f>[1]!s_stmnote_bank_capadequacyratio_ct1(B158,$A158,1)</f>
        <v>0</v>
      </c>
      <c r="O158" s="6">
        <f>IF(OR([1]!s_fa_roe(B158,20201231)="0",[1]!s_fa_roe(B158,20211231)="0",[1]!s_fa_roe(B158,20221231)="0"),"",IFERROR(([1]!s_fa_roe(B158,20221231)+[1]!s_fa_roe(B158,20201231)+[1]!s_fa_roe(B158,20211231))/3,""))</f>
        <v>0</v>
      </c>
      <c r="P158" s="28" t="str">
        <f>IFERROR(([1]!s_stmnote_bank_65(B158,$A158,1,2,4,100000000)+[1]!s_stmnote_bank_65(B158,$A158,1,2,6,100000000))/[1]!s_stmnote_bank_1n(B158,$A158,1,100000000),"")</f>
        <v/>
      </c>
      <c r="Q158" s="28" t="str">
        <f>IFERROR([1]!s_stmnote_bank_614(B158,$A158,1,2,100000000)/[1]!s_stmnote_bank_647(B158,$A158,1,2,100000000),"")</f>
        <v/>
      </c>
      <c r="R158" s="28" t="str">
        <f>IFERROR(([1]!b_stm07_bs(B158,104,$A158,1,100000000)+[1]!b_stm07_bs(B158,106,$A158,1,100000000)+[1]!b_stm07_bs(B158,76,$A158,1,100000000)+[1]!b_stm07_bs(B158,108,$A158,1,100000000)+[1]!b_stm07_bs(B158,95,$A158,1,100000000))/[1]!b_stm07_bs(B158,128,$A158,1,100000000),"")</f>
        <v/>
      </c>
      <c r="S158" s="28" t="str">
        <f>IFERROR(([1]!s_stmnote_bank_614(B158,$A158,1,2,100000000)+[1]!b_stm07_bs(B158,104,$A158,1,100000000)+[1]!b_stm07_bs(B158,106,$A158,1,100000000)+[1]!b_stm07_bs(B158,76,$A158,1,100000000)+[1]!b_stm07_bs(B158,108,$A158,1,100000000)+[1]!b_stm07_bs(B158,95,$A158,1,100000000))/[1]!b_stm07_bs(B158,128,$A158,1,100000000),"")</f>
        <v/>
      </c>
      <c r="T158" s="11">
        <f>[1]!b_issuer_shareholder(B158,"",1)</f>
        <v>0</v>
      </c>
      <c r="U158" s="10">
        <f>[1]!b_issuer_propofshareholder(B158,"",1)</f>
        <v>0</v>
      </c>
      <c r="V158" s="33" t="str">
        <f t="shared" si="5"/>
        <v>0</v>
      </c>
      <c r="W158" s="33">
        <f>[1]!s_info_city(B158)</f>
        <v>0</v>
      </c>
      <c r="X158" s="10">
        <f>IF([1]!s_stmnote_bank_17n(B158,$A158,1)="0","",[1]!s_stmnote_bank_17n(B158,$A158,1))</f>
        <v>0</v>
      </c>
      <c r="Y158" s="10">
        <f>IF([1]!s_stmnote_bank_18n(B158,$A158,1)="0","",[1]!s_stmnote_bank_18n(B158,$A158,1))</f>
        <v>0</v>
      </c>
      <c r="Z158" s="41">
        <f>IF([1]!s_stmnote_bank_58(B158,$A158,1)="0","",[1]!s_stmnote_bank_58(B158,$A158,1))</f>
        <v>0</v>
      </c>
      <c r="AA158" s="52">
        <f>IF([1]!s_stmnote_bank_60(B158,$A158,1)="0","",[1]!s_stmnote_bank_60(B158,$A158,1))</f>
        <v>0</v>
      </c>
      <c r="AB158" s="52">
        <f>[1]!s_stmnote_bank_5444(B158,$A158,1)</f>
        <v>0</v>
      </c>
      <c r="AC158" s="38">
        <f>[1]!s_stmnote_bank_129n($B158,$A158,1)</f>
        <v>0</v>
      </c>
      <c r="AD158" s="54">
        <f>[1]!s_stmnote_bank_30(B158,$A158,1)</f>
        <v>0</v>
      </c>
    </row>
    <row r="159" spans="1:30" s="46" customFormat="1" ht="24">
      <c r="A159" s="1" t="s">
        <v>1110</v>
      </c>
      <c r="B159" s="87" t="s">
        <v>1267</v>
      </c>
      <c r="C159" s="8">
        <f>IF([1]!b_info_issuer(B159)="0","",IFERROR([1]!b_info_issuer(B159),""))</f>
        <v>0</v>
      </c>
      <c r="D159" s="11">
        <f>IF([1]!b_info_latestissurercreditrating(B159)="0","",IFERROR([1]!b_info_latestissurercreditrating(B159),""))</f>
        <v>0</v>
      </c>
      <c r="E159" s="27" t="str">
        <f>IFERROR(([1]!b_stm07_bs($B159,47,$A159,1,100000000))/[1]!b_stm07_bs($B159,109,$A159,1,100000000),"")</f>
        <v/>
      </c>
      <c r="F159" s="18" t="str">
        <f>IFERROR(([1]!s_stmnote_bank_26($B159,$A159,1,100000000)-[1]!s_stmnote_bank_26($B159,#REF!,1,100000000)+#REF!)/[1]!s_stmnote_bank_1n($B159,#REF!,1,100000000),"")</f>
        <v/>
      </c>
      <c r="G159" s="21" t="str">
        <f t="shared" si="4"/>
        <v/>
      </c>
      <c r="H159" s="18" t="str">
        <f>IFERROR([1]!s_stmnote_bank($B159,"34",$A159,100000000)/[1]!s_stmnote_bank_1n(B159,$A159,1,100000000),"")</f>
        <v/>
      </c>
      <c r="I159" s="25">
        <f>[1]!b_stm07_bs(B159,74,$A159,1,100000000)</f>
        <v>0</v>
      </c>
      <c r="J159" s="25">
        <f>[1]!b_stm07_bs(B159,109,$A159,1,100000000)</f>
        <v>0</v>
      </c>
      <c r="K159" s="10">
        <f>[1]!s_stmnote_bank_5n(B159,$A159,1)</f>
        <v>0</v>
      </c>
      <c r="L159" s="25">
        <f>[1]!s_stmnote_bank_23n(B159,$A159,1)</f>
        <v>0</v>
      </c>
      <c r="M159" s="25">
        <f>[1]!s_stmnote_bank_capadequacyratio(B159,$A159,1)</f>
        <v>0</v>
      </c>
      <c r="N159" s="25">
        <f>[1]!s_stmnote_bank_capadequacyratio_ct1(B159,$A159,1)</f>
        <v>0</v>
      </c>
      <c r="O159" s="6">
        <f>IF(OR([1]!s_fa_roe(B159,20201231)="0",[1]!s_fa_roe(B159,20211231)="0",[1]!s_fa_roe(B159,20221231)="0"),"",IFERROR(([1]!s_fa_roe(B159,20221231)+[1]!s_fa_roe(B159,20201231)+[1]!s_fa_roe(B159,20211231))/3,""))</f>
        <v>0</v>
      </c>
      <c r="P159" s="28" t="str">
        <f>IFERROR(([1]!s_stmnote_bank_65(B159,$A159,1,2,4,100000000)+[1]!s_stmnote_bank_65(B159,$A159,1,2,6,100000000))/[1]!s_stmnote_bank_1n(B159,$A159,1,100000000),"")</f>
        <v/>
      </c>
      <c r="Q159" s="28" t="str">
        <f>IFERROR([1]!s_stmnote_bank_614(B159,$A159,1,2,100000000)/[1]!s_stmnote_bank_647(B159,$A159,1,2,100000000),"")</f>
        <v/>
      </c>
      <c r="R159" s="28" t="str">
        <f>IFERROR(([1]!b_stm07_bs(B159,104,$A159,1,100000000)+[1]!b_stm07_bs(B159,106,$A159,1,100000000)+[1]!b_stm07_bs(B159,76,$A159,1,100000000)+[1]!b_stm07_bs(B159,108,$A159,1,100000000)+[1]!b_stm07_bs(B159,95,$A159,1,100000000))/[1]!b_stm07_bs(B159,128,$A159,1,100000000),"")</f>
        <v/>
      </c>
      <c r="S159" s="28" t="str">
        <f>IFERROR(([1]!s_stmnote_bank_614(B159,$A159,1,2,100000000)+[1]!b_stm07_bs(B159,104,$A159,1,100000000)+[1]!b_stm07_bs(B159,106,$A159,1,100000000)+[1]!b_stm07_bs(B159,76,$A159,1,100000000)+[1]!b_stm07_bs(B159,108,$A159,1,100000000)+[1]!b_stm07_bs(B159,95,$A159,1,100000000))/[1]!b_stm07_bs(B159,128,$A159,1,100000000),"")</f>
        <v/>
      </c>
      <c r="T159" s="11">
        <f>[1]!b_issuer_shareholder(B159,"",1)</f>
        <v>0</v>
      </c>
      <c r="U159" s="10">
        <f>[1]!b_issuer_propofshareholder(B159,"",1)</f>
        <v>0</v>
      </c>
      <c r="V159" s="33" t="str">
        <f t="shared" si="5"/>
        <v>0</v>
      </c>
      <c r="W159" s="33">
        <f>[1]!s_info_city(B159)</f>
        <v>0</v>
      </c>
      <c r="X159" s="10">
        <f>IF([1]!s_stmnote_bank_17n(B159,$A159,1)="0","",[1]!s_stmnote_bank_17n(B159,$A159,1))</f>
        <v>0</v>
      </c>
      <c r="Y159" s="10">
        <f>IF([1]!s_stmnote_bank_18n(B159,$A159,1)="0","",[1]!s_stmnote_bank_18n(B159,$A159,1))</f>
        <v>0</v>
      </c>
      <c r="Z159" s="41">
        <f>IF([1]!s_stmnote_bank_58(B159,$A159,1)="0","",[1]!s_stmnote_bank_58(B159,$A159,1))</f>
        <v>0</v>
      </c>
      <c r="AA159" s="52">
        <f>IF([1]!s_stmnote_bank_60(B159,$A159,1)="0","",[1]!s_stmnote_bank_60(B159,$A159,1))</f>
        <v>0</v>
      </c>
      <c r="AB159" s="52">
        <f>[1]!s_stmnote_bank_5444(B159,$A159,1)</f>
        <v>0</v>
      </c>
      <c r="AC159" s="38">
        <f>[1]!s_stmnote_bank_129n($B159,$A159,1)</f>
        <v>0</v>
      </c>
      <c r="AD159" s="54">
        <f>[1]!s_stmnote_bank_30(B159,$A159,1)</f>
        <v>0</v>
      </c>
    </row>
    <row r="160" spans="1:30" s="46" customFormat="1" ht="24">
      <c r="A160" s="1" t="s">
        <v>1110</v>
      </c>
      <c r="B160" s="87" t="s">
        <v>1268</v>
      </c>
      <c r="C160" s="8">
        <f>IF([1]!b_info_issuer(B160)="0","",IFERROR([1]!b_info_issuer(B160),""))</f>
        <v>0</v>
      </c>
      <c r="D160" s="11">
        <f>IF([1]!b_info_latestissurercreditrating(B160)="0","",IFERROR([1]!b_info_latestissurercreditrating(B160),""))</f>
        <v>0</v>
      </c>
      <c r="E160" s="27" t="str">
        <f>IFERROR(([1]!b_stm07_bs($B160,47,$A160,1,100000000))/[1]!b_stm07_bs($B160,109,$A160,1,100000000),"")</f>
        <v/>
      </c>
      <c r="F160" s="18" t="str">
        <f>IFERROR(([1]!s_stmnote_bank_26($B160,$A160,1,100000000)-[1]!s_stmnote_bank_26($B160,#REF!,1,100000000)+#REF!)/[1]!s_stmnote_bank_1n($B160,#REF!,1,100000000),"")</f>
        <v/>
      </c>
      <c r="G160" s="21" t="str">
        <f t="shared" si="4"/>
        <v/>
      </c>
      <c r="H160" s="18" t="str">
        <f>IFERROR([1]!s_stmnote_bank($B160,"34",$A160,100000000)/[1]!s_stmnote_bank_1n(B160,$A160,1,100000000),"")</f>
        <v/>
      </c>
      <c r="I160" s="25">
        <f>[1]!b_stm07_bs(B160,74,$A160,1,100000000)</f>
        <v>0</v>
      </c>
      <c r="J160" s="25">
        <f>[1]!b_stm07_bs(B160,109,$A160,1,100000000)</f>
        <v>0</v>
      </c>
      <c r="K160" s="10">
        <f>[1]!s_stmnote_bank_5n(B160,$A160,1)</f>
        <v>0</v>
      </c>
      <c r="L160" s="25">
        <f>[1]!s_stmnote_bank_23n(B160,$A160,1)</f>
        <v>0</v>
      </c>
      <c r="M160" s="25">
        <f>[1]!s_stmnote_bank_capadequacyratio(B160,$A160,1)</f>
        <v>0</v>
      </c>
      <c r="N160" s="25">
        <f>[1]!s_stmnote_bank_capadequacyratio_ct1(B160,$A160,1)</f>
        <v>0</v>
      </c>
      <c r="O160" s="6">
        <f>IF(OR([1]!s_fa_roe(B160,20201231)="0",[1]!s_fa_roe(B160,20211231)="0",[1]!s_fa_roe(B160,20221231)="0"),"",IFERROR(([1]!s_fa_roe(B160,20221231)+[1]!s_fa_roe(B160,20201231)+[1]!s_fa_roe(B160,20211231))/3,""))</f>
        <v>0</v>
      </c>
      <c r="P160" s="28" t="str">
        <f>IFERROR(([1]!s_stmnote_bank_65(B160,$A160,1,2,4,100000000)+[1]!s_stmnote_bank_65(B160,$A160,1,2,6,100000000))/[1]!s_stmnote_bank_1n(B160,$A160,1,100000000),"")</f>
        <v/>
      </c>
      <c r="Q160" s="28" t="str">
        <f>IFERROR([1]!s_stmnote_bank_614(B160,$A160,1,2,100000000)/[1]!s_stmnote_bank_647(B160,$A160,1,2,100000000),"")</f>
        <v/>
      </c>
      <c r="R160" s="28" t="str">
        <f>IFERROR(([1]!b_stm07_bs(B160,104,$A160,1,100000000)+[1]!b_stm07_bs(B160,106,$A160,1,100000000)+[1]!b_stm07_bs(B160,76,$A160,1,100000000)+[1]!b_stm07_bs(B160,108,$A160,1,100000000)+[1]!b_stm07_bs(B160,95,$A160,1,100000000))/[1]!b_stm07_bs(B160,128,$A160,1,100000000),"")</f>
        <v/>
      </c>
      <c r="S160" s="28" t="str">
        <f>IFERROR(([1]!s_stmnote_bank_614(B160,$A160,1,2,100000000)+[1]!b_stm07_bs(B160,104,$A160,1,100000000)+[1]!b_stm07_bs(B160,106,$A160,1,100000000)+[1]!b_stm07_bs(B160,76,$A160,1,100000000)+[1]!b_stm07_bs(B160,108,$A160,1,100000000)+[1]!b_stm07_bs(B160,95,$A160,1,100000000))/[1]!b_stm07_bs(B160,128,$A160,1,100000000),"")</f>
        <v/>
      </c>
      <c r="T160" s="11">
        <f>[1]!b_issuer_shareholder(B160,"",1)</f>
        <v>0</v>
      </c>
      <c r="U160" s="10">
        <f>[1]!b_issuer_propofshareholder(B160,"",1)</f>
        <v>0</v>
      </c>
      <c r="V160" s="33" t="str">
        <f t="shared" si="5"/>
        <v>0</v>
      </c>
      <c r="W160" s="33">
        <f>[1]!s_info_city(B160)</f>
        <v>0</v>
      </c>
      <c r="X160" s="10">
        <f>IF([1]!s_stmnote_bank_17n(B160,$A160,1)="0","",[1]!s_stmnote_bank_17n(B160,$A160,1))</f>
        <v>0</v>
      </c>
      <c r="Y160" s="10">
        <f>IF([1]!s_stmnote_bank_18n(B160,$A160,1)="0","",[1]!s_stmnote_bank_18n(B160,$A160,1))</f>
        <v>0</v>
      </c>
      <c r="Z160" s="41">
        <f>IF([1]!s_stmnote_bank_58(B160,$A160,1)="0","",[1]!s_stmnote_bank_58(B160,$A160,1))</f>
        <v>0</v>
      </c>
      <c r="AA160" s="52">
        <f>IF([1]!s_stmnote_bank_60(B160,$A160,1)="0","",[1]!s_stmnote_bank_60(B160,$A160,1))</f>
        <v>0</v>
      </c>
      <c r="AB160" s="52">
        <f>[1]!s_stmnote_bank_5444(B160,$A160,1)</f>
        <v>0</v>
      </c>
      <c r="AC160" s="38">
        <f>[1]!s_stmnote_bank_129n($B160,$A160,1)</f>
        <v>0</v>
      </c>
      <c r="AD160" s="54">
        <f>[1]!s_stmnote_bank_30(B160,$A160,1)</f>
        <v>0</v>
      </c>
    </row>
    <row r="161" spans="1:30" s="46" customFormat="1" ht="24">
      <c r="A161" s="1" t="s">
        <v>1110</v>
      </c>
      <c r="B161" s="87" t="s">
        <v>1269</v>
      </c>
      <c r="C161" s="8">
        <f>IF([1]!b_info_issuer(B161)="0","",IFERROR([1]!b_info_issuer(B161),""))</f>
        <v>0</v>
      </c>
      <c r="D161" s="11">
        <f>IF([1]!b_info_latestissurercreditrating(B161)="0","",IFERROR([1]!b_info_latestissurercreditrating(B161),""))</f>
        <v>0</v>
      </c>
      <c r="E161" s="27" t="str">
        <f>IFERROR(([1]!b_stm07_bs($B161,47,$A161,1,100000000))/[1]!b_stm07_bs($B161,109,$A161,1,100000000),"")</f>
        <v/>
      </c>
      <c r="F161" s="18" t="str">
        <f>IFERROR(([1]!s_stmnote_bank_26($B161,$A161,1,100000000)-[1]!s_stmnote_bank_26($B161,#REF!,1,100000000)+#REF!)/[1]!s_stmnote_bank_1n($B161,#REF!,1,100000000),"")</f>
        <v/>
      </c>
      <c r="G161" s="21" t="str">
        <f t="shared" si="4"/>
        <v/>
      </c>
      <c r="H161" s="18" t="str">
        <f>IFERROR([1]!s_stmnote_bank($B161,"34",$A161,100000000)/[1]!s_stmnote_bank_1n(B161,$A161,1,100000000),"")</f>
        <v/>
      </c>
      <c r="I161" s="25">
        <f>[1]!b_stm07_bs(B161,74,$A161,1,100000000)</f>
        <v>0</v>
      </c>
      <c r="J161" s="25">
        <f>[1]!b_stm07_bs(B161,109,$A161,1,100000000)</f>
        <v>0</v>
      </c>
      <c r="K161" s="10">
        <f>[1]!s_stmnote_bank_5n(B161,$A161,1)</f>
        <v>0</v>
      </c>
      <c r="L161" s="25">
        <f>[1]!s_stmnote_bank_23n(B161,$A161,1)</f>
        <v>0</v>
      </c>
      <c r="M161" s="25">
        <f>[1]!s_stmnote_bank_capadequacyratio(B161,$A161,1)</f>
        <v>0</v>
      </c>
      <c r="N161" s="25">
        <f>[1]!s_stmnote_bank_capadequacyratio_ct1(B161,$A161,1)</f>
        <v>0</v>
      </c>
      <c r="O161" s="6">
        <f>IF(OR([1]!s_fa_roe(B161,20201231)="0",[1]!s_fa_roe(B161,20211231)="0",[1]!s_fa_roe(B161,20221231)="0"),"",IFERROR(([1]!s_fa_roe(B161,20221231)+[1]!s_fa_roe(B161,20201231)+[1]!s_fa_roe(B161,20211231))/3,""))</f>
        <v>0</v>
      </c>
      <c r="P161" s="28" t="str">
        <f>IFERROR(([1]!s_stmnote_bank_65(B161,$A161,1,2,4,100000000)+[1]!s_stmnote_bank_65(B161,$A161,1,2,6,100000000))/[1]!s_stmnote_bank_1n(B161,$A161,1,100000000),"")</f>
        <v/>
      </c>
      <c r="Q161" s="28" t="str">
        <f>IFERROR([1]!s_stmnote_bank_614(B161,$A161,1,2,100000000)/[1]!s_stmnote_bank_647(B161,$A161,1,2,100000000),"")</f>
        <v/>
      </c>
      <c r="R161" s="28" t="str">
        <f>IFERROR(([1]!b_stm07_bs(B161,104,$A161,1,100000000)+[1]!b_stm07_bs(B161,106,$A161,1,100000000)+[1]!b_stm07_bs(B161,76,$A161,1,100000000)+[1]!b_stm07_bs(B161,108,$A161,1,100000000)+[1]!b_stm07_bs(B161,95,$A161,1,100000000))/[1]!b_stm07_bs(B161,128,$A161,1,100000000),"")</f>
        <v/>
      </c>
      <c r="S161" s="28" t="str">
        <f>IFERROR(([1]!s_stmnote_bank_614(B161,$A161,1,2,100000000)+[1]!b_stm07_bs(B161,104,$A161,1,100000000)+[1]!b_stm07_bs(B161,106,$A161,1,100000000)+[1]!b_stm07_bs(B161,76,$A161,1,100000000)+[1]!b_stm07_bs(B161,108,$A161,1,100000000)+[1]!b_stm07_bs(B161,95,$A161,1,100000000))/[1]!b_stm07_bs(B161,128,$A161,1,100000000),"")</f>
        <v/>
      </c>
      <c r="T161" s="11">
        <f>[1]!b_issuer_shareholder(B161,"",1)</f>
        <v>0</v>
      </c>
      <c r="U161" s="10">
        <f>[1]!b_issuer_propofshareholder(B161,"",1)</f>
        <v>0</v>
      </c>
      <c r="V161" s="33" t="str">
        <f t="shared" si="5"/>
        <v>0</v>
      </c>
      <c r="W161" s="33">
        <f>[1]!s_info_city(B161)</f>
        <v>0</v>
      </c>
      <c r="X161" s="10">
        <f>IF([1]!s_stmnote_bank_17n(B161,$A161,1)="0","",[1]!s_stmnote_bank_17n(B161,$A161,1))</f>
        <v>0</v>
      </c>
      <c r="Y161" s="10">
        <f>IF([1]!s_stmnote_bank_18n(B161,$A161,1)="0","",[1]!s_stmnote_bank_18n(B161,$A161,1))</f>
        <v>0</v>
      </c>
      <c r="Z161" s="41">
        <f>IF([1]!s_stmnote_bank_58(B161,$A161,1)="0","",[1]!s_stmnote_bank_58(B161,$A161,1))</f>
        <v>0</v>
      </c>
      <c r="AA161" s="52">
        <f>IF([1]!s_stmnote_bank_60(B161,$A161,1)="0","",[1]!s_stmnote_bank_60(B161,$A161,1))</f>
        <v>0</v>
      </c>
      <c r="AB161" s="52">
        <f>[1]!s_stmnote_bank_5444(B161,$A161,1)</f>
        <v>0</v>
      </c>
      <c r="AC161" s="38">
        <f>[1]!s_stmnote_bank_129n($B161,$A161,1)</f>
        <v>0</v>
      </c>
      <c r="AD161" s="54">
        <f>[1]!s_stmnote_bank_30(B161,$A161,1)</f>
        <v>0</v>
      </c>
    </row>
    <row r="162" spans="1:30" s="46" customFormat="1" ht="24">
      <c r="A162" s="1" t="s">
        <v>1110</v>
      </c>
      <c r="B162" s="87" t="s">
        <v>1270</v>
      </c>
      <c r="C162" s="8">
        <f>IF([1]!b_info_issuer(B162)="0","",IFERROR([1]!b_info_issuer(B162),""))</f>
        <v>0</v>
      </c>
      <c r="D162" s="11">
        <f>IF([1]!b_info_latestissurercreditrating(B162)="0","",IFERROR([1]!b_info_latestissurercreditrating(B162),""))</f>
        <v>0</v>
      </c>
      <c r="E162" s="27" t="str">
        <f>IFERROR(([1]!b_stm07_bs($B162,47,$A162,1,100000000))/[1]!b_stm07_bs($B162,109,$A162,1,100000000),"")</f>
        <v/>
      </c>
      <c r="F162" s="18" t="str">
        <f>IFERROR(([1]!s_stmnote_bank_26($B162,$A162,1,100000000)-[1]!s_stmnote_bank_26($B162,#REF!,1,100000000)+#REF!)/[1]!s_stmnote_bank_1n($B162,#REF!,1,100000000),"")</f>
        <v/>
      </c>
      <c r="G162" s="21" t="str">
        <f t="shared" si="4"/>
        <v/>
      </c>
      <c r="H162" s="18" t="str">
        <f>IFERROR([1]!s_stmnote_bank($B162,"34",$A162,100000000)/[1]!s_stmnote_bank_1n(B162,$A162,1,100000000),"")</f>
        <v/>
      </c>
      <c r="I162" s="25">
        <f>[1]!b_stm07_bs(B162,74,$A162,1,100000000)</f>
        <v>0</v>
      </c>
      <c r="J162" s="25">
        <f>[1]!b_stm07_bs(B162,109,$A162,1,100000000)</f>
        <v>0</v>
      </c>
      <c r="K162" s="10">
        <f>[1]!s_stmnote_bank_5n(B162,$A162,1)</f>
        <v>0</v>
      </c>
      <c r="L162" s="25">
        <f>[1]!s_stmnote_bank_23n(B162,$A162,1)</f>
        <v>0</v>
      </c>
      <c r="M162" s="25">
        <f>[1]!s_stmnote_bank_capadequacyratio(B162,$A162,1)</f>
        <v>0</v>
      </c>
      <c r="N162" s="25">
        <f>[1]!s_stmnote_bank_capadequacyratio_ct1(B162,$A162,1)</f>
        <v>0</v>
      </c>
      <c r="O162" s="6">
        <f>IF(OR([1]!s_fa_roe(B162,20201231)="0",[1]!s_fa_roe(B162,20211231)="0",[1]!s_fa_roe(B162,20221231)="0"),"",IFERROR(([1]!s_fa_roe(B162,20221231)+[1]!s_fa_roe(B162,20201231)+[1]!s_fa_roe(B162,20211231))/3,""))</f>
        <v>0</v>
      </c>
      <c r="P162" s="28" t="str">
        <f>IFERROR(([1]!s_stmnote_bank_65(B162,$A162,1,2,4,100000000)+[1]!s_stmnote_bank_65(B162,$A162,1,2,6,100000000))/[1]!s_stmnote_bank_1n(B162,$A162,1,100000000),"")</f>
        <v/>
      </c>
      <c r="Q162" s="28" t="str">
        <f>IFERROR([1]!s_stmnote_bank_614(B162,$A162,1,2,100000000)/[1]!s_stmnote_bank_647(B162,$A162,1,2,100000000),"")</f>
        <v/>
      </c>
      <c r="R162" s="28" t="str">
        <f>IFERROR(([1]!b_stm07_bs(B162,104,$A162,1,100000000)+[1]!b_stm07_bs(B162,106,$A162,1,100000000)+[1]!b_stm07_bs(B162,76,$A162,1,100000000)+[1]!b_stm07_bs(B162,108,$A162,1,100000000)+[1]!b_stm07_bs(B162,95,$A162,1,100000000))/[1]!b_stm07_bs(B162,128,$A162,1,100000000),"")</f>
        <v/>
      </c>
      <c r="S162" s="28" t="str">
        <f>IFERROR(([1]!s_stmnote_bank_614(B162,$A162,1,2,100000000)+[1]!b_stm07_bs(B162,104,$A162,1,100000000)+[1]!b_stm07_bs(B162,106,$A162,1,100000000)+[1]!b_stm07_bs(B162,76,$A162,1,100000000)+[1]!b_stm07_bs(B162,108,$A162,1,100000000)+[1]!b_stm07_bs(B162,95,$A162,1,100000000))/[1]!b_stm07_bs(B162,128,$A162,1,100000000),"")</f>
        <v/>
      </c>
      <c r="T162" s="11">
        <f>[1]!b_issuer_shareholder(B162,"",1)</f>
        <v>0</v>
      </c>
      <c r="U162" s="10">
        <f>[1]!b_issuer_propofshareholder(B162,"",1)</f>
        <v>0</v>
      </c>
      <c r="V162" s="33" t="str">
        <f t="shared" si="5"/>
        <v>0</v>
      </c>
      <c r="W162" s="33">
        <f>[1]!s_info_city(B162)</f>
        <v>0</v>
      </c>
      <c r="X162" s="10">
        <f>IF([1]!s_stmnote_bank_17n(B162,$A162,1)="0","",[1]!s_stmnote_bank_17n(B162,$A162,1))</f>
        <v>0</v>
      </c>
      <c r="Y162" s="10">
        <f>IF([1]!s_stmnote_bank_18n(B162,$A162,1)="0","",[1]!s_stmnote_bank_18n(B162,$A162,1))</f>
        <v>0</v>
      </c>
      <c r="Z162" s="41">
        <f>IF([1]!s_stmnote_bank_58(B162,$A162,1)="0","",[1]!s_stmnote_bank_58(B162,$A162,1))</f>
        <v>0</v>
      </c>
      <c r="AA162" s="52">
        <f>IF([1]!s_stmnote_bank_60(B162,$A162,1)="0","",[1]!s_stmnote_bank_60(B162,$A162,1))</f>
        <v>0</v>
      </c>
      <c r="AB162" s="52">
        <f>[1]!s_stmnote_bank_5444(B162,$A162,1)</f>
        <v>0</v>
      </c>
      <c r="AC162" s="38">
        <f>[1]!s_stmnote_bank_129n($B162,$A162,1)</f>
        <v>0</v>
      </c>
      <c r="AD162" s="54">
        <f>[1]!s_stmnote_bank_30(B162,$A162,1)</f>
        <v>0</v>
      </c>
    </row>
    <row r="163" spans="1:30" s="46" customFormat="1" ht="24">
      <c r="A163" s="1" t="s">
        <v>1110</v>
      </c>
      <c r="B163" s="87" t="s">
        <v>1271</v>
      </c>
      <c r="C163" s="8">
        <f>IF([1]!b_info_issuer(B163)="0","",IFERROR([1]!b_info_issuer(B163),""))</f>
        <v>0</v>
      </c>
      <c r="D163" s="11">
        <f>IF([1]!b_info_latestissurercreditrating(B163)="0","",IFERROR([1]!b_info_latestissurercreditrating(B163),""))</f>
        <v>0</v>
      </c>
      <c r="E163" s="27" t="str">
        <f>IFERROR(([1]!b_stm07_bs($B163,47,$A163,1,100000000))/[1]!b_stm07_bs($B163,109,$A163,1,100000000),"")</f>
        <v/>
      </c>
      <c r="F163" s="18" t="str">
        <f>IFERROR(([1]!s_stmnote_bank_26($B163,$A163,1,100000000)-[1]!s_stmnote_bank_26($B163,#REF!,1,100000000)+#REF!)/[1]!s_stmnote_bank_1n($B163,#REF!,1,100000000),"")</f>
        <v/>
      </c>
      <c r="G163" s="21" t="str">
        <f t="shared" si="4"/>
        <v/>
      </c>
      <c r="H163" s="18" t="str">
        <f>IFERROR([1]!s_stmnote_bank($B163,"34",$A163,100000000)/[1]!s_stmnote_bank_1n(B163,$A163,1,100000000),"")</f>
        <v/>
      </c>
      <c r="I163" s="25">
        <f>[1]!b_stm07_bs(B163,74,$A163,1,100000000)</f>
        <v>0</v>
      </c>
      <c r="J163" s="25">
        <f>[1]!b_stm07_bs(B163,109,$A163,1,100000000)</f>
        <v>0</v>
      </c>
      <c r="K163" s="10">
        <f>[1]!s_stmnote_bank_5n(B163,$A163,1)</f>
        <v>0</v>
      </c>
      <c r="L163" s="25">
        <f>[1]!s_stmnote_bank_23n(B163,$A163,1)</f>
        <v>0</v>
      </c>
      <c r="M163" s="25">
        <f>[1]!s_stmnote_bank_capadequacyratio(B163,$A163,1)</f>
        <v>0</v>
      </c>
      <c r="N163" s="25">
        <f>[1]!s_stmnote_bank_capadequacyratio_ct1(B163,$A163,1)</f>
        <v>0</v>
      </c>
      <c r="O163" s="6">
        <f>IF(OR([1]!s_fa_roe(B163,20201231)="0",[1]!s_fa_roe(B163,20211231)="0",[1]!s_fa_roe(B163,20221231)="0"),"",IFERROR(([1]!s_fa_roe(B163,20221231)+[1]!s_fa_roe(B163,20201231)+[1]!s_fa_roe(B163,20211231))/3,""))</f>
        <v>0</v>
      </c>
      <c r="P163" s="28" t="str">
        <f>IFERROR(([1]!s_stmnote_bank_65(B163,$A163,1,2,4,100000000)+[1]!s_stmnote_bank_65(B163,$A163,1,2,6,100000000))/[1]!s_stmnote_bank_1n(B163,$A163,1,100000000),"")</f>
        <v/>
      </c>
      <c r="Q163" s="28" t="str">
        <f>IFERROR([1]!s_stmnote_bank_614(B163,$A163,1,2,100000000)/[1]!s_stmnote_bank_647(B163,$A163,1,2,100000000),"")</f>
        <v/>
      </c>
      <c r="R163" s="28" t="str">
        <f>IFERROR(([1]!b_stm07_bs(B163,104,$A163,1,100000000)+[1]!b_stm07_bs(B163,106,$A163,1,100000000)+[1]!b_stm07_bs(B163,76,$A163,1,100000000)+[1]!b_stm07_bs(B163,108,$A163,1,100000000)+[1]!b_stm07_bs(B163,95,$A163,1,100000000))/[1]!b_stm07_bs(B163,128,$A163,1,100000000),"")</f>
        <v/>
      </c>
      <c r="S163" s="28" t="str">
        <f>IFERROR(([1]!s_stmnote_bank_614(B163,$A163,1,2,100000000)+[1]!b_stm07_bs(B163,104,$A163,1,100000000)+[1]!b_stm07_bs(B163,106,$A163,1,100000000)+[1]!b_stm07_bs(B163,76,$A163,1,100000000)+[1]!b_stm07_bs(B163,108,$A163,1,100000000)+[1]!b_stm07_bs(B163,95,$A163,1,100000000))/[1]!b_stm07_bs(B163,128,$A163,1,100000000),"")</f>
        <v/>
      </c>
      <c r="T163" s="11">
        <f>[1]!b_issuer_shareholder(B163,"",1)</f>
        <v>0</v>
      </c>
      <c r="U163" s="10">
        <f>[1]!b_issuer_propofshareholder(B163,"",1)</f>
        <v>0</v>
      </c>
      <c r="V163" s="33" t="str">
        <f t="shared" si="5"/>
        <v>0</v>
      </c>
      <c r="W163" s="33">
        <f>[1]!s_info_city(B163)</f>
        <v>0</v>
      </c>
      <c r="X163" s="10">
        <f>IF([1]!s_stmnote_bank_17n(B163,$A163,1)="0","",[1]!s_stmnote_bank_17n(B163,$A163,1))</f>
        <v>0</v>
      </c>
      <c r="Y163" s="10">
        <f>IF([1]!s_stmnote_bank_18n(B163,$A163,1)="0","",[1]!s_stmnote_bank_18n(B163,$A163,1))</f>
        <v>0</v>
      </c>
      <c r="Z163" s="41">
        <f>IF([1]!s_stmnote_bank_58(B163,$A163,1)="0","",[1]!s_stmnote_bank_58(B163,$A163,1))</f>
        <v>0</v>
      </c>
      <c r="AA163" s="52">
        <f>IF([1]!s_stmnote_bank_60(B163,$A163,1)="0","",[1]!s_stmnote_bank_60(B163,$A163,1))</f>
        <v>0</v>
      </c>
      <c r="AB163" s="52">
        <f>[1]!s_stmnote_bank_5444(B163,$A163,1)</f>
        <v>0</v>
      </c>
      <c r="AC163" s="38">
        <f>[1]!s_stmnote_bank_129n($B163,$A163,1)</f>
        <v>0</v>
      </c>
      <c r="AD163" s="54">
        <f>[1]!s_stmnote_bank_30(B163,$A163,1)</f>
        <v>0</v>
      </c>
    </row>
    <row r="164" spans="1:30" s="46" customFormat="1" ht="24">
      <c r="A164" s="1" t="s">
        <v>1110</v>
      </c>
      <c r="B164" s="87" t="s">
        <v>1272</v>
      </c>
      <c r="C164" s="8">
        <f>IF([1]!b_info_issuer(B164)="0","",IFERROR([1]!b_info_issuer(B164),""))</f>
        <v>0</v>
      </c>
      <c r="D164" s="11">
        <f>IF([1]!b_info_latestissurercreditrating(B164)="0","",IFERROR([1]!b_info_latestissurercreditrating(B164),""))</f>
        <v>0</v>
      </c>
      <c r="E164" s="27" t="str">
        <f>IFERROR(([1]!b_stm07_bs($B164,47,$A164,1,100000000))/[1]!b_stm07_bs($B164,109,$A164,1,100000000),"")</f>
        <v/>
      </c>
      <c r="F164" s="18" t="str">
        <f>IFERROR(([1]!s_stmnote_bank_26($B164,$A164,1,100000000)-[1]!s_stmnote_bank_26($B164,#REF!,1,100000000)+#REF!)/[1]!s_stmnote_bank_1n($B164,#REF!,1,100000000),"")</f>
        <v/>
      </c>
      <c r="G164" s="21" t="str">
        <f t="shared" si="4"/>
        <v/>
      </c>
      <c r="H164" s="18" t="str">
        <f>IFERROR([1]!s_stmnote_bank($B164,"34",$A164,100000000)/[1]!s_stmnote_bank_1n(B164,$A164,1,100000000),"")</f>
        <v/>
      </c>
      <c r="I164" s="25">
        <f>[1]!b_stm07_bs(B164,74,$A164,1,100000000)</f>
        <v>0</v>
      </c>
      <c r="J164" s="25">
        <f>[1]!b_stm07_bs(B164,109,$A164,1,100000000)</f>
        <v>0</v>
      </c>
      <c r="K164" s="10">
        <f>[1]!s_stmnote_bank_5n(B164,$A164,1)</f>
        <v>0</v>
      </c>
      <c r="L164" s="25">
        <f>[1]!s_stmnote_bank_23n(B164,$A164,1)</f>
        <v>0</v>
      </c>
      <c r="M164" s="25">
        <f>[1]!s_stmnote_bank_capadequacyratio(B164,$A164,1)</f>
        <v>0</v>
      </c>
      <c r="N164" s="25">
        <f>[1]!s_stmnote_bank_capadequacyratio_ct1(B164,$A164,1)</f>
        <v>0</v>
      </c>
      <c r="O164" s="6">
        <f>IF(OR([1]!s_fa_roe(B164,20201231)="0",[1]!s_fa_roe(B164,20211231)="0",[1]!s_fa_roe(B164,20221231)="0"),"",IFERROR(([1]!s_fa_roe(B164,20221231)+[1]!s_fa_roe(B164,20201231)+[1]!s_fa_roe(B164,20211231))/3,""))</f>
        <v>0</v>
      </c>
      <c r="P164" s="28" t="str">
        <f>IFERROR(([1]!s_stmnote_bank_65(B164,$A164,1,2,4,100000000)+[1]!s_stmnote_bank_65(B164,$A164,1,2,6,100000000))/[1]!s_stmnote_bank_1n(B164,$A164,1,100000000),"")</f>
        <v/>
      </c>
      <c r="Q164" s="28" t="str">
        <f>IFERROR([1]!s_stmnote_bank_614(B164,$A164,1,2,100000000)/[1]!s_stmnote_bank_647(B164,$A164,1,2,100000000),"")</f>
        <v/>
      </c>
      <c r="R164" s="28" t="str">
        <f>IFERROR(([1]!b_stm07_bs(B164,104,$A164,1,100000000)+[1]!b_stm07_bs(B164,106,$A164,1,100000000)+[1]!b_stm07_bs(B164,76,$A164,1,100000000)+[1]!b_stm07_bs(B164,108,$A164,1,100000000)+[1]!b_stm07_bs(B164,95,$A164,1,100000000))/[1]!b_stm07_bs(B164,128,$A164,1,100000000),"")</f>
        <v/>
      </c>
      <c r="S164" s="28" t="str">
        <f>IFERROR(([1]!s_stmnote_bank_614(B164,$A164,1,2,100000000)+[1]!b_stm07_bs(B164,104,$A164,1,100000000)+[1]!b_stm07_bs(B164,106,$A164,1,100000000)+[1]!b_stm07_bs(B164,76,$A164,1,100000000)+[1]!b_stm07_bs(B164,108,$A164,1,100000000)+[1]!b_stm07_bs(B164,95,$A164,1,100000000))/[1]!b_stm07_bs(B164,128,$A164,1,100000000),"")</f>
        <v/>
      </c>
      <c r="T164" s="11">
        <f>[1]!b_issuer_shareholder(B164,"",1)</f>
        <v>0</v>
      </c>
      <c r="U164" s="10">
        <f>[1]!b_issuer_propofshareholder(B164,"",1)</f>
        <v>0</v>
      </c>
      <c r="V164" s="33" t="str">
        <f t="shared" si="5"/>
        <v>0</v>
      </c>
      <c r="W164" s="33">
        <f>[1]!s_info_city(B164)</f>
        <v>0</v>
      </c>
      <c r="X164" s="10">
        <f>IF([1]!s_stmnote_bank_17n(B164,$A164,1)="0","",[1]!s_stmnote_bank_17n(B164,$A164,1))</f>
        <v>0</v>
      </c>
      <c r="Y164" s="10">
        <f>IF([1]!s_stmnote_bank_18n(B164,$A164,1)="0","",[1]!s_stmnote_bank_18n(B164,$A164,1))</f>
        <v>0</v>
      </c>
      <c r="Z164" s="41">
        <f>IF([1]!s_stmnote_bank_58(B164,$A164,1)="0","",[1]!s_stmnote_bank_58(B164,$A164,1))</f>
        <v>0</v>
      </c>
      <c r="AA164" s="52">
        <f>IF([1]!s_stmnote_bank_60(B164,$A164,1)="0","",[1]!s_stmnote_bank_60(B164,$A164,1))</f>
        <v>0</v>
      </c>
      <c r="AB164" s="52">
        <f>[1]!s_stmnote_bank_5444(B164,$A164,1)</f>
        <v>0</v>
      </c>
      <c r="AC164" s="38">
        <f>[1]!s_stmnote_bank_129n($B164,$A164,1)</f>
        <v>0</v>
      </c>
      <c r="AD164" s="54">
        <f>[1]!s_stmnote_bank_30(B164,$A164,1)</f>
        <v>0</v>
      </c>
    </row>
    <row r="165" spans="1:30" s="46" customFormat="1" ht="24">
      <c r="A165" s="1" t="s">
        <v>1110</v>
      </c>
      <c r="B165" s="87" t="s">
        <v>1273</v>
      </c>
      <c r="C165" s="8">
        <f>IF([1]!b_info_issuer(B165)="0","",IFERROR([1]!b_info_issuer(B165),""))</f>
        <v>0</v>
      </c>
      <c r="D165" s="11">
        <f>IF([1]!b_info_latestissurercreditrating(B165)="0","",IFERROR([1]!b_info_latestissurercreditrating(B165),""))</f>
        <v>0</v>
      </c>
      <c r="E165" s="27" t="str">
        <f>IFERROR(([1]!b_stm07_bs($B165,47,$A165,1,100000000))/[1]!b_stm07_bs($B165,109,$A165,1,100000000),"")</f>
        <v/>
      </c>
      <c r="F165" s="18" t="str">
        <f>IFERROR(([1]!s_stmnote_bank_26($B165,$A165,1,100000000)-[1]!s_stmnote_bank_26($B165,#REF!,1,100000000)+#REF!)/[1]!s_stmnote_bank_1n($B165,#REF!,1,100000000),"")</f>
        <v/>
      </c>
      <c r="G165" s="21" t="str">
        <f t="shared" si="4"/>
        <v/>
      </c>
      <c r="H165" s="18" t="str">
        <f>IFERROR([1]!s_stmnote_bank($B165,"34",$A165,100000000)/[1]!s_stmnote_bank_1n(B165,$A165,1,100000000),"")</f>
        <v/>
      </c>
      <c r="I165" s="25">
        <f>[1]!b_stm07_bs(B165,74,$A165,1,100000000)</f>
        <v>0</v>
      </c>
      <c r="J165" s="25">
        <f>[1]!b_stm07_bs(B165,109,$A165,1,100000000)</f>
        <v>0</v>
      </c>
      <c r="K165" s="10">
        <f>[1]!s_stmnote_bank_5n(B165,$A165,1)</f>
        <v>0</v>
      </c>
      <c r="L165" s="25">
        <f>[1]!s_stmnote_bank_23n(B165,$A165,1)</f>
        <v>0</v>
      </c>
      <c r="M165" s="25">
        <f>[1]!s_stmnote_bank_capadequacyratio(B165,$A165,1)</f>
        <v>0</v>
      </c>
      <c r="N165" s="25">
        <f>[1]!s_stmnote_bank_capadequacyratio_ct1(B165,$A165,1)</f>
        <v>0</v>
      </c>
      <c r="O165" s="6">
        <f>IF(OR([1]!s_fa_roe(B165,20201231)="0",[1]!s_fa_roe(B165,20211231)="0",[1]!s_fa_roe(B165,20221231)="0"),"",IFERROR(([1]!s_fa_roe(B165,20221231)+[1]!s_fa_roe(B165,20201231)+[1]!s_fa_roe(B165,20211231))/3,""))</f>
        <v>0</v>
      </c>
      <c r="P165" s="28" t="str">
        <f>IFERROR(([1]!s_stmnote_bank_65(B165,$A165,1,2,4,100000000)+[1]!s_stmnote_bank_65(B165,$A165,1,2,6,100000000))/[1]!s_stmnote_bank_1n(B165,$A165,1,100000000),"")</f>
        <v/>
      </c>
      <c r="Q165" s="28" t="str">
        <f>IFERROR([1]!s_stmnote_bank_614(B165,$A165,1,2,100000000)/[1]!s_stmnote_bank_647(B165,$A165,1,2,100000000),"")</f>
        <v/>
      </c>
      <c r="R165" s="28" t="str">
        <f>IFERROR(([1]!b_stm07_bs(B165,104,$A165,1,100000000)+[1]!b_stm07_bs(B165,106,$A165,1,100000000)+[1]!b_stm07_bs(B165,76,$A165,1,100000000)+[1]!b_stm07_bs(B165,108,$A165,1,100000000)+[1]!b_stm07_bs(B165,95,$A165,1,100000000))/[1]!b_stm07_bs(B165,128,$A165,1,100000000),"")</f>
        <v/>
      </c>
      <c r="S165" s="28" t="str">
        <f>IFERROR(([1]!s_stmnote_bank_614(B165,$A165,1,2,100000000)+[1]!b_stm07_bs(B165,104,$A165,1,100000000)+[1]!b_stm07_bs(B165,106,$A165,1,100000000)+[1]!b_stm07_bs(B165,76,$A165,1,100000000)+[1]!b_stm07_bs(B165,108,$A165,1,100000000)+[1]!b_stm07_bs(B165,95,$A165,1,100000000))/[1]!b_stm07_bs(B165,128,$A165,1,100000000),"")</f>
        <v/>
      </c>
      <c r="T165" s="11">
        <f>[1]!b_issuer_shareholder(B165,"",1)</f>
        <v>0</v>
      </c>
      <c r="U165" s="10">
        <f>[1]!b_issuer_propofshareholder(B165,"",1)</f>
        <v>0</v>
      </c>
      <c r="V165" s="33" t="str">
        <f t="shared" si="5"/>
        <v>0</v>
      </c>
      <c r="W165" s="33">
        <f>[1]!s_info_city(B165)</f>
        <v>0</v>
      </c>
      <c r="X165" s="10">
        <f>IF([1]!s_stmnote_bank_17n(B165,$A165,1)="0","",[1]!s_stmnote_bank_17n(B165,$A165,1))</f>
        <v>0</v>
      </c>
      <c r="Y165" s="10">
        <f>IF([1]!s_stmnote_bank_18n(B165,$A165,1)="0","",[1]!s_stmnote_bank_18n(B165,$A165,1))</f>
        <v>0</v>
      </c>
      <c r="Z165" s="41">
        <f>IF([1]!s_stmnote_bank_58(B165,$A165,1)="0","",[1]!s_stmnote_bank_58(B165,$A165,1))</f>
        <v>0</v>
      </c>
      <c r="AA165" s="52">
        <f>IF([1]!s_stmnote_bank_60(B165,$A165,1)="0","",[1]!s_stmnote_bank_60(B165,$A165,1))</f>
        <v>0</v>
      </c>
      <c r="AB165" s="52">
        <f>[1]!s_stmnote_bank_5444(B165,$A165,1)</f>
        <v>0</v>
      </c>
      <c r="AC165" s="38">
        <f>[1]!s_stmnote_bank_129n($B165,$A165,1)</f>
        <v>0</v>
      </c>
      <c r="AD165" s="54">
        <f>[1]!s_stmnote_bank_30(B165,$A165,1)</f>
        <v>0</v>
      </c>
    </row>
    <row r="166" spans="1:30" s="46" customFormat="1" ht="24">
      <c r="A166" s="1" t="s">
        <v>1110</v>
      </c>
      <c r="B166" s="87" t="s">
        <v>1274</v>
      </c>
      <c r="C166" s="8">
        <f>IF([1]!b_info_issuer(B166)="0","",IFERROR([1]!b_info_issuer(B166),""))</f>
        <v>0</v>
      </c>
      <c r="D166" s="11">
        <f>IF([1]!b_info_latestissurercreditrating(B166)="0","",IFERROR([1]!b_info_latestissurercreditrating(B166),""))</f>
        <v>0</v>
      </c>
      <c r="E166" s="27" t="str">
        <f>IFERROR(([1]!b_stm07_bs($B166,47,$A166,1,100000000))/[1]!b_stm07_bs($B166,109,$A166,1,100000000),"")</f>
        <v/>
      </c>
      <c r="F166" s="18" t="str">
        <f>IFERROR(([1]!s_stmnote_bank_26($B166,$A166,1,100000000)-[1]!s_stmnote_bank_26($B166,#REF!,1,100000000)+#REF!)/[1]!s_stmnote_bank_1n($B166,#REF!,1,100000000),"")</f>
        <v/>
      </c>
      <c r="G166" s="21" t="str">
        <f t="shared" si="4"/>
        <v/>
      </c>
      <c r="H166" s="18" t="str">
        <f>IFERROR([1]!s_stmnote_bank($B166,"34",$A166,100000000)/[1]!s_stmnote_bank_1n(B166,$A166,1,100000000),"")</f>
        <v/>
      </c>
      <c r="I166" s="25">
        <f>[1]!b_stm07_bs(B166,74,$A166,1,100000000)</f>
        <v>0</v>
      </c>
      <c r="J166" s="25">
        <f>[1]!b_stm07_bs(B166,109,$A166,1,100000000)</f>
        <v>0</v>
      </c>
      <c r="K166" s="10">
        <f>[1]!s_stmnote_bank_5n(B166,$A166,1)</f>
        <v>0</v>
      </c>
      <c r="L166" s="25">
        <f>[1]!s_stmnote_bank_23n(B166,$A166,1)</f>
        <v>0</v>
      </c>
      <c r="M166" s="25">
        <f>[1]!s_stmnote_bank_capadequacyratio(B166,$A166,1)</f>
        <v>0</v>
      </c>
      <c r="N166" s="25">
        <f>[1]!s_stmnote_bank_capadequacyratio_ct1(B166,$A166,1)</f>
        <v>0</v>
      </c>
      <c r="O166" s="6">
        <f>IF(OR([1]!s_fa_roe(B166,20201231)="0",[1]!s_fa_roe(B166,20211231)="0",[1]!s_fa_roe(B166,20221231)="0"),"",IFERROR(([1]!s_fa_roe(B166,20221231)+[1]!s_fa_roe(B166,20201231)+[1]!s_fa_roe(B166,20211231))/3,""))</f>
        <v>0</v>
      </c>
      <c r="P166" s="28" t="str">
        <f>IFERROR(([1]!s_stmnote_bank_65(B166,$A166,1,2,4,100000000)+[1]!s_stmnote_bank_65(B166,$A166,1,2,6,100000000))/[1]!s_stmnote_bank_1n(B166,$A166,1,100000000),"")</f>
        <v/>
      </c>
      <c r="Q166" s="28" t="str">
        <f>IFERROR([1]!s_stmnote_bank_614(B166,$A166,1,2,100000000)/[1]!s_stmnote_bank_647(B166,$A166,1,2,100000000),"")</f>
        <v/>
      </c>
      <c r="R166" s="28" t="str">
        <f>IFERROR(([1]!b_stm07_bs(B166,104,$A166,1,100000000)+[1]!b_stm07_bs(B166,106,$A166,1,100000000)+[1]!b_stm07_bs(B166,76,$A166,1,100000000)+[1]!b_stm07_bs(B166,108,$A166,1,100000000)+[1]!b_stm07_bs(B166,95,$A166,1,100000000))/[1]!b_stm07_bs(B166,128,$A166,1,100000000),"")</f>
        <v/>
      </c>
      <c r="S166" s="28" t="str">
        <f>IFERROR(([1]!s_stmnote_bank_614(B166,$A166,1,2,100000000)+[1]!b_stm07_bs(B166,104,$A166,1,100000000)+[1]!b_stm07_bs(B166,106,$A166,1,100000000)+[1]!b_stm07_bs(B166,76,$A166,1,100000000)+[1]!b_stm07_bs(B166,108,$A166,1,100000000)+[1]!b_stm07_bs(B166,95,$A166,1,100000000))/[1]!b_stm07_bs(B166,128,$A166,1,100000000),"")</f>
        <v/>
      </c>
      <c r="T166" s="11">
        <f>[1]!b_issuer_shareholder(B166,"",1)</f>
        <v>0</v>
      </c>
      <c r="U166" s="10">
        <f>[1]!b_issuer_propofshareholder(B166,"",1)</f>
        <v>0</v>
      </c>
      <c r="V166" s="33" t="str">
        <f t="shared" si="5"/>
        <v>0</v>
      </c>
      <c r="W166" s="33">
        <f>[1]!s_info_city(B166)</f>
        <v>0</v>
      </c>
      <c r="X166" s="10">
        <f>IF([1]!s_stmnote_bank_17n(B166,$A166,1)="0","",[1]!s_stmnote_bank_17n(B166,$A166,1))</f>
        <v>0</v>
      </c>
      <c r="Y166" s="10">
        <f>IF([1]!s_stmnote_bank_18n(B166,$A166,1)="0","",[1]!s_stmnote_bank_18n(B166,$A166,1))</f>
        <v>0</v>
      </c>
      <c r="Z166" s="41">
        <f>IF([1]!s_stmnote_bank_58(B166,$A166,1)="0","",[1]!s_stmnote_bank_58(B166,$A166,1))</f>
        <v>0</v>
      </c>
      <c r="AA166" s="52">
        <f>IF([1]!s_stmnote_bank_60(B166,$A166,1)="0","",[1]!s_stmnote_bank_60(B166,$A166,1))</f>
        <v>0</v>
      </c>
      <c r="AB166" s="52">
        <f>[1]!s_stmnote_bank_5444(B166,$A166,1)</f>
        <v>0</v>
      </c>
      <c r="AC166" s="38">
        <f>[1]!s_stmnote_bank_129n($B166,$A166,1)</f>
        <v>0</v>
      </c>
      <c r="AD166" s="54">
        <f>[1]!s_stmnote_bank_30(B166,$A166,1)</f>
        <v>0</v>
      </c>
    </row>
    <row r="167" spans="1:30" s="46" customFormat="1" ht="24">
      <c r="A167" s="1" t="s">
        <v>1110</v>
      </c>
      <c r="B167" s="87" t="s">
        <v>1275</v>
      </c>
      <c r="C167" s="8">
        <f>IF([1]!b_info_issuer(B167)="0","",IFERROR([1]!b_info_issuer(B167),""))</f>
        <v>0</v>
      </c>
      <c r="D167" s="11">
        <f>IF([1]!b_info_latestissurercreditrating(B167)="0","",IFERROR([1]!b_info_latestissurercreditrating(B167),""))</f>
        <v>0</v>
      </c>
      <c r="E167" s="27" t="str">
        <f>IFERROR(([1]!b_stm07_bs($B167,47,$A167,1,100000000))/[1]!b_stm07_bs($B167,109,$A167,1,100000000),"")</f>
        <v/>
      </c>
      <c r="F167" s="18" t="str">
        <f>IFERROR(([1]!s_stmnote_bank_26($B167,$A167,1,100000000)-[1]!s_stmnote_bank_26($B167,#REF!,1,100000000)+#REF!)/[1]!s_stmnote_bank_1n($B167,#REF!,1,100000000),"")</f>
        <v/>
      </c>
      <c r="G167" s="21" t="str">
        <f t="shared" si="4"/>
        <v/>
      </c>
      <c r="H167" s="18" t="str">
        <f>IFERROR([1]!s_stmnote_bank($B167,"34",$A167,100000000)/[1]!s_stmnote_bank_1n(B167,$A167,1,100000000),"")</f>
        <v/>
      </c>
      <c r="I167" s="25">
        <f>[1]!b_stm07_bs(B167,74,$A167,1,100000000)</f>
        <v>0</v>
      </c>
      <c r="J167" s="25">
        <f>[1]!b_stm07_bs(B167,109,$A167,1,100000000)</f>
        <v>0</v>
      </c>
      <c r="K167" s="10">
        <f>[1]!s_stmnote_bank_5n(B167,$A167,1)</f>
        <v>0</v>
      </c>
      <c r="L167" s="25">
        <f>[1]!s_stmnote_bank_23n(B167,$A167,1)</f>
        <v>0</v>
      </c>
      <c r="M167" s="25">
        <f>[1]!s_stmnote_bank_capadequacyratio(B167,$A167,1)</f>
        <v>0</v>
      </c>
      <c r="N167" s="25">
        <f>[1]!s_stmnote_bank_capadequacyratio_ct1(B167,$A167,1)</f>
        <v>0</v>
      </c>
      <c r="O167" s="6">
        <f>IF(OR([1]!s_fa_roe(B167,20201231)="0",[1]!s_fa_roe(B167,20211231)="0",[1]!s_fa_roe(B167,20221231)="0"),"",IFERROR(([1]!s_fa_roe(B167,20221231)+[1]!s_fa_roe(B167,20201231)+[1]!s_fa_roe(B167,20211231))/3,""))</f>
        <v>0</v>
      </c>
      <c r="P167" s="28" t="str">
        <f>IFERROR(([1]!s_stmnote_bank_65(B167,$A167,1,2,4,100000000)+[1]!s_stmnote_bank_65(B167,$A167,1,2,6,100000000))/[1]!s_stmnote_bank_1n(B167,$A167,1,100000000),"")</f>
        <v/>
      </c>
      <c r="Q167" s="28" t="str">
        <f>IFERROR([1]!s_stmnote_bank_614(B167,$A167,1,2,100000000)/[1]!s_stmnote_bank_647(B167,$A167,1,2,100000000),"")</f>
        <v/>
      </c>
      <c r="R167" s="28" t="str">
        <f>IFERROR(([1]!b_stm07_bs(B167,104,$A167,1,100000000)+[1]!b_stm07_bs(B167,106,$A167,1,100000000)+[1]!b_stm07_bs(B167,76,$A167,1,100000000)+[1]!b_stm07_bs(B167,108,$A167,1,100000000)+[1]!b_stm07_bs(B167,95,$A167,1,100000000))/[1]!b_stm07_bs(B167,128,$A167,1,100000000),"")</f>
        <v/>
      </c>
      <c r="S167" s="28" t="str">
        <f>IFERROR(([1]!s_stmnote_bank_614(B167,$A167,1,2,100000000)+[1]!b_stm07_bs(B167,104,$A167,1,100000000)+[1]!b_stm07_bs(B167,106,$A167,1,100000000)+[1]!b_stm07_bs(B167,76,$A167,1,100000000)+[1]!b_stm07_bs(B167,108,$A167,1,100000000)+[1]!b_stm07_bs(B167,95,$A167,1,100000000))/[1]!b_stm07_bs(B167,128,$A167,1,100000000),"")</f>
        <v/>
      </c>
      <c r="T167" s="11">
        <f>[1]!b_issuer_shareholder(B167,"",1)</f>
        <v>0</v>
      </c>
      <c r="U167" s="10">
        <f>[1]!b_issuer_propofshareholder(B167,"",1)</f>
        <v>0</v>
      </c>
      <c r="V167" s="33" t="str">
        <f t="shared" si="5"/>
        <v>0</v>
      </c>
      <c r="W167" s="33">
        <f>[1]!s_info_city(B167)</f>
        <v>0</v>
      </c>
      <c r="X167" s="10">
        <f>IF([1]!s_stmnote_bank_17n(B167,$A167,1)="0","",[1]!s_stmnote_bank_17n(B167,$A167,1))</f>
        <v>0</v>
      </c>
      <c r="Y167" s="10">
        <f>IF([1]!s_stmnote_bank_18n(B167,$A167,1)="0","",[1]!s_stmnote_bank_18n(B167,$A167,1))</f>
        <v>0</v>
      </c>
      <c r="Z167" s="41">
        <f>IF([1]!s_stmnote_bank_58(B167,$A167,1)="0","",[1]!s_stmnote_bank_58(B167,$A167,1))</f>
        <v>0</v>
      </c>
      <c r="AA167" s="52">
        <f>IF([1]!s_stmnote_bank_60(B167,$A167,1)="0","",[1]!s_stmnote_bank_60(B167,$A167,1))</f>
        <v>0</v>
      </c>
      <c r="AB167" s="52">
        <f>[1]!s_stmnote_bank_5444(B167,$A167,1)</f>
        <v>0</v>
      </c>
      <c r="AC167" s="38">
        <f>[1]!s_stmnote_bank_129n($B167,$A167,1)</f>
        <v>0</v>
      </c>
      <c r="AD167" s="54">
        <f>[1]!s_stmnote_bank_30(B167,$A167,1)</f>
        <v>0</v>
      </c>
    </row>
    <row r="168" spans="1:30" s="46" customFormat="1" ht="24">
      <c r="A168" s="1" t="s">
        <v>1110</v>
      </c>
      <c r="B168" s="87" t="s">
        <v>1276</v>
      </c>
      <c r="C168" s="8">
        <f>IF([1]!b_info_issuer(B168)="0","",IFERROR([1]!b_info_issuer(B168),""))</f>
        <v>0</v>
      </c>
      <c r="D168" s="11">
        <f>IF([1]!b_info_latestissurercreditrating(B168)="0","",IFERROR([1]!b_info_latestissurercreditrating(B168),""))</f>
        <v>0</v>
      </c>
      <c r="E168" s="27" t="str">
        <f>IFERROR(([1]!b_stm07_bs($B168,47,$A168,1,100000000))/[1]!b_stm07_bs($B168,109,$A168,1,100000000),"")</f>
        <v/>
      </c>
      <c r="F168" s="18" t="str">
        <f>IFERROR(([1]!s_stmnote_bank_26($B168,$A168,1,100000000)-[1]!s_stmnote_bank_26($B168,#REF!,1,100000000)+#REF!)/[1]!s_stmnote_bank_1n($B168,#REF!,1,100000000),"")</f>
        <v/>
      </c>
      <c r="G168" s="21" t="str">
        <f t="shared" si="4"/>
        <v/>
      </c>
      <c r="H168" s="18" t="str">
        <f>IFERROR([1]!s_stmnote_bank($B168,"34",$A168,100000000)/[1]!s_stmnote_bank_1n(B168,$A168,1,100000000),"")</f>
        <v/>
      </c>
      <c r="I168" s="25">
        <f>[1]!b_stm07_bs(B168,74,$A168,1,100000000)</f>
        <v>0</v>
      </c>
      <c r="J168" s="25">
        <f>[1]!b_stm07_bs(B168,109,$A168,1,100000000)</f>
        <v>0</v>
      </c>
      <c r="K168" s="10">
        <f>[1]!s_stmnote_bank_5n(B168,$A168,1)</f>
        <v>0</v>
      </c>
      <c r="L168" s="25">
        <f>[1]!s_stmnote_bank_23n(B168,$A168,1)</f>
        <v>0</v>
      </c>
      <c r="M168" s="25">
        <f>[1]!s_stmnote_bank_capadequacyratio(B168,$A168,1)</f>
        <v>0</v>
      </c>
      <c r="N168" s="25">
        <f>[1]!s_stmnote_bank_capadequacyratio_ct1(B168,$A168,1)</f>
        <v>0</v>
      </c>
      <c r="O168" s="6">
        <f>IF(OR([1]!s_fa_roe(B168,20201231)="0",[1]!s_fa_roe(B168,20211231)="0",[1]!s_fa_roe(B168,20221231)="0"),"",IFERROR(([1]!s_fa_roe(B168,20221231)+[1]!s_fa_roe(B168,20201231)+[1]!s_fa_roe(B168,20211231))/3,""))</f>
        <v>0</v>
      </c>
      <c r="P168" s="28" t="str">
        <f>IFERROR(([1]!s_stmnote_bank_65(B168,$A168,1,2,4,100000000)+[1]!s_stmnote_bank_65(B168,$A168,1,2,6,100000000))/[1]!s_stmnote_bank_1n(B168,$A168,1,100000000),"")</f>
        <v/>
      </c>
      <c r="Q168" s="28" t="str">
        <f>IFERROR([1]!s_stmnote_bank_614(B168,$A168,1,2,100000000)/[1]!s_stmnote_bank_647(B168,$A168,1,2,100000000),"")</f>
        <v/>
      </c>
      <c r="R168" s="28" t="str">
        <f>IFERROR(([1]!b_stm07_bs(B168,104,$A168,1,100000000)+[1]!b_stm07_bs(B168,106,$A168,1,100000000)+[1]!b_stm07_bs(B168,76,$A168,1,100000000)+[1]!b_stm07_bs(B168,108,$A168,1,100000000)+[1]!b_stm07_bs(B168,95,$A168,1,100000000))/[1]!b_stm07_bs(B168,128,$A168,1,100000000),"")</f>
        <v/>
      </c>
      <c r="S168" s="28" t="str">
        <f>IFERROR(([1]!s_stmnote_bank_614(B168,$A168,1,2,100000000)+[1]!b_stm07_bs(B168,104,$A168,1,100000000)+[1]!b_stm07_bs(B168,106,$A168,1,100000000)+[1]!b_stm07_bs(B168,76,$A168,1,100000000)+[1]!b_stm07_bs(B168,108,$A168,1,100000000)+[1]!b_stm07_bs(B168,95,$A168,1,100000000))/[1]!b_stm07_bs(B168,128,$A168,1,100000000),"")</f>
        <v/>
      </c>
      <c r="T168" s="11">
        <f>[1]!b_issuer_shareholder(B168,"",1)</f>
        <v>0</v>
      </c>
      <c r="U168" s="10">
        <f>[1]!b_issuer_propofshareholder(B168,"",1)</f>
        <v>0</v>
      </c>
      <c r="V168" s="33" t="str">
        <f t="shared" si="5"/>
        <v>0</v>
      </c>
      <c r="W168" s="33">
        <f>[1]!s_info_city(B168)</f>
        <v>0</v>
      </c>
      <c r="X168" s="10">
        <f>IF([1]!s_stmnote_bank_17n(B168,$A168,1)="0","",[1]!s_stmnote_bank_17n(B168,$A168,1))</f>
        <v>0</v>
      </c>
      <c r="Y168" s="10">
        <f>IF([1]!s_stmnote_bank_18n(B168,$A168,1)="0","",[1]!s_stmnote_bank_18n(B168,$A168,1))</f>
        <v>0</v>
      </c>
      <c r="Z168" s="41">
        <f>IF([1]!s_stmnote_bank_58(B168,$A168,1)="0","",[1]!s_stmnote_bank_58(B168,$A168,1))</f>
        <v>0</v>
      </c>
      <c r="AA168" s="52">
        <f>IF([1]!s_stmnote_bank_60(B168,$A168,1)="0","",[1]!s_stmnote_bank_60(B168,$A168,1))</f>
        <v>0</v>
      </c>
      <c r="AB168" s="52">
        <f>[1]!s_stmnote_bank_5444(B168,$A168,1)</f>
        <v>0</v>
      </c>
      <c r="AC168" s="38">
        <f>[1]!s_stmnote_bank_129n($B168,$A168,1)</f>
        <v>0</v>
      </c>
      <c r="AD168" s="54">
        <f>[1]!s_stmnote_bank_30(B168,$A168,1)</f>
        <v>0</v>
      </c>
    </row>
    <row r="169" spans="1:30" s="46" customFormat="1" ht="24">
      <c r="A169" s="1" t="s">
        <v>1110</v>
      </c>
      <c r="B169" s="87" t="s">
        <v>1277</v>
      </c>
      <c r="C169" s="8">
        <f>IF([1]!b_info_issuer(B169)="0","",IFERROR([1]!b_info_issuer(B169),""))</f>
        <v>0</v>
      </c>
      <c r="D169" s="11">
        <f>IF([1]!b_info_latestissurercreditrating(B169)="0","",IFERROR([1]!b_info_latestissurercreditrating(B169),""))</f>
        <v>0</v>
      </c>
      <c r="E169" s="27" t="str">
        <f>IFERROR(([1]!b_stm07_bs($B169,47,$A169,1,100000000))/[1]!b_stm07_bs($B169,109,$A169,1,100000000),"")</f>
        <v/>
      </c>
      <c r="F169" s="18" t="str">
        <f>IFERROR(([1]!s_stmnote_bank_26($B169,$A169,1,100000000)-[1]!s_stmnote_bank_26($B169,#REF!,1,100000000)+#REF!)/[1]!s_stmnote_bank_1n($B169,#REF!,1,100000000),"")</f>
        <v/>
      </c>
      <c r="G169" s="21" t="str">
        <f t="shared" si="4"/>
        <v/>
      </c>
      <c r="H169" s="18" t="str">
        <f>IFERROR([1]!s_stmnote_bank($B169,"34",$A169,100000000)/[1]!s_stmnote_bank_1n(B169,$A169,1,100000000),"")</f>
        <v/>
      </c>
      <c r="I169" s="25">
        <f>[1]!b_stm07_bs(B169,74,$A169,1,100000000)</f>
        <v>0</v>
      </c>
      <c r="J169" s="25">
        <f>[1]!b_stm07_bs(B169,109,$A169,1,100000000)</f>
        <v>0</v>
      </c>
      <c r="K169" s="10">
        <f>[1]!s_stmnote_bank_5n(B169,$A169,1)</f>
        <v>0</v>
      </c>
      <c r="L169" s="25">
        <f>[1]!s_stmnote_bank_23n(B169,$A169,1)</f>
        <v>0</v>
      </c>
      <c r="M169" s="25">
        <f>[1]!s_stmnote_bank_capadequacyratio(B169,$A169,1)</f>
        <v>0</v>
      </c>
      <c r="N169" s="25">
        <f>[1]!s_stmnote_bank_capadequacyratio_ct1(B169,$A169,1)</f>
        <v>0</v>
      </c>
      <c r="O169" s="6">
        <f>IF(OR([1]!s_fa_roe(B169,20201231)="0",[1]!s_fa_roe(B169,20211231)="0",[1]!s_fa_roe(B169,20221231)="0"),"",IFERROR(([1]!s_fa_roe(B169,20221231)+[1]!s_fa_roe(B169,20201231)+[1]!s_fa_roe(B169,20211231))/3,""))</f>
        <v>0</v>
      </c>
      <c r="P169" s="28" t="str">
        <f>IFERROR(([1]!s_stmnote_bank_65(B169,$A169,1,2,4,100000000)+[1]!s_stmnote_bank_65(B169,$A169,1,2,6,100000000))/[1]!s_stmnote_bank_1n(B169,$A169,1,100000000),"")</f>
        <v/>
      </c>
      <c r="Q169" s="28" t="str">
        <f>IFERROR([1]!s_stmnote_bank_614(B169,$A169,1,2,100000000)/[1]!s_stmnote_bank_647(B169,$A169,1,2,100000000),"")</f>
        <v/>
      </c>
      <c r="R169" s="28" t="str">
        <f>IFERROR(([1]!b_stm07_bs(B169,104,$A169,1,100000000)+[1]!b_stm07_bs(B169,106,$A169,1,100000000)+[1]!b_stm07_bs(B169,76,$A169,1,100000000)+[1]!b_stm07_bs(B169,108,$A169,1,100000000)+[1]!b_stm07_bs(B169,95,$A169,1,100000000))/[1]!b_stm07_bs(B169,128,$A169,1,100000000),"")</f>
        <v/>
      </c>
      <c r="S169" s="28" t="str">
        <f>IFERROR(([1]!s_stmnote_bank_614(B169,$A169,1,2,100000000)+[1]!b_stm07_bs(B169,104,$A169,1,100000000)+[1]!b_stm07_bs(B169,106,$A169,1,100000000)+[1]!b_stm07_bs(B169,76,$A169,1,100000000)+[1]!b_stm07_bs(B169,108,$A169,1,100000000)+[1]!b_stm07_bs(B169,95,$A169,1,100000000))/[1]!b_stm07_bs(B169,128,$A169,1,100000000),"")</f>
        <v/>
      </c>
      <c r="T169" s="11">
        <f>[1]!b_issuer_shareholder(B169,"",1)</f>
        <v>0</v>
      </c>
      <c r="U169" s="10">
        <f>[1]!b_issuer_propofshareholder(B169,"",1)</f>
        <v>0</v>
      </c>
      <c r="V169" s="33" t="str">
        <f t="shared" si="5"/>
        <v>0</v>
      </c>
      <c r="W169" s="33">
        <f>[1]!s_info_city(B169)</f>
        <v>0</v>
      </c>
      <c r="X169" s="10">
        <f>IF([1]!s_stmnote_bank_17n(B169,$A169,1)="0","",[1]!s_stmnote_bank_17n(B169,$A169,1))</f>
        <v>0</v>
      </c>
      <c r="Y169" s="10">
        <f>IF([1]!s_stmnote_bank_18n(B169,$A169,1)="0","",[1]!s_stmnote_bank_18n(B169,$A169,1))</f>
        <v>0</v>
      </c>
      <c r="Z169" s="41">
        <f>IF([1]!s_stmnote_bank_58(B169,$A169,1)="0","",[1]!s_stmnote_bank_58(B169,$A169,1))</f>
        <v>0</v>
      </c>
      <c r="AA169" s="52">
        <f>IF([1]!s_stmnote_bank_60(B169,$A169,1)="0","",[1]!s_stmnote_bank_60(B169,$A169,1))</f>
        <v>0</v>
      </c>
      <c r="AB169" s="52">
        <f>[1]!s_stmnote_bank_5444(B169,$A169,1)</f>
        <v>0</v>
      </c>
      <c r="AC169" s="38">
        <f>[1]!s_stmnote_bank_129n($B169,$A169,1)</f>
        <v>0</v>
      </c>
      <c r="AD169" s="54">
        <f>[1]!s_stmnote_bank_30(B169,$A169,1)</f>
        <v>0</v>
      </c>
    </row>
    <row r="170" spans="1:30" s="46" customFormat="1" ht="24">
      <c r="A170" s="1" t="s">
        <v>1110</v>
      </c>
      <c r="B170" s="87" t="s">
        <v>1278</v>
      </c>
      <c r="C170" s="8">
        <f>IF([1]!b_info_issuer(B170)="0","",IFERROR([1]!b_info_issuer(B170),""))</f>
        <v>0</v>
      </c>
      <c r="D170" s="11">
        <f>IF([1]!b_info_latestissurercreditrating(B170)="0","",IFERROR([1]!b_info_latestissurercreditrating(B170),""))</f>
        <v>0</v>
      </c>
      <c r="E170" s="27" t="str">
        <f>IFERROR(([1]!b_stm07_bs($B170,47,$A170,1,100000000))/[1]!b_stm07_bs($B170,109,$A170,1,100000000),"")</f>
        <v/>
      </c>
      <c r="F170" s="18" t="str">
        <f>IFERROR(([1]!s_stmnote_bank_26($B170,$A170,1,100000000)-[1]!s_stmnote_bank_26($B170,#REF!,1,100000000)+#REF!)/[1]!s_stmnote_bank_1n($B170,#REF!,1,100000000),"")</f>
        <v/>
      </c>
      <c r="G170" s="21" t="str">
        <f t="shared" si="4"/>
        <v/>
      </c>
      <c r="H170" s="18" t="str">
        <f>IFERROR([1]!s_stmnote_bank($B170,"34",$A170,100000000)/[1]!s_stmnote_bank_1n(B170,$A170,1,100000000),"")</f>
        <v/>
      </c>
      <c r="I170" s="25">
        <f>[1]!b_stm07_bs(B170,74,$A170,1,100000000)</f>
        <v>0</v>
      </c>
      <c r="J170" s="25">
        <f>[1]!b_stm07_bs(B170,109,$A170,1,100000000)</f>
        <v>0</v>
      </c>
      <c r="K170" s="10">
        <f>[1]!s_stmnote_bank_5n(B170,$A170,1)</f>
        <v>0</v>
      </c>
      <c r="L170" s="25">
        <f>[1]!s_stmnote_bank_23n(B170,$A170,1)</f>
        <v>0</v>
      </c>
      <c r="M170" s="25">
        <f>[1]!s_stmnote_bank_capadequacyratio(B170,$A170,1)</f>
        <v>0</v>
      </c>
      <c r="N170" s="25">
        <f>[1]!s_stmnote_bank_capadequacyratio_ct1(B170,$A170,1)</f>
        <v>0</v>
      </c>
      <c r="O170" s="6">
        <f>IF(OR([1]!s_fa_roe(B170,20201231)="0",[1]!s_fa_roe(B170,20211231)="0",[1]!s_fa_roe(B170,20221231)="0"),"",IFERROR(([1]!s_fa_roe(B170,20221231)+[1]!s_fa_roe(B170,20201231)+[1]!s_fa_roe(B170,20211231))/3,""))</f>
        <v>0</v>
      </c>
      <c r="P170" s="28" t="str">
        <f>IFERROR(([1]!s_stmnote_bank_65(B170,$A170,1,2,4,100000000)+[1]!s_stmnote_bank_65(B170,$A170,1,2,6,100000000))/[1]!s_stmnote_bank_1n(B170,$A170,1,100000000),"")</f>
        <v/>
      </c>
      <c r="Q170" s="28" t="str">
        <f>IFERROR([1]!s_stmnote_bank_614(B170,$A170,1,2,100000000)/[1]!s_stmnote_bank_647(B170,$A170,1,2,100000000),"")</f>
        <v/>
      </c>
      <c r="R170" s="28" t="str">
        <f>IFERROR(([1]!b_stm07_bs(B170,104,$A170,1,100000000)+[1]!b_stm07_bs(B170,106,$A170,1,100000000)+[1]!b_stm07_bs(B170,76,$A170,1,100000000)+[1]!b_stm07_bs(B170,108,$A170,1,100000000)+[1]!b_stm07_bs(B170,95,$A170,1,100000000))/[1]!b_stm07_bs(B170,128,$A170,1,100000000),"")</f>
        <v/>
      </c>
      <c r="S170" s="28" t="str">
        <f>IFERROR(([1]!s_stmnote_bank_614(B170,$A170,1,2,100000000)+[1]!b_stm07_bs(B170,104,$A170,1,100000000)+[1]!b_stm07_bs(B170,106,$A170,1,100000000)+[1]!b_stm07_bs(B170,76,$A170,1,100000000)+[1]!b_stm07_bs(B170,108,$A170,1,100000000)+[1]!b_stm07_bs(B170,95,$A170,1,100000000))/[1]!b_stm07_bs(B170,128,$A170,1,100000000),"")</f>
        <v/>
      </c>
      <c r="T170" s="11">
        <f>[1]!b_issuer_shareholder(B170,"",1)</f>
        <v>0</v>
      </c>
      <c r="U170" s="10">
        <f>[1]!b_issuer_propofshareholder(B170,"",1)</f>
        <v>0</v>
      </c>
      <c r="V170" s="33" t="str">
        <f t="shared" si="5"/>
        <v>0</v>
      </c>
      <c r="W170" s="33">
        <f>[1]!s_info_city(B170)</f>
        <v>0</v>
      </c>
      <c r="X170" s="10">
        <f>IF([1]!s_stmnote_bank_17n(B170,$A170,1)="0","",[1]!s_stmnote_bank_17n(B170,$A170,1))</f>
        <v>0</v>
      </c>
      <c r="Y170" s="10">
        <f>IF([1]!s_stmnote_bank_18n(B170,$A170,1)="0","",[1]!s_stmnote_bank_18n(B170,$A170,1))</f>
        <v>0</v>
      </c>
      <c r="Z170" s="41">
        <f>IF([1]!s_stmnote_bank_58(B170,$A170,1)="0","",[1]!s_stmnote_bank_58(B170,$A170,1))</f>
        <v>0</v>
      </c>
      <c r="AA170" s="52">
        <f>IF([1]!s_stmnote_bank_60(B170,$A170,1)="0","",[1]!s_stmnote_bank_60(B170,$A170,1))</f>
        <v>0</v>
      </c>
      <c r="AB170" s="52">
        <f>[1]!s_stmnote_bank_5444(B170,$A170,1)</f>
        <v>0</v>
      </c>
      <c r="AC170" s="38">
        <f>[1]!s_stmnote_bank_129n($B170,$A170,1)</f>
        <v>0</v>
      </c>
      <c r="AD170" s="54">
        <f>[1]!s_stmnote_bank_30(B170,$A170,1)</f>
        <v>0</v>
      </c>
    </row>
    <row r="171" spans="1:30" s="46" customFormat="1" ht="24">
      <c r="A171" s="1" t="s">
        <v>1110</v>
      </c>
      <c r="B171" s="87" t="s">
        <v>1279</v>
      </c>
      <c r="C171" s="8">
        <f>IF([1]!b_info_issuer(B171)="0","",IFERROR([1]!b_info_issuer(B171),""))</f>
        <v>0</v>
      </c>
      <c r="D171" s="11">
        <f>IF([1]!b_info_latestissurercreditrating(B171)="0","",IFERROR([1]!b_info_latestissurercreditrating(B171),""))</f>
        <v>0</v>
      </c>
      <c r="E171" s="27" t="str">
        <f>IFERROR(([1]!b_stm07_bs($B171,47,$A171,1,100000000))/[1]!b_stm07_bs($B171,109,$A171,1,100000000),"")</f>
        <v/>
      </c>
      <c r="F171" s="18" t="str">
        <f>IFERROR(([1]!s_stmnote_bank_26($B171,$A171,1,100000000)-[1]!s_stmnote_bank_26($B171,#REF!,1,100000000)+#REF!)/[1]!s_stmnote_bank_1n($B171,#REF!,1,100000000),"")</f>
        <v/>
      </c>
      <c r="G171" s="21" t="str">
        <f t="shared" si="4"/>
        <v/>
      </c>
      <c r="H171" s="18" t="str">
        <f>IFERROR([1]!s_stmnote_bank($B171,"34",$A171,100000000)/[1]!s_stmnote_bank_1n(B171,$A171,1,100000000),"")</f>
        <v/>
      </c>
      <c r="I171" s="25">
        <f>[1]!b_stm07_bs(B171,74,$A171,1,100000000)</f>
        <v>0</v>
      </c>
      <c r="J171" s="25">
        <f>[1]!b_stm07_bs(B171,109,$A171,1,100000000)</f>
        <v>0</v>
      </c>
      <c r="K171" s="10">
        <f>[1]!s_stmnote_bank_5n(B171,$A171,1)</f>
        <v>0</v>
      </c>
      <c r="L171" s="25">
        <f>[1]!s_stmnote_bank_23n(B171,$A171,1)</f>
        <v>0</v>
      </c>
      <c r="M171" s="25">
        <f>[1]!s_stmnote_bank_capadequacyratio(B171,$A171,1)</f>
        <v>0</v>
      </c>
      <c r="N171" s="25">
        <f>[1]!s_stmnote_bank_capadequacyratio_ct1(B171,$A171,1)</f>
        <v>0</v>
      </c>
      <c r="O171" s="6">
        <f>IF(OR([1]!s_fa_roe(B171,20201231)="0",[1]!s_fa_roe(B171,20211231)="0",[1]!s_fa_roe(B171,20221231)="0"),"",IFERROR(([1]!s_fa_roe(B171,20221231)+[1]!s_fa_roe(B171,20201231)+[1]!s_fa_roe(B171,20211231))/3,""))</f>
        <v>0</v>
      </c>
      <c r="P171" s="28" t="str">
        <f>IFERROR(([1]!s_stmnote_bank_65(B171,$A171,1,2,4,100000000)+[1]!s_stmnote_bank_65(B171,$A171,1,2,6,100000000))/[1]!s_stmnote_bank_1n(B171,$A171,1,100000000),"")</f>
        <v/>
      </c>
      <c r="Q171" s="28" t="str">
        <f>IFERROR([1]!s_stmnote_bank_614(B171,$A171,1,2,100000000)/[1]!s_stmnote_bank_647(B171,$A171,1,2,100000000),"")</f>
        <v/>
      </c>
      <c r="R171" s="28" t="str">
        <f>IFERROR(([1]!b_stm07_bs(B171,104,$A171,1,100000000)+[1]!b_stm07_bs(B171,106,$A171,1,100000000)+[1]!b_stm07_bs(B171,76,$A171,1,100000000)+[1]!b_stm07_bs(B171,108,$A171,1,100000000)+[1]!b_stm07_bs(B171,95,$A171,1,100000000))/[1]!b_stm07_bs(B171,128,$A171,1,100000000),"")</f>
        <v/>
      </c>
      <c r="S171" s="28" t="str">
        <f>IFERROR(([1]!s_stmnote_bank_614(B171,$A171,1,2,100000000)+[1]!b_stm07_bs(B171,104,$A171,1,100000000)+[1]!b_stm07_bs(B171,106,$A171,1,100000000)+[1]!b_stm07_bs(B171,76,$A171,1,100000000)+[1]!b_stm07_bs(B171,108,$A171,1,100000000)+[1]!b_stm07_bs(B171,95,$A171,1,100000000))/[1]!b_stm07_bs(B171,128,$A171,1,100000000),"")</f>
        <v/>
      </c>
      <c r="T171" s="11">
        <f>[1]!b_issuer_shareholder(B171,"",1)</f>
        <v>0</v>
      </c>
      <c r="U171" s="10">
        <f>[1]!b_issuer_propofshareholder(B171,"",1)</f>
        <v>0</v>
      </c>
      <c r="V171" s="33" t="str">
        <f t="shared" si="5"/>
        <v>0</v>
      </c>
      <c r="W171" s="33">
        <f>[1]!s_info_city(B171)</f>
        <v>0</v>
      </c>
      <c r="X171" s="10">
        <f>IF([1]!s_stmnote_bank_17n(B171,$A171,1)="0","",[1]!s_stmnote_bank_17n(B171,$A171,1))</f>
        <v>0</v>
      </c>
      <c r="Y171" s="10">
        <f>IF([1]!s_stmnote_bank_18n(B171,$A171,1)="0","",[1]!s_stmnote_bank_18n(B171,$A171,1))</f>
        <v>0</v>
      </c>
      <c r="Z171" s="41">
        <f>IF([1]!s_stmnote_bank_58(B171,$A171,1)="0","",[1]!s_stmnote_bank_58(B171,$A171,1))</f>
        <v>0</v>
      </c>
      <c r="AA171" s="52">
        <f>IF([1]!s_stmnote_bank_60(B171,$A171,1)="0","",[1]!s_stmnote_bank_60(B171,$A171,1))</f>
        <v>0</v>
      </c>
      <c r="AB171" s="52">
        <f>[1]!s_stmnote_bank_5444(B171,$A171,1)</f>
        <v>0</v>
      </c>
      <c r="AC171" s="38">
        <f>[1]!s_stmnote_bank_129n($B171,$A171,1)</f>
        <v>0</v>
      </c>
      <c r="AD171" s="54">
        <f>[1]!s_stmnote_bank_30(B171,$A171,1)</f>
        <v>0</v>
      </c>
    </row>
    <row r="172" spans="1:30" s="46" customFormat="1" ht="24">
      <c r="A172" s="1" t="s">
        <v>1110</v>
      </c>
      <c r="B172" s="87" t="s">
        <v>1280</v>
      </c>
      <c r="C172" s="8">
        <f>IF([1]!b_info_issuer(B172)="0","",IFERROR([1]!b_info_issuer(B172),""))</f>
        <v>0</v>
      </c>
      <c r="D172" s="11">
        <f>IF([1]!b_info_latestissurercreditrating(B172)="0","",IFERROR([1]!b_info_latestissurercreditrating(B172),""))</f>
        <v>0</v>
      </c>
      <c r="E172" s="27" t="str">
        <f>IFERROR(([1]!b_stm07_bs($B172,47,$A172,1,100000000))/[1]!b_stm07_bs($B172,109,$A172,1,100000000),"")</f>
        <v/>
      </c>
      <c r="F172" s="18" t="str">
        <f>IFERROR(([1]!s_stmnote_bank_26($B172,$A172,1,100000000)-[1]!s_stmnote_bank_26($B172,#REF!,1,100000000)+#REF!)/[1]!s_stmnote_bank_1n($B172,#REF!,1,100000000),"")</f>
        <v/>
      </c>
      <c r="G172" s="21" t="str">
        <f t="shared" si="4"/>
        <v/>
      </c>
      <c r="H172" s="18" t="str">
        <f>IFERROR([1]!s_stmnote_bank($B172,"34",$A172,100000000)/[1]!s_stmnote_bank_1n(B172,$A172,1,100000000),"")</f>
        <v/>
      </c>
      <c r="I172" s="25">
        <f>[1]!b_stm07_bs(B172,74,$A172,1,100000000)</f>
        <v>0</v>
      </c>
      <c r="J172" s="25">
        <f>[1]!b_stm07_bs(B172,109,$A172,1,100000000)</f>
        <v>0</v>
      </c>
      <c r="K172" s="10">
        <f>[1]!s_stmnote_bank_5n(B172,$A172,1)</f>
        <v>0</v>
      </c>
      <c r="L172" s="25">
        <f>[1]!s_stmnote_bank_23n(B172,$A172,1)</f>
        <v>0</v>
      </c>
      <c r="M172" s="25">
        <f>[1]!s_stmnote_bank_capadequacyratio(B172,$A172,1)</f>
        <v>0</v>
      </c>
      <c r="N172" s="25">
        <f>[1]!s_stmnote_bank_capadequacyratio_ct1(B172,$A172,1)</f>
        <v>0</v>
      </c>
      <c r="O172" s="6">
        <f>IF(OR([1]!s_fa_roe(B172,20201231)="0",[1]!s_fa_roe(B172,20211231)="0",[1]!s_fa_roe(B172,20221231)="0"),"",IFERROR(([1]!s_fa_roe(B172,20221231)+[1]!s_fa_roe(B172,20201231)+[1]!s_fa_roe(B172,20211231))/3,""))</f>
        <v>0</v>
      </c>
      <c r="P172" s="28" t="str">
        <f>IFERROR(([1]!s_stmnote_bank_65(B172,$A172,1,2,4,100000000)+[1]!s_stmnote_bank_65(B172,$A172,1,2,6,100000000))/[1]!s_stmnote_bank_1n(B172,$A172,1,100000000),"")</f>
        <v/>
      </c>
      <c r="Q172" s="28" t="str">
        <f>IFERROR([1]!s_stmnote_bank_614(B172,$A172,1,2,100000000)/[1]!s_stmnote_bank_647(B172,$A172,1,2,100000000),"")</f>
        <v/>
      </c>
      <c r="R172" s="28" t="str">
        <f>IFERROR(([1]!b_stm07_bs(B172,104,$A172,1,100000000)+[1]!b_stm07_bs(B172,106,$A172,1,100000000)+[1]!b_stm07_bs(B172,76,$A172,1,100000000)+[1]!b_stm07_bs(B172,108,$A172,1,100000000)+[1]!b_stm07_bs(B172,95,$A172,1,100000000))/[1]!b_stm07_bs(B172,128,$A172,1,100000000),"")</f>
        <v/>
      </c>
      <c r="S172" s="28" t="str">
        <f>IFERROR(([1]!s_stmnote_bank_614(B172,$A172,1,2,100000000)+[1]!b_stm07_bs(B172,104,$A172,1,100000000)+[1]!b_stm07_bs(B172,106,$A172,1,100000000)+[1]!b_stm07_bs(B172,76,$A172,1,100000000)+[1]!b_stm07_bs(B172,108,$A172,1,100000000)+[1]!b_stm07_bs(B172,95,$A172,1,100000000))/[1]!b_stm07_bs(B172,128,$A172,1,100000000),"")</f>
        <v/>
      </c>
      <c r="T172" s="11">
        <f>[1]!b_issuer_shareholder(B172,"",1)</f>
        <v>0</v>
      </c>
      <c r="U172" s="10">
        <f>[1]!b_issuer_propofshareholder(B172,"",1)</f>
        <v>0</v>
      </c>
      <c r="V172" s="33" t="str">
        <f t="shared" si="5"/>
        <v>0</v>
      </c>
      <c r="W172" s="33">
        <f>[1]!s_info_city(B172)</f>
        <v>0</v>
      </c>
      <c r="X172" s="10">
        <f>IF([1]!s_stmnote_bank_17n(B172,$A172,1)="0","",[1]!s_stmnote_bank_17n(B172,$A172,1))</f>
        <v>0</v>
      </c>
      <c r="Y172" s="10">
        <f>IF([1]!s_stmnote_bank_18n(B172,$A172,1)="0","",[1]!s_stmnote_bank_18n(B172,$A172,1))</f>
        <v>0</v>
      </c>
      <c r="Z172" s="41">
        <f>IF([1]!s_stmnote_bank_58(B172,$A172,1)="0","",[1]!s_stmnote_bank_58(B172,$A172,1))</f>
        <v>0</v>
      </c>
      <c r="AA172" s="52">
        <f>IF([1]!s_stmnote_bank_60(B172,$A172,1)="0","",[1]!s_stmnote_bank_60(B172,$A172,1))</f>
        <v>0</v>
      </c>
      <c r="AB172" s="52">
        <f>[1]!s_stmnote_bank_5444(B172,$A172,1)</f>
        <v>0</v>
      </c>
      <c r="AC172" s="38">
        <f>[1]!s_stmnote_bank_129n($B172,$A172,1)</f>
        <v>0</v>
      </c>
      <c r="AD172" s="54">
        <f>[1]!s_stmnote_bank_30(B172,$A172,1)</f>
        <v>0</v>
      </c>
    </row>
    <row r="173" spans="1:30" s="46" customFormat="1" ht="24">
      <c r="A173" s="1" t="s">
        <v>1110</v>
      </c>
      <c r="B173" s="87" t="s">
        <v>1281</v>
      </c>
      <c r="C173" s="8">
        <f>IF([1]!b_info_issuer(B173)="0","",IFERROR([1]!b_info_issuer(B173),""))</f>
        <v>0</v>
      </c>
      <c r="D173" s="11">
        <f>IF([1]!b_info_latestissurercreditrating(B173)="0","",IFERROR([1]!b_info_latestissurercreditrating(B173),""))</f>
        <v>0</v>
      </c>
      <c r="E173" s="27" t="str">
        <f>IFERROR(([1]!b_stm07_bs($B173,47,$A173,1,100000000))/[1]!b_stm07_bs($B173,109,$A173,1,100000000),"")</f>
        <v/>
      </c>
      <c r="F173" s="18" t="str">
        <f>IFERROR(([1]!s_stmnote_bank_26($B173,$A173,1,100000000)-[1]!s_stmnote_bank_26($B173,#REF!,1,100000000)+#REF!)/[1]!s_stmnote_bank_1n($B173,#REF!,1,100000000),"")</f>
        <v/>
      </c>
      <c r="G173" s="21" t="str">
        <f t="shared" si="4"/>
        <v/>
      </c>
      <c r="H173" s="18" t="str">
        <f>IFERROR([1]!s_stmnote_bank($B173,"34",$A173,100000000)/[1]!s_stmnote_bank_1n(B173,$A173,1,100000000),"")</f>
        <v/>
      </c>
      <c r="I173" s="25">
        <f>[1]!b_stm07_bs(B173,74,$A173,1,100000000)</f>
        <v>0</v>
      </c>
      <c r="J173" s="25">
        <f>[1]!b_stm07_bs(B173,109,$A173,1,100000000)</f>
        <v>0</v>
      </c>
      <c r="K173" s="10">
        <f>[1]!s_stmnote_bank_5n(B173,$A173,1)</f>
        <v>0</v>
      </c>
      <c r="L173" s="25">
        <f>[1]!s_stmnote_bank_23n(B173,$A173,1)</f>
        <v>0</v>
      </c>
      <c r="M173" s="25">
        <f>[1]!s_stmnote_bank_capadequacyratio(B173,$A173,1)</f>
        <v>0</v>
      </c>
      <c r="N173" s="25">
        <f>[1]!s_stmnote_bank_capadequacyratio_ct1(B173,$A173,1)</f>
        <v>0</v>
      </c>
      <c r="O173" s="6">
        <f>IF(OR([1]!s_fa_roe(B173,20201231)="0",[1]!s_fa_roe(B173,20211231)="0",[1]!s_fa_roe(B173,20221231)="0"),"",IFERROR(([1]!s_fa_roe(B173,20221231)+[1]!s_fa_roe(B173,20201231)+[1]!s_fa_roe(B173,20211231))/3,""))</f>
        <v>0</v>
      </c>
      <c r="P173" s="28" t="str">
        <f>IFERROR(([1]!s_stmnote_bank_65(B173,$A173,1,2,4,100000000)+[1]!s_stmnote_bank_65(B173,$A173,1,2,6,100000000))/[1]!s_stmnote_bank_1n(B173,$A173,1,100000000),"")</f>
        <v/>
      </c>
      <c r="Q173" s="28" t="str">
        <f>IFERROR([1]!s_stmnote_bank_614(B173,$A173,1,2,100000000)/[1]!s_stmnote_bank_647(B173,$A173,1,2,100000000),"")</f>
        <v/>
      </c>
      <c r="R173" s="28" t="str">
        <f>IFERROR(([1]!b_stm07_bs(B173,104,$A173,1,100000000)+[1]!b_stm07_bs(B173,106,$A173,1,100000000)+[1]!b_stm07_bs(B173,76,$A173,1,100000000)+[1]!b_stm07_bs(B173,108,$A173,1,100000000)+[1]!b_stm07_bs(B173,95,$A173,1,100000000))/[1]!b_stm07_bs(B173,128,$A173,1,100000000),"")</f>
        <v/>
      </c>
      <c r="S173" s="28" t="str">
        <f>IFERROR(([1]!s_stmnote_bank_614(B173,$A173,1,2,100000000)+[1]!b_stm07_bs(B173,104,$A173,1,100000000)+[1]!b_stm07_bs(B173,106,$A173,1,100000000)+[1]!b_stm07_bs(B173,76,$A173,1,100000000)+[1]!b_stm07_bs(B173,108,$A173,1,100000000)+[1]!b_stm07_bs(B173,95,$A173,1,100000000))/[1]!b_stm07_bs(B173,128,$A173,1,100000000),"")</f>
        <v/>
      </c>
      <c r="T173" s="11">
        <f>[1]!b_issuer_shareholder(B173,"",1)</f>
        <v>0</v>
      </c>
      <c r="U173" s="10">
        <f>[1]!b_issuer_propofshareholder(B173,"",1)</f>
        <v>0</v>
      </c>
      <c r="V173" s="33" t="str">
        <f t="shared" si="5"/>
        <v>0</v>
      </c>
      <c r="W173" s="33">
        <f>[1]!s_info_city(B173)</f>
        <v>0</v>
      </c>
      <c r="X173" s="10">
        <f>IF([1]!s_stmnote_bank_17n(B173,$A173,1)="0","",[1]!s_stmnote_bank_17n(B173,$A173,1))</f>
        <v>0</v>
      </c>
      <c r="Y173" s="10">
        <f>IF([1]!s_stmnote_bank_18n(B173,$A173,1)="0","",[1]!s_stmnote_bank_18n(B173,$A173,1))</f>
        <v>0</v>
      </c>
      <c r="Z173" s="41">
        <f>IF([1]!s_stmnote_bank_58(B173,$A173,1)="0","",[1]!s_stmnote_bank_58(B173,$A173,1))</f>
        <v>0</v>
      </c>
      <c r="AA173" s="52">
        <f>IF([1]!s_stmnote_bank_60(B173,$A173,1)="0","",[1]!s_stmnote_bank_60(B173,$A173,1))</f>
        <v>0</v>
      </c>
      <c r="AB173" s="52">
        <f>[1]!s_stmnote_bank_5444(B173,$A173,1)</f>
        <v>0</v>
      </c>
      <c r="AC173" s="38">
        <f>[1]!s_stmnote_bank_129n($B173,$A173,1)</f>
        <v>0</v>
      </c>
      <c r="AD173" s="54">
        <f>[1]!s_stmnote_bank_30(B173,$A173,1)</f>
        <v>0</v>
      </c>
    </row>
    <row r="174" spans="1:30" s="46" customFormat="1" ht="24">
      <c r="A174" s="1" t="s">
        <v>1110</v>
      </c>
      <c r="B174" s="87" t="s">
        <v>1282</v>
      </c>
      <c r="C174" s="8">
        <f>IF([1]!b_info_issuer(B174)="0","",IFERROR([1]!b_info_issuer(B174),""))</f>
        <v>0</v>
      </c>
      <c r="D174" s="11">
        <f>IF([1]!b_info_latestissurercreditrating(B174)="0","",IFERROR([1]!b_info_latestissurercreditrating(B174),""))</f>
        <v>0</v>
      </c>
      <c r="E174" s="27" t="str">
        <f>IFERROR(([1]!b_stm07_bs($B174,47,$A174,1,100000000))/[1]!b_stm07_bs($B174,109,$A174,1,100000000),"")</f>
        <v/>
      </c>
      <c r="F174" s="18" t="str">
        <f>IFERROR(([1]!s_stmnote_bank_26($B174,$A174,1,100000000)-[1]!s_stmnote_bank_26($B174,#REF!,1,100000000)+#REF!)/[1]!s_stmnote_bank_1n($B174,#REF!,1,100000000),"")</f>
        <v/>
      </c>
      <c r="G174" s="21" t="str">
        <f t="shared" si="4"/>
        <v/>
      </c>
      <c r="H174" s="18" t="str">
        <f>IFERROR([1]!s_stmnote_bank($B174,"34",$A174,100000000)/[1]!s_stmnote_bank_1n(B174,$A174,1,100000000),"")</f>
        <v/>
      </c>
      <c r="I174" s="25">
        <f>[1]!b_stm07_bs(B174,74,$A174,1,100000000)</f>
        <v>0</v>
      </c>
      <c r="J174" s="25">
        <f>[1]!b_stm07_bs(B174,109,$A174,1,100000000)</f>
        <v>0</v>
      </c>
      <c r="K174" s="10">
        <f>[1]!s_stmnote_bank_5n(B174,$A174,1)</f>
        <v>0</v>
      </c>
      <c r="L174" s="25">
        <f>[1]!s_stmnote_bank_23n(B174,$A174,1)</f>
        <v>0</v>
      </c>
      <c r="M174" s="25">
        <f>[1]!s_stmnote_bank_capadequacyratio(B174,$A174,1)</f>
        <v>0</v>
      </c>
      <c r="N174" s="25">
        <f>[1]!s_stmnote_bank_capadequacyratio_ct1(B174,$A174,1)</f>
        <v>0</v>
      </c>
      <c r="O174" s="6">
        <f>IF(OR([1]!s_fa_roe(B174,20201231)="0",[1]!s_fa_roe(B174,20211231)="0",[1]!s_fa_roe(B174,20221231)="0"),"",IFERROR(([1]!s_fa_roe(B174,20221231)+[1]!s_fa_roe(B174,20201231)+[1]!s_fa_roe(B174,20211231))/3,""))</f>
        <v>0</v>
      </c>
      <c r="P174" s="28" t="str">
        <f>IFERROR(([1]!s_stmnote_bank_65(B174,$A174,1,2,4,100000000)+[1]!s_stmnote_bank_65(B174,$A174,1,2,6,100000000))/[1]!s_stmnote_bank_1n(B174,$A174,1,100000000),"")</f>
        <v/>
      </c>
      <c r="Q174" s="28" t="str">
        <f>IFERROR([1]!s_stmnote_bank_614(B174,$A174,1,2,100000000)/[1]!s_stmnote_bank_647(B174,$A174,1,2,100000000),"")</f>
        <v/>
      </c>
      <c r="R174" s="28" t="str">
        <f>IFERROR(([1]!b_stm07_bs(B174,104,$A174,1,100000000)+[1]!b_stm07_bs(B174,106,$A174,1,100000000)+[1]!b_stm07_bs(B174,76,$A174,1,100000000)+[1]!b_stm07_bs(B174,108,$A174,1,100000000)+[1]!b_stm07_bs(B174,95,$A174,1,100000000))/[1]!b_stm07_bs(B174,128,$A174,1,100000000),"")</f>
        <v/>
      </c>
      <c r="S174" s="28" t="str">
        <f>IFERROR(([1]!s_stmnote_bank_614(B174,$A174,1,2,100000000)+[1]!b_stm07_bs(B174,104,$A174,1,100000000)+[1]!b_stm07_bs(B174,106,$A174,1,100000000)+[1]!b_stm07_bs(B174,76,$A174,1,100000000)+[1]!b_stm07_bs(B174,108,$A174,1,100000000)+[1]!b_stm07_bs(B174,95,$A174,1,100000000))/[1]!b_stm07_bs(B174,128,$A174,1,100000000),"")</f>
        <v/>
      </c>
      <c r="T174" s="11">
        <f>[1]!b_issuer_shareholder(B174,"",1)</f>
        <v>0</v>
      </c>
      <c r="U174" s="10">
        <f>[1]!b_issuer_propofshareholder(B174,"",1)</f>
        <v>0</v>
      </c>
      <c r="V174" s="33" t="str">
        <f t="shared" si="5"/>
        <v>0</v>
      </c>
      <c r="W174" s="33">
        <f>[1]!s_info_city(B174)</f>
        <v>0</v>
      </c>
      <c r="X174" s="10">
        <f>IF([1]!s_stmnote_bank_17n(B174,$A174,1)="0","",[1]!s_stmnote_bank_17n(B174,$A174,1))</f>
        <v>0</v>
      </c>
      <c r="Y174" s="10">
        <f>IF([1]!s_stmnote_bank_18n(B174,$A174,1)="0","",[1]!s_stmnote_bank_18n(B174,$A174,1))</f>
        <v>0</v>
      </c>
      <c r="Z174" s="41">
        <f>IF([1]!s_stmnote_bank_58(B174,$A174,1)="0","",[1]!s_stmnote_bank_58(B174,$A174,1))</f>
        <v>0</v>
      </c>
      <c r="AA174" s="52">
        <f>IF([1]!s_stmnote_bank_60(B174,$A174,1)="0","",[1]!s_stmnote_bank_60(B174,$A174,1))</f>
        <v>0</v>
      </c>
      <c r="AB174" s="52">
        <f>[1]!s_stmnote_bank_5444(B174,$A174,1)</f>
        <v>0</v>
      </c>
      <c r="AC174" s="38">
        <f>[1]!s_stmnote_bank_129n($B174,$A174,1)</f>
        <v>0</v>
      </c>
      <c r="AD174" s="54">
        <f>[1]!s_stmnote_bank_30(B174,$A174,1)</f>
        <v>0</v>
      </c>
    </row>
    <row r="175" spans="1:30" s="46" customFormat="1" ht="24">
      <c r="A175" s="1" t="s">
        <v>1110</v>
      </c>
      <c r="B175" s="87" t="s">
        <v>1283</v>
      </c>
      <c r="C175" s="8">
        <f>IF([1]!b_info_issuer(B175)="0","",IFERROR([1]!b_info_issuer(B175),""))</f>
        <v>0</v>
      </c>
      <c r="D175" s="11">
        <f>IF([1]!b_info_latestissurercreditrating(B175)="0","",IFERROR([1]!b_info_latestissurercreditrating(B175),""))</f>
        <v>0</v>
      </c>
      <c r="E175" s="27" t="str">
        <f>IFERROR(([1]!b_stm07_bs($B175,47,$A175,1,100000000))/[1]!b_stm07_bs($B175,109,$A175,1,100000000),"")</f>
        <v/>
      </c>
      <c r="F175" s="18" t="str">
        <f>IFERROR(([1]!s_stmnote_bank_26($B175,$A175,1,100000000)-[1]!s_stmnote_bank_26($B175,#REF!,1,100000000)+#REF!)/[1]!s_stmnote_bank_1n($B175,#REF!,1,100000000),"")</f>
        <v/>
      </c>
      <c r="G175" s="21" t="str">
        <f t="shared" si="4"/>
        <v/>
      </c>
      <c r="H175" s="18" t="str">
        <f>IFERROR([1]!s_stmnote_bank($B175,"34",$A175,100000000)/[1]!s_stmnote_bank_1n(B175,$A175,1,100000000),"")</f>
        <v/>
      </c>
      <c r="I175" s="25">
        <f>[1]!b_stm07_bs(B175,74,$A175,1,100000000)</f>
        <v>0</v>
      </c>
      <c r="J175" s="25">
        <f>[1]!b_stm07_bs(B175,109,$A175,1,100000000)</f>
        <v>0</v>
      </c>
      <c r="K175" s="10">
        <f>[1]!s_stmnote_bank_5n(B175,$A175,1)</f>
        <v>0</v>
      </c>
      <c r="L175" s="25">
        <f>[1]!s_stmnote_bank_23n(B175,$A175,1)</f>
        <v>0</v>
      </c>
      <c r="M175" s="25">
        <f>[1]!s_stmnote_bank_capadequacyratio(B175,$A175,1)</f>
        <v>0</v>
      </c>
      <c r="N175" s="25">
        <f>[1]!s_stmnote_bank_capadequacyratio_ct1(B175,$A175,1)</f>
        <v>0</v>
      </c>
      <c r="O175" s="6">
        <f>IF(OR([1]!s_fa_roe(B175,20201231)="0",[1]!s_fa_roe(B175,20211231)="0",[1]!s_fa_roe(B175,20221231)="0"),"",IFERROR(([1]!s_fa_roe(B175,20221231)+[1]!s_fa_roe(B175,20201231)+[1]!s_fa_roe(B175,20211231))/3,""))</f>
        <v>0</v>
      </c>
      <c r="P175" s="28" t="str">
        <f>IFERROR(([1]!s_stmnote_bank_65(B175,$A175,1,2,4,100000000)+[1]!s_stmnote_bank_65(B175,$A175,1,2,6,100000000))/[1]!s_stmnote_bank_1n(B175,$A175,1,100000000),"")</f>
        <v/>
      </c>
      <c r="Q175" s="28" t="str">
        <f>IFERROR([1]!s_stmnote_bank_614(B175,$A175,1,2,100000000)/[1]!s_stmnote_bank_647(B175,$A175,1,2,100000000),"")</f>
        <v/>
      </c>
      <c r="R175" s="28" t="str">
        <f>IFERROR(([1]!b_stm07_bs(B175,104,$A175,1,100000000)+[1]!b_stm07_bs(B175,106,$A175,1,100000000)+[1]!b_stm07_bs(B175,76,$A175,1,100000000)+[1]!b_stm07_bs(B175,108,$A175,1,100000000)+[1]!b_stm07_bs(B175,95,$A175,1,100000000))/[1]!b_stm07_bs(B175,128,$A175,1,100000000),"")</f>
        <v/>
      </c>
      <c r="S175" s="28" t="str">
        <f>IFERROR(([1]!s_stmnote_bank_614(B175,$A175,1,2,100000000)+[1]!b_stm07_bs(B175,104,$A175,1,100000000)+[1]!b_stm07_bs(B175,106,$A175,1,100000000)+[1]!b_stm07_bs(B175,76,$A175,1,100000000)+[1]!b_stm07_bs(B175,108,$A175,1,100000000)+[1]!b_stm07_bs(B175,95,$A175,1,100000000))/[1]!b_stm07_bs(B175,128,$A175,1,100000000),"")</f>
        <v/>
      </c>
      <c r="T175" s="11">
        <f>[1]!b_issuer_shareholder(B175,"",1)</f>
        <v>0</v>
      </c>
      <c r="U175" s="10">
        <f>[1]!b_issuer_propofshareholder(B175,"",1)</f>
        <v>0</v>
      </c>
      <c r="V175" s="33" t="str">
        <f t="shared" si="5"/>
        <v>0</v>
      </c>
      <c r="W175" s="33">
        <f>[1]!s_info_city(B175)</f>
        <v>0</v>
      </c>
      <c r="X175" s="10">
        <f>IF([1]!s_stmnote_bank_17n(B175,$A175,1)="0","",[1]!s_stmnote_bank_17n(B175,$A175,1))</f>
        <v>0</v>
      </c>
      <c r="Y175" s="10">
        <f>IF([1]!s_stmnote_bank_18n(B175,$A175,1)="0","",[1]!s_stmnote_bank_18n(B175,$A175,1))</f>
        <v>0</v>
      </c>
      <c r="Z175" s="41">
        <f>IF([1]!s_stmnote_bank_58(B175,$A175,1)="0","",[1]!s_stmnote_bank_58(B175,$A175,1))</f>
        <v>0</v>
      </c>
      <c r="AA175" s="52">
        <f>IF([1]!s_stmnote_bank_60(B175,$A175,1)="0","",[1]!s_stmnote_bank_60(B175,$A175,1))</f>
        <v>0</v>
      </c>
      <c r="AB175" s="52">
        <f>[1]!s_stmnote_bank_5444(B175,$A175,1)</f>
        <v>0</v>
      </c>
      <c r="AC175" s="38">
        <f>[1]!s_stmnote_bank_129n($B175,$A175,1)</f>
        <v>0</v>
      </c>
      <c r="AD175" s="54">
        <f>[1]!s_stmnote_bank_30(B175,$A175,1)</f>
        <v>0</v>
      </c>
    </row>
    <row r="176" spans="1:30" s="46" customFormat="1" ht="24">
      <c r="A176" s="1" t="s">
        <v>1110</v>
      </c>
      <c r="B176" s="87" t="s">
        <v>1284</v>
      </c>
      <c r="C176" s="8">
        <f>IF([1]!b_info_issuer(B176)="0","",IFERROR([1]!b_info_issuer(B176),""))</f>
        <v>0</v>
      </c>
      <c r="D176" s="11">
        <f>IF([1]!b_info_latestissurercreditrating(B176)="0","",IFERROR([1]!b_info_latestissurercreditrating(B176),""))</f>
        <v>0</v>
      </c>
      <c r="E176" s="27" t="str">
        <f>IFERROR(([1]!b_stm07_bs($B176,47,$A176,1,100000000))/[1]!b_stm07_bs($B176,109,$A176,1,100000000),"")</f>
        <v/>
      </c>
      <c r="F176" s="18" t="str">
        <f>IFERROR(([1]!s_stmnote_bank_26($B176,$A176,1,100000000)-[1]!s_stmnote_bank_26($B176,#REF!,1,100000000)+#REF!)/[1]!s_stmnote_bank_1n($B176,#REF!,1,100000000),"")</f>
        <v/>
      </c>
      <c r="G176" s="21" t="str">
        <f t="shared" si="4"/>
        <v/>
      </c>
      <c r="H176" s="18" t="str">
        <f>IFERROR([1]!s_stmnote_bank($B176,"34",$A176,100000000)/[1]!s_stmnote_bank_1n(B176,$A176,1,100000000),"")</f>
        <v/>
      </c>
      <c r="I176" s="25">
        <f>[1]!b_stm07_bs(B176,74,$A176,1,100000000)</f>
        <v>0</v>
      </c>
      <c r="J176" s="25">
        <f>[1]!b_stm07_bs(B176,109,$A176,1,100000000)</f>
        <v>0</v>
      </c>
      <c r="K176" s="10">
        <f>[1]!s_stmnote_bank_5n(B176,$A176,1)</f>
        <v>0</v>
      </c>
      <c r="L176" s="25">
        <f>[1]!s_stmnote_bank_23n(B176,$A176,1)</f>
        <v>0</v>
      </c>
      <c r="M176" s="25">
        <f>[1]!s_stmnote_bank_capadequacyratio(B176,$A176,1)</f>
        <v>0</v>
      </c>
      <c r="N176" s="25">
        <f>[1]!s_stmnote_bank_capadequacyratio_ct1(B176,$A176,1)</f>
        <v>0</v>
      </c>
      <c r="O176" s="6">
        <f>IF(OR([1]!s_fa_roe(B176,20201231)="0",[1]!s_fa_roe(B176,20211231)="0",[1]!s_fa_roe(B176,20221231)="0"),"",IFERROR(([1]!s_fa_roe(B176,20221231)+[1]!s_fa_roe(B176,20201231)+[1]!s_fa_roe(B176,20211231))/3,""))</f>
        <v>0</v>
      </c>
      <c r="P176" s="28" t="str">
        <f>IFERROR(([1]!s_stmnote_bank_65(B176,$A176,1,2,4,100000000)+[1]!s_stmnote_bank_65(B176,$A176,1,2,6,100000000))/[1]!s_stmnote_bank_1n(B176,$A176,1,100000000),"")</f>
        <v/>
      </c>
      <c r="Q176" s="28" t="str">
        <f>IFERROR([1]!s_stmnote_bank_614(B176,$A176,1,2,100000000)/[1]!s_stmnote_bank_647(B176,$A176,1,2,100000000),"")</f>
        <v/>
      </c>
      <c r="R176" s="28" t="str">
        <f>IFERROR(([1]!b_stm07_bs(B176,104,$A176,1,100000000)+[1]!b_stm07_bs(B176,106,$A176,1,100000000)+[1]!b_stm07_bs(B176,76,$A176,1,100000000)+[1]!b_stm07_bs(B176,108,$A176,1,100000000)+[1]!b_stm07_bs(B176,95,$A176,1,100000000))/[1]!b_stm07_bs(B176,128,$A176,1,100000000),"")</f>
        <v/>
      </c>
      <c r="S176" s="28" t="str">
        <f>IFERROR(([1]!s_stmnote_bank_614(B176,$A176,1,2,100000000)+[1]!b_stm07_bs(B176,104,$A176,1,100000000)+[1]!b_stm07_bs(B176,106,$A176,1,100000000)+[1]!b_stm07_bs(B176,76,$A176,1,100000000)+[1]!b_stm07_bs(B176,108,$A176,1,100000000)+[1]!b_stm07_bs(B176,95,$A176,1,100000000))/[1]!b_stm07_bs(B176,128,$A176,1,100000000),"")</f>
        <v/>
      </c>
      <c r="T176" s="11">
        <f>[1]!b_issuer_shareholder(B176,"",1)</f>
        <v>0</v>
      </c>
      <c r="U176" s="10">
        <f>[1]!b_issuer_propofshareholder(B176,"",1)</f>
        <v>0</v>
      </c>
      <c r="V176" s="33" t="str">
        <f t="shared" si="5"/>
        <v>0</v>
      </c>
      <c r="W176" s="33">
        <f>[1]!s_info_city(B176)</f>
        <v>0</v>
      </c>
      <c r="X176" s="10">
        <f>IF([1]!s_stmnote_bank_17n(B176,$A176,1)="0","",[1]!s_stmnote_bank_17n(B176,$A176,1))</f>
        <v>0</v>
      </c>
      <c r="Y176" s="10">
        <f>IF([1]!s_stmnote_bank_18n(B176,$A176,1)="0","",[1]!s_stmnote_bank_18n(B176,$A176,1))</f>
        <v>0</v>
      </c>
      <c r="Z176" s="41">
        <f>IF([1]!s_stmnote_bank_58(B176,$A176,1)="0","",[1]!s_stmnote_bank_58(B176,$A176,1))</f>
        <v>0</v>
      </c>
      <c r="AA176" s="52">
        <f>IF([1]!s_stmnote_bank_60(B176,$A176,1)="0","",[1]!s_stmnote_bank_60(B176,$A176,1))</f>
        <v>0</v>
      </c>
      <c r="AB176" s="52">
        <f>[1]!s_stmnote_bank_5444(B176,$A176,1)</f>
        <v>0</v>
      </c>
      <c r="AC176" s="38">
        <f>[1]!s_stmnote_bank_129n($B176,$A176,1)</f>
        <v>0</v>
      </c>
      <c r="AD176" s="54">
        <f>[1]!s_stmnote_bank_30(B176,$A176,1)</f>
        <v>0</v>
      </c>
    </row>
    <row r="177" spans="1:30" s="46" customFormat="1" ht="24">
      <c r="A177" s="1" t="s">
        <v>1110</v>
      </c>
      <c r="B177" s="87" t="s">
        <v>1285</v>
      </c>
      <c r="C177" s="8">
        <f>IF([1]!b_info_issuer(B177)="0","",IFERROR([1]!b_info_issuer(B177),""))</f>
        <v>0</v>
      </c>
      <c r="D177" s="11">
        <f>IF([1]!b_info_latestissurercreditrating(B177)="0","",IFERROR([1]!b_info_latestissurercreditrating(B177),""))</f>
        <v>0</v>
      </c>
      <c r="E177" s="27" t="str">
        <f>IFERROR(([1]!b_stm07_bs($B177,47,$A177,1,100000000))/[1]!b_stm07_bs($B177,109,$A177,1,100000000),"")</f>
        <v/>
      </c>
      <c r="F177" s="18" t="str">
        <f>IFERROR(([1]!s_stmnote_bank_26($B177,$A177,1,100000000)-[1]!s_stmnote_bank_26($B177,#REF!,1,100000000)+#REF!)/[1]!s_stmnote_bank_1n($B177,#REF!,1,100000000),"")</f>
        <v/>
      </c>
      <c r="G177" s="21" t="str">
        <f t="shared" si="4"/>
        <v/>
      </c>
      <c r="H177" s="18" t="str">
        <f>IFERROR([1]!s_stmnote_bank($B177,"34",$A177,100000000)/[1]!s_stmnote_bank_1n(B177,$A177,1,100000000),"")</f>
        <v/>
      </c>
      <c r="I177" s="25">
        <f>[1]!b_stm07_bs(B177,74,$A177,1,100000000)</f>
        <v>0</v>
      </c>
      <c r="J177" s="25">
        <f>[1]!b_stm07_bs(B177,109,$A177,1,100000000)</f>
        <v>0</v>
      </c>
      <c r="K177" s="10">
        <f>[1]!s_stmnote_bank_5n(B177,$A177,1)</f>
        <v>0</v>
      </c>
      <c r="L177" s="25">
        <f>[1]!s_stmnote_bank_23n(B177,$A177,1)</f>
        <v>0</v>
      </c>
      <c r="M177" s="25">
        <f>[1]!s_stmnote_bank_capadequacyratio(B177,$A177,1)</f>
        <v>0</v>
      </c>
      <c r="N177" s="25">
        <f>[1]!s_stmnote_bank_capadequacyratio_ct1(B177,$A177,1)</f>
        <v>0</v>
      </c>
      <c r="O177" s="6">
        <f>IF(OR([1]!s_fa_roe(B177,20201231)="0",[1]!s_fa_roe(B177,20211231)="0",[1]!s_fa_roe(B177,20221231)="0"),"",IFERROR(([1]!s_fa_roe(B177,20221231)+[1]!s_fa_roe(B177,20201231)+[1]!s_fa_roe(B177,20211231))/3,""))</f>
        <v>0</v>
      </c>
      <c r="P177" s="28" t="str">
        <f>IFERROR(([1]!s_stmnote_bank_65(B177,$A177,1,2,4,100000000)+[1]!s_stmnote_bank_65(B177,$A177,1,2,6,100000000))/[1]!s_stmnote_bank_1n(B177,$A177,1,100000000),"")</f>
        <v/>
      </c>
      <c r="Q177" s="28" t="str">
        <f>IFERROR([1]!s_stmnote_bank_614(B177,$A177,1,2,100000000)/[1]!s_stmnote_bank_647(B177,$A177,1,2,100000000),"")</f>
        <v/>
      </c>
      <c r="R177" s="28" t="str">
        <f>IFERROR(([1]!b_stm07_bs(B177,104,$A177,1,100000000)+[1]!b_stm07_bs(B177,106,$A177,1,100000000)+[1]!b_stm07_bs(B177,76,$A177,1,100000000)+[1]!b_stm07_bs(B177,108,$A177,1,100000000)+[1]!b_stm07_bs(B177,95,$A177,1,100000000))/[1]!b_stm07_bs(B177,128,$A177,1,100000000),"")</f>
        <v/>
      </c>
      <c r="S177" s="28" t="str">
        <f>IFERROR(([1]!s_stmnote_bank_614(B177,$A177,1,2,100000000)+[1]!b_stm07_bs(B177,104,$A177,1,100000000)+[1]!b_stm07_bs(B177,106,$A177,1,100000000)+[1]!b_stm07_bs(B177,76,$A177,1,100000000)+[1]!b_stm07_bs(B177,108,$A177,1,100000000)+[1]!b_stm07_bs(B177,95,$A177,1,100000000))/[1]!b_stm07_bs(B177,128,$A177,1,100000000),"")</f>
        <v/>
      </c>
      <c r="T177" s="11">
        <f>[1]!b_issuer_shareholder(B177,"",1)</f>
        <v>0</v>
      </c>
      <c r="U177" s="10">
        <f>[1]!b_issuer_propofshareholder(B177,"",1)</f>
        <v>0</v>
      </c>
      <c r="V177" s="33" t="str">
        <f t="shared" si="5"/>
        <v>0</v>
      </c>
      <c r="W177" s="33">
        <f>[1]!s_info_city(B177)</f>
        <v>0</v>
      </c>
      <c r="X177" s="10">
        <f>IF([1]!s_stmnote_bank_17n(B177,$A177,1)="0","",[1]!s_stmnote_bank_17n(B177,$A177,1))</f>
        <v>0</v>
      </c>
      <c r="Y177" s="10">
        <f>IF([1]!s_stmnote_bank_18n(B177,$A177,1)="0","",[1]!s_stmnote_bank_18n(B177,$A177,1))</f>
        <v>0</v>
      </c>
      <c r="Z177" s="41">
        <f>IF([1]!s_stmnote_bank_58(B177,$A177,1)="0","",[1]!s_stmnote_bank_58(B177,$A177,1))</f>
        <v>0</v>
      </c>
      <c r="AA177" s="52">
        <f>IF([1]!s_stmnote_bank_60(B177,$A177,1)="0","",[1]!s_stmnote_bank_60(B177,$A177,1))</f>
        <v>0</v>
      </c>
      <c r="AB177" s="52">
        <f>[1]!s_stmnote_bank_5444(B177,$A177,1)</f>
        <v>0</v>
      </c>
      <c r="AC177" s="38">
        <f>[1]!s_stmnote_bank_129n($B177,$A177,1)</f>
        <v>0</v>
      </c>
      <c r="AD177" s="54">
        <f>[1]!s_stmnote_bank_30(B177,$A177,1)</f>
        <v>0</v>
      </c>
    </row>
    <row r="178" spans="1:30" s="46" customFormat="1" ht="24">
      <c r="A178" s="1" t="s">
        <v>1110</v>
      </c>
      <c r="B178" s="87" t="s">
        <v>1286</v>
      </c>
      <c r="C178" s="8">
        <f>IF([1]!b_info_issuer(B178)="0","",IFERROR([1]!b_info_issuer(B178),""))</f>
        <v>0</v>
      </c>
      <c r="D178" s="11">
        <f>IF([1]!b_info_latestissurercreditrating(B178)="0","",IFERROR([1]!b_info_latestissurercreditrating(B178),""))</f>
        <v>0</v>
      </c>
      <c r="E178" s="27" t="str">
        <f>IFERROR(([1]!b_stm07_bs($B178,47,$A178,1,100000000))/[1]!b_stm07_bs($B178,109,$A178,1,100000000),"")</f>
        <v/>
      </c>
      <c r="F178" s="18" t="str">
        <f>IFERROR(([1]!s_stmnote_bank_26($B178,$A178,1,100000000)-[1]!s_stmnote_bank_26($B178,#REF!,1,100000000)+#REF!)/[1]!s_stmnote_bank_1n($B178,#REF!,1,100000000),"")</f>
        <v/>
      </c>
      <c r="G178" s="21" t="str">
        <f t="shared" si="4"/>
        <v/>
      </c>
      <c r="H178" s="18" t="str">
        <f>IFERROR([1]!s_stmnote_bank($B178,"34",$A178,100000000)/[1]!s_stmnote_bank_1n(B178,$A178,1,100000000),"")</f>
        <v/>
      </c>
      <c r="I178" s="25">
        <f>[1]!b_stm07_bs(B178,74,$A178,1,100000000)</f>
        <v>0</v>
      </c>
      <c r="J178" s="25">
        <f>[1]!b_stm07_bs(B178,109,$A178,1,100000000)</f>
        <v>0</v>
      </c>
      <c r="K178" s="10">
        <f>[1]!s_stmnote_bank_5n(B178,$A178,1)</f>
        <v>0</v>
      </c>
      <c r="L178" s="25">
        <f>[1]!s_stmnote_bank_23n(B178,$A178,1)</f>
        <v>0</v>
      </c>
      <c r="M178" s="25">
        <f>[1]!s_stmnote_bank_capadequacyratio(B178,$A178,1)</f>
        <v>0</v>
      </c>
      <c r="N178" s="25">
        <f>[1]!s_stmnote_bank_capadequacyratio_ct1(B178,$A178,1)</f>
        <v>0</v>
      </c>
      <c r="O178" s="6">
        <f>IF(OR([1]!s_fa_roe(B178,20201231)="0",[1]!s_fa_roe(B178,20211231)="0",[1]!s_fa_roe(B178,20221231)="0"),"",IFERROR(([1]!s_fa_roe(B178,20221231)+[1]!s_fa_roe(B178,20201231)+[1]!s_fa_roe(B178,20211231))/3,""))</f>
        <v>0</v>
      </c>
      <c r="P178" s="28" t="str">
        <f>IFERROR(([1]!s_stmnote_bank_65(B178,$A178,1,2,4,100000000)+[1]!s_stmnote_bank_65(B178,$A178,1,2,6,100000000))/[1]!s_stmnote_bank_1n(B178,$A178,1,100000000),"")</f>
        <v/>
      </c>
      <c r="Q178" s="28" t="str">
        <f>IFERROR([1]!s_stmnote_bank_614(B178,$A178,1,2,100000000)/[1]!s_stmnote_bank_647(B178,$A178,1,2,100000000),"")</f>
        <v/>
      </c>
      <c r="R178" s="28" t="str">
        <f>IFERROR(([1]!b_stm07_bs(B178,104,$A178,1,100000000)+[1]!b_stm07_bs(B178,106,$A178,1,100000000)+[1]!b_stm07_bs(B178,76,$A178,1,100000000)+[1]!b_stm07_bs(B178,108,$A178,1,100000000)+[1]!b_stm07_bs(B178,95,$A178,1,100000000))/[1]!b_stm07_bs(B178,128,$A178,1,100000000),"")</f>
        <v/>
      </c>
      <c r="S178" s="28" t="str">
        <f>IFERROR(([1]!s_stmnote_bank_614(B178,$A178,1,2,100000000)+[1]!b_stm07_bs(B178,104,$A178,1,100000000)+[1]!b_stm07_bs(B178,106,$A178,1,100000000)+[1]!b_stm07_bs(B178,76,$A178,1,100000000)+[1]!b_stm07_bs(B178,108,$A178,1,100000000)+[1]!b_stm07_bs(B178,95,$A178,1,100000000))/[1]!b_stm07_bs(B178,128,$A178,1,100000000),"")</f>
        <v/>
      </c>
      <c r="T178" s="11">
        <f>[1]!b_issuer_shareholder(B178,"",1)</f>
        <v>0</v>
      </c>
      <c r="U178" s="10">
        <f>[1]!b_issuer_propofshareholder(B178,"",1)</f>
        <v>0</v>
      </c>
      <c r="V178" s="33" t="str">
        <f t="shared" si="5"/>
        <v>0</v>
      </c>
      <c r="W178" s="33">
        <f>[1]!s_info_city(B178)</f>
        <v>0</v>
      </c>
      <c r="X178" s="10">
        <f>IF([1]!s_stmnote_bank_17n(B178,$A178,1)="0","",[1]!s_stmnote_bank_17n(B178,$A178,1))</f>
        <v>0</v>
      </c>
      <c r="Y178" s="10">
        <f>IF([1]!s_stmnote_bank_18n(B178,$A178,1)="0","",[1]!s_stmnote_bank_18n(B178,$A178,1))</f>
        <v>0</v>
      </c>
      <c r="Z178" s="41">
        <f>IF([1]!s_stmnote_bank_58(B178,$A178,1)="0","",[1]!s_stmnote_bank_58(B178,$A178,1))</f>
        <v>0</v>
      </c>
      <c r="AA178" s="52">
        <f>IF([1]!s_stmnote_bank_60(B178,$A178,1)="0","",[1]!s_stmnote_bank_60(B178,$A178,1))</f>
        <v>0</v>
      </c>
      <c r="AB178" s="52">
        <f>[1]!s_stmnote_bank_5444(B178,$A178,1)</f>
        <v>0</v>
      </c>
      <c r="AC178" s="38">
        <f>[1]!s_stmnote_bank_129n($B178,$A178,1)</f>
        <v>0</v>
      </c>
      <c r="AD178" s="54">
        <f>[1]!s_stmnote_bank_30(B178,$A178,1)</f>
        <v>0</v>
      </c>
    </row>
    <row r="179" spans="1:30" s="46" customFormat="1" ht="24">
      <c r="A179" s="1" t="s">
        <v>1110</v>
      </c>
      <c r="B179" s="87" t="s">
        <v>1287</v>
      </c>
      <c r="C179" s="8">
        <f>IF([1]!b_info_issuer(B179)="0","",IFERROR([1]!b_info_issuer(B179),""))</f>
        <v>0</v>
      </c>
      <c r="D179" s="11">
        <f>IF([1]!b_info_latestissurercreditrating(B179)="0","",IFERROR([1]!b_info_latestissurercreditrating(B179),""))</f>
        <v>0</v>
      </c>
      <c r="E179" s="27" t="str">
        <f>IFERROR(([1]!b_stm07_bs($B179,47,$A179,1,100000000))/[1]!b_stm07_bs($B179,109,$A179,1,100000000),"")</f>
        <v/>
      </c>
      <c r="F179" s="18" t="str">
        <f>IFERROR(([1]!s_stmnote_bank_26($B179,$A179,1,100000000)-[1]!s_stmnote_bank_26($B179,#REF!,1,100000000)+#REF!)/[1]!s_stmnote_bank_1n($B179,#REF!,1,100000000),"")</f>
        <v/>
      </c>
      <c r="G179" s="21" t="str">
        <f t="shared" si="4"/>
        <v/>
      </c>
      <c r="H179" s="18" t="str">
        <f>IFERROR([1]!s_stmnote_bank($B179,"34",$A179,100000000)/[1]!s_stmnote_bank_1n(B179,$A179,1,100000000),"")</f>
        <v/>
      </c>
      <c r="I179" s="25">
        <f>[1]!b_stm07_bs(B179,74,$A179,1,100000000)</f>
        <v>0</v>
      </c>
      <c r="J179" s="25">
        <f>[1]!b_stm07_bs(B179,109,$A179,1,100000000)</f>
        <v>0</v>
      </c>
      <c r="K179" s="10">
        <f>[1]!s_stmnote_bank_5n(B179,$A179,1)</f>
        <v>0</v>
      </c>
      <c r="L179" s="25">
        <f>[1]!s_stmnote_bank_23n(B179,$A179,1)</f>
        <v>0</v>
      </c>
      <c r="M179" s="25">
        <f>[1]!s_stmnote_bank_capadequacyratio(B179,$A179,1)</f>
        <v>0</v>
      </c>
      <c r="N179" s="25">
        <f>[1]!s_stmnote_bank_capadequacyratio_ct1(B179,$A179,1)</f>
        <v>0</v>
      </c>
      <c r="O179" s="6">
        <f>IF(OR([1]!s_fa_roe(B179,20201231)="0",[1]!s_fa_roe(B179,20211231)="0",[1]!s_fa_roe(B179,20221231)="0"),"",IFERROR(([1]!s_fa_roe(B179,20221231)+[1]!s_fa_roe(B179,20201231)+[1]!s_fa_roe(B179,20211231))/3,""))</f>
        <v>0</v>
      </c>
      <c r="P179" s="28" t="str">
        <f>IFERROR(([1]!s_stmnote_bank_65(B179,$A179,1,2,4,100000000)+[1]!s_stmnote_bank_65(B179,$A179,1,2,6,100000000))/[1]!s_stmnote_bank_1n(B179,$A179,1,100000000),"")</f>
        <v/>
      </c>
      <c r="Q179" s="28" t="str">
        <f>IFERROR([1]!s_stmnote_bank_614(B179,$A179,1,2,100000000)/[1]!s_stmnote_bank_647(B179,$A179,1,2,100000000),"")</f>
        <v/>
      </c>
      <c r="R179" s="28" t="str">
        <f>IFERROR(([1]!b_stm07_bs(B179,104,$A179,1,100000000)+[1]!b_stm07_bs(B179,106,$A179,1,100000000)+[1]!b_stm07_bs(B179,76,$A179,1,100000000)+[1]!b_stm07_bs(B179,108,$A179,1,100000000)+[1]!b_stm07_bs(B179,95,$A179,1,100000000))/[1]!b_stm07_bs(B179,128,$A179,1,100000000),"")</f>
        <v/>
      </c>
      <c r="S179" s="28" t="str">
        <f>IFERROR(([1]!s_stmnote_bank_614(B179,$A179,1,2,100000000)+[1]!b_stm07_bs(B179,104,$A179,1,100000000)+[1]!b_stm07_bs(B179,106,$A179,1,100000000)+[1]!b_stm07_bs(B179,76,$A179,1,100000000)+[1]!b_stm07_bs(B179,108,$A179,1,100000000)+[1]!b_stm07_bs(B179,95,$A179,1,100000000))/[1]!b_stm07_bs(B179,128,$A179,1,100000000),"")</f>
        <v/>
      </c>
      <c r="T179" s="11">
        <f>[1]!b_issuer_shareholder(B179,"",1)</f>
        <v>0</v>
      </c>
      <c r="U179" s="10">
        <f>[1]!b_issuer_propofshareholder(B179,"",1)</f>
        <v>0</v>
      </c>
      <c r="V179" s="33" t="str">
        <f t="shared" si="5"/>
        <v>0</v>
      </c>
      <c r="W179" s="33">
        <f>[1]!s_info_city(B179)</f>
        <v>0</v>
      </c>
      <c r="X179" s="10">
        <f>IF([1]!s_stmnote_bank_17n(B179,$A179,1)="0","",[1]!s_stmnote_bank_17n(B179,$A179,1))</f>
        <v>0</v>
      </c>
      <c r="Y179" s="10">
        <f>IF([1]!s_stmnote_bank_18n(B179,$A179,1)="0","",[1]!s_stmnote_bank_18n(B179,$A179,1))</f>
        <v>0</v>
      </c>
      <c r="Z179" s="41">
        <f>IF([1]!s_stmnote_bank_58(B179,$A179,1)="0","",[1]!s_stmnote_bank_58(B179,$A179,1))</f>
        <v>0</v>
      </c>
      <c r="AA179" s="52">
        <f>IF([1]!s_stmnote_bank_60(B179,$A179,1)="0","",[1]!s_stmnote_bank_60(B179,$A179,1))</f>
        <v>0</v>
      </c>
      <c r="AB179" s="52">
        <f>[1]!s_stmnote_bank_5444(B179,$A179,1)</f>
        <v>0</v>
      </c>
      <c r="AC179" s="38">
        <f>[1]!s_stmnote_bank_129n($B179,$A179,1)</f>
        <v>0</v>
      </c>
      <c r="AD179" s="54">
        <f>[1]!s_stmnote_bank_30(B179,$A179,1)</f>
        <v>0</v>
      </c>
    </row>
    <row r="180" spans="1:30" s="46" customFormat="1" ht="24">
      <c r="A180" s="1" t="s">
        <v>1110</v>
      </c>
      <c r="B180" s="87" t="s">
        <v>1288</v>
      </c>
      <c r="C180" s="8">
        <f>IF([1]!b_info_issuer(B180)="0","",IFERROR([1]!b_info_issuer(B180),""))</f>
        <v>0</v>
      </c>
      <c r="D180" s="11">
        <f>IF([1]!b_info_latestissurercreditrating(B180)="0","",IFERROR([1]!b_info_latestissurercreditrating(B180),""))</f>
        <v>0</v>
      </c>
      <c r="E180" s="27" t="str">
        <f>IFERROR(([1]!b_stm07_bs($B180,47,$A180,1,100000000))/[1]!b_stm07_bs($B180,109,$A180,1,100000000),"")</f>
        <v/>
      </c>
      <c r="F180" s="18" t="str">
        <f>IFERROR(([1]!s_stmnote_bank_26($B180,$A180,1,100000000)-[1]!s_stmnote_bank_26($B180,#REF!,1,100000000)+#REF!)/[1]!s_stmnote_bank_1n($B180,#REF!,1,100000000),"")</f>
        <v/>
      </c>
      <c r="G180" s="21" t="str">
        <f t="shared" si="4"/>
        <v/>
      </c>
      <c r="H180" s="18" t="str">
        <f>IFERROR([1]!s_stmnote_bank($B180,"34",$A180,100000000)/[1]!s_stmnote_bank_1n(B180,$A180,1,100000000),"")</f>
        <v/>
      </c>
      <c r="I180" s="25">
        <f>[1]!b_stm07_bs(B180,74,$A180,1,100000000)</f>
        <v>0</v>
      </c>
      <c r="J180" s="25">
        <f>[1]!b_stm07_bs(B180,109,$A180,1,100000000)</f>
        <v>0</v>
      </c>
      <c r="K180" s="10">
        <f>[1]!s_stmnote_bank_5n(B180,$A180,1)</f>
        <v>0</v>
      </c>
      <c r="L180" s="25">
        <f>[1]!s_stmnote_bank_23n(B180,$A180,1)</f>
        <v>0</v>
      </c>
      <c r="M180" s="25">
        <f>[1]!s_stmnote_bank_capadequacyratio(B180,$A180,1)</f>
        <v>0</v>
      </c>
      <c r="N180" s="25">
        <f>[1]!s_stmnote_bank_capadequacyratio_ct1(B180,$A180,1)</f>
        <v>0</v>
      </c>
      <c r="O180" s="6">
        <f>IF(OR([1]!s_fa_roe(B180,20201231)="0",[1]!s_fa_roe(B180,20211231)="0",[1]!s_fa_roe(B180,20221231)="0"),"",IFERROR(([1]!s_fa_roe(B180,20221231)+[1]!s_fa_roe(B180,20201231)+[1]!s_fa_roe(B180,20211231))/3,""))</f>
        <v>0</v>
      </c>
      <c r="P180" s="28" t="str">
        <f>IFERROR(([1]!s_stmnote_bank_65(B180,$A180,1,2,4,100000000)+[1]!s_stmnote_bank_65(B180,$A180,1,2,6,100000000))/[1]!s_stmnote_bank_1n(B180,$A180,1,100000000),"")</f>
        <v/>
      </c>
      <c r="Q180" s="28" t="str">
        <f>IFERROR([1]!s_stmnote_bank_614(B180,$A180,1,2,100000000)/[1]!s_stmnote_bank_647(B180,$A180,1,2,100000000),"")</f>
        <v/>
      </c>
      <c r="R180" s="28" t="str">
        <f>IFERROR(([1]!b_stm07_bs(B180,104,$A180,1,100000000)+[1]!b_stm07_bs(B180,106,$A180,1,100000000)+[1]!b_stm07_bs(B180,76,$A180,1,100000000)+[1]!b_stm07_bs(B180,108,$A180,1,100000000)+[1]!b_stm07_bs(B180,95,$A180,1,100000000))/[1]!b_stm07_bs(B180,128,$A180,1,100000000),"")</f>
        <v/>
      </c>
      <c r="S180" s="28" t="str">
        <f>IFERROR(([1]!s_stmnote_bank_614(B180,$A180,1,2,100000000)+[1]!b_stm07_bs(B180,104,$A180,1,100000000)+[1]!b_stm07_bs(B180,106,$A180,1,100000000)+[1]!b_stm07_bs(B180,76,$A180,1,100000000)+[1]!b_stm07_bs(B180,108,$A180,1,100000000)+[1]!b_stm07_bs(B180,95,$A180,1,100000000))/[1]!b_stm07_bs(B180,128,$A180,1,100000000),"")</f>
        <v/>
      </c>
      <c r="T180" s="11">
        <f>[1]!b_issuer_shareholder(B180,"",1)</f>
        <v>0</v>
      </c>
      <c r="U180" s="10">
        <f>[1]!b_issuer_propofshareholder(B180,"",1)</f>
        <v>0</v>
      </c>
      <c r="V180" s="33" t="str">
        <f t="shared" si="5"/>
        <v>0</v>
      </c>
      <c r="W180" s="33">
        <f>[1]!s_info_city(B180)</f>
        <v>0</v>
      </c>
      <c r="X180" s="10">
        <f>IF([1]!s_stmnote_bank_17n(B180,$A180,1)="0","",[1]!s_stmnote_bank_17n(B180,$A180,1))</f>
        <v>0</v>
      </c>
      <c r="Y180" s="10">
        <f>IF([1]!s_stmnote_bank_18n(B180,$A180,1)="0","",[1]!s_stmnote_bank_18n(B180,$A180,1))</f>
        <v>0</v>
      </c>
      <c r="Z180" s="41">
        <f>IF([1]!s_stmnote_bank_58(B180,$A180,1)="0","",[1]!s_stmnote_bank_58(B180,$A180,1))</f>
        <v>0</v>
      </c>
      <c r="AA180" s="52">
        <f>IF([1]!s_stmnote_bank_60(B180,$A180,1)="0","",[1]!s_stmnote_bank_60(B180,$A180,1))</f>
        <v>0</v>
      </c>
      <c r="AB180" s="52">
        <f>[1]!s_stmnote_bank_5444(B180,$A180,1)</f>
        <v>0</v>
      </c>
      <c r="AC180" s="38">
        <f>[1]!s_stmnote_bank_129n($B180,$A180,1)</f>
        <v>0</v>
      </c>
      <c r="AD180" s="54">
        <f>[1]!s_stmnote_bank_30(B180,$A180,1)</f>
        <v>0</v>
      </c>
    </row>
    <row r="181" spans="1:30" s="46" customFormat="1" ht="24">
      <c r="A181" s="1" t="s">
        <v>1110</v>
      </c>
      <c r="B181" s="87" t="s">
        <v>1289</v>
      </c>
      <c r="C181" s="8">
        <f>IF([1]!b_info_issuer(B181)="0","",IFERROR([1]!b_info_issuer(B181),""))</f>
        <v>0</v>
      </c>
      <c r="D181" s="11">
        <f>IF([1]!b_info_latestissurercreditrating(B181)="0","",IFERROR([1]!b_info_latestissurercreditrating(B181),""))</f>
        <v>0</v>
      </c>
      <c r="E181" s="27" t="str">
        <f>IFERROR(([1]!b_stm07_bs($B181,47,$A181,1,100000000))/[1]!b_stm07_bs($B181,109,$A181,1,100000000),"")</f>
        <v/>
      </c>
      <c r="F181" s="18" t="str">
        <f>IFERROR(([1]!s_stmnote_bank_26($B181,$A181,1,100000000)-[1]!s_stmnote_bank_26($B181,#REF!,1,100000000)+#REF!)/[1]!s_stmnote_bank_1n($B181,#REF!,1,100000000),"")</f>
        <v/>
      </c>
      <c r="G181" s="21" t="str">
        <f t="shared" si="4"/>
        <v/>
      </c>
      <c r="H181" s="18" t="str">
        <f>IFERROR([1]!s_stmnote_bank($B181,"34",$A181,100000000)/[1]!s_stmnote_bank_1n(B181,$A181,1,100000000),"")</f>
        <v/>
      </c>
      <c r="I181" s="25">
        <f>[1]!b_stm07_bs(B181,74,$A181,1,100000000)</f>
        <v>0</v>
      </c>
      <c r="J181" s="25">
        <f>[1]!b_stm07_bs(B181,109,$A181,1,100000000)</f>
        <v>0</v>
      </c>
      <c r="K181" s="10">
        <f>[1]!s_stmnote_bank_5n(B181,$A181,1)</f>
        <v>0</v>
      </c>
      <c r="L181" s="25">
        <f>[1]!s_stmnote_bank_23n(B181,$A181,1)</f>
        <v>0</v>
      </c>
      <c r="M181" s="25">
        <f>[1]!s_stmnote_bank_capadequacyratio(B181,$A181,1)</f>
        <v>0</v>
      </c>
      <c r="N181" s="25">
        <f>[1]!s_stmnote_bank_capadequacyratio_ct1(B181,$A181,1)</f>
        <v>0</v>
      </c>
      <c r="O181" s="6">
        <f>IF(OR([1]!s_fa_roe(B181,20201231)="0",[1]!s_fa_roe(B181,20211231)="0",[1]!s_fa_roe(B181,20221231)="0"),"",IFERROR(([1]!s_fa_roe(B181,20221231)+[1]!s_fa_roe(B181,20201231)+[1]!s_fa_roe(B181,20211231))/3,""))</f>
        <v>0</v>
      </c>
      <c r="P181" s="28" t="str">
        <f>IFERROR(([1]!s_stmnote_bank_65(B181,$A181,1,2,4,100000000)+[1]!s_stmnote_bank_65(B181,$A181,1,2,6,100000000))/[1]!s_stmnote_bank_1n(B181,$A181,1,100000000),"")</f>
        <v/>
      </c>
      <c r="Q181" s="28" t="str">
        <f>IFERROR([1]!s_stmnote_bank_614(B181,$A181,1,2,100000000)/[1]!s_stmnote_bank_647(B181,$A181,1,2,100000000),"")</f>
        <v/>
      </c>
      <c r="R181" s="28" t="str">
        <f>IFERROR(([1]!b_stm07_bs(B181,104,$A181,1,100000000)+[1]!b_stm07_bs(B181,106,$A181,1,100000000)+[1]!b_stm07_bs(B181,76,$A181,1,100000000)+[1]!b_stm07_bs(B181,108,$A181,1,100000000)+[1]!b_stm07_bs(B181,95,$A181,1,100000000))/[1]!b_stm07_bs(B181,128,$A181,1,100000000),"")</f>
        <v/>
      </c>
      <c r="S181" s="28" t="str">
        <f>IFERROR(([1]!s_stmnote_bank_614(B181,$A181,1,2,100000000)+[1]!b_stm07_bs(B181,104,$A181,1,100000000)+[1]!b_stm07_bs(B181,106,$A181,1,100000000)+[1]!b_stm07_bs(B181,76,$A181,1,100000000)+[1]!b_stm07_bs(B181,108,$A181,1,100000000)+[1]!b_stm07_bs(B181,95,$A181,1,100000000))/[1]!b_stm07_bs(B181,128,$A181,1,100000000),"")</f>
        <v/>
      </c>
      <c r="T181" s="11">
        <f>[1]!b_issuer_shareholder(B181,"",1)</f>
        <v>0</v>
      </c>
      <c r="U181" s="10">
        <f>[1]!b_issuer_propofshareholder(B181,"",1)</f>
        <v>0</v>
      </c>
      <c r="V181" s="33" t="str">
        <f t="shared" si="5"/>
        <v>0</v>
      </c>
      <c r="W181" s="33">
        <f>[1]!s_info_city(B181)</f>
        <v>0</v>
      </c>
      <c r="X181" s="10">
        <f>IF([1]!s_stmnote_bank_17n(B181,$A181,1)="0","",[1]!s_stmnote_bank_17n(B181,$A181,1))</f>
        <v>0</v>
      </c>
      <c r="Y181" s="10">
        <f>IF([1]!s_stmnote_bank_18n(B181,$A181,1)="0","",[1]!s_stmnote_bank_18n(B181,$A181,1))</f>
        <v>0</v>
      </c>
      <c r="Z181" s="41">
        <f>IF([1]!s_stmnote_bank_58(B181,$A181,1)="0","",[1]!s_stmnote_bank_58(B181,$A181,1))</f>
        <v>0</v>
      </c>
      <c r="AA181" s="52">
        <f>IF([1]!s_stmnote_bank_60(B181,$A181,1)="0","",[1]!s_stmnote_bank_60(B181,$A181,1))</f>
        <v>0</v>
      </c>
      <c r="AB181" s="52">
        <f>[1]!s_stmnote_bank_5444(B181,$A181,1)</f>
        <v>0</v>
      </c>
      <c r="AC181" s="38">
        <f>[1]!s_stmnote_bank_129n($B181,$A181,1)</f>
        <v>0</v>
      </c>
      <c r="AD181" s="54">
        <f>[1]!s_stmnote_bank_30(B181,$A181,1)</f>
        <v>0</v>
      </c>
    </row>
    <row r="182" spans="1:30" s="46" customFormat="1" ht="24">
      <c r="A182" s="1" t="s">
        <v>1110</v>
      </c>
      <c r="B182" s="87" t="s">
        <v>1290</v>
      </c>
      <c r="C182" s="8">
        <f>IF([1]!b_info_issuer(B182)="0","",IFERROR([1]!b_info_issuer(B182),""))</f>
        <v>0</v>
      </c>
      <c r="D182" s="11">
        <f>IF([1]!b_info_latestissurercreditrating(B182)="0","",IFERROR([1]!b_info_latestissurercreditrating(B182),""))</f>
        <v>0</v>
      </c>
      <c r="E182" s="27" t="str">
        <f>IFERROR(([1]!b_stm07_bs($B182,47,$A182,1,100000000))/[1]!b_stm07_bs($B182,109,$A182,1,100000000),"")</f>
        <v/>
      </c>
      <c r="F182" s="18" t="str">
        <f>IFERROR(([1]!s_stmnote_bank_26($B182,$A182,1,100000000)-[1]!s_stmnote_bank_26($B182,#REF!,1,100000000)+#REF!)/[1]!s_stmnote_bank_1n($B182,#REF!,1,100000000),"")</f>
        <v/>
      </c>
      <c r="G182" s="21" t="str">
        <f t="shared" si="4"/>
        <v/>
      </c>
      <c r="H182" s="18" t="str">
        <f>IFERROR([1]!s_stmnote_bank($B182,"34",$A182,100000000)/[1]!s_stmnote_bank_1n(B182,$A182,1,100000000),"")</f>
        <v/>
      </c>
      <c r="I182" s="25">
        <f>[1]!b_stm07_bs(B182,74,$A182,1,100000000)</f>
        <v>0</v>
      </c>
      <c r="J182" s="25">
        <f>[1]!b_stm07_bs(B182,109,$A182,1,100000000)</f>
        <v>0</v>
      </c>
      <c r="K182" s="10">
        <f>[1]!s_stmnote_bank_5n(B182,$A182,1)</f>
        <v>0</v>
      </c>
      <c r="L182" s="25">
        <f>[1]!s_stmnote_bank_23n(B182,$A182,1)</f>
        <v>0</v>
      </c>
      <c r="M182" s="25">
        <f>[1]!s_stmnote_bank_capadequacyratio(B182,$A182,1)</f>
        <v>0</v>
      </c>
      <c r="N182" s="25">
        <f>[1]!s_stmnote_bank_capadequacyratio_ct1(B182,$A182,1)</f>
        <v>0</v>
      </c>
      <c r="O182" s="6">
        <f>IF(OR([1]!s_fa_roe(B182,20201231)="0",[1]!s_fa_roe(B182,20211231)="0",[1]!s_fa_roe(B182,20221231)="0"),"",IFERROR(([1]!s_fa_roe(B182,20221231)+[1]!s_fa_roe(B182,20201231)+[1]!s_fa_roe(B182,20211231))/3,""))</f>
        <v>0</v>
      </c>
      <c r="P182" s="28" t="str">
        <f>IFERROR(([1]!s_stmnote_bank_65(B182,$A182,1,2,4,100000000)+[1]!s_stmnote_bank_65(B182,$A182,1,2,6,100000000))/[1]!s_stmnote_bank_1n(B182,$A182,1,100000000),"")</f>
        <v/>
      </c>
      <c r="Q182" s="28" t="str">
        <f>IFERROR([1]!s_stmnote_bank_614(B182,$A182,1,2,100000000)/[1]!s_stmnote_bank_647(B182,$A182,1,2,100000000),"")</f>
        <v/>
      </c>
      <c r="R182" s="28" t="str">
        <f>IFERROR(([1]!b_stm07_bs(B182,104,$A182,1,100000000)+[1]!b_stm07_bs(B182,106,$A182,1,100000000)+[1]!b_stm07_bs(B182,76,$A182,1,100000000)+[1]!b_stm07_bs(B182,108,$A182,1,100000000)+[1]!b_stm07_bs(B182,95,$A182,1,100000000))/[1]!b_stm07_bs(B182,128,$A182,1,100000000),"")</f>
        <v/>
      </c>
      <c r="S182" s="28" t="str">
        <f>IFERROR(([1]!s_stmnote_bank_614(B182,$A182,1,2,100000000)+[1]!b_stm07_bs(B182,104,$A182,1,100000000)+[1]!b_stm07_bs(B182,106,$A182,1,100000000)+[1]!b_stm07_bs(B182,76,$A182,1,100000000)+[1]!b_stm07_bs(B182,108,$A182,1,100000000)+[1]!b_stm07_bs(B182,95,$A182,1,100000000))/[1]!b_stm07_bs(B182,128,$A182,1,100000000),"")</f>
        <v/>
      </c>
      <c r="T182" s="11">
        <f>[1]!b_issuer_shareholder(B182,"",1)</f>
        <v>0</v>
      </c>
      <c r="U182" s="10">
        <f>[1]!b_issuer_propofshareholder(B182,"",1)</f>
        <v>0</v>
      </c>
      <c r="V182" s="33" t="str">
        <f t="shared" si="5"/>
        <v>0</v>
      </c>
      <c r="W182" s="33">
        <f>[1]!s_info_city(B182)</f>
        <v>0</v>
      </c>
      <c r="X182" s="10">
        <f>IF([1]!s_stmnote_bank_17n(B182,$A182,1)="0","",[1]!s_stmnote_bank_17n(B182,$A182,1))</f>
        <v>0</v>
      </c>
      <c r="Y182" s="10">
        <f>IF([1]!s_stmnote_bank_18n(B182,$A182,1)="0","",[1]!s_stmnote_bank_18n(B182,$A182,1))</f>
        <v>0</v>
      </c>
      <c r="Z182" s="41">
        <f>IF([1]!s_stmnote_bank_58(B182,$A182,1)="0","",[1]!s_stmnote_bank_58(B182,$A182,1))</f>
        <v>0</v>
      </c>
      <c r="AA182" s="52">
        <f>IF([1]!s_stmnote_bank_60(B182,$A182,1)="0","",[1]!s_stmnote_bank_60(B182,$A182,1))</f>
        <v>0</v>
      </c>
      <c r="AB182" s="52">
        <f>[1]!s_stmnote_bank_5444(B182,$A182,1)</f>
        <v>0</v>
      </c>
      <c r="AC182" s="38">
        <f>[1]!s_stmnote_bank_129n($B182,$A182,1)</f>
        <v>0</v>
      </c>
      <c r="AD182" s="54">
        <f>[1]!s_stmnote_bank_30(B182,$A182,1)</f>
        <v>0</v>
      </c>
    </row>
    <row r="183" spans="1:30" s="46" customFormat="1" ht="24">
      <c r="A183" s="1" t="s">
        <v>1110</v>
      </c>
      <c r="B183" s="87" t="s">
        <v>1291</v>
      </c>
      <c r="C183" s="8">
        <f>IF([1]!b_info_issuer(B183)="0","",IFERROR([1]!b_info_issuer(B183),""))</f>
        <v>0</v>
      </c>
      <c r="D183" s="11">
        <f>IF([1]!b_info_latestissurercreditrating(B183)="0","",IFERROR([1]!b_info_latestissurercreditrating(B183),""))</f>
        <v>0</v>
      </c>
      <c r="E183" s="27" t="str">
        <f>IFERROR(([1]!b_stm07_bs($B183,47,$A183,1,100000000))/[1]!b_stm07_bs($B183,109,$A183,1,100000000),"")</f>
        <v/>
      </c>
      <c r="F183" s="18" t="str">
        <f>IFERROR(([1]!s_stmnote_bank_26($B183,$A183,1,100000000)-[1]!s_stmnote_bank_26($B183,#REF!,1,100000000)+#REF!)/[1]!s_stmnote_bank_1n($B183,#REF!,1,100000000),"")</f>
        <v/>
      </c>
      <c r="G183" s="21" t="str">
        <f t="shared" si="4"/>
        <v/>
      </c>
      <c r="H183" s="18" t="str">
        <f>IFERROR([1]!s_stmnote_bank($B183,"34",$A183,100000000)/[1]!s_stmnote_bank_1n(B183,$A183,1,100000000),"")</f>
        <v/>
      </c>
      <c r="I183" s="25">
        <f>[1]!b_stm07_bs(B183,74,$A183,1,100000000)</f>
        <v>0</v>
      </c>
      <c r="J183" s="25">
        <f>[1]!b_stm07_bs(B183,109,$A183,1,100000000)</f>
        <v>0</v>
      </c>
      <c r="K183" s="10">
        <f>[1]!s_stmnote_bank_5n(B183,$A183,1)</f>
        <v>0</v>
      </c>
      <c r="L183" s="25">
        <f>[1]!s_stmnote_bank_23n(B183,$A183,1)</f>
        <v>0</v>
      </c>
      <c r="M183" s="25">
        <f>[1]!s_stmnote_bank_capadequacyratio(B183,$A183,1)</f>
        <v>0</v>
      </c>
      <c r="N183" s="25">
        <f>[1]!s_stmnote_bank_capadequacyratio_ct1(B183,$A183,1)</f>
        <v>0</v>
      </c>
      <c r="O183" s="6">
        <f>IF(OR([1]!s_fa_roe(B183,20201231)="0",[1]!s_fa_roe(B183,20211231)="0",[1]!s_fa_roe(B183,20221231)="0"),"",IFERROR(([1]!s_fa_roe(B183,20221231)+[1]!s_fa_roe(B183,20201231)+[1]!s_fa_roe(B183,20211231))/3,""))</f>
        <v>0</v>
      </c>
      <c r="P183" s="28" t="str">
        <f>IFERROR(([1]!s_stmnote_bank_65(B183,$A183,1,2,4,100000000)+[1]!s_stmnote_bank_65(B183,$A183,1,2,6,100000000))/[1]!s_stmnote_bank_1n(B183,$A183,1,100000000),"")</f>
        <v/>
      </c>
      <c r="Q183" s="28" t="str">
        <f>IFERROR([1]!s_stmnote_bank_614(B183,$A183,1,2,100000000)/[1]!s_stmnote_bank_647(B183,$A183,1,2,100000000),"")</f>
        <v/>
      </c>
      <c r="R183" s="28" t="str">
        <f>IFERROR(([1]!b_stm07_bs(B183,104,$A183,1,100000000)+[1]!b_stm07_bs(B183,106,$A183,1,100000000)+[1]!b_stm07_bs(B183,76,$A183,1,100000000)+[1]!b_stm07_bs(B183,108,$A183,1,100000000)+[1]!b_stm07_bs(B183,95,$A183,1,100000000))/[1]!b_stm07_bs(B183,128,$A183,1,100000000),"")</f>
        <v/>
      </c>
      <c r="S183" s="28" t="str">
        <f>IFERROR(([1]!s_stmnote_bank_614(B183,$A183,1,2,100000000)+[1]!b_stm07_bs(B183,104,$A183,1,100000000)+[1]!b_stm07_bs(B183,106,$A183,1,100000000)+[1]!b_stm07_bs(B183,76,$A183,1,100000000)+[1]!b_stm07_bs(B183,108,$A183,1,100000000)+[1]!b_stm07_bs(B183,95,$A183,1,100000000))/[1]!b_stm07_bs(B183,128,$A183,1,100000000),"")</f>
        <v/>
      </c>
      <c r="T183" s="11">
        <f>[1]!b_issuer_shareholder(B183,"",1)</f>
        <v>0</v>
      </c>
      <c r="U183" s="10">
        <f>[1]!b_issuer_propofshareholder(B183,"",1)</f>
        <v>0</v>
      </c>
      <c r="V183" s="33" t="str">
        <f t="shared" si="5"/>
        <v>0</v>
      </c>
      <c r="W183" s="33">
        <f>[1]!s_info_city(B183)</f>
        <v>0</v>
      </c>
      <c r="X183" s="10">
        <f>IF([1]!s_stmnote_bank_17n(B183,$A183,1)="0","",[1]!s_stmnote_bank_17n(B183,$A183,1))</f>
        <v>0</v>
      </c>
      <c r="Y183" s="10">
        <f>IF([1]!s_stmnote_bank_18n(B183,$A183,1)="0","",[1]!s_stmnote_bank_18n(B183,$A183,1))</f>
        <v>0</v>
      </c>
      <c r="Z183" s="41">
        <f>IF([1]!s_stmnote_bank_58(B183,$A183,1)="0","",[1]!s_stmnote_bank_58(B183,$A183,1))</f>
        <v>0</v>
      </c>
      <c r="AA183" s="52">
        <f>IF([1]!s_stmnote_bank_60(B183,$A183,1)="0","",[1]!s_stmnote_bank_60(B183,$A183,1))</f>
        <v>0</v>
      </c>
      <c r="AB183" s="52">
        <f>[1]!s_stmnote_bank_5444(B183,$A183,1)</f>
        <v>0</v>
      </c>
      <c r="AC183" s="38">
        <f>[1]!s_stmnote_bank_129n($B183,$A183,1)</f>
        <v>0</v>
      </c>
      <c r="AD183" s="54">
        <f>[1]!s_stmnote_bank_30(B183,$A183,1)</f>
        <v>0</v>
      </c>
    </row>
    <row r="184" spans="1:30" s="46" customFormat="1" ht="24">
      <c r="A184" s="1" t="s">
        <v>1110</v>
      </c>
      <c r="B184" s="87" t="s">
        <v>1292</v>
      </c>
      <c r="C184" s="8">
        <f>IF([1]!b_info_issuer(B184)="0","",IFERROR([1]!b_info_issuer(B184),""))</f>
        <v>0</v>
      </c>
      <c r="D184" s="11">
        <f>IF([1]!b_info_latestissurercreditrating(B184)="0","",IFERROR([1]!b_info_latestissurercreditrating(B184),""))</f>
        <v>0</v>
      </c>
      <c r="E184" s="27" t="str">
        <f>IFERROR(([1]!b_stm07_bs($B184,47,$A184,1,100000000))/[1]!b_stm07_bs($B184,109,$A184,1,100000000),"")</f>
        <v/>
      </c>
      <c r="F184" s="18" t="str">
        <f>IFERROR(([1]!s_stmnote_bank_26($B184,$A184,1,100000000)-[1]!s_stmnote_bank_26($B184,#REF!,1,100000000)+#REF!)/[1]!s_stmnote_bank_1n($B184,#REF!,1,100000000),"")</f>
        <v/>
      </c>
      <c r="G184" s="21" t="str">
        <f t="shared" si="4"/>
        <v/>
      </c>
      <c r="H184" s="18" t="str">
        <f>IFERROR([1]!s_stmnote_bank($B184,"34",$A184,100000000)/[1]!s_stmnote_bank_1n(B184,$A184,1,100000000),"")</f>
        <v/>
      </c>
      <c r="I184" s="25">
        <f>[1]!b_stm07_bs(B184,74,$A184,1,100000000)</f>
        <v>0</v>
      </c>
      <c r="J184" s="25">
        <f>[1]!b_stm07_bs(B184,109,$A184,1,100000000)</f>
        <v>0</v>
      </c>
      <c r="K184" s="10">
        <f>[1]!s_stmnote_bank_5n(B184,$A184,1)</f>
        <v>0</v>
      </c>
      <c r="L184" s="25">
        <f>[1]!s_stmnote_bank_23n(B184,$A184,1)</f>
        <v>0</v>
      </c>
      <c r="M184" s="25">
        <f>[1]!s_stmnote_bank_capadequacyratio(B184,$A184,1)</f>
        <v>0</v>
      </c>
      <c r="N184" s="25">
        <f>[1]!s_stmnote_bank_capadequacyratio_ct1(B184,$A184,1)</f>
        <v>0</v>
      </c>
      <c r="O184" s="6">
        <f>IF(OR([1]!s_fa_roe(B184,20201231)="0",[1]!s_fa_roe(B184,20211231)="0",[1]!s_fa_roe(B184,20221231)="0"),"",IFERROR(([1]!s_fa_roe(B184,20221231)+[1]!s_fa_roe(B184,20201231)+[1]!s_fa_roe(B184,20211231))/3,""))</f>
        <v>0</v>
      </c>
      <c r="P184" s="28" t="str">
        <f>IFERROR(([1]!s_stmnote_bank_65(B184,$A184,1,2,4,100000000)+[1]!s_stmnote_bank_65(B184,$A184,1,2,6,100000000))/[1]!s_stmnote_bank_1n(B184,$A184,1,100000000),"")</f>
        <v/>
      </c>
      <c r="Q184" s="28" t="str">
        <f>IFERROR([1]!s_stmnote_bank_614(B184,$A184,1,2,100000000)/[1]!s_stmnote_bank_647(B184,$A184,1,2,100000000),"")</f>
        <v/>
      </c>
      <c r="R184" s="28" t="str">
        <f>IFERROR(([1]!b_stm07_bs(B184,104,$A184,1,100000000)+[1]!b_stm07_bs(B184,106,$A184,1,100000000)+[1]!b_stm07_bs(B184,76,$A184,1,100000000)+[1]!b_stm07_bs(B184,108,$A184,1,100000000)+[1]!b_stm07_bs(B184,95,$A184,1,100000000))/[1]!b_stm07_bs(B184,128,$A184,1,100000000),"")</f>
        <v/>
      </c>
      <c r="S184" s="28" t="str">
        <f>IFERROR(([1]!s_stmnote_bank_614(B184,$A184,1,2,100000000)+[1]!b_stm07_bs(B184,104,$A184,1,100000000)+[1]!b_stm07_bs(B184,106,$A184,1,100000000)+[1]!b_stm07_bs(B184,76,$A184,1,100000000)+[1]!b_stm07_bs(B184,108,$A184,1,100000000)+[1]!b_stm07_bs(B184,95,$A184,1,100000000))/[1]!b_stm07_bs(B184,128,$A184,1,100000000),"")</f>
        <v/>
      </c>
      <c r="T184" s="11">
        <f>[1]!b_issuer_shareholder(B184,"",1)</f>
        <v>0</v>
      </c>
      <c r="U184" s="10">
        <f>[1]!b_issuer_propofshareholder(B184,"",1)</f>
        <v>0</v>
      </c>
      <c r="V184" s="33" t="str">
        <f t="shared" si="5"/>
        <v>0</v>
      </c>
      <c r="W184" s="33">
        <f>[1]!s_info_city(B184)</f>
        <v>0</v>
      </c>
      <c r="X184" s="10">
        <f>IF([1]!s_stmnote_bank_17n(B184,$A184,1)="0","",[1]!s_stmnote_bank_17n(B184,$A184,1))</f>
        <v>0</v>
      </c>
      <c r="Y184" s="10">
        <f>IF([1]!s_stmnote_bank_18n(B184,$A184,1)="0","",[1]!s_stmnote_bank_18n(B184,$A184,1))</f>
        <v>0</v>
      </c>
      <c r="Z184" s="41">
        <f>IF([1]!s_stmnote_bank_58(B184,$A184,1)="0","",[1]!s_stmnote_bank_58(B184,$A184,1))</f>
        <v>0</v>
      </c>
      <c r="AA184" s="52">
        <f>IF([1]!s_stmnote_bank_60(B184,$A184,1)="0","",[1]!s_stmnote_bank_60(B184,$A184,1))</f>
        <v>0</v>
      </c>
      <c r="AB184" s="52">
        <f>[1]!s_stmnote_bank_5444(B184,$A184,1)</f>
        <v>0</v>
      </c>
      <c r="AC184" s="38">
        <f>[1]!s_stmnote_bank_129n($B184,$A184,1)</f>
        <v>0</v>
      </c>
      <c r="AD184" s="54">
        <f>[1]!s_stmnote_bank_30(B184,$A184,1)</f>
        <v>0</v>
      </c>
    </row>
    <row r="185" spans="1:30" s="46" customFormat="1" ht="24">
      <c r="A185" s="1" t="s">
        <v>1110</v>
      </c>
      <c r="B185" s="87" t="s">
        <v>1293</v>
      </c>
      <c r="C185" s="8">
        <f>IF([1]!b_info_issuer(B185)="0","",IFERROR([1]!b_info_issuer(B185),""))</f>
        <v>0</v>
      </c>
      <c r="D185" s="11">
        <f>IF([1]!b_info_latestissurercreditrating(B185)="0","",IFERROR([1]!b_info_latestissurercreditrating(B185),""))</f>
        <v>0</v>
      </c>
      <c r="E185" s="27" t="str">
        <f>IFERROR(([1]!b_stm07_bs($B185,47,$A185,1,100000000))/[1]!b_stm07_bs($B185,109,$A185,1,100000000),"")</f>
        <v/>
      </c>
      <c r="F185" s="18" t="str">
        <f>IFERROR(([1]!s_stmnote_bank_26($B185,$A185,1,100000000)-[1]!s_stmnote_bank_26($B185,#REF!,1,100000000)+#REF!)/[1]!s_stmnote_bank_1n($B185,#REF!,1,100000000),"")</f>
        <v/>
      </c>
      <c r="G185" s="21" t="str">
        <f t="shared" si="4"/>
        <v/>
      </c>
      <c r="H185" s="18" t="str">
        <f>IFERROR([1]!s_stmnote_bank($B185,"34",$A185,100000000)/[1]!s_stmnote_bank_1n(B185,$A185,1,100000000),"")</f>
        <v/>
      </c>
      <c r="I185" s="25">
        <f>[1]!b_stm07_bs(B185,74,$A185,1,100000000)</f>
        <v>0</v>
      </c>
      <c r="J185" s="25">
        <f>[1]!b_stm07_bs(B185,109,$A185,1,100000000)</f>
        <v>0</v>
      </c>
      <c r="K185" s="10">
        <f>[1]!s_stmnote_bank_5n(B185,$A185,1)</f>
        <v>0</v>
      </c>
      <c r="L185" s="25">
        <f>[1]!s_stmnote_bank_23n(B185,$A185,1)</f>
        <v>0</v>
      </c>
      <c r="M185" s="25">
        <f>[1]!s_stmnote_bank_capadequacyratio(B185,$A185,1)</f>
        <v>0</v>
      </c>
      <c r="N185" s="25">
        <f>[1]!s_stmnote_bank_capadequacyratio_ct1(B185,$A185,1)</f>
        <v>0</v>
      </c>
      <c r="O185" s="6">
        <f>IF(OR([1]!s_fa_roe(B185,20201231)="0",[1]!s_fa_roe(B185,20211231)="0",[1]!s_fa_roe(B185,20221231)="0"),"",IFERROR(([1]!s_fa_roe(B185,20221231)+[1]!s_fa_roe(B185,20201231)+[1]!s_fa_roe(B185,20211231))/3,""))</f>
        <v>0</v>
      </c>
      <c r="P185" s="28" t="str">
        <f>IFERROR(([1]!s_stmnote_bank_65(B185,$A185,1,2,4,100000000)+[1]!s_stmnote_bank_65(B185,$A185,1,2,6,100000000))/[1]!s_stmnote_bank_1n(B185,$A185,1,100000000),"")</f>
        <v/>
      </c>
      <c r="Q185" s="28" t="str">
        <f>IFERROR([1]!s_stmnote_bank_614(B185,$A185,1,2,100000000)/[1]!s_stmnote_bank_647(B185,$A185,1,2,100000000),"")</f>
        <v/>
      </c>
      <c r="R185" s="28" t="str">
        <f>IFERROR(([1]!b_stm07_bs(B185,104,$A185,1,100000000)+[1]!b_stm07_bs(B185,106,$A185,1,100000000)+[1]!b_stm07_bs(B185,76,$A185,1,100000000)+[1]!b_stm07_bs(B185,108,$A185,1,100000000)+[1]!b_stm07_bs(B185,95,$A185,1,100000000))/[1]!b_stm07_bs(B185,128,$A185,1,100000000),"")</f>
        <v/>
      </c>
      <c r="S185" s="28" t="str">
        <f>IFERROR(([1]!s_stmnote_bank_614(B185,$A185,1,2,100000000)+[1]!b_stm07_bs(B185,104,$A185,1,100000000)+[1]!b_stm07_bs(B185,106,$A185,1,100000000)+[1]!b_stm07_bs(B185,76,$A185,1,100000000)+[1]!b_stm07_bs(B185,108,$A185,1,100000000)+[1]!b_stm07_bs(B185,95,$A185,1,100000000))/[1]!b_stm07_bs(B185,128,$A185,1,100000000),"")</f>
        <v/>
      </c>
      <c r="T185" s="11">
        <f>[1]!b_issuer_shareholder(B185,"",1)</f>
        <v>0</v>
      </c>
      <c r="U185" s="10">
        <f>[1]!b_issuer_propofshareholder(B185,"",1)</f>
        <v>0</v>
      </c>
      <c r="V185" s="33" t="str">
        <f t="shared" si="5"/>
        <v>0</v>
      </c>
      <c r="W185" s="33">
        <f>[1]!s_info_city(B185)</f>
        <v>0</v>
      </c>
      <c r="X185" s="10">
        <f>IF([1]!s_stmnote_bank_17n(B185,$A185,1)="0","",[1]!s_stmnote_bank_17n(B185,$A185,1))</f>
        <v>0</v>
      </c>
      <c r="Y185" s="10">
        <f>IF([1]!s_stmnote_bank_18n(B185,$A185,1)="0","",[1]!s_stmnote_bank_18n(B185,$A185,1))</f>
        <v>0</v>
      </c>
      <c r="Z185" s="41">
        <f>IF([1]!s_stmnote_bank_58(B185,$A185,1)="0","",[1]!s_stmnote_bank_58(B185,$A185,1))</f>
        <v>0</v>
      </c>
      <c r="AA185" s="52">
        <f>IF([1]!s_stmnote_bank_60(B185,$A185,1)="0","",[1]!s_stmnote_bank_60(B185,$A185,1))</f>
        <v>0</v>
      </c>
      <c r="AB185" s="52">
        <f>[1]!s_stmnote_bank_5444(B185,$A185,1)</f>
        <v>0</v>
      </c>
      <c r="AC185" s="38">
        <f>[1]!s_stmnote_bank_129n($B185,$A185,1)</f>
        <v>0</v>
      </c>
      <c r="AD185" s="54">
        <f>[1]!s_stmnote_bank_30(B185,$A185,1)</f>
        <v>0</v>
      </c>
    </row>
    <row r="186" spans="1:30" s="46" customFormat="1" ht="24">
      <c r="A186" s="1" t="s">
        <v>1110</v>
      </c>
      <c r="B186" s="87" t="s">
        <v>1294</v>
      </c>
      <c r="C186" s="8">
        <f>IF([1]!b_info_issuer(B186)="0","",IFERROR([1]!b_info_issuer(B186),""))</f>
        <v>0</v>
      </c>
      <c r="D186" s="11">
        <f>IF([1]!b_info_latestissurercreditrating(B186)="0","",IFERROR([1]!b_info_latestissurercreditrating(B186),""))</f>
        <v>0</v>
      </c>
      <c r="E186" s="27" t="str">
        <f>IFERROR(([1]!b_stm07_bs($B186,47,$A186,1,100000000))/[1]!b_stm07_bs($B186,109,$A186,1,100000000),"")</f>
        <v/>
      </c>
      <c r="F186" s="18" t="str">
        <f>IFERROR(([1]!s_stmnote_bank_26($B186,$A186,1,100000000)-[1]!s_stmnote_bank_26($B186,#REF!,1,100000000)+#REF!)/[1]!s_stmnote_bank_1n($B186,#REF!,1,100000000),"")</f>
        <v/>
      </c>
      <c r="G186" s="21" t="str">
        <f t="shared" si="4"/>
        <v/>
      </c>
      <c r="H186" s="18" t="str">
        <f>IFERROR([1]!s_stmnote_bank($B186,"34",$A186,100000000)/[1]!s_stmnote_bank_1n(B186,$A186,1,100000000),"")</f>
        <v/>
      </c>
      <c r="I186" s="25">
        <f>[1]!b_stm07_bs(B186,74,$A186,1,100000000)</f>
        <v>0</v>
      </c>
      <c r="J186" s="25">
        <f>[1]!b_stm07_bs(B186,109,$A186,1,100000000)</f>
        <v>0</v>
      </c>
      <c r="K186" s="10">
        <f>[1]!s_stmnote_bank_5n(B186,$A186,1)</f>
        <v>0</v>
      </c>
      <c r="L186" s="25">
        <f>[1]!s_stmnote_bank_23n(B186,$A186,1)</f>
        <v>0</v>
      </c>
      <c r="M186" s="25">
        <f>[1]!s_stmnote_bank_capadequacyratio(B186,$A186,1)</f>
        <v>0</v>
      </c>
      <c r="N186" s="25">
        <f>[1]!s_stmnote_bank_capadequacyratio_ct1(B186,$A186,1)</f>
        <v>0</v>
      </c>
      <c r="O186" s="6">
        <f>IF(OR([1]!s_fa_roe(B186,20201231)="0",[1]!s_fa_roe(B186,20211231)="0",[1]!s_fa_roe(B186,20221231)="0"),"",IFERROR(([1]!s_fa_roe(B186,20221231)+[1]!s_fa_roe(B186,20201231)+[1]!s_fa_roe(B186,20211231))/3,""))</f>
        <v>0</v>
      </c>
      <c r="P186" s="28" t="str">
        <f>IFERROR(([1]!s_stmnote_bank_65(B186,$A186,1,2,4,100000000)+[1]!s_stmnote_bank_65(B186,$A186,1,2,6,100000000))/[1]!s_stmnote_bank_1n(B186,$A186,1,100000000),"")</f>
        <v/>
      </c>
      <c r="Q186" s="28" t="str">
        <f>IFERROR([1]!s_stmnote_bank_614(B186,$A186,1,2,100000000)/[1]!s_stmnote_bank_647(B186,$A186,1,2,100000000),"")</f>
        <v/>
      </c>
      <c r="R186" s="28" t="str">
        <f>IFERROR(([1]!b_stm07_bs(B186,104,$A186,1,100000000)+[1]!b_stm07_bs(B186,106,$A186,1,100000000)+[1]!b_stm07_bs(B186,76,$A186,1,100000000)+[1]!b_stm07_bs(B186,108,$A186,1,100000000)+[1]!b_stm07_bs(B186,95,$A186,1,100000000))/[1]!b_stm07_bs(B186,128,$A186,1,100000000),"")</f>
        <v/>
      </c>
      <c r="S186" s="28" t="str">
        <f>IFERROR(([1]!s_stmnote_bank_614(B186,$A186,1,2,100000000)+[1]!b_stm07_bs(B186,104,$A186,1,100000000)+[1]!b_stm07_bs(B186,106,$A186,1,100000000)+[1]!b_stm07_bs(B186,76,$A186,1,100000000)+[1]!b_stm07_bs(B186,108,$A186,1,100000000)+[1]!b_stm07_bs(B186,95,$A186,1,100000000))/[1]!b_stm07_bs(B186,128,$A186,1,100000000),"")</f>
        <v/>
      </c>
      <c r="T186" s="11">
        <f>[1]!b_issuer_shareholder(B186,"",1)</f>
        <v>0</v>
      </c>
      <c r="U186" s="10">
        <f>[1]!b_issuer_propofshareholder(B186,"",1)</f>
        <v>0</v>
      </c>
      <c r="V186" s="33" t="str">
        <f t="shared" si="5"/>
        <v>0</v>
      </c>
      <c r="W186" s="33">
        <f>[1]!s_info_city(B186)</f>
        <v>0</v>
      </c>
      <c r="X186" s="10">
        <f>IF([1]!s_stmnote_bank_17n(B186,$A186,1)="0","",[1]!s_stmnote_bank_17n(B186,$A186,1))</f>
        <v>0</v>
      </c>
      <c r="Y186" s="10">
        <f>IF([1]!s_stmnote_bank_18n(B186,$A186,1)="0","",[1]!s_stmnote_bank_18n(B186,$A186,1))</f>
        <v>0</v>
      </c>
      <c r="Z186" s="41">
        <f>IF([1]!s_stmnote_bank_58(B186,$A186,1)="0","",[1]!s_stmnote_bank_58(B186,$A186,1))</f>
        <v>0</v>
      </c>
      <c r="AA186" s="52">
        <f>IF([1]!s_stmnote_bank_60(B186,$A186,1)="0","",[1]!s_stmnote_bank_60(B186,$A186,1))</f>
        <v>0</v>
      </c>
      <c r="AB186" s="52">
        <f>[1]!s_stmnote_bank_5444(B186,$A186,1)</f>
        <v>0</v>
      </c>
      <c r="AC186" s="38">
        <f>[1]!s_stmnote_bank_129n($B186,$A186,1)</f>
        <v>0</v>
      </c>
      <c r="AD186" s="54">
        <f>[1]!s_stmnote_bank_30(B186,$A186,1)</f>
        <v>0</v>
      </c>
    </row>
    <row r="187" spans="1:30" s="46" customFormat="1" ht="24">
      <c r="A187" s="1" t="s">
        <v>1110</v>
      </c>
      <c r="B187" s="87" t="s">
        <v>1295</v>
      </c>
      <c r="C187" s="8">
        <f>IF([1]!b_info_issuer(B187)="0","",IFERROR([1]!b_info_issuer(B187),""))</f>
        <v>0</v>
      </c>
      <c r="D187" s="11">
        <f>IF([1]!b_info_latestissurercreditrating(B187)="0","",IFERROR([1]!b_info_latestissurercreditrating(B187),""))</f>
        <v>0</v>
      </c>
      <c r="E187" s="27" t="str">
        <f>IFERROR(([1]!b_stm07_bs($B187,47,$A187,1,100000000))/[1]!b_stm07_bs($B187,109,$A187,1,100000000),"")</f>
        <v/>
      </c>
      <c r="F187" s="18" t="str">
        <f>IFERROR(([1]!s_stmnote_bank_26($B187,$A187,1,100000000)-[1]!s_stmnote_bank_26($B187,#REF!,1,100000000)+#REF!)/[1]!s_stmnote_bank_1n($B187,#REF!,1,100000000),"")</f>
        <v/>
      </c>
      <c r="G187" s="21" t="str">
        <f t="shared" si="4"/>
        <v/>
      </c>
      <c r="H187" s="18" t="str">
        <f>IFERROR([1]!s_stmnote_bank($B187,"34",$A187,100000000)/[1]!s_stmnote_bank_1n(B187,$A187,1,100000000),"")</f>
        <v/>
      </c>
      <c r="I187" s="25">
        <f>[1]!b_stm07_bs(B187,74,$A187,1,100000000)</f>
        <v>0</v>
      </c>
      <c r="J187" s="25">
        <f>[1]!b_stm07_bs(B187,109,$A187,1,100000000)</f>
        <v>0</v>
      </c>
      <c r="K187" s="10">
        <f>[1]!s_stmnote_bank_5n(B187,$A187,1)</f>
        <v>0</v>
      </c>
      <c r="L187" s="25">
        <f>[1]!s_stmnote_bank_23n(B187,$A187,1)</f>
        <v>0</v>
      </c>
      <c r="M187" s="25">
        <f>[1]!s_stmnote_bank_capadequacyratio(B187,$A187,1)</f>
        <v>0</v>
      </c>
      <c r="N187" s="25">
        <f>[1]!s_stmnote_bank_capadequacyratio_ct1(B187,$A187,1)</f>
        <v>0</v>
      </c>
      <c r="O187" s="6">
        <f>IF(OR([1]!s_fa_roe(B187,20201231)="0",[1]!s_fa_roe(B187,20211231)="0",[1]!s_fa_roe(B187,20221231)="0"),"",IFERROR(([1]!s_fa_roe(B187,20221231)+[1]!s_fa_roe(B187,20201231)+[1]!s_fa_roe(B187,20211231))/3,""))</f>
        <v>0</v>
      </c>
      <c r="P187" s="28" t="str">
        <f>IFERROR(([1]!s_stmnote_bank_65(B187,$A187,1,2,4,100000000)+[1]!s_stmnote_bank_65(B187,$A187,1,2,6,100000000))/[1]!s_stmnote_bank_1n(B187,$A187,1,100000000),"")</f>
        <v/>
      </c>
      <c r="Q187" s="28" t="str">
        <f>IFERROR([1]!s_stmnote_bank_614(B187,$A187,1,2,100000000)/[1]!s_stmnote_bank_647(B187,$A187,1,2,100000000),"")</f>
        <v/>
      </c>
      <c r="R187" s="28" t="str">
        <f>IFERROR(([1]!b_stm07_bs(B187,104,$A187,1,100000000)+[1]!b_stm07_bs(B187,106,$A187,1,100000000)+[1]!b_stm07_bs(B187,76,$A187,1,100000000)+[1]!b_stm07_bs(B187,108,$A187,1,100000000)+[1]!b_stm07_bs(B187,95,$A187,1,100000000))/[1]!b_stm07_bs(B187,128,$A187,1,100000000),"")</f>
        <v/>
      </c>
      <c r="S187" s="28" t="str">
        <f>IFERROR(([1]!s_stmnote_bank_614(B187,$A187,1,2,100000000)+[1]!b_stm07_bs(B187,104,$A187,1,100000000)+[1]!b_stm07_bs(B187,106,$A187,1,100000000)+[1]!b_stm07_bs(B187,76,$A187,1,100000000)+[1]!b_stm07_bs(B187,108,$A187,1,100000000)+[1]!b_stm07_bs(B187,95,$A187,1,100000000))/[1]!b_stm07_bs(B187,128,$A187,1,100000000),"")</f>
        <v/>
      </c>
      <c r="T187" s="11">
        <f>[1]!b_issuer_shareholder(B187,"",1)</f>
        <v>0</v>
      </c>
      <c r="U187" s="10">
        <f>[1]!b_issuer_propofshareholder(B187,"",1)</f>
        <v>0</v>
      </c>
      <c r="V187" s="33" t="str">
        <f t="shared" si="5"/>
        <v>0</v>
      </c>
      <c r="W187" s="33">
        <f>[1]!s_info_city(B187)</f>
        <v>0</v>
      </c>
      <c r="X187" s="10">
        <f>IF([1]!s_stmnote_bank_17n(B187,$A187,1)="0","",[1]!s_stmnote_bank_17n(B187,$A187,1))</f>
        <v>0</v>
      </c>
      <c r="Y187" s="10">
        <f>IF([1]!s_stmnote_bank_18n(B187,$A187,1)="0","",[1]!s_stmnote_bank_18n(B187,$A187,1))</f>
        <v>0</v>
      </c>
      <c r="Z187" s="41">
        <f>IF([1]!s_stmnote_bank_58(B187,$A187,1)="0","",[1]!s_stmnote_bank_58(B187,$A187,1))</f>
        <v>0</v>
      </c>
      <c r="AA187" s="52">
        <f>IF([1]!s_stmnote_bank_60(B187,$A187,1)="0","",[1]!s_stmnote_bank_60(B187,$A187,1))</f>
        <v>0</v>
      </c>
      <c r="AB187" s="52">
        <f>[1]!s_stmnote_bank_5444(B187,$A187,1)</f>
        <v>0</v>
      </c>
      <c r="AC187" s="38">
        <f>[1]!s_stmnote_bank_129n($B187,$A187,1)</f>
        <v>0</v>
      </c>
      <c r="AD187" s="54">
        <f>[1]!s_stmnote_bank_30(B187,$A187,1)</f>
        <v>0</v>
      </c>
    </row>
    <row r="188" spans="1:30" s="46" customFormat="1" ht="24">
      <c r="A188" s="1" t="s">
        <v>1110</v>
      </c>
      <c r="B188" s="87" t="s">
        <v>1296</v>
      </c>
      <c r="C188" s="8">
        <f>IF([1]!b_info_issuer(B188)="0","",IFERROR([1]!b_info_issuer(B188),""))</f>
        <v>0</v>
      </c>
      <c r="D188" s="11">
        <f>IF([1]!b_info_latestissurercreditrating(B188)="0","",IFERROR([1]!b_info_latestissurercreditrating(B188),""))</f>
        <v>0</v>
      </c>
      <c r="E188" s="27" t="str">
        <f>IFERROR(([1]!b_stm07_bs($B188,47,$A188,1,100000000))/[1]!b_stm07_bs($B188,109,$A188,1,100000000),"")</f>
        <v/>
      </c>
      <c r="F188" s="18" t="str">
        <f>IFERROR(([1]!s_stmnote_bank_26($B188,$A188,1,100000000)-[1]!s_stmnote_bank_26($B188,#REF!,1,100000000)+#REF!)/[1]!s_stmnote_bank_1n($B188,#REF!,1,100000000),"")</f>
        <v/>
      </c>
      <c r="G188" s="21" t="str">
        <f t="shared" si="4"/>
        <v/>
      </c>
      <c r="H188" s="18" t="str">
        <f>IFERROR([1]!s_stmnote_bank($B188,"34",$A188,100000000)/[1]!s_stmnote_bank_1n(B188,$A188,1,100000000),"")</f>
        <v/>
      </c>
      <c r="I188" s="25">
        <f>[1]!b_stm07_bs(B188,74,$A188,1,100000000)</f>
        <v>0</v>
      </c>
      <c r="J188" s="25">
        <f>[1]!b_stm07_bs(B188,109,$A188,1,100000000)</f>
        <v>0</v>
      </c>
      <c r="K188" s="10">
        <f>[1]!s_stmnote_bank_5n(B188,$A188,1)</f>
        <v>0</v>
      </c>
      <c r="L188" s="25">
        <f>[1]!s_stmnote_bank_23n(B188,$A188,1)</f>
        <v>0</v>
      </c>
      <c r="M188" s="25">
        <f>[1]!s_stmnote_bank_capadequacyratio(B188,$A188,1)</f>
        <v>0</v>
      </c>
      <c r="N188" s="25">
        <f>[1]!s_stmnote_bank_capadequacyratio_ct1(B188,$A188,1)</f>
        <v>0</v>
      </c>
      <c r="O188" s="6">
        <f>IF(OR([1]!s_fa_roe(B188,20201231)="0",[1]!s_fa_roe(B188,20211231)="0",[1]!s_fa_roe(B188,20221231)="0"),"",IFERROR(([1]!s_fa_roe(B188,20221231)+[1]!s_fa_roe(B188,20201231)+[1]!s_fa_roe(B188,20211231))/3,""))</f>
        <v>0</v>
      </c>
      <c r="P188" s="28" t="str">
        <f>IFERROR(([1]!s_stmnote_bank_65(B188,$A188,1,2,4,100000000)+[1]!s_stmnote_bank_65(B188,$A188,1,2,6,100000000))/[1]!s_stmnote_bank_1n(B188,$A188,1,100000000),"")</f>
        <v/>
      </c>
      <c r="Q188" s="28" t="str">
        <f>IFERROR([1]!s_stmnote_bank_614(B188,$A188,1,2,100000000)/[1]!s_stmnote_bank_647(B188,$A188,1,2,100000000),"")</f>
        <v/>
      </c>
      <c r="R188" s="28" t="str">
        <f>IFERROR(([1]!b_stm07_bs(B188,104,$A188,1,100000000)+[1]!b_stm07_bs(B188,106,$A188,1,100000000)+[1]!b_stm07_bs(B188,76,$A188,1,100000000)+[1]!b_stm07_bs(B188,108,$A188,1,100000000)+[1]!b_stm07_bs(B188,95,$A188,1,100000000))/[1]!b_stm07_bs(B188,128,$A188,1,100000000),"")</f>
        <v/>
      </c>
      <c r="S188" s="28" t="str">
        <f>IFERROR(([1]!s_stmnote_bank_614(B188,$A188,1,2,100000000)+[1]!b_stm07_bs(B188,104,$A188,1,100000000)+[1]!b_stm07_bs(B188,106,$A188,1,100000000)+[1]!b_stm07_bs(B188,76,$A188,1,100000000)+[1]!b_stm07_bs(B188,108,$A188,1,100000000)+[1]!b_stm07_bs(B188,95,$A188,1,100000000))/[1]!b_stm07_bs(B188,128,$A188,1,100000000),"")</f>
        <v/>
      </c>
      <c r="T188" s="11">
        <f>[1]!b_issuer_shareholder(B188,"",1)</f>
        <v>0</v>
      </c>
      <c r="U188" s="10">
        <f>[1]!b_issuer_propofshareholder(B188,"",1)</f>
        <v>0</v>
      </c>
      <c r="V188" s="33" t="str">
        <f t="shared" si="5"/>
        <v>0</v>
      </c>
      <c r="W188" s="33">
        <f>[1]!s_info_city(B188)</f>
        <v>0</v>
      </c>
      <c r="X188" s="10">
        <f>IF([1]!s_stmnote_bank_17n(B188,$A188,1)="0","",[1]!s_stmnote_bank_17n(B188,$A188,1))</f>
        <v>0</v>
      </c>
      <c r="Y188" s="10">
        <f>IF([1]!s_stmnote_bank_18n(B188,$A188,1)="0","",[1]!s_stmnote_bank_18n(B188,$A188,1))</f>
        <v>0</v>
      </c>
      <c r="Z188" s="41">
        <f>IF([1]!s_stmnote_bank_58(B188,$A188,1)="0","",[1]!s_stmnote_bank_58(B188,$A188,1))</f>
        <v>0</v>
      </c>
      <c r="AA188" s="52">
        <f>IF([1]!s_stmnote_bank_60(B188,$A188,1)="0","",[1]!s_stmnote_bank_60(B188,$A188,1))</f>
        <v>0</v>
      </c>
      <c r="AB188" s="52">
        <f>[1]!s_stmnote_bank_5444(B188,$A188,1)</f>
        <v>0</v>
      </c>
      <c r="AC188" s="38">
        <f>[1]!s_stmnote_bank_129n($B188,$A188,1)</f>
        <v>0</v>
      </c>
      <c r="AD188" s="54">
        <f>[1]!s_stmnote_bank_30(B188,$A188,1)</f>
        <v>0</v>
      </c>
    </row>
    <row r="189" spans="1:30" s="46" customFormat="1" ht="24">
      <c r="A189" s="1" t="s">
        <v>1110</v>
      </c>
      <c r="B189" s="87" t="s">
        <v>1297</v>
      </c>
      <c r="C189" s="8">
        <f>IF([1]!b_info_issuer(B189)="0","",IFERROR([1]!b_info_issuer(B189),""))</f>
        <v>0</v>
      </c>
      <c r="D189" s="11">
        <f>IF([1]!b_info_latestissurercreditrating(B189)="0","",IFERROR([1]!b_info_latestissurercreditrating(B189),""))</f>
        <v>0</v>
      </c>
      <c r="E189" s="27" t="str">
        <f>IFERROR(([1]!b_stm07_bs($B189,47,$A189,1,100000000))/[1]!b_stm07_bs($B189,109,$A189,1,100000000),"")</f>
        <v/>
      </c>
      <c r="F189" s="18" t="str">
        <f>IFERROR(([1]!s_stmnote_bank_26($B189,$A189,1,100000000)-[1]!s_stmnote_bank_26($B189,#REF!,1,100000000)+#REF!)/[1]!s_stmnote_bank_1n($B189,#REF!,1,100000000),"")</f>
        <v/>
      </c>
      <c r="G189" s="21" t="str">
        <f t="shared" si="4"/>
        <v/>
      </c>
      <c r="H189" s="18" t="str">
        <f>IFERROR([1]!s_stmnote_bank($B189,"34",$A189,100000000)/[1]!s_stmnote_bank_1n(B189,$A189,1,100000000),"")</f>
        <v/>
      </c>
      <c r="I189" s="25">
        <f>[1]!b_stm07_bs(B189,74,$A189,1,100000000)</f>
        <v>0</v>
      </c>
      <c r="J189" s="25">
        <f>[1]!b_stm07_bs(B189,109,$A189,1,100000000)</f>
        <v>0</v>
      </c>
      <c r="K189" s="10">
        <f>[1]!s_stmnote_bank_5n(B189,$A189,1)</f>
        <v>0</v>
      </c>
      <c r="L189" s="25">
        <f>[1]!s_stmnote_bank_23n(B189,$A189,1)</f>
        <v>0</v>
      </c>
      <c r="M189" s="25">
        <f>[1]!s_stmnote_bank_capadequacyratio(B189,$A189,1)</f>
        <v>0</v>
      </c>
      <c r="N189" s="25">
        <f>[1]!s_stmnote_bank_capadequacyratio_ct1(B189,$A189,1)</f>
        <v>0</v>
      </c>
      <c r="O189" s="6">
        <f>IF(OR([1]!s_fa_roe(B189,20201231)="0",[1]!s_fa_roe(B189,20211231)="0",[1]!s_fa_roe(B189,20221231)="0"),"",IFERROR(([1]!s_fa_roe(B189,20221231)+[1]!s_fa_roe(B189,20201231)+[1]!s_fa_roe(B189,20211231))/3,""))</f>
        <v>0</v>
      </c>
      <c r="P189" s="28" t="str">
        <f>IFERROR(([1]!s_stmnote_bank_65(B189,$A189,1,2,4,100000000)+[1]!s_stmnote_bank_65(B189,$A189,1,2,6,100000000))/[1]!s_stmnote_bank_1n(B189,$A189,1,100000000),"")</f>
        <v/>
      </c>
      <c r="Q189" s="28" t="str">
        <f>IFERROR([1]!s_stmnote_bank_614(B189,$A189,1,2,100000000)/[1]!s_stmnote_bank_647(B189,$A189,1,2,100000000),"")</f>
        <v/>
      </c>
      <c r="R189" s="28" t="str">
        <f>IFERROR(([1]!b_stm07_bs(B189,104,$A189,1,100000000)+[1]!b_stm07_bs(B189,106,$A189,1,100000000)+[1]!b_stm07_bs(B189,76,$A189,1,100000000)+[1]!b_stm07_bs(B189,108,$A189,1,100000000)+[1]!b_stm07_bs(B189,95,$A189,1,100000000))/[1]!b_stm07_bs(B189,128,$A189,1,100000000),"")</f>
        <v/>
      </c>
      <c r="S189" s="28" t="str">
        <f>IFERROR(([1]!s_stmnote_bank_614(B189,$A189,1,2,100000000)+[1]!b_stm07_bs(B189,104,$A189,1,100000000)+[1]!b_stm07_bs(B189,106,$A189,1,100000000)+[1]!b_stm07_bs(B189,76,$A189,1,100000000)+[1]!b_stm07_bs(B189,108,$A189,1,100000000)+[1]!b_stm07_bs(B189,95,$A189,1,100000000))/[1]!b_stm07_bs(B189,128,$A189,1,100000000),"")</f>
        <v/>
      </c>
      <c r="T189" s="11">
        <f>[1]!b_issuer_shareholder(B189,"",1)</f>
        <v>0</v>
      </c>
      <c r="U189" s="10">
        <f>[1]!b_issuer_propofshareholder(B189,"",1)</f>
        <v>0</v>
      </c>
      <c r="V189" s="33" t="str">
        <f t="shared" si="5"/>
        <v>0</v>
      </c>
      <c r="W189" s="33">
        <f>[1]!s_info_city(B189)</f>
        <v>0</v>
      </c>
      <c r="X189" s="10">
        <f>IF([1]!s_stmnote_bank_17n(B189,$A189,1)="0","",[1]!s_stmnote_bank_17n(B189,$A189,1))</f>
        <v>0</v>
      </c>
      <c r="Y189" s="10">
        <f>IF([1]!s_stmnote_bank_18n(B189,$A189,1)="0","",[1]!s_stmnote_bank_18n(B189,$A189,1))</f>
        <v>0</v>
      </c>
      <c r="Z189" s="41">
        <f>IF([1]!s_stmnote_bank_58(B189,$A189,1)="0","",[1]!s_stmnote_bank_58(B189,$A189,1))</f>
        <v>0</v>
      </c>
      <c r="AA189" s="52">
        <f>IF([1]!s_stmnote_bank_60(B189,$A189,1)="0","",[1]!s_stmnote_bank_60(B189,$A189,1))</f>
        <v>0</v>
      </c>
      <c r="AB189" s="52">
        <f>[1]!s_stmnote_bank_5444(B189,$A189,1)</f>
        <v>0</v>
      </c>
      <c r="AC189" s="38">
        <f>[1]!s_stmnote_bank_129n($B189,$A189,1)</f>
        <v>0</v>
      </c>
      <c r="AD189" s="54">
        <f>[1]!s_stmnote_bank_30(B189,$A189,1)</f>
        <v>0</v>
      </c>
    </row>
    <row r="190" spans="1:30" s="46" customFormat="1" ht="24">
      <c r="A190" s="1" t="s">
        <v>1110</v>
      </c>
      <c r="B190" s="87" t="s">
        <v>1298</v>
      </c>
      <c r="C190" s="8">
        <f>IF([1]!b_info_issuer(B190)="0","",IFERROR([1]!b_info_issuer(B190),""))</f>
        <v>0</v>
      </c>
      <c r="D190" s="11">
        <f>IF([1]!b_info_latestissurercreditrating(B190)="0","",IFERROR([1]!b_info_latestissurercreditrating(B190),""))</f>
        <v>0</v>
      </c>
      <c r="E190" s="27" t="str">
        <f>IFERROR(([1]!b_stm07_bs($B190,47,$A190,1,100000000))/[1]!b_stm07_bs($B190,109,$A190,1,100000000),"")</f>
        <v/>
      </c>
      <c r="F190" s="18" t="str">
        <f>IFERROR(([1]!s_stmnote_bank_26($B190,$A190,1,100000000)-[1]!s_stmnote_bank_26($B190,#REF!,1,100000000)+#REF!)/[1]!s_stmnote_bank_1n($B190,#REF!,1,100000000),"")</f>
        <v/>
      </c>
      <c r="G190" s="21" t="str">
        <f t="shared" si="4"/>
        <v/>
      </c>
      <c r="H190" s="18" t="str">
        <f>IFERROR([1]!s_stmnote_bank($B190,"34",$A190,100000000)/[1]!s_stmnote_bank_1n(B190,$A190,1,100000000),"")</f>
        <v/>
      </c>
      <c r="I190" s="25">
        <f>[1]!b_stm07_bs(B190,74,$A190,1,100000000)</f>
        <v>0</v>
      </c>
      <c r="J190" s="25">
        <f>[1]!b_stm07_bs(B190,109,$A190,1,100000000)</f>
        <v>0</v>
      </c>
      <c r="K190" s="10">
        <f>[1]!s_stmnote_bank_5n(B190,$A190,1)</f>
        <v>0</v>
      </c>
      <c r="L190" s="25">
        <f>[1]!s_stmnote_bank_23n(B190,$A190,1)</f>
        <v>0</v>
      </c>
      <c r="M190" s="25">
        <f>[1]!s_stmnote_bank_capadequacyratio(B190,$A190,1)</f>
        <v>0</v>
      </c>
      <c r="N190" s="25">
        <f>[1]!s_stmnote_bank_capadequacyratio_ct1(B190,$A190,1)</f>
        <v>0</v>
      </c>
      <c r="O190" s="6">
        <f>IF(OR([1]!s_fa_roe(B190,20201231)="0",[1]!s_fa_roe(B190,20211231)="0",[1]!s_fa_roe(B190,20221231)="0"),"",IFERROR(([1]!s_fa_roe(B190,20221231)+[1]!s_fa_roe(B190,20201231)+[1]!s_fa_roe(B190,20211231))/3,""))</f>
        <v>0</v>
      </c>
      <c r="P190" s="28" t="str">
        <f>IFERROR(([1]!s_stmnote_bank_65(B190,$A190,1,2,4,100000000)+[1]!s_stmnote_bank_65(B190,$A190,1,2,6,100000000))/[1]!s_stmnote_bank_1n(B190,$A190,1,100000000),"")</f>
        <v/>
      </c>
      <c r="Q190" s="28" t="str">
        <f>IFERROR([1]!s_stmnote_bank_614(B190,$A190,1,2,100000000)/[1]!s_stmnote_bank_647(B190,$A190,1,2,100000000),"")</f>
        <v/>
      </c>
      <c r="R190" s="28" t="str">
        <f>IFERROR(([1]!b_stm07_bs(B190,104,$A190,1,100000000)+[1]!b_stm07_bs(B190,106,$A190,1,100000000)+[1]!b_stm07_bs(B190,76,$A190,1,100000000)+[1]!b_stm07_bs(B190,108,$A190,1,100000000)+[1]!b_stm07_bs(B190,95,$A190,1,100000000))/[1]!b_stm07_bs(B190,128,$A190,1,100000000),"")</f>
        <v/>
      </c>
      <c r="S190" s="28" t="str">
        <f>IFERROR(([1]!s_stmnote_bank_614(B190,$A190,1,2,100000000)+[1]!b_stm07_bs(B190,104,$A190,1,100000000)+[1]!b_stm07_bs(B190,106,$A190,1,100000000)+[1]!b_stm07_bs(B190,76,$A190,1,100000000)+[1]!b_stm07_bs(B190,108,$A190,1,100000000)+[1]!b_stm07_bs(B190,95,$A190,1,100000000))/[1]!b_stm07_bs(B190,128,$A190,1,100000000),"")</f>
        <v/>
      </c>
      <c r="T190" s="11">
        <f>[1]!b_issuer_shareholder(B190,"",1)</f>
        <v>0</v>
      </c>
      <c r="U190" s="10">
        <f>[1]!b_issuer_propofshareholder(B190,"",1)</f>
        <v>0</v>
      </c>
      <c r="V190" s="33" t="str">
        <f t="shared" si="5"/>
        <v>0</v>
      </c>
      <c r="W190" s="33">
        <f>[1]!s_info_city(B190)</f>
        <v>0</v>
      </c>
      <c r="X190" s="10">
        <f>IF([1]!s_stmnote_bank_17n(B190,$A190,1)="0","",[1]!s_stmnote_bank_17n(B190,$A190,1))</f>
        <v>0</v>
      </c>
      <c r="Y190" s="10">
        <f>IF([1]!s_stmnote_bank_18n(B190,$A190,1)="0","",[1]!s_stmnote_bank_18n(B190,$A190,1))</f>
        <v>0</v>
      </c>
      <c r="Z190" s="41">
        <f>IF([1]!s_stmnote_bank_58(B190,$A190,1)="0","",[1]!s_stmnote_bank_58(B190,$A190,1))</f>
        <v>0</v>
      </c>
      <c r="AA190" s="52">
        <f>IF([1]!s_stmnote_bank_60(B190,$A190,1)="0","",[1]!s_stmnote_bank_60(B190,$A190,1))</f>
        <v>0</v>
      </c>
      <c r="AB190" s="52">
        <f>[1]!s_stmnote_bank_5444(B190,$A190,1)</f>
        <v>0</v>
      </c>
      <c r="AC190" s="38">
        <f>[1]!s_stmnote_bank_129n($B190,$A190,1)</f>
        <v>0</v>
      </c>
      <c r="AD190" s="54">
        <f>[1]!s_stmnote_bank_30(B190,$A190,1)</f>
        <v>0</v>
      </c>
    </row>
    <row r="191" spans="1:30" ht="24">
      <c r="A191" s="1" t="s">
        <v>1110</v>
      </c>
      <c r="B191" s="87" t="s">
        <v>1299</v>
      </c>
      <c r="C191" s="8">
        <f>IF([1]!b_info_issuer(B191)="0","",IFERROR([1]!b_info_issuer(B191),""))</f>
        <v>0</v>
      </c>
      <c r="D191" s="11">
        <f>IF([1]!b_info_latestissurercreditrating(B191)="0","",IFERROR([1]!b_info_latestissurercreditrating(B191),""))</f>
        <v>0</v>
      </c>
      <c r="E191" s="27" t="str">
        <f>IFERROR(([1]!b_stm07_bs($B191,47,$A191,1,100000000))/[1]!b_stm07_bs($B191,109,$A191,1,100000000),"")</f>
        <v/>
      </c>
      <c r="F191" s="18" t="str">
        <f>IFERROR(([1]!s_stmnote_bank_26($B191,$A191,1,100000000)-[1]!s_stmnote_bank_26($B191,#REF!,1,100000000)+#REF!)/[1]!s_stmnote_bank_1n($B191,#REF!,1,100000000),"")</f>
        <v/>
      </c>
      <c r="G191" s="21" t="str">
        <f t="shared" si="4"/>
        <v/>
      </c>
      <c r="H191" s="18" t="str">
        <f>IFERROR([1]!s_stmnote_bank($B191,"34",$A191,100000000)/[1]!s_stmnote_bank_1n(B191,$A191,1,100000000),"")</f>
        <v/>
      </c>
      <c r="I191" s="25">
        <f>[1]!b_stm07_bs(B191,74,$A191,1,100000000)</f>
        <v>0</v>
      </c>
      <c r="J191" s="25">
        <f>[1]!b_stm07_bs(B191,109,$A191,1,100000000)</f>
        <v>0</v>
      </c>
      <c r="K191" s="10">
        <f>[1]!s_stmnote_bank_5n(B191,$A191,1)</f>
        <v>0</v>
      </c>
      <c r="L191" s="25">
        <f>[1]!s_stmnote_bank_23n(B191,$A191,1)</f>
        <v>0</v>
      </c>
      <c r="M191" s="25">
        <f>[1]!s_stmnote_bank_capadequacyratio(B191,$A191,1)</f>
        <v>0</v>
      </c>
      <c r="N191" s="25">
        <f>[1]!s_stmnote_bank_capadequacyratio_ct1(B191,$A191,1)</f>
        <v>0</v>
      </c>
      <c r="O191" s="6">
        <f>IF(OR([1]!s_fa_roe(B191,20201231)="0",[1]!s_fa_roe(B191,20211231)="0",[1]!s_fa_roe(B191,20221231)="0"),"",IFERROR(([1]!s_fa_roe(B191,20221231)+[1]!s_fa_roe(B191,20201231)+[1]!s_fa_roe(B191,20211231))/3,""))</f>
        <v>0</v>
      </c>
      <c r="P191" s="28" t="str">
        <f>IFERROR(([1]!s_stmnote_bank_65(B191,$A191,1,2,4,100000000)+[1]!s_stmnote_bank_65(B191,$A191,1,2,6,100000000))/[1]!s_stmnote_bank_1n(B191,$A191,1,100000000),"")</f>
        <v/>
      </c>
      <c r="Q191" s="28" t="str">
        <f>IFERROR([1]!s_stmnote_bank_614(B191,$A191,1,2,100000000)/[1]!s_stmnote_bank_647(B191,$A191,1,2,100000000),"")</f>
        <v/>
      </c>
      <c r="R191" s="28" t="str">
        <f>IFERROR(([1]!b_stm07_bs(B191,104,$A191,1,100000000)+[1]!b_stm07_bs(B191,106,$A191,1,100000000)+[1]!b_stm07_bs(B191,76,$A191,1,100000000)+[1]!b_stm07_bs(B191,108,$A191,1,100000000)+[1]!b_stm07_bs(B191,95,$A191,1,100000000))/[1]!b_stm07_bs(B191,128,$A191,1,100000000),"")</f>
        <v/>
      </c>
      <c r="S191" s="28" t="str">
        <f>IFERROR(([1]!s_stmnote_bank_614(B191,$A191,1,2,100000000)+[1]!b_stm07_bs(B191,104,$A191,1,100000000)+[1]!b_stm07_bs(B191,106,$A191,1,100000000)+[1]!b_stm07_bs(B191,76,$A191,1,100000000)+[1]!b_stm07_bs(B191,108,$A191,1,100000000)+[1]!b_stm07_bs(B191,95,$A191,1,100000000))/[1]!b_stm07_bs(B191,128,$A191,1,100000000),"")</f>
        <v/>
      </c>
      <c r="T191" s="11">
        <f>[1]!b_issuer_shareholder(B191,"",1)</f>
        <v>0</v>
      </c>
      <c r="U191" s="10">
        <f>[1]!b_issuer_propofshareholder(B191,"",1)</f>
        <v>0</v>
      </c>
      <c r="V191" s="33" t="str">
        <f t="shared" si="5"/>
        <v>0</v>
      </c>
      <c r="W191" s="33">
        <f>[1]!s_info_city(B191)</f>
        <v>0</v>
      </c>
      <c r="X191" s="10">
        <f>IF([1]!s_stmnote_bank_17n(B191,$A191,1)="0","",[1]!s_stmnote_bank_17n(B191,$A191,1))</f>
        <v>0</v>
      </c>
      <c r="Y191" s="10">
        <f>IF([1]!s_stmnote_bank_18n(B191,$A191,1)="0","",[1]!s_stmnote_bank_18n(B191,$A191,1))</f>
        <v>0</v>
      </c>
      <c r="Z191" s="41">
        <f>IF([1]!s_stmnote_bank_58(B191,$A191,1)="0","",[1]!s_stmnote_bank_58(B191,$A191,1))</f>
        <v>0</v>
      </c>
      <c r="AA191" s="52">
        <f>IF([1]!s_stmnote_bank_60(B191,$A191,1)="0","",[1]!s_stmnote_bank_60(B191,$A191,1))</f>
        <v>0</v>
      </c>
      <c r="AB191" s="52">
        <f>[1]!s_stmnote_bank_5444(B191,$A191,1)</f>
        <v>0</v>
      </c>
      <c r="AC191" s="38">
        <f>[1]!s_stmnote_bank_129n($B191,$A191,1)</f>
        <v>0</v>
      </c>
      <c r="AD191" s="54">
        <f>[1]!s_stmnote_bank_30(B191,$A191,1)</f>
        <v>0</v>
      </c>
    </row>
    <row r="192" spans="1:30" ht="24">
      <c r="A192" s="1" t="s">
        <v>1110</v>
      </c>
      <c r="B192" s="87" t="s">
        <v>1300</v>
      </c>
      <c r="C192" s="8">
        <f>IF([1]!b_info_issuer(B192)="0","",IFERROR([1]!b_info_issuer(B192),""))</f>
        <v>0</v>
      </c>
      <c r="D192" s="11">
        <f>IF([1]!b_info_latestissurercreditrating(B192)="0","",IFERROR([1]!b_info_latestissurercreditrating(B192),""))</f>
        <v>0</v>
      </c>
      <c r="E192" s="27" t="str">
        <f>IFERROR(([1]!b_stm07_bs($B192,47,$A192,1,100000000))/[1]!b_stm07_bs($B192,109,$A192,1,100000000),"")</f>
        <v/>
      </c>
      <c r="F192" s="18" t="str">
        <f>IFERROR(([1]!s_stmnote_bank_26($B192,$A192,1,100000000)-[1]!s_stmnote_bank_26($B192,#REF!,1,100000000)+#REF!)/[1]!s_stmnote_bank_1n($B192,#REF!,1,100000000),"")</f>
        <v/>
      </c>
      <c r="G192" s="21" t="str">
        <f t="shared" si="4"/>
        <v/>
      </c>
      <c r="H192" s="18" t="str">
        <f>IFERROR([1]!s_stmnote_bank($B192,"34",$A192,100000000)/[1]!s_stmnote_bank_1n(B192,$A192,1,100000000),"")</f>
        <v/>
      </c>
      <c r="I192" s="25">
        <f>[1]!b_stm07_bs(B192,74,$A192,1,100000000)</f>
        <v>0</v>
      </c>
      <c r="J192" s="25">
        <f>[1]!b_stm07_bs(B192,109,$A192,1,100000000)</f>
        <v>0</v>
      </c>
      <c r="K192" s="10">
        <f>[1]!s_stmnote_bank_5n(B192,$A192,1)</f>
        <v>0</v>
      </c>
      <c r="L192" s="25">
        <f>[1]!s_stmnote_bank_23n(B192,$A192,1)</f>
        <v>0</v>
      </c>
      <c r="M192" s="25">
        <f>[1]!s_stmnote_bank_capadequacyratio(B192,$A192,1)</f>
        <v>0</v>
      </c>
      <c r="N192" s="25">
        <f>[1]!s_stmnote_bank_capadequacyratio_ct1(B192,$A192,1)</f>
        <v>0</v>
      </c>
      <c r="O192" s="6">
        <f>IF(OR([1]!s_fa_roe(B192,20201231)="0",[1]!s_fa_roe(B192,20211231)="0",[1]!s_fa_roe(B192,20221231)="0"),"",IFERROR(([1]!s_fa_roe(B192,20221231)+[1]!s_fa_roe(B192,20201231)+[1]!s_fa_roe(B192,20211231))/3,""))</f>
        <v>0</v>
      </c>
      <c r="P192" s="28" t="str">
        <f>IFERROR(([1]!s_stmnote_bank_65(B192,$A192,1,2,4,100000000)+[1]!s_stmnote_bank_65(B192,$A192,1,2,6,100000000))/[1]!s_stmnote_bank_1n(B192,$A192,1,100000000),"")</f>
        <v/>
      </c>
      <c r="Q192" s="28" t="str">
        <f>IFERROR([1]!s_stmnote_bank_614(B192,$A192,1,2,100000000)/[1]!s_stmnote_bank_647(B192,$A192,1,2,100000000),"")</f>
        <v/>
      </c>
      <c r="R192" s="28" t="str">
        <f>IFERROR(([1]!b_stm07_bs(B192,104,$A192,1,100000000)+[1]!b_stm07_bs(B192,106,$A192,1,100000000)+[1]!b_stm07_bs(B192,76,$A192,1,100000000)+[1]!b_stm07_bs(B192,108,$A192,1,100000000)+[1]!b_stm07_bs(B192,95,$A192,1,100000000))/[1]!b_stm07_bs(B192,128,$A192,1,100000000),"")</f>
        <v/>
      </c>
      <c r="S192" s="28" t="str">
        <f>IFERROR(([1]!s_stmnote_bank_614(B192,$A192,1,2,100000000)+[1]!b_stm07_bs(B192,104,$A192,1,100000000)+[1]!b_stm07_bs(B192,106,$A192,1,100000000)+[1]!b_stm07_bs(B192,76,$A192,1,100000000)+[1]!b_stm07_bs(B192,108,$A192,1,100000000)+[1]!b_stm07_bs(B192,95,$A192,1,100000000))/[1]!b_stm07_bs(B192,128,$A192,1,100000000),"")</f>
        <v/>
      </c>
      <c r="T192" s="11">
        <f>[1]!b_issuer_shareholder(B192,"",1)</f>
        <v>0</v>
      </c>
      <c r="U192" s="10">
        <f>[1]!b_issuer_propofshareholder(B192,"",1)</f>
        <v>0</v>
      </c>
      <c r="V192" s="33" t="str">
        <f t="shared" si="5"/>
        <v>0</v>
      </c>
      <c r="W192" s="33">
        <f>[1]!s_info_city(B192)</f>
        <v>0</v>
      </c>
      <c r="X192" s="10">
        <f>IF([1]!s_stmnote_bank_17n(B192,$A192,1)="0","",[1]!s_stmnote_bank_17n(B192,$A192,1))</f>
        <v>0</v>
      </c>
      <c r="Y192" s="10">
        <f>IF([1]!s_stmnote_bank_18n(B192,$A192,1)="0","",[1]!s_stmnote_bank_18n(B192,$A192,1))</f>
        <v>0</v>
      </c>
      <c r="Z192" s="41">
        <f>IF([1]!s_stmnote_bank_58(B192,$A192,1)="0","",[1]!s_stmnote_bank_58(B192,$A192,1))</f>
        <v>0</v>
      </c>
      <c r="AA192" s="52">
        <f>IF([1]!s_stmnote_bank_60(B192,$A192,1)="0","",[1]!s_stmnote_bank_60(B192,$A192,1))</f>
        <v>0</v>
      </c>
      <c r="AB192" s="52">
        <f>[1]!s_stmnote_bank_5444(B192,$A192,1)</f>
        <v>0</v>
      </c>
      <c r="AC192" s="38">
        <f>[1]!s_stmnote_bank_129n($B192,$A192,1)</f>
        <v>0</v>
      </c>
      <c r="AD192" s="54">
        <f>[1]!s_stmnote_bank_30(B192,$A192,1)</f>
        <v>0</v>
      </c>
    </row>
    <row r="193" spans="1:30" ht="24">
      <c r="A193" s="1" t="s">
        <v>1110</v>
      </c>
      <c r="B193" s="87" t="s">
        <v>1301</v>
      </c>
      <c r="C193" s="8">
        <f>IF([1]!b_info_issuer(B193)="0","",IFERROR([1]!b_info_issuer(B193),""))</f>
        <v>0</v>
      </c>
      <c r="D193" s="11">
        <f>IF([1]!b_info_latestissurercreditrating(B193)="0","",IFERROR([1]!b_info_latestissurercreditrating(B193),""))</f>
        <v>0</v>
      </c>
      <c r="E193" s="27" t="str">
        <f>IFERROR(([1]!b_stm07_bs($B193,47,$A193,1,100000000))/[1]!b_stm07_bs($B193,109,$A193,1,100000000),"")</f>
        <v/>
      </c>
      <c r="F193" s="18" t="str">
        <f>IFERROR(([1]!s_stmnote_bank_26($B193,$A193,1,100000000)-[1]!s_stmnote_bank_26($B193,#REF!,1,100000000)+#REF!)/[1]!s_stmnote_bank_1n($B193,#REF!,1,100000000),"")</f>
        <v/>
      </c>
      <c r="G193" s="21" t="str">
        <f t="shared" si="4"/>
        <v/>
      </c>
      <c r="H193" s="18" t="str">
        <f>IFERROR([1]!s_stmnote_bank($B193,"34",$A193,100000000)/[1]!s_stmnote_bank_1n(B193,$A193,1,100000000),"")</f>
        <v/>
      </c>
      <c r="I193" s="25">
        <f>[1]!b_stm07_bs(B193,74,$A193,1,100000000)</f>
        <v>0</v>
      </c>
      <c r="J193" s="25">
        <f>[1]!b_stm07_bs(B193,109,$A193,1,100000000)</f>
        <v>0</v>
      </c>
      <c r="K193" s="10">
        <f>[1]!s_stmnote_bank_5n(B193,$A193,1)</f>
        <v>0</v>
      </c>
      <c r="L193" s="25">
        <f>[1]!s_stmnote_bank_23n(B193,$A193,1)</f>
        <v>0</v>
      </c>
      <c r="M193" s="25">
        <f>[1]!s_stmnote_bank_capadequacyratio(B193,$A193,1)</f>
        <v>0</v>
      </c>
      <c r="N193" s="25">
        <f>[1]!s_stmnote_bank_capadequacyratio_ct1(B193,$A193,1)</f>
        <v>0</v>
      </c>
      <c r="O193" s="6">
        <f>IF(OR([1]!s_fa_roe(B193,20201231)="0",[1]!s_fa_roe(B193,20211231)="0",[1]!s_fa_roe(B193,20221231)="0"),"",IFERROR(([1]!s_fa_roe(B193,20221231)+[1]!s_fa_roe(B193,20201231)+[1]!s_fa_roe(B193,20211231))/3,""))</f>
        <v>0</v>
      </c>
      <c r="P193" s="28" t="str">
        <f>IFERROR(([1]!s_stmnote_bank_65(B193,$A193,1,2,4,100000000)+[1]!s_stmnote_bank_65(B193,$A193,1,2,6,100000000))/[1]!s_stmnote_bank_1n(B193,$A193,1,100000000),"")</f>
        <v/>
      </c>
      <c r="Q193" s="28" t="str">
        <f>IFERROR([1]!s_stmnote_bank_614(B193,$A193,1,2,100000000)/[1]!s_stmnote_bank_647(B193,$A193,1,2,100000000),"")</f>
        <v/>
      </c>
      <c r="R193" s="28" t="str">
        <f>IFERROR(([1]!b_stm07_bs(B193,104,$A193,1,100000000)+[1]!b_stm07_bs(B193,106,$A193,1,100000000)+[1]!b_stm07_bs(B193,76,$A193,1,100000000)+[1]!b_stm07_bs(B193,108,$A193,1,100000000)+[1]!b_stm07_bs(B193,95,$A193,1,100000000))/[1]!b_stm07_bs(B193,128,$A193,1,100000000),"")</f>
        <v/>
      </c>
      <c r="S193" s="28" t="str">
        <f>IFERROR(([1]!s_stmnote_bank_614(B193,$A193,1,2,100000000)+[1]!b_stm07_bs(B193,104,$A193,1,100000000)+[1]!b_stm07_bs(B193,106,$A193,1,100000000)+[1]!b_stm07_bs(B193,76,$A193,1,100000000)+[1]!b_stm07_bs(B193,108,$A193,1,100000000)+[1]!b_stm07_bs(B193,95,$A193,1,100000000))/[1]!b_stm07_bs(B193,128,$A193,1,100000000),"")</f>
        <v/>
      </c>
      <c r="T193" s="11">
        <f>[1]!b_issuer_shareholder(B193,"",1)</f>
        <v>0</v>
      </c>
      <c r="U193" s="10">
        <f>[1]!b_issuer_propofshareholder(B193,"",1)</f>
        <v>0</v>
      </c>
      <c r="V193" s="33" t="str">
        <f t="shared" si="5"/>
        <v>0</v>
      </c>
      <c r="W193" s="33">
        <f>[1]!s_info_city(B193)</f>
        <v>0</v>
      </c>
      <c r="X193" s="10">
        <f>IF([1]!s_stmnote_bank_17n(B193,$A193,1)="0","",[1]!s_stmnote_bank_17n(B193,$A193,1))</f>
        <v>0</v>
      </c>
      <c r="Y193" s="10">
        <f>IF([1]!s_stmnote_bank_18n(B193,$A193,1)="0","",[1]!s_stmnote_bank_18n(B193,$A193,1))</f>
        <v>0</v>
      </c>
      <c r="Z193" s="41">
        <f>IF([1]!s_stmnote_bank_58(B193,$A193,1)="0","",[1]!s_stmnote_bank_58(B193,$A193,1))</f>
        <v>0</v>
      </c>
      <c r="AA193" s="52">
        <f>IF([1]!s_stmnote_bank_60(B193,$A193,1)="0","",[1]!s_stmnote_bank_60(B193,$A193,1))</f>
        <v>0</v>
      </c>
      <c r="AB193" s="52">
        <f>[1]!s_stmnote_bank_5444(B193,$A193,1)</f>
        <v>0</v>
      </c>
      <c r="AC193" s="38">
        <f>[1]!s_stmnote_bank_129n($B193,$A193,1)</f>
        <v>0</v>
      </c>
      <c r="AD193" s="54">
        <f>[1]!s_stmnote_bank_30(B193,$A193,1)</f>
        <v>0</v>
      </c>
    </row>
    <row r="194" spans="1:30" ht="24">
      <c r="A194" s="1" t="s">
        <v>1110</v>
      </c>
      <c r="B194" s="87" t="s">
        <v>1302</v>
      </c>
      <c r="C194" s="8">
        <f>IF([1]!b_info_issuer(B194)="0","",IFERROR([1]!b_info_issuer(B194),""))</f>
        <v>0</v>
      </c>
      <c r="D194" s="11">
        <f>IF([1]!b_info_latestissurercreditrating(B194)="0","",IFERROR([1]!b_info_latestissurercreditrating(B194),""))</f>
        <v>0</v>
      </c>
      <c r="E194" s="27" t="str">
        <f>IFERROR(([1]!b_stm07_bs($B194,47,$A194,1,100000000))/[1]!b_stm07_bs($B194,109,$A194,1,100000000),"")</f>
        <v/>
      </c>
      <c r="F194" s="18" t="str">
        <f>IFERROR(([1]!s_stmnote_bank_26($B194,$A194,1,100000000)-[1]!s_stmnote_bank_26($B194,#REF!,1,100000000)+#REF!)/[1]!s_stmnote_bank_1n($B194,#REF!,1,100000000),"")</f>
        <v/>
      </c>
      <c r="G194" s="21" t="str">
        <f t="shared" si="4"/>
        <v/>
      </c>
      <c r="H194" s="18" t="str">
        <f>IFERROR([1]!s_stmnote_bank($B194,"34",$A194,100000000)/[1]!s_stmnote_bank_1n(B194,$A194,1,100000000),"")</f>
        <v/>
      </c>
      <c r="I194" s="25">
        <f>[1]!b_stm07_bs(B194,74,$A194,1,100000000)</f>
        <v>0</v>
      </c>
      <c r="J194" s="25">
        <f>[1]!b_stm07_bs(B194,109,$A194,1,100000000)</f>
        <v>0</v>
      </c>
      <c r="K194" s="10">
        <f>[1]!s_stmnote_bank_5n(B194,$A194,1)</f>
        <v>0</v>
      </c>
      <c r="L194" s="25">
        <f>[1]!s_stmnote_bank_23n(B194,$A194,1)</f>
        <v>0</v>
      </c>
      <c r="M194" s="25">
        <f>[1]!s_stmnote_bank_capadequacyratio(B194,$A194,1)</f>
        <v>0</v>
      </c>
      <c r="N194" s="25">
        <f>[1]!s_stmnote_bank_capadequacyratio_ct1(B194,$A194,1)</f>
        <v>0</v>
      </c>
      <c r="O194" s="6">
        <f>IF(OR([1]!s_fa_roe(B194,20201231)="0",[1]!s_fa_roe(B194,20211231)="0",[1]!s_fa_roe(B194,20221231)="0"),"",IFERROR(([1]!s_fa_roe(B194,20221231)+[1]!s_fa_roe(B194,20201231)+[1]!s_fa_roe(B194,20211231))/3,""))</f>
        <v>0</v>
      </c>
      <c r="P194" s="28" t="str">
        <f>IFERROR(([1]!s_stmnote_bank_65(B194,$A194,1,2,4,100000000)+[1]!s_stmnote_bank_65(B194,$A194,1,2,6,100000000))/[1]!s_stmnote_bank_1n(B194,$A194,1,100000000),"")</f>
        <v/>
      </c>
      <c r="Q194" s="28" t="str">
        <f>IFERROR([1]!s_stmnote_bank_614(B194,$A194,1,2,100000000)/[1]!s_stmnote_bank_647(B194,$A194,1,2,100000000),"")</f>
        <v/>
      </c>
      <c r="R194" s="28" t="str">
        <f>IFERROR(([1]!b_stm07_bs(B194,104,$A194,1,100000000)+[1]!b_stm07_bs(B194,106,$A194,1,100000000)+[1]!b_stm07_bs(B194,76,$A194,1,100000000)+[1]!b_stm07_bs(B194,108,$A194,1,100000000)+[1]!b_stm07_bs(B194,95,$A194,1,100000000))/[1]!b_stm07_bs(B194,128,$A194,1,100000000),"")</f>
        <v/>
      </c>
      <c r="S194" s="28" t="str">
        <f>IFERROR(([1]!s_stmnote_bank_614(B194,$A194,1,2,100000000)+[1]!b_stm07_bs(B194,104,$A194,1,100000000)+[1]!b_stm07_bs(B194,106,$A194,1,100000000)+[1]!b_stm07_bs(B194,76,$A194,1,100000000)+[1]!b_stm07_bs(B194,108,$A194,1,100000000)+[1]!b_stm07_bs(B194,95,$A194,1,100000000))/[1]!b_stm07_bs(B194,128,$A194,1,100000000),"")</f>
        <v/>
      </c>
      <c r="T194" s="11">
        <f>[1]!b_issuer_shareholder(B194,"",1)</f>
        <v>0</v>
      </c>
      <c r="U194" s="10">
        <f>[1]!b_issuer_propofshareholder(B194,"",1)</f>
        <v>0</v>
      </c>
      <c r="V194" s="33" t="str">
        <f t="shared" si="5"/>
        <v>0</v>
      </c>
      <c r="W194" s="33">
        <f>[1]!s_info_city(B194)</f>
        <v>0</v>
      </c>
      <c r="X194" s="10">
        <f>IF([1]!s_stmnote_bank_17n(B194,$A194,1)="0","",[1]!s_stmnote_bank_17n(B194,$A194,1))</f>
        <v>0</v>
      </c>
      <c r="Y194" s="10">
        <f>IF([1]!s_stmnote_bank_18n(B194,$A194,1)="0","",[1]!s_stmnote_bank_18n(B194,$A194,1))</f>
        <v>0</v>
      </c>
      <c r="Z194" s="41">
        <f>IF([1]!s_stmnote_bank_58(B194,$A194,1)="0","",[1]!s_stmnote_bank_58(B194,$A194,1))</f>
        <v>0</v>
      </c>
      <c r="AA194" s="52">
        <f>IF([1]!s_stmnote_bank_60(B194,$A194,1)="0","",[1]!s_stmnote_bank_60(B194,$A194,1))</f>
        <v>0</v>
      </c>
      <c r="AB194" s="52">
        <f>[1]!s_stmnote_bank_5444(B194,$A194,1)</f>
        <v>0</v>
      </c>
      <c r="AC194" s="38">
        <f>[1]!s_stmnote_bank_129n($B194,$A194,1)</f>
        <v>0</v>
      </c>
      <c r="AD194" s="54">
        <f>[1]!s_stmnote_bank_30(B194,$A194,1)</f>
        <v>0</v>
      </c>
    </row>
    <row r="195" spans="1:30" ht="24">
      <c r="A195" s="1" t="s">
        <v>1110</v>
      </c>
      <c r="B195" s="87" t="s">
        <v>1303</v>
      </c>
      <c r="C195" s="8">
        <f>IF([1]!b_info_issuer(B195)="0","",IFERROR([1]!b_info_issuer(B195),""))</f>
        <v>0</v>
      </c>
      <c r="D195" s="11">
        <f>IF([1]!b_info_latestissurercreditrating(B195)="0","",IFERROR([1]!b_info_latestissurercreditrating(B195),""))</f>
        <v>0</v>
      </c>
      <c r="E195" s="27" t="str">
        <f>IFERROR(([1]!b_stm07_bs($B195,47,$A195,1,100000000))/[1]!b_stm07_bs($B195,109,$A195,1,100000000),"")</f>
        <v/>
      </c>
      <c r="F195" s="18" t="str">
        <f>IFERROR(([1]!s_stmnote_bank_26($B195,$A195,1,100000000)-[1]!s_stmnote_bank_26($B195,#REF!,1,100000000)+#REF!)/[1]!s_stmnote_bank_1n($B195,#REF!,1,100000000),"")</f>
        <v/>
      </c>
      <c r="G195" s="21" t="str">
        <f t="shared" ref="G195:G258" si="6">IFERROR(H195+K195/100,"")</f>
        <v/>
      </c>
      <c r="H195" s="18" t="str">
        <f>IFERROR([1]!s_stmnote_bank($B195,"34",$A195,100000000)/[1]!s_stmnote_bank_1n(B195,$A195,1,100000000),"")</f>
        <v/>
      </c>
      <c r="I195" s="25">
        <f>[1]!b_stm07_bs(B195,74,$A195,1,100000000)</f>
        <v>0</v>
      </c>
      <c r="J195" s="25">
        <f>[1]!b_stm07_bs(B195,109,$A195,1,100000000)</f>
        <v>0</v>
      </c>
      <c r="K195" s="10">
        <f>[1]!s_stmnote_bank_5n(B195,$A195,1)</f>
        <v>0</v>
      </c>
      <c r="L195" s="25">
        <f>[1]!s_stmnote_bank_23n(B195,$A195,1)</f>
        <v>0</v>
      </c>
      <c r="M195" s="25">
        <f>[1]!s_stmnote_bank_capadequacyratio(B195,$A195,1)</f>
        <v>0</v>
      </c>
      <c r="N195" s="25">
        <f>[1]!s_stmnote_bank_capadequacyratio_ct1(B195,$A195,1)</f>
        <v>0</v>
      </c>
      <c r="O195" s="6">
        <f>IF(OR([1]!s_fa_roe(B195,20201231)="0",[1]!s_fa_roe(B195,20211231)="0",[1]!s_fa_roe(B195,20221231)="0"),"",IFERROR(([1]!s_fa_roe(B195,20221231)+[1]!s_fa_roe(B195,20201231)+[1]!s_fa_roe(B195,20211231))/3,""))</f>
        <v>0</v>
      </c>
      <c r="P195" s="28" t="str">
        <f>IFERROR(([1]!s_stmnote_bank_65(B195,$A195,1,2,4,100000000)+[1]!s_stmnote_bank_65(B195,$A195,1,2,6,100000000))/[1]!s_stmnote_bank_1n(B195,$A195,1,100000000),"")</f>
        <v/>
      </c>
      <c r="Q195" s="28" t="str">
        <f>IFERROR([1]!s_stmnote_bank_614(B195,$A195,1,2,100000000)/[1]!s_stmnote_bank_647(B195,$A195,1,2,100000000),"")</f>
        <v/>
      </c>
      <c r="R195" s="28" t="str">
        <f>IFERROR(([1]!b_stm07_bs(B195,104,$A195,1,100000000)+[1]!b_stm07_bs(B195,106,$A195,1,100000000)+[1]!b_stm07_bs(B195,76,$A195,1,100000000)+[1]!b_stm07_bs(B195,108,$A195,1,100000000)+[1]!b_stm07_bs(B195,95,$A195,1,100000000))/[1]!b_stm07_bs(B195,128,$A195,1,100000000),"")</f>
        <v/>
      </c>
      <c r="S195" s="28" t="str">
        <f>IFERROR(([1]!s_stmnote_bank_614(B195,$A195,1,2,100000000)+[1]!b_stm07_bs(B195,104,$A195,1,100000000)+[1]!b_stm07_bs(B195,106,$A195,1,100000000)+[1]!b_stm07_bs(B195,76,$A195,1,100000000)+[1]!b_stm07_bs(B195,108,$A195,1,100000000)+[1]!b_stm07_bs(B195,95,$A195,1,100000000))/[1]!b_stm07_bs(B195,128,$A195,1,100000000),"")</f>
        <v/>
      </c>
      <c r="T195" s="11">
        <f>[1]!b_issuer_shareholder(B195,"",1)</f>
        <v>0</v>
      </c>
      <c r="U195" s="10">
        <f>[1]!b_issuer_propofshareholder(B195,"",1)</f>
        <v>0</v>
      </c>
      <c r="V195" s="33" t="str">
        <f t="shared" ref="V195:V258" si="7">LEFT(C195,2)</f>
        <v>0</v>
      </c>
      <c r="W195" s="33">
        <f>[1]!s_info_city(B195)</f>
        <v>0</v>
      </c>
      <c r="X195" s="10">
        <f>IF([1]!s_stmnote_bank_17n(B195,$A195,1)="0","",[1]!s_stmnote_bank_17n(B195,$A195,1))</f>
        <v>0</v>
      </c>
      <c r="Y195" s="10">
        <f>IF([1]!s_stmnote_bank_18n(B195,$A195,1)="0","",[1]!s_stmnote_bank_18n(B195,$A195,1))</f>
        <v>0</v>
      </c>
      <c r="Z195" s="41">
        <f>IF([1]!s_stmnote_bank_58(B195,$A195,1)="0","",[1]!s_stmnote_bank_58(B195,$A195,1))</f>
        <v>0</v>
      </c>
      <c r="AA195" s="52">
        <f>IF([1]!s_stmnote_bank_60(B195,$A195,1)="0","",[1]!s_stmnote_bank_60(B195,$A195,1))</f>
        <v>0</v>
      </c>
      <c r="AB195" s="52">
        <f>[1]!s_stmnote_bank_5444(B195,$A195,1)</f>
        <v>0</v>
      </c>
      <c r="AC195" s="38">
        <f>[1]!s_stmnote_bank_129n($B195,$A195,1)</f>
        <v>0</v>
      </c>
      <c r="AD195" s="54">
        <f>[1]!s_stmnote_bank_30(B195,$A195,1)</f>
        <v>0</v>
      </c>
    </row>
    <row r="196" spans="1:30" ht="24">
      <c r="A196" s="1" t="s">
        <v>1110</v>
      </c>
      <c r="B196" s="87" t="s">
        <v>1304</v>
      </c>
      <c r="C196" s="8">
        <f>IF([1]!b_info_issuer(B196)="0","",IFERROR([1]!b_info_issuer(B196),""))</f>
        <v>0</v>
      </c>
      <c r="D196" s="11">
        <f>IF([1]!b_info_latestissurercreditrating(B196)="0","",IFERROR([1]!b_info_latestissurercreditrating(B196),""))</f>
        <v>0</v>
      </c>
      <c r="E196" s="27" t="str">
        <f>IFERROR(([1]!b_stm07_bs($B196,47,$A196,1,100000000))/[1]!b_stm07_bs($B196,109,$A196,1,100000000),"")</f>
        <v/>
      </c>
      <c r="F196" s="18" t="str">
        <f>IFERROR(([1]!s_stmnote_bank_26($B196,$A196,1,100000000)-[1]!s_stmnote_bank_26($B196,#REF!,1,100000000)+#REF!)/[1]!s_stmnote_bank_1n($B196,#REF!,1,100000000),"")</f>
        <v/>
      </c>
      <c r="G196" s="21" t="str">
        <f t="shared" si="6"/>
        <v/>
      </c>
      <c r="H196" s="18" t="str">
        <f>IFERROR([1]!s_stmnote_bank($B196,"34",$A196,100000000)/[1]!s_stmnote_bank_1n(B196,$A196,1,100000000),"")</f>
        <v/>
      </c>
      <c r="I196" s="25">
        <f>[1]!b_stm07_bs(B196,74,$A196,1,100000000)</f>
        <v>0</v>
      </c>
      <c r="J196" s="25">
        <f>[1]!b_stm07_bs(B196,109,$A196,1,100000000)</f>
        <v>0</v>
      </c>
      <c r="K196" s="10">
        <f>[1]!s_stmnote_bank_5n(B196,$A196,1)</f>
        <v>0</v>
      </c>
      <c r="L196" s="25">
        <f>[1]!s_stmnote_bank_23n(B196,$A196,1)</f>
        <v>0</v>
      </c>
      <c r="M196" s="25">
        <f>[1]!s_stmnote_bank_capadequacyratio(B196,$A196,1)</f>
        <v>0</v>
      </c>
      <c r="N196" s="25">
        <f>[1]!s_stmnote_bank_capadequacyratio_ct1(B196,$A196,1)</f>
        <v>0</v>
      </c>
      <c r="O196" s="6">
        <f>IF(OR([1]!s_fa_roe(B196,20201231)="0",[1]!s_fa_roe(B196,20211231)="0",[1]!s_fa_roe(B196,20221231)="0"),"",IFERROR(([1]!s_fa_roe(B196,20221231)+[1]!s_fa_roe(B196,20201231)+[1]!s_fa_roe(B196,20211231))/3,""))</f>
        <v>0</v>
      </c>
      <c r="P196" s="28" t="str">
        <f>IFERROR(([1]!s_stmnote_bank_65(B196,$A196,1,2,4,100000000)+[1]!s_stmnote_bank_65(B196,$A196,1,2,6,100000000))/[1]!s_stmnote_bank_1n(B196,$A196,1,100000000),"")</f>
        <v/>
      </c>
      <c r="Q196" s="28" t="str">
        <f>IFERROR([1]!s_stmnote_bank_614(B196,$A196,1,2,100000000)/[1]!s_stmnote_bank_647(B196,$A196,1,2,100000000),"")</f>
        <v/>
      </c>
      <c r="R196" s="28" t="str">
        <f>IFERROR(([1]!b_stm07_bs(B196,104,$A196,1,100000000)+[1]!b_stm07_bs(B196,106,$A196,1,100000000)+[1]!b_stm07_bs(B196,76,$A196,1,100000000)+[1]!b_stm07_bs(B196,108,$A196,1,100000000)+[1]!b_stm07_bs(B196,95,$A196,1,100000000))/[1]!b_stm07_bs(B196,128,$A196,1,100000000),"")</f>
        <v/>
      </c>
      <c r="S196" s="28" t="str">
        <f>IFERROR(([1]!s_stmnote_bank_614(B196,$A196,1,2,100000000)+[1]!b_stm07_bs(B196,104,$A196,1,100000000)+[1]!b_stm07_bs(B196,106,$A196,1,100000000)+[1]!b_stm07_bs(B196,76,$A196,1,100000000)+[1]!b_stm07_bs(B196,108,$A196,1,100000000)+[1]!b_stm07_bs(B196,95,$A196,1,100000000))/[1]!b_stm07_bs(B196,128,$A196,1,100000000),"")</f>
        <v/>
      </c>
      <c r="T196" s="11">
        <f>[1]!b_issuer_shareholder(B196,"",1)</f>
        <v>0</v>
      </c>
      <c r="U196" s="10">
        <f>[1]!b_issuer_propofshareholder(B196,"",1)</f>
        <v>0</v>
      </c>
      <c r="V196" s="33" t="str">
        <f t="shared" si="7"/>
        <v>0</v>
      </c>
      <c r="W196" s="33">
        <f>[1]!s_info_city(B196)</f>
        <v>0</v>
      </c>
      <c r="X196" s="10">
        <f>IF([1]!s_stmnote_bank_17n(B196,$A196,1)="0","",[1]!s_stmnote_bank_17n(B196,$A196,1))</f>
        <v>0</v>
      </c>
      <c r="Y196" s="10">
        <f>IF([1]!s_stmnote_bank_18n(B196,$A196,1)="0","",[1]!s_stmnote_bank_18n(B196,$A196,1))</f>
        <v>0</v>
      </c>
      <c r="Z196" s="41">
        <f>IF([1]!s_stmnote_bank_58(B196,$A196,1)="0","",[1]!s_stmnote_bank_58(B196,$A196,1))</f>
        <v>0</v>
      </c>
      <c r="AA196" s="52">
        <f>IF([1]!s_stmnote_bank_60(B196,$A196,1)="0","",[1]!s_stmnote_bank_60(B196,$A196,1))</f>
        <v>0</v>
      </c>
      <c r="AB196" s="52">
        <f>[1]!s_stmnote_bank_5444(B196,$A196,1)</f>
        <v>0</v>
      </c>
      <c r="AC196" s="38">
        <f>[1]!s_stmnote_bank_129n($B196,$A196,1)</f>
        <v>0</v>
      </c>
      <c r="AD196" s="54">
        <f>[1]!s_stmnote_bank_30(B196,$A196,1)</f>
        <v>0</v>
      </c>
    </row>
    <row r="197" spans="1:30" ht="24">
      <c r="A197" s="1" t="s">
        <v>1110</v>
      </c>
      <c r="B197" s="87" t="s">
        <v>1305</v>
      </c>
      <c r="C197" s="8">
        <f>IF([1]!b_info_issuer(B197)="0","",IFERROR([1]!b_info_issuer(B197),""))</f>
        <v>0</v>
      </c>
      <c r="D197" s="11">
        <f>IF([1]!b_info_latestissurercreditrating(B197)="0","",IFERROR([1]!b_info_latestissurercreditrating(B197),""))</f>
        <v>0</v>
      </c>
      <c r="E197" s="27" t="str">
        <f>IFERROR(([1]!b_stm07_bs($B197,47,$A197,1,100000000))/[1]!b_stm07_bs($B197,109,$A197,1,100000000),"")</f>
        <v/>
      </c>
      <c r="F197" s="18" t="str">
        <f>IFERROR(([1]!s_stmnote_bank_26($B197,$A197,1,100000000)-[1]!s_stmnote_bank_26($B197,#REF!,1,100000000)+#REF!)/[1]!s_stmnote_bank_1n($B197,#REF!,1,100000000),"")</f>
        <v/>
      </c>
      <c r="G197" s="21" t="str">
        <f t="shared" si="6"/>
        <v/>
      </c>
      <c r="H197" s="18" t="str">
        <f>IFERROR([1]!s_stmnote_bank($B197,"34",$A197,100000000)/[1]!s_stmnote_bank_1n(B197,$A197,1,100000000),"")</f>
        <v/>
      </c>
      <c r="I197" s="25">
        <f>[1]!b_stm07_bs(B197,74,$A197,1,100000000)</f>
        <v>0</v>
      </c>
      <c r="J197" s="25">
        <f>[1]!b_stm07_bs(B197,109,$A197,1,100000000)</f>
        <v>0</v>
      </c>
      <c r="K197" s="10">
        <f>[1]!s_stmnote_bank_5n(B197,$A197,1)</f>
        <v>0</v>
      </c>
      <c r="L197" s="25">
        <f>[1]!s_stmnote_bank_23n(B197,$A197,1)</f>
        <v>0</v>
      </c>
      <c r="M197" s="25">
        <f>[1]!s_stmnote_bank_capadequacyratio(B197,$A197,1)</f>
        <v>0</v>
      </c>
      <c r="N197" s="25">
        <f>[1]!s_stmnote_bank_capadequacyratio_ct1(B197,$A197,1)</f>
        <v>0</v>
      </c>
      <c r="O197" s="6">
        <f>IF(OR([1]!s_fa_roe(B197,20201231)="0",[1]!s_fa_roe(B197,20211231)="0",[1]!s_fa_roe(B197,20221231)="0"),"",IFERROR(([1]!s_fa_roe(B197,20221231)+[1]!s_fa_roe(B197,20201231)+[1]!s_fa_roe(B197,20211231))/3,""))</f>
        <v>0</v>
      </c>
      <c r="P197" s="28" t="str">
        <f>IFERROR(([1]!s_stmnote_bank_65(B197,$A197,1,2,4,100000000)+[1]!s_stmnote_bank_65(B197,$A197,1,2,6,100000000))/[1]!s_stmnote_bank_1n(B197,$A197,1,100000000),"")</f>
        <v/>
      </c>
      <c r="Q197" s="28" t="str">
        <f>IFERROR([1]!s_stmnote_bank_614(B197,$A197,1,2,100000000)/[1]!s_stmnote_bank_647(B197,$A197,1,2,100000000),"")</f>
        <v/>
      </c>
      <c r="R197" s="28" t="str">
        <f>IFERROR(([1]!b_stm07_bs(B197,104,$A197,1,100000000)+[1]!b_stm07_bs(B197,106,$A197,1,100000000)+[1]!b_stm07_bs(B197,76,$A197,1,100000000)+[1]!b_stm07_bs(B197,108,$A197,1,100000000)+[1]!b_stm07_bs(B197,95,$A197,1,100000000))/[1]!b_stm07_bs(B197,128,$A197,1,100000000),"")</f>
        <v/>
      </c>
      <c r="S197" s="28" t="str">
        <f>IFERROR(([1]!s_stmnote_bank_614(B197,$A197,1,2,100000000)+[1]!b_stm07_bs(B197,104,$A197,1,100000000)+[1]!b_stm07_bs(B197,106,$A197,1,100000000)+[1]!b_stm07_bs(B197,76,$A197,1,100000000)+[1]!b_stm07_bs(B197,108,$A197,1,100000000)+[1]!b_stm07_bs(B197,95,$A197,1,100000000))/[1]!b_stm07_bs(B197,128,$A197,1,100000000),"")</f>
        <v/>
      </c>
      <c r="T197" s="11">
        <f>[1]!b_issuer_shareholder(B197,"",1)</f>
        <v>0</v>
      </c>
      <c r="U197" s="10">
        <f>[1]!b_issuer_propofshareholder(B197,"",1)</f>
        <v>0</v>
      </c>
      <c r="V197" s="33" t="str">
        <f t="shared" si="7"/>
        <v>0</v>
      </c>
      <c r="W197" s="33">
        <f>[1]!s_info_city(B197)</f>
        <v>0</v>
      </c>
      <c r="X197" s="10">
        <f>IF([1]!s_stmnote_bank_17n(B197,$A197,1)="0","",[1]!s_stmnote_bank_17n(B197,$A197,1))</f>
        <v>0</v>
      </c>
      <c r="Y197" s="10">
        <f>IF([1]!s_stmnote_bank_18n(B197,$A197,1)="0","",[1]!s_stmnote_bank_18n(B197,$A197,1))</f>
        <v>0</v>
      </c>
      <c r="Z197" s="41">
        <f>IF([1]!s_stmnote_bank_58(B197,$A197,1)="0","",[1]!s_stmnote_bank_58(B197,$A197,1))</f>
        <v>0</v>
      </c>
      <c r="AA197" s="52">
        <f>IF([1]!s_stmnote_bank_60(B197,$A197,1)="0","",[1]!s_stmnote_bank_60(B197,$A197,1))</f>
        <v>0</v>
      </c>
      <c r="AB197" s="52">
        <f>[1]!s_stmnote_bank_5444(B197,$A197,1)</f>
        <v>0</v>
      </c>
      <c r="AC197" s="38">
        <f>[1]!s_stmnote_bank_129n($B197,$A197,1)</f>
        <v>0</v>
      </c>
      <c r="AD197" s="54">
        <f>[1]!s_stmnote_bank_30(B197,$A197,1)</f>
        <v>0</v>
      </c>
    </row>
    <row r="198" spans="1:30" ht="24">
      <c r="A198" s="1" t="s">
        <v>1110</v>
      </c>
      <c r="B198" s="87" t="s">
        <v>1306</v>
      </c>
      <c r="C198" s="8">
        <f>IF([1]!b_info_issuer(B198)="0","",IFERROR([1]!b_info_issuer(B198),""))</f>
        <v>0</v>
      </c>
      <c r="D198" s="11">
        <f>IF([1]!b_info_latestissurercreditrating(B198)="0","",IFERROR([1]!b_info_latestissurercreditrating(B198),""))</f>
        <v>0</v>
      </c>
      <c r="E198" s="27" t="str">
        <f>IFERROR(([1]!b_stm07_bs($B198,47,$A198,1,100000000))/[1]!b_stm07_bs($B198,109,$A198,1,100000000),"")</f>
        <v/>
      </c>
      <c r="F198" s="18" t="str">
        <f>IFERROR(([1]!s_stmnote_bank_26($B198,$A198,1,100000000)-[1]!s_stmnote_bank_26($B198,#REF!,1,100000000)+#REF!)/[1]!s_stmnote_bank_1n($B198,#REF!,1,100000000),"")</f>
        <v/>
      </c>
      <c r="G198" s="21" t="str">
        <f t="shared" si="6"/>
        <v/>
      </c>
      <c r="H198" s="18" t="str">
        <f>IFERROR([1]!s_stmnote_bank($B198,"34",$A198,100000000)/[1]!s_stmnote_bank_1n(B198,$A198,1,100000000),"")</f>
        <v/>
      </c>
      <c r="I198" s="25">
        <f>[1]!b_stm07_bs(B198,74,$A198,1,100000000)</f>
        <v>0</v>
      </c>
      <c r="J198" s="25">
        <f>[1]!b_stm07_bs(B198,109,$A198,1,100000000)</f>
        <v>0</v>
      </c>
      <c r="K198" s="10">
        <f>[1]!s_stmnote_bank_5n(B198,$A198,1)</f>
        <v>0</v>
      </c>
      <c r="L198" s="25">
        <f>[1]!s_stmnote_bank_23n(B198,$A198,1)</f>
        <v>0</v>
      </c>
      <c r="M198" s="25">
        <f>[1]!s_stmnote_bank_capadequacyratio(B198,$A198,1)</f>
        <v>0</v>
      </c>
      <c r="N198" s="25">
        <f>[1]!s_stmnote_bank_capadequacyratio_ct1(B198,$A198,1)</f>
        <v>0</v>
      </c>
      <c r="O198" s="6">
        <f>IF(OR([1]!s_fa_roe(B198,20201231)="0",[1]!s_fa_roe(B198,20211231)="0",[1]!s_fa_roe(B198,20221231)="0"),"",IFERROR(([1]!s_fa_roe(B198,20221231)+[1]!s_fa_roe(B198,20201231)+[1]!s_fa_roe(B198,20211231))/3,""))</f>
        <v>0</v>
      </c>
      <c r="P198" s="28" t="str">
        <f>IFERROR(([1]!s_stmnote_bank_65(B198,$A198,1,2,4,100000000)+[1]!s_stmnote_bank_65(B198,$A198,1,2,6,100000000))/[1]!s_stmnote_bank_1n(B198,$A198,1,100000000),"")</f>
        <v/>
      </c>
      <c r="Q198" s="28" t="str">
        <f>IFERROR([1]!s_stmnote_bank_614(B198,$A198,1,2,100000000)/[1]!s_stmnote_bank_647(B198,$A198,1,2,100000000),"")</f>
        <v/>
      </c>
      <c r="R198" s="28" t="str">
        <f>IFERROR(([1]!b_stm07_bs(B198,104,$A198,1,100000000)+[1]!b_stm07_bs(B198,106,$A198,1,100000000)+[1]!b_stm07_bs(B198,76,$A198,1,100000000)+[1]!b_stm07_bs(B198,108,$A198,1,100000000)+[1]!b_stm07_bs(B198,95,$A198,1,100000000))/[1]!b_stm07_bs(B198,128,$A198,1,100000000),"")</f>
        <v/>
      </c>
      <c r="S198" s="28" t="str">
        <f>IFERROR(([1]!s_stmnote_bank_614(B198,$A198,1,2,100000000)+[1]!b_stm07_bs(B198,104,$A198,1,100000000)+[1]!b_stm07_bs(B198,106,$A198,1,100000000)+[1]!b_stm07_bs(B198,76,$A198,1,100000000)+[1]!b_stm07_bs(B198,108,$A198,1,100000000)+[1]!b_stm07_bs(B198,95,$A198,1,100000000))/[1]!b_stm07_bs(B198,128,$A198,1,100000000),"")</f>
        <v/>
      </c>
      <c r="T198" s="11">
        <f>[1]!b_issuer_shareholder(B198,"",1)</f>
        <v>0</v>
      </c>
      <c r="U198" s="10">
        <f>[1]!b_issuer_propofshareholder(B198,"",1)</f>
        <v>0</v>
      </c>
      <c r="V198" s="33" t="str">
        <f t="shared" si="7"/>
        <v>0</v>
      </c>
      <c r="W198" s="33">
        <f>[1]!s_info_city(B198)</f>
        <v>0</v>
      </c>
      <c r="X198" s="10">
        <f>IF([1]!s_stmnote_bank_17n(B198,$A198,1)="0","",[1]!s_stmnote_bank_17n(B198,$A198,1))</f>
        <v>0</v>
      </c>
      <c r="Y198" s="10">
        <f>IF([1]!s_stmnote_bank_18n(B198,$A198,1)="0","",[1]!s_stmnote_bank_18n(B198,$A198,1))</f>
        <v>0</v>
      </c>
      <c r="Z198" s="41">
        <f>IF([1]!s_stmnote_bank_58(B198,$A198,1)="0","",[1]!s_stmnote_bank_58(B198,$A198,1))</f>
        <v>0</v>
      </c>
      <c r="AA198" s="52">
        <f>IF([1]!s_stmnote_bank_60(B198,$A198,1)="0","",[1]!s_stmnote_bank_60(B198,$A198,1))</f>
        <v>0</v>
      </c>
      <c r="AB198" s="52">
        <f>[1]!s_stmnote_bank_5444(B198,$A198,1)</f>
        <v>0</v>
      </c>
      <c r="AC198" s="38">
        <f>[1]!s_stmnote_bank_129n($B198,$A198,1)</f>
        <v>0</v>
      </c>
      <c r="AD198" s="54">
        <f>[1]!s_stmnote_bank_30(B198,$A198,1)</f>
        <v>0</v>
      </c>
    </row>
    <row r="199" spans="1:30" ht="24">
      <c r="A199" s="1" t="s">
        <v>1110</v>
      </c>
      <c r="B199" s="87" t="s">
        <v>1307</v>
      </c>
      <c r="C199" s="8">
        <f>IF([1]!b_info_issuer(B199)="0","",IFERROR([1]!b_info_issuer(B199),""))</f>
        <v>0</v>
      </c>
      <c r="D199" s="11">
        <f>IF([1]!b_info_latestissurercreditrating(B199)="0","",IFERROR([1]!b_info_latestissurercreditrating(B199),""))</f>
        <v>0</v>
      </c>
      <c r="E199" s="27" t="str">
        <f>IFERROR(([1]!b_stm07_bs($B199,47,$A199,1,100000000))/[1]!b_stm07_bs($B199,109,$A199,1,100000000),"")</f>
        <v/>
      </c>
      <c r="F199" s="18" t="str">
        <f>IFERROR(([1]!s_stmnote_bank_26($B199,$A199,1,100000000)-[1]!s_stmnote_bank_26($B199,#REF!,1,100000000)+#REF!)/[1]!s_stmnote_bank_1n($B199,#REF!,1,100000000),"")</f>
        <v/>
      </c>
      <c r="G199" s="21" t="str">
        <f t="shared" si="6"/>
        <v/>
      </c>
      <c r="H199" s="18" t="str">
        <f>IFERROR([1]!s_stmnote_bank($B199,"34",$A199,100000000)/[1]!s_stmnote_bank_1n(B199,$A199,1,100000000),"")</f>
        <v/>
      </c>
      <c r="I199" s="25">
        <f>[1]!b_stm07_bs(B199,74,$A199,1,100000000)</f>
        <v>0</v>
      </c>
      <c r="J199" s="25">
        <f>[1]!b_stm07_bs(B199,109,$A199,1,100000000)</f>
        <v>0</v>
      </c>
      <c r="K199" s="10">
        <f>[1]!s_stmnote_bank_5n(B199,$A199,1)</f>
        <v>0</v>
      </c>
      <c r="L199" s="25">
        <f>[1]!s_stmnote_bank_23n(B199,$A199,1)</f>
        <v>0</v>
      </c>
      <c r="M199" s="25">
        <f>[1]!s_stmnote_bank_capadequacyratio(B199,$A199,1)</f>
        <v>0</v>
      </c>
      <c r="N199" s="25">
        <f>[1]!s_stmnote_bank_capadequacyratio_ct1(B199,$A199,1)</f>
        <v>0</v>
      </c>
      <c r="O199" s="6">
        <f>IF(OR([1]!s_fa_roe(B199,20201231)="0",[1]!s_fa_roe(B199,20211231)="0",[1]!s_fa_roe(B199,20221231)="0"),"",IFERROR(([1]!s_fa_roe(B199,20221231)+[1]!s_fa_roe(B199,20201231)+[1]!s_fa_roe(B199,20211231))/3,""))</f>
        <v>0</v>
      </c>
      <c r="P199" s="28" t="str">
        <f>IFERROR(([1]!s_stmnote_bank_65(B199,$A199,1,2,4,100000000)+[1]!s_stmnote_bank_65(B199,$A199,1,2,6,100000000))/[1]!s_stmnote_bank_1n(B199,$A199,1,100000000),"")</f>
        <v/>
      </c>
      <c r="Q199" s="28" t="str">
        <f>IFERROR([1]!s_stmnote_bank_614(B199,$A199,1,2,100000000)/[1]!s_stmnote_bank_647(B199,$A199,1,2,100000000),"")</f>
        <v/>
      </c>
      <c r="R199" s="28" t="str">
        <f>IFERROR(([1]!b_stm07_bs(B199,104,$A199,1,100000000)+[1]!b_stm07_bs(B199,106,$A199,1,100000000)+[1]!b_stm07_bs(B199,76,$A199,1,100000000)+[1]!b_stm07_bs(B199,108,$A199,1,100000000)+[1]!b_stm07_bs(B199,95,$A199,1,100000000))/[1]!b_stm07_bs(B199,128,$A199,1,100000000),"")</f>
        <v/>
      </c>
      <c r="S199" s="28" t="str">
        <f>IFERROR(([1]!s_stmnote_bank_614(B199,$A199,1,2,100000000)+[1]!b_stm07_bs(B199,104,$A199,1,100000000)+[1]!b_stm07_bs(B199,106,$A199,1,100000000)+[1]!b_stm07_bs(B199,76,$A199,1,100000000)+[1]!b_stm07_bs(B199,108,$A199,1,100000000)+[1]!b_stm07_bs(B199,95,$A199,1,100000000))/[1]!b_stm07_bs(B199,128,$A199,1,100000000),"")</f>
        <v/>
      </c>
      <c r="T199" s="11">
        <f>[1]!b_issuer_shareholder(B199,"",1)</f>
        <v>0</v>
      </c>
      <c r="U199" s="10">
        <f>[1]!b_issuer_propofshareholder(B199,"",1)</f>
        <v>0</v>
      </c>
      <c r="V199" s="33" t="str">
        <f t="shared" si="7"/>
        <v>0</v>
      </c>
      <c r="W199" s="33">
        <f>[1]!s_info_city(B199)</f>
        <v>0</v>
      </c>
      <c r="X199" s="10">
        <f>IF([1]!s_stmnote_bank_17n(B199,$A199,1)="0","",[1]!s_stmnote_bank_17n(B199,$A199,1))</f>
        <v>0</v>
      </c>
      <c r="Y199" s="10">
        <f>IF([1]!s_stmnote_bank_18n(B199,$A199,1)="0","",[1]!s_stmnote_bank_18n(B199,$A199,1))</f>
        <v>0</v>
      </c>
      <c r="Z199" s="41">
        <f>IF([1]!s_stmnote_bank_58(B199,$A199,1)="0","",[1]!s_stmnote_bank_58(B199,$A199,1))</f>
        <v>0</v>
      </c>
      <c r="AA199" s="52">
        <f>IF([1]!s_stmnote_bank_60(B199,$A199,1)="0","",[1]!s_stmnote_bank_60(B199,$A199,1))</f>
        <v>0</v>
      </c>
      <c r="AB199" s="52">
        <f>[1]!s_stmnote_bank_5444(B199,$A199,1)</f>
        <v>0</v>
      </c>
      <c r="AC199" s="38">
        <f>[1]!s_stmnote_bank_129n($B199,$A199,1)</f>
        <v>0</v>
      </c>
      <c r="AD199" s="54">
        <f>[1]!s_stmnote_bank_30(B199,$A199,1)</f>
        <v>0</v>
      </c>
    </row>
    <row r="200" spans="1:30" ht="24">
      <c r="A200" s="1" t="s">
        <v>1110</v>
      </c>
      <c r="B200" s="87" t="s">
        <v>1308</v>
      </c>
      <c r="C200" s="8">
        <f>IF([1]!b_info_issuer(B200)="0","",IFERROR([1]!b_info_issuer(B200),""))</f>
        <v>0</v>
      </c>
      <c r="D200" s="11">
        <f>IF([1]!b_info_latestissurercreditrating(B200)="0","",IFERROR([1]!b_info_latestissurercreditrating(B200),""))</f>
        <v>0</v>
      </c>
      <c r="E200" s="27" t="str">
        <f>IFERROR(([1]!b_stm07_bs($B200,47,$A200,1,100000000))/[1]!b_stm07_bs($B200,109,$A200,1,100000000),"")</f>
        <v/>
      </c>
      <c r="F200" s="18" t="str">
        <f>IFERROR(([1]!s_stmnote_bank_26($B200,$A200,1,100000000)-[1]!s_stmnote_bank_26($B200,#REF!,1,100000000)+#REF!)/[1]!s_stmnote_bank_1n($B200,#REF!,1,100000000),"")</f>
        <v/>
      </c>
      <c r="G200" s="21" t="str">
        <f t="shared" si="6"/>
        <v/>
      </c>
      <c r="H200" s="18" t="str">
        <f>IFERROR([1]!s_stmnote_bank($B200,"34",$A200,100000000)/[1]!s_stmnote_bank_1n(B200,$A200,1,100000000),"")</f>
        <v/>
      </c>
      <c r="I200" s="25">
        <f>[1]!b_stm07_bs(B200,74,$A200,1,100000000)</f>
        <v>0</v>
      </c>
      <c r="J200" s="25">
        <f>[1]!b_stm07_bs(B200,109,$A200,1,100000000)</f>
        <v>0</v>
      </c>
      <c r="K200" s="10">
        <f>[1]!s_stmnote_bank_5n(B200,$A200,1)</f>
        <v>0</v>
      </c>
      <c r="L200" s="25">
        <f>[1]!s_stmnote_bank_23n(B200,$A200,1)</f>
        <v>0</v>
      </c>
      <c r="M200" s="25">
        <f>[1]!s_stmnote_bank_capadequacyratio(B200,$A200,1)</f>
        <v>0</v>
      </c>
      <c r="N200" s="25">
        <f>[1]!s_stmnote_bank_capadequacyratio_ct1(B200,$A200,1)</f>
        <v>0</v>
      </c>
      <c r="O200" s="6">
        <f>IF(OR([1]!s_fa_roe(B200,20201231)="0",[1]!s_fa_roe(B200,20211231)="0",[1]!s_fa_roe(B200,20221231)="0"),"",IFERROR(([1]!s_fa_roe(B200,20221231)+[1]!s_fa_roe(B200,20201231)+[1]!s_fa_roe(B200,20211231))/3,""))</f>
        <v>0</v>
      </c>
      <c r="P200" s="28" t="str">
        <f>IFERROR(([1]!s_stmnote_bank_65(B200,$A200,1,2,4,100000000)+[1]!s_stmnote_bank_65(B200,$A200,1,2,6,100000000))/[1]!s_stmnote_bank_1n(B200,$A200,1,100000000),"")</f>
        <v/>
      </c>
      <c r="Q200" s="28" t="str">
        <f>IFERROR([1]!s_stmnote_bank_614(B200,$A200,1,2,100000000)/[1]!s_stmnote_bank_647(B200,$A200,1,2,100000000),"")</f>
        <v/>
      </c>
      <c r="R200" s="28" t="str">
        <f>IFERROR(([1]!b_stm07_bs(B200,104,$A200,1,100000000)+[1]!b_stm07_bs(B200,106,$A200,1,100000000)+[1]!b_stm07_bs(B200,76,$A200,1,100000000)+[1]!b_stm07_bs(B200,108,$A200,1,100000000)+[1]!b_stm07_bs(B200,95,$A200,1,100000000))/[1]!b_stm07_bs(B200,128,$A200,1,100000000),"")</f>
        <v/>
      </c>
      <c r="S200" s="28" t="str">
        <f>IFERROR(([1]!s_stmnote_bank_614(B200,$A200,1,2,100000000)+[1]!b_stm07_bs(B200,104,$A200,1,100000000)+[1]!b_stm07_bs(B200,106,$A200,1,100000000)+[1]!b_stm07_bs(B200,76,$A200,1,100000000)+[1]!b_stm07_bs(B200,108,$A200,1,100000000)+[1]!b_stm07_bs(B200,95,$A200,1,100000000))/[1]!b_stm07_bs(B200,128,$A200,1,100000000),"")</f>
        <v/>
      </c>
      <c r="T200" s="11">
        <f>[1]!b_issuer_shareholder(B200,"",1)</f>
        <v>0</v>
      </c>
      <c r="U200" s="10">
        <f>[1]!b_issuer_propofshareholder(B200,"",1)</f>
        <v>0</v>
      </c>
      <c r="V200" s="33" t="str">
        <f t="shared" si="7"/>
        <v>0</v>
      </c>
      <c r="W200" s="33">
        <f>[1]!s_info_city(B200)</f>
        <v>0</v>
      </c>
      <c r="X200" s="10">
        <f>IF([1]!s_stmnote_bank_17n(B200,$A200,1)="0","",[1]!s_stmnote_bank_17n(B200,$A200,1))</f>
        <v>0</v>
      </c>
      <c r="Y200" s="10">
        <f>IF([1]!s_stmnote_bank_18n(B200,$A200,1)="0","",[1]!s_stmnote_bank_18n(B200,$A200,1))</f>
        <v>0</v>
      </c>
      <c r="Z200" s="41">
        <f>IF([1]!s_stmnote_bank_58(B200,$A200,1)="0","",[1]!s_stmnote_bank_58(B200,$A200,1))</f>
        <v>0</v>
      </c>
      <c r="AA200" s="52">
        <f>IF([1]!s_stmnote_bank_60(B200,$A200,1)="0","",[1]!s_stmnote_bank_60(B200,$A200,1))</f>
        <v>0</v>
      </c>
      <c r="AB200" s="52">
        <f>[1]!s_stmnote_bank_5444(B200,$A200,1)</f>
        <v>0</v>
      </c>
      <c r="AC200" s="38">
        <f>[1]!s_stmnote_bank_129n($B200,$A200,1)</f>
        <v>0</v>
      </c>
      <c r="AD200" s="54">
        <f>[1]!s_stmnote_bank_30(B200,$A200,1)</f>
        <v>0</v>
      </c>
    </row>
    <row r="201" spans="1:30" ht="24">
      <c r="A201" s="1" t="s">
        <v>1110</v>
      </c>
      <c r="B201" s="87" t="s">
        <v>1309</v>
      </c>
      <c r="C201" s="8">
        <f>IF([1]!b_info_issuer(B201)="0","",IFERROR([1]!b_info_issuer(B201),""))</f>
        <v>0</v>
      </c>
      <c r="D201" s="11">
        <f>IF([1]!b_info_latestissurercreditrating(B201)="0","",IFERROR([1]!b_info_latestissurercreditrating(B201),""))</f>
        <v>0</v>
      </c>
      <c r="E201" s="27" t="str">
        <f>IFERROR(([1]!b_stm07_bs($B201,47,$A201,1,100000000))/[1]!b_stm07_bs($B201,109,$A201,1,100000000),"")</f>
        <v/>
      </c>
      <c r="F201" s="18" t="str">
        <f>IFERROR(([1]!s_stmnote_bank_26($B201,$A201,1,100000000)-[1]!s_stmnote_bank_26($B201,#REF!,1,100000000)+#REF!)/[1]!s_stmnote_bank_1n($B201,#REF!,1,100000000),"")</f>
        <v/>
      </c>
      <c r="G201" s="21" t="str">
        <f t="shared" si="6"/>
        <v/>
      </c>
      <c r="H201" s="18" t="str">
        <f>IFERROR([1]!s_stmnote_bank($B201,"34",$A201,100000000)/[1]!s_stmnote_bank_1n(B201,$A201,1,100000000),"")</f>
        <v/>
      </c>
      <c r="I201" s="25">
        <f>[1]!b_stm07_bs(B201,74,$A201,1,100000000)</f>
        <v>0</v>
      </c>
      <c r="J201" s="25">
        <f>[1]!b_stm07_bs(B201,109,$A201,1,100000000)</f>
        <v>0</v>
      </c>
      <c r="K201" s="10">
        <f>[1]!s_stmnote_bank_5n(B201,$A201,1)</f>
        <v>0</v>
      </c>
      <c r="L201" s="25">
        <f>[1]!s_stmnote_bank_23n(B201,$A201,1)</f>
        <v>0</v>
      </c>
      <c r="M201" s="25">
        <f>[1]!s_stmnote_bank_capadequacyratio(B201,$A201,1)</f>
        <v>0</v>
      </c>
      <c r="N201" s="25">
        <f>[1]!s_stmnote_bank_capadequacyratio_ct1(B201,$A201,1)</f>
        <v>0</v>
      </c>
      <c r="O201" s="6">
        <f>IF(OR([1]!s_fa_roe(B201,20201231)="0",[1]!s_fa_roe(B201,20211231)="0",[1]!s_fa_roe(B201,20221231)="0"),"",IFERROR(([1]!s_fa_roe(B201,20221231)+[1]!s_fa_roe(B201,20201231)+[1]!s_fa_roe(B201,20211231))/3,""))</f>
        <v>0</v>
      </c>
      <c r="P201" s="28" t="str">
        <f>IFERROR(([1]!s_stmnote_bank_65(B201,$A201,1,2,4,100000000)+[1]!s_stmnote_bank_65(B201,$A201,1,2,6,100000000))/[1]!s_stmnote_bank_1n(B201,$A201,1,100000000),"")</f>
        <v/>
      </c>
      <c r="Q201" s="28" t="str">
        <f>IFERROR([1]!s_stmnote_bank_614(B201,$A201,1,2,100000000)/[1]!s_stmnote_bank_647(B201,$A201,1,2,100000000),"")</f>
        <v/>
      </c>
      <c r="R201" s="28" t="str">
        <f>IFERROR(([1]!b_stm07_bs(B201,104,$A201,1,100000000)+[1]!b_stm07_bs(B201,106,$A201,1,100000000)+[1]!b_stm07_bs(B201,76,$A201,1,100000000)+[1]!b_stm07_bs(B201,108,$A201,1,100000000)+[1]!b_stm07_bs(B201,95,$A201,1,100000000))/[1]!b_stm07_bs(B201,128,$A201,1,100000000),"")</f>
        <v/>
      </c>
      <c r="S201" s="28" t="str">
        <f>IFERROR(([1]!s_stmnote_bank_614(B201,$A201,1,2,100000000)+[1]!b_stm07_bs(B201,104,$A201,1,100000000)+[1]!b_stm07_bs(B201,106,$A201,1,100000000)+[1]!b_stm07_bs(B201,76,$A201,1,100000000)+[1]!b_stm07_bs(B201,108,$A201,1,100000000)+[1]!b_stm07_bs(B201,95,$A201,1,100000000))/[1]!b_stm07_bs(B201,128,$A201,1,100000000),"")</f>
        <v/>
      </c>
      <c r="T201" s="11">
        <f>[1]!b_issuer_shareholder(B201,"",1)</f>
        <v>0</v>
      </c>
      <c r="U201" s="10">
        <f>[1]!b_issuer_propofshareholder(B201,"",1)</f>
        <v>0</v>
      </c>
      <c r="V201" s="33" t="str">
        <f t="shared" si="7"/>
        <v>0</v>
      </c>
      <c r="W201" s="33">
        <f>[1]!s_info_city(B201)</f>
        <v>0</v>
      </c>
      <c r="X201" s="10">
        <f>IF([1]!s_stmnote_bank_17n(B201,$A201,1)="0","",[1]!s_stmnote_bank_17n(B201,$A201,1))</f>
        <v>0</v>
      </c>
      <c r="Y201" s="10">
        <f>IF([1]!s_stmnote_bank_18n(B201,$A201,1)="0","",[1]!s_stmnote_bank_18n(B201,$A201,1))</f>
        <v>0</v>
      </c>
      <c r="Z201" s="41">
        <f>IF([1]!s_stmnote_bank_58(B201,$A201,1)="0","",[1]!s_stmnote_bank_58(B201,$A201,1))</f>
        <v>0</v>
      </c>
      <c r="AA201" s="52">
        <f>IF([1]!s_stmnote_bank_60(B201,$A201,1)="0","",[1]!s_stmnote_bank_60(B201,$A201,1))</f>
        <v>0</v>
      </c>
      <c r="AB201" s="52">
        <f>[1]!s_stmnote_bank_5444(B201,$A201,1)</f>
        <v>0</v>
      </c>
      <c r="AC201" s="38">
        <f>[1]!s_stmnote_bank_129n($B201,$A201,1)</f>
        <v>0</v>
      </c>
      <c r="AD201" s="54">
        <f>[1]!s_stmnote_bank_30(B201,$A201,1)</f>
        <v>0</v>
      </c>
    </row>
    <row r="202" spans="1:30" ht="24">
      <c r="A202" s="1" t="s">
        <v>1110</v>
      </c>
      <c r="B202" s="87" t="s">
        <v>1310</v>
      </c>
      <c r="C202" s="8">
        <f>IF([1]!b_info_issuer(B202)="0","",IFERROR([1]!b_info_issuer(B202),""))</f>
        <v>0</v>
      </c>
      <c r="D202" s="11">
        <f>IF([1]!b_info_latestissurercreditrating(B202)="0","",IFERROR([1]!b_info_latestissurercreditrating(B202),""))</f>
        <v>0</v>
      </c>
      <c r="E202" s="27" t="str">
        <f>IFERROR(([1]!b_stm07_bs($B202,47,$A202,1,100000000))/[1]!b_stm07_bs($B202,109,$A202,1,100000000),"")</f>
        <v/>
      </c>
      <c r="F202" s="18" t="str">
        <f>IFERROR(([1]!s_stmnote_bank_26($B202,$A202,1,100000000)-[1]!s_stmnote_bank_26($B202,#REF!,1,100000000)+#REF!)/[1]!s_stmnote_bank_1n($B202,#REF!,1,100000000),"")</f>
        <v/>
      </c>
      <c r="G202" s="21" t="str">
        <f t="shared" si="6"/>
        <v/>
      </c>
      <c r="H202" s="18" t="str">
        <f>IFERROR([1]!s_stmnote_bank($B202,"34",$A202,100000000)/[1]!s_stmnote_bank_1n(B202,$A202,1,100000000),"")</f>
        <v/>
      </c>
      <c r="I202" s="25">
        <f>[1]!b_stm07_bs(B202,74,$A202,1,100000000)</f>
        <v>0</v>
      </c>
      <c r="J202" s="25">
        <f>[1]!b_stm07_bs(B202,109,$A202,1,100000000)</f>
        <v>0</v>
      </c>
      <c r="K202" s="10">
        <f>[1]!s_stmnote_bank_5n(B202,$A202,1)</f>
        <v>0</v>
      </c>
      <c r="L202" s="25">
        <f>[1]!s_stmnote_bank_23n(B202,$A202,1)</f>
        <v>0</v>
      </c>
      <c r="M202" s="25">
        <f>[1]!s_stmnote_bank_capadequacyratio(B202,$A202,1)</f>
        <v>0</v>
      </c>
      <c r="N202" s="25">
        <f>[1]!s_stmnote_bank_capadequacyratio_ct1(B202,$A202,1)</f>
        <v>0</v>
      </c>
      <c r="O202" s="6">
        <f>IF(OR([1]!s_fa_roe(B202,20201231)="0",[1]!s_fa_roe(B202,20211231)="0",[1]!s_fa_roe(B202,20221231)="0"),"",IFERROR(([1]!s_fa_roe(B202,20221231)+[1]!s_fa_roe(B202,20201231)+[1]!s_fa_roe(B202,20211231))/3,""))</f>
        <v>0</v>
      </c>
      <c r="P202" s="28" t="str">
        <f>IFERROR(([1]!s_stmnote_bank_65(B202,$A202,1,2,4,100000000)+[1]!s_stmnote_bank_65(B202,$A202,1,2,6,100000000))/[1]!s_stmnote_bank_1n(B202,$A202,1,100000000),"")</f>
        <v/>
      </c>
      <c r="Q202" s="28" t="str">
        <f>IFERROR([1]!s_stmnote_bank_614(B202,$A202,1,2,100000000)/[1]!s_stmnote_bank_647(B202,$A202,1,2,100000000),"")</f>
        <v/>
      </c>
      <c r="R202" s="28" t="str">
        <f>IFERROR(([1]!b_stm07_bs(B202,104,$A202,1,100000000)+[1]!b_stm07_bs(B202,106,$A202,1,100000000)+[1]!b_stm07_bs(B202,76,$A202,1,100000000)+[1]!b_stm07_bs(B202,108,$A202,1,100000000)+[1]!b_stm07_bs(B202,95,$A202,1,100000000))/[1]!b_stm07_bs(B202,128,$A202,1,100000000),"")</f>
        <v/>
      </c>
      <c r="S202" s="28" t="str">
        <f>IFERROR(([1]!s_stmnote_bank_614(B202,$A202,1,2,100000000)+[1]!b_stm07_bs(B202,104,$A202,1,100000000)+[1]!b_stm07_bs(B202,106,$A202,1,100000000)+[1]!b_stm07_bs(B202,76,$A202,1,100000000)+[1]!b_stm07_bs(B202,108,$A202,1,100000000)+[1]!b_stm07_bs(B202,95,$A202,1,100000000))/[1]!b_stm07_bs(B202,128,$A202,1,100000000),"")</f>
        <v/>
      </c>
      <c r="T202" s="11">
        <f>[1]!b_issuer_shareholder(B202,"",1)</f>
        <v>0</v>
      </c>
      <c r="U202" s="10">
        <f>[1]!b_issuer_propofshareholder(B202,"",1)</f>
        <v>0</v>
      </c>
      <c r="V202" s="33" t="str">
        <f t="shared" si="7"/>
        <v>0</v>
      </c>
      <c r="W202" s="33">
        <f>[1]!s_info_city(B202)</f>
        <v>0</v>
      </c>
      <c r="X202" s="10">
        <f>IF([1]!s_stmnote_bank_17n(B202,$A202,1)="0","",[1]!s_stmnote_bank_17n(B202,$A202,1))</f>
        <v>0</v>
      </c>
      <c r="Y202" s="10">
        <f>IF([1]!s_stmnote_bank_18n(B202,$A202,1)="0","",[1]!s_stmnote_bank_18n(B202,$A202,1))</f>
        <v>0</v>
      </c>
      <c r="Z202" s="41">
        <f>IF([1]!s_stmnote_bank_58(B202,$A202,1)="0","",[1]!s_stmnote_bank_58(B202,$A202,1))</f>
        <v>0</v>
      </c>
      <c r="AA202" s="52">
        <f>IF([1]!s_stmnote_bank_60(B202,$A202,1)="0","",[1]!s_stmnote_bank_60(B202,$A202,1))</f>
        <v>0</v>
      </c>
      <c r="AB202" s="52">
        <f>[1]!s_stmnote_bank_5444(B202,$A202,1)</f>
        <v>0</v>
      </c>
      <c r="AC202" s="38">
        <f>[1]!s_stmnote_bank_129n($B202,$A202,1)</f>
        <v>0</v>
      </c>
      <c r="AD202" s="54">
        <f>[1]!s_stmnote_bank_30(B202,$A202,1)</f>
        <v>0</v>
      </c>
    </row>
    <row r="203" spans="1:30" ht="24">
      <c r="A203" s="1" t="s">
        <v>1110</v>
      </c>
      <c r="B203" s="87" t="s">
        <v>1311</v>
      </c>
      <c r="C203" s="8">
        <f>IF([1]!b_info_issuer(B203)="0","",IFERROR([1]!b_info_issuer(B203),""))</f>
        <v>0</v>
      </c>
      <c r="D203" s="11">
        <f>IF([1]!b_info_latestissurercreditrating(B203)="0","",IFERROR([1]!b_info_latestissurercreditrating(B203),""))</f>
        <v>0</v>
      </c>
      <c r="E203" s="27" t="str">
        <f>IFERROR(([1]!b_stm07_bs($B203,47,$A203,1,100000000))/[1]!b_stm07_bs($B203,109,$A203,1,100000000),"")</f>
        <v/>
      </c>
      <c r="F203" s="18" t="str">
        <f>IFERROR(([1]!s_stmnote_bank_26($B203,$A203,1,100000000)-[1]!s_stmnote_bank_26($B203,#REF!,1,100000000)+#REF!)/[1]!s_stmnote_bank_1n($B203,#REF!,1,100000000),"")</f>
        <v/>
      </c>
      <c r="G203" s="21" t="str">
        <f t="shared" si="6"/>
        <v/>
      </c>
      <c r="H203" s="18" t="str">
        <f>IFERROR([1]!s_stmnote_bank($B203,"34",$A203,100000000)/[1]!s_stmnote_bank_1n(B203,$A203,1,100000000),"")</f>
        <v/>
      </c>
      <c r="I203" s="25">
        <f>[1]!b_stm07_bs(B203,74,$A203,1,100000000)</f>
        <v>0</v>
      </c>
      <c r="J203" s="25">
        <f>[1]!b_stm07_bs(B203,109,$A203,1,100000000)</f>
        <v>0</v>
      </c>
      <c r="K203" s="10">
        <f>[1]!s_stmnote_bank_5n(B203,$A203,1)</f>
        <v>0</v>
      </c>
      <c r="L203" s="25">
        <f>[1]!s_stmnote_bank_23n(B203,$A203,1)</f>
        <v>0</v>
      </c>
      <c r="M203" s="25">
        <f>[1]!s_stmnote_bank_capadequacyratio(B203,$A203,1)</f>
        <v>0</v>
      </c>
      <c r="N203" s="25">
        <f>[1]!s_stmnote_bank_capadequacyratio_ct1(B203,$A203,1)</f>
        <v>0</v>
      </c>
      <c r="O203" s="6">
        <f>IF(OR([1]!s_fa_roe(B203,20201231)="0",[1]!s_fa_roe(B203,20211231)="0",[1]!s_fa_roe(B203,20221231)="0"),"",IFERROR(([1]!s_fa_roe(B203,20221231)+[1]!s_fa_roe(B203,20201231)+[1]!s_fa_roe(B203,20211231))/3,""))</f>
        <v>0</v>
      </c>
      <c r="P203" s="28" t="str">
        <f>IFERROR(([1]!s_stmnote_bank_65(B203,$A203,1,2,4,100000000)+[1]!s_stmnote_bank_65(B203,$A203,1,2,6,100000000))/[1]!s_stmnote_bank_1n(B203,$A203,1,100000000),"")</f>
        <v/>
      </c>
      <c r="Q203" s="28" t="str">
        <f>IFERROR([1]!s_stmnote_bank_614(B203,$A203,1,2,100000000)/[1]!s_stmnote_bank_647(B203,$A203,1,2,100000000),"")</f>
        <v/>
      </c>
      <c r="R203" s="28" t="str">
        <f>IFERROR(([1]!b_stm07_bs(B203,104,$A203,1,100000000)+[1]!b_stm07_bs(B203,106,$A203,1,100000000)+[1]!b_stm07_bs(B203,76,$A203,1,100000000)+[1]!b_stm07_bs(B203,108,$A203,1,100000000)+[1]!b_stm07_bs(B203,95,$A203,1,100000000))/[1]!b_stm07_bs(B203,128,$A203,1,100000000),"")</f>
        <v/>
      </c>
      <c r="S203" s="28" t="str">
        <f>IFERROR(([1]!s_stmnote_bank_614(B203,$A203,1,2,100000000)+[1]!b_stm07_bs(B203,104,$A203,1,100000000)+[1]!b_stm07_bs(B203,106,$A203,1,100000000)+[1]!b_stm07_bs(B203,76,$A203,1,100000000)+[1]!b_stm07_bs(B203,108,$A203,1,100000000)+[1]!b_stm07_bs(B203,95,$A203,1,100000000))/[1]!b_stm07_bs(B203,128,$A203,1,100000000),"")</f>
        <v/>
      </c>
      <c r="T203" s="11">
        <f>[1]!b_issuer_shareholder(B203,"",1)</f>
        <v>0</v>
      </c>
      <c r="U203" s="10">
        <f>[1]!b_issuer_propofshareholder(B203,"",1)</f>
        <v>0</v>
      </c>
      <c r="V203" s="33" t="str">
        <f t="shared" si="7"/>
        <v>0</v>
      </c>
      <c r="W203" s="33">
        <f>[1]!s_info_city(B203)</f>
        <v>0</v>
      </c>
      <c r="X203" s="10">
        <f>IF([1]!s_stmnote_bank_17n(B203,$A203,1)="0","",[1]!s_stmnote_bank_17n(B203,$A203,1))</f>
        <v>0</v>
      </c>
      <c r="Y203" s="10">
        <f>IF([1]!s_stmnote_bank_18n(B203,$A203,1)="0","",[1]!s_stmnote_bank_18n(B203,$A203,1))</f>
        <v>0</v>
      </c>
      <c r="Z203" s="41">
        <f>IF([1]!s_stmnote_bank_58(B203,$A203,1)="0","",[1]!s_stmnote_bank_58(B203,$A203,1))</f>
        <v>0</v>
      </c>
      <c r="AA203" s="52">
        <f>IF([1]!s_stmnote_bank_60(B203,$A203,1)="0","",[1]!s_stmnote_bank_60(B203,$A203,1))</f>
        <v>0</v>
      </c>
      <c r="AB203" s="52">
        <f>[1]!s_stmnote_bank_5444(B203,$A203,1)</f>
        <v>0</v>
      </c>
      <c r="AC203" s="38">
        <f>[1]!s_stmnote_bank_129n($B203,$A203,1)</f>
        <v>0</v>
      </c>
      <c r="AD203" s="54">
        <f>[1]!s_stmnote_bank_30(B203,$A203,1)</f>
        <v>0</v>
      </c>
    </row>
    <row r="204" spans="1:30" ht="24">
      <c r="A204" s="1" t="s">
        <v>1110</v>
      </c>
      <c r="B204" s="87" t="s">
        <v>1312</v>
      </c>
      <c r="C204" s="8">
        <f>IF([1]!b_info_issuer(B204)="0","",IFERROR([1]!b_info_issuer(B204),""))</f>
        <v>0</v>
      </c>
      <c r="D204" s="11">
        <f>IF([1]!b_info_latestissurercreditrating(B204)="0","",IFERROR([1]!b_info_latestissurercreditrating(B204),""))</f>
        <v>0</v>
      </c>
      <c r="E204" s="27" t="str">
        <f>IFERROR(([1]!b_stm07_bs($B204,47,$A204,1,100000000))/[1]!b_stm07_bs($B204,109,$A204,1,100000000),"")</f>
        <v/>
      </c>
      <c r="F204" s="18" t="str">
        <f>IFERROR(([1]!s_stmnote_bank_26($B204,$A204,1,100000000)-[1]!s_stmnote_bank_26($B204,#REF!,1,100000000)+#REF!)/[1]!s_stmnote_bank_1n($B204,#REF!,1,100000000),"")</f>
        <v/>
      </c>
      <c r="G204" s="21" t="str">
        <f t="shared" si="6"/>
        <v/>
      </c>
      <c r="H204" s="18" t="str">
        <f>IFERROR([1]!s_stmnote_bank($B204,"34",$A204,100000000)/[1]!s_stmnote_bank_1n(B204,$A204,1,100000000),"")</f>
        <v/>
      </c>
      <c r="I204" s="25">
        <f>[1]!b_stm07_bs(B204,74,$A204,1,100000000)</f>
        <v>0</v>
      </c>
      <c r="J204" s="25">
        <f>[1]!b_stm07_bs(B204,109,$A204,1,100000000)</f>
        <v>0</v>
      </c>
      <c r="K204" s="10">
        <f>[1]!s_stmnote_bank_5n(B204,$A204,1)</f>
        <v>0</v>
      </c>
      <c r="L204" s="25">
        <f>[1]!s_stmnote_bank_23n(B204,$A204,1)</f>
        <v>0</v>
      </c>
      <c r="M204" s="25">
        <f>[1]!s_stmnote_bank_capadequacyratio(B204,$A204,1)</f>
        <v>0</v>
      </c>
      <c r="N204" s="25">
        <f>[1]!s_stmnote_bank_capadequacyratio_ct1(B204,$A204,1)</f>
        <v>0</v>
      </c>
      <c r="O204" s="6">
        <f>IF(OR([1]!s_fa_roe(B204,20201231)="0",[1]!s_fa_roe(B204,20211231)="0",[1]!s_fa_roe(B204,20221231)="0"),"",IFERROR(([1]!s_fa_roe(B204,20221231)+[1]!s_fa_roe(B204,20201231)+[1]!s_fa_roe(B204,20211231))/3,""))</f>
        <v>0</v>
      </c>
      <c r="P204" s="28" t="str">
        <f>IFERROR(([1]!s_stmnote_bank_65(B204,$A204,1,2,4,100000000)+[1]!s_stmnote_bank_65(B204,$A204,1,2,6,100000000))/[1]!s_stmnote_bank_1n(B204,$A204,1,100000000),"")</f>
        <v/>
      </c>
      <c r="Q204" s="28" t="str">
        <f>IFERROR([1]!s_stmnote_bank_614(B204,$A204,1,2,100000000)/[1]!s_stmnote_bank_647(B204,$A204,1,2,100000000),"")</f>
        <v/>
      </c>
      <c r="R204" s="28" t="str">
        <f>IFERROR(([1]!b_stm07_bs(B204,104,$A204,1,100000000)+[1]!b_stm07_bs(B204,106,$A204,1,100000000)+[1]!b_stm07_bs(B204,76,$A204,1,100000000)+[1]!b_stm07_bs(B204,108,$A204,1,100000000)+[1]!b_stm07_bs(B204,95,$A204,1,100000000))/[1]!b_stm07_bs(B204,128,$A204,1,100000000),"")</f>
        <v/>
      </c>
      <c r="S204" s="28" t="str">
        <f>IFERROR(([1]!s_stmnote_bank_614(B204,$A204,1,2,100000000)+[1]!b_stm07_bs(B204,104,$A204,1,100000000)+[1]!b_stm07_bs(B204,106,$A204,1,100000000)+[1]!b_stm07_bs(B204,76,$A204,1,100000000)+[1]!b_stm07_bs(B204,108,$A204,1,100000000)+[1]!b_stm07_bs(B204,95,$A204,1,100000000))/[1]!b_stm07_bs(B204,128,$A204,1,100000000),"")</f>
        <v/>
      </c>
      <c r="T204" s="11">
        <f>[1]!b_issuer_shareholder(B204,"",1)</f>
        <v>0</v>
      </c>
      <c r="U204" s="10">
        <f>[1]!b_issuer_propofshareholder(B204,"",1)</f>
        <v>0</v>
      </c>
      <c r="V204" s="33" t="str">
        <f t="shared" si="7"/>
        <v>0</v>
      </c>
      <c r="W204" s="33">
        <f>[1]!s_info_city(B204)</f>
        <v>0</v>
      </c>
      <c r="X204" s="10">
        <f>IF([1]!s_stmnote_bank_17n(B204,$A204,1)="0","",[1]!s_stmnote_bank_17n(B204,$A204,1))</f>
        <v>0</v>
      </c>
      <c r="Y204" s="10">
        <f>IF([1]!s_stmnote_bank_18n(B204,$A204,1)="0","",[1]!s_stmnote_bank_18n(B204,$A204,1))</f>
        <v>0</v>
      </c>
      <c r="Z204" s="41">
        <f>IF([1]!s_stmnote_bank_58(B204,$A204,1)="0","",[1]!s_stmnote_bank_58(B204,$A204,1))</f>
        <v>0</v>
      </c>
      <c r="AA204" s="52">
        <f>IF([1]!s_stmnote_bank_60(B204,$A204,1)="0","",[1]!s_stmnote_bank_60(B204,$A204,1))</f>
        <v>0</v>
      </c>
      <c r="AB204" s="52">
        <f>[1]!s_stmnote_bank_5444(B204,$A204,1)</f>
        <v>0</v>
      </c>
      <c r="AC204" s="38">
        <f>[1]!s_stmnote_bank_129n($B204,$A204,1)</f>
        <v>0</v>
      </c>
      <c r="AD204" s="54">
        <f>[1]!s_stmnote_bank_30(B204,$A204,1)</f>
        <v>0</v>
      </c>
    </row>
    <row r="205" spans="1:30" ht="24">
      <c r="A205" s="1" t="s">
        <v>1110</v>
      </c>
      <c r="B205" s="87" t="s">
        <v>1313</v>
      </c>
      <c r="C205" s="8">
        <f>IF([1]!b_info_issuer(B205)="0","",IFERROR([1]!b_info_issuer(B205),""))</f>
        <v>0</v>
      </c>
      <c r="D205" s="11">
        <f>IF([1]!b_info_latestissurercreditrating(B205)="0","",IFERROR([1]!b_info_latestissurercreditrating(B205),""))</f>
        <v>0</v>
      </c>
      <c r="E205" s="27" t="str">
        <f>IFERROR(([1]!b_stm07_bs($B205,47,$A205,1,100000000))/[1]!b_stm07_bs($B205,109,$A205,1,100000000),"")</f>
        <v/>
      </c>
      <c r="F205" s="18" t="str">
        <f>IFERROR(([1]!s_stmnote_bank_26($B205,$A205,1,100000000)-[1]!s_stmnote_bank_26($B205,#REF!,1,100000000)+#REF!)/[1]!s_stmnote_bank_1n($B205,#REF!,1,100000000),"")</f>
        <v/>
      </c>
      <c r="G205" s="21" t="str">
        <f t="shared" si="6"/>
        <v/>
      </c>
      <c r="H205" s="18" t="str">
        <f>IFERROR([1]!s_stmnote_bank($B205,"34",$A205,100000000)/[1]!s_stmnote_bank_1n(B205,$A205,1,100000000),"")</f>
        <v/>
      </c>
      <c r="I205" s="25">
        <f>[1]!b_stm07_bs(B205,74,$A205,1,100000000)</f>
        <v>0</v>
      </c>
      <c r="J205" s="25">
        <f>[1]!b_stm07_bs(B205,109,$A205,1,100000000)</f>
        <v>0</v>
      </c>
      <c r="K205" s="10">
        <f>[1]!s_stmnote_bank_5n(B205,$A205,1)</f>
        <v>0</v>
      </c>
      <c r="L205" s="25">
        <f>[1]!s_stmnote_bank_23n(B205,$A205,1)</f>
        <v>0</v>
      </c>
      <c r="M205" s="25">
        <f>[1]!s_stmnote_bank_capadequacyratio(B205,$A205,1)</f>
        <v>0</v>
      </c>
      <c r="N205" s="25">
        <f>[1]!s_stmnote_bank_capadequacyratio_ct1(B205,$A205,1)</f>
        <v>0</v>
      </c>
      <c r="O205" s="6">
        <f>IF(OR([1]!s_fa_roe(B205,20201231)="0",[1]!s_fa_roe(B205,20211231)="0",[1]!s_fa_roe(B205,20221231)="0"),"",IFERROR(([1]!s_fa_roe(B205,20221231)+[1]!s_fa_roe(B205,20201231)+[1]!s_fa_roe(B205,20211231))/3,""))</f>
        <v>0</v>
      </c>
      <c r="P205" s="28" t="str">
        <f>IFERROR(([1]!s_stmnote_bank_65(B205,$A205,1,2,4,100000000)+[1]!s_stmnote_bank_65(B205,$A205,1,2,6,100000000))/[1]!s_stmnote_bank_1n(B205,$A205,1,100000000),"")</f>
        <v/>
      </c>
      <c r="Q205" s="28" t="str">
        <f>IFERROR([1]!s_stmnote_bank_614(B205,$A205,1,2,100000000)/[1]!s_stmnote_bank_647(B205,$A205,1,2,100000000),"")</f>
        <v/>
      </c>
      <c r="R205" s="28" t="str">
        <f>IFERROR(([1]!b_stm07_bs(B205,104,$A205,1,100000000)+[1]!b_stm07_bs(B205,106,$A205,1,100000000)+[1]!b_stm07_bs(B205,76,$A205,1,100000000)+[1]!b_stm07_bs(B205,108,$A205,1,100000000)+[1]!b_stm07_bs(B205,95,$A205,1,100000000))/[1]!b_stm07_bs(B205,128,$A205,1,100000000),"")</f>
        <v/>
      </c>
      <c r="S205" s="28" t="str">
        <f>IFERROR(([1]!s_stmnote_bank_614(B205,$A205,1,2,100000000)+[1]!b_stm07_bs(B205,104,$A205,1,100000000)+[1]!b_stm07_bs(B205,106,$A205,1,100000000)+[1]!b_stm07_bs(B205,76,$A205,1,100000000)+[1]!b_stm07_bs(B205,108,$A205,1,100000000)+[1]!b_stm07_bs(B205,95,$A205,1,100000000))/[1]!b_stm07_bs(B205,128,$A205,1,100000000),"")</f>
        <v/>
      </c>
      <c r="T205" s="11">
        <f>[1]!b_issuer_shareholder(B205,"",1)</f>
        <v>0</v>
      </c>
      <c r="U205" s="10">
        <f>[1]!b_issuer_propofshareholder(B205,"",1)</f>
        <v>0</v>
      </c>
      <c r="V205" s="33" t="str">
        <f t="shared" si="7"/>
        <v>0</v>
      </c>
      <c r="W205" s="33">
        <f>[1]!s_info_city(B205)</f>
        <v>0</v>
      </c>
      <c r="X205" s="10">
        <f>IF([1]!s_stmnote_bank_17n(B205,$A205,1)="0","",[1]!s_stmnote_bank_17n(B205,$A205,1))</f>
        <v>0</v>
      </c>
      <c r="Y205" s="10">
        <f>IF([1]!s_stmnote_bank_18n(B205,$A205,1)="0","",[1]!s_stmnote_bank_18n(B205,$A205,1))</f>
        <v>0</v>
      </c>
      <c r="Z205" s="41">
        <f>IF([1]!s_stmnote_bank_58(B205,$A205,1)="0","",[1]!s_stmnote_bank_58(B205,$A205,1))</f>
        <v>0</v>
      </c>
      <c r="AA205" s="52">
        <f>IF([1]!s_stmnote_bank_60(B205,$A205,1)="0","",[1]!s_stmnote_bank_60(B205,$A205,1))</f>
        <v>0</v>
      </c>
      <c r="AB205" s="52">
        <f>[1]!s_stmnote_bank_5444(B205,$A205,1)</f>
        <v>0</v>
      </c>
      <c r="AC205" s="38">
        <f>[1]!s_stmnote_bank_129n($B205,$A205,1)</f>
        <v>0</v>
      </c>
      <c r="AD205" s="54">
        <f>[1]!s_stmnote_bank_30(B205,$A205,1)</f>
        <v>0</v>
      </c>
    </row>
    <row r="206" spans="1:30" ht="24">
      <c r="A206" s="1" t="s">
        <v>1110</v>
      </c>
      <c r="B206" s="87" t="s">
        <v>1314</v>
      </c>
      <c r="C206" s="8">
        <f>IF([1]!b_info_issuer(B206)="0","",IFERROR([1]!b_info_issuer(B206),""))</f>
        <v>0</v>
      </c>
      <c r="D206" s="11">
        <f>IF([1]!b_info_latestissurercreditrating(B206)="0","",IFERROR([1]!b_info_latestissurercreditrating(B206),""))</f>
        <v>0</v>
      </c>
      <c r="E206" s="27" t="str">
        <f>IFERROR(([1]!b_stm07_bs($B206,47,$A206,1,100000000))/[1]!b_stm07_bs($B206,109,$A206,1,100000000),"")</f>
        <v/>
      </c>
      <c r="F206" s="18" t="str">
        <f>IFERROR(([1]!s_stmnote_bank_26($B206,$A206,1,100000000)-[1]!s_stmnote_bank_26($B206,#REF!,1,100000000)+#REF!)/[1]!s_stmnote_bank_1n($B206,#REF!,1,100000000),"")</f>
        <v/>
      </c>
      <c r="G206" s="21" t="str">
        <f t="shared" si="6"/>
        <v/>
      </c>
      <c r="H206" s="18" t="str">
        <f>IFERROR([1]!s_stmnote_bank($B206,"34",$A206,100000000)/[1]!s_stmnote_bank_1n(B206,$A206,1,100000000),"")</f>
        <v/>
      </c>
      <c r="I206" s="25">
        <f>[1]!b_stm07_bs(B206,74,$A206,1,100000000)</f>
        <v>0</v>
      </c>
      <c r="J206" s="25">
        <f>[1]!b_stm07_bs(B206,109,$A206,1,100000000)</f>
        <v>0</v>
      </c>
      <c r="K206" s="10">
        <f>[1]!s_stmnote_bank_5n(B206,$A206,1)</f>
        <v>0</v>
      </c>
      <c r="L206" s="25">
        <f>[1]!s_stmnote_bank_23n(B206,$A206,1)</f>
        <v>0</v>
      </c>
      <c r="M206" s="25">
        <f>[1]!s_stmnote_bank_capadequacyratio(B206,$A206,1)</f>
        <v>0</v>
      </c>
      <c r="N206" s="25">
        <f>[1]!s_stmnote_bank_capadequacyratio_ct1(B206,$A206,1)</f>
        <v>0</v>
      </c>
      <c r="O206" s="6">
        <f>IF(OR([1]!s_fa_roe(B206,20201231)="0",[1]!s_fa_roe(B206,20211231)="0",[1]!s_fa_roe(B206,20221231)="0"),"",IFERROR(([1]!s_fa_roe(B206,20221231)+[1]!s_fa_roe(B206,20201231)+[1]!s_fa_roe(B206,20211231))/3,""))</f>
        <v>0</v>
      </c>
      <c r="P206" s="28" t="str">
        <f>IFERROR(([1]!s_stmnote_bank_65(B206,$A206,1,2,4,100000000)+[1]!s_stmnote_bank_65(B206,$A206,1,2,6,100000000))/[1]!s_stmnote_bank_1n(B206,$A206,1,100000000),"")</f>
        <v/>
      </c>
      <c r="Q206" s="28" t="str">
        <f>IFERROR([1]!s_stmnote_bank_614(B206,$A206,1,2,100000000)/[1]!s_stmnote_bank_647(B206,$A206,1,2,100000000),"")</f>
        <v/>
      </c>
      <c r="R206" s="28" t="str">
        <f>IFERROR(([1]!b_stm07_bs(B206,104,$A206,1,100000000)+[1]!b_stm07_bs(B206,106,$A206,1,100000000)+[1]!b_stm07_bs(B206,76,$A206,1,100000000)+[1]!b_stm07_bs(B206,108,$A206,1,100000000)+[1]!b_stm07_bs(B206,95,$A206,1,100000000))/[1]!b_stm07_bs(B206,128,$A206,1,100000000),"")</f>
        <v/>
      </c>
      <c r="S206" s="28" t="str">
        <f>IFERROR(([1]!s_stmnote_bank_614(B206,$A206,1,2,100000000)+[1]!b_stm07_bs(B206,104,$A206,1,100000000)+[1]!b_stm07_bs(B206,106,$A206,1,100000000)+[1]!b_stm07_bs(B206,76,$A206,1,100000000)+[1]!b_stm07_bs(B206,108,$A206,1,100000000)+[1]!b_stm07_bs(B206,95,$A206,1,100000000))/[1]!b_stm07_bs(B206,128,$A206,1,100000000),"")</f>
        <v/>
      </c>
      <c r="T206" s="11">
        <f>[1]!b_issuer_shareholder(B206,"",1)</f>
        <v>0</v>
      </c>
      <c r="U206" s="10">
        <f>[1]!b_issuer_propofshareholder(B206,"",1)</f>
        <v>0</v>
      </c>
      <c r="V206" s="33" t="str">
        <f t="shared" si="7"/>
        <v>0</v>
      </c>
      <c r="W206" s="33">
        <f>[1]!s_info_city(B206)</f>
        <v>0</v>
      </c>
      <c r="X206" s="10">
        <f>IF([1]!s_stmnote_bank_17n(B206,$A206,1)="0","",[1]!s_stmnote_bank_17n(B206,$A206,1))</f>
        <v>0</v>
      </c>
      <c r="Y206" s="10">
        <f>IF([1]!s_stmnote_bank_18n(B206,$A206,1)="0","",[1]!s_stmnote_bank_18n(B206,$A206,1))</f>
        <v>0</v>
      </c>
      <c r="Z206" s="41">
        <f>IF([1]!s_stmnote_bank_58(B206,$A206,1)="0","",[1]!s_stmnote_bank_58(B206,$A206,1))</f>
        <v>0</v>
      </c>
      <c r="AA206" s="52">
        <f>IF([1]!s_stmnote_bank_60(B206,$A206,1)="0","",[1]!s_stmnote_bank_60(B206,$A206,1))</f>
        <v>0</v>
      </c>
      <c r="AB206" s="52">
        <f>[1]!s_stmnote_bank_5444(B206,$A206,1)</f>
        <v>0</v>
      </c>
      <c r="AC206" s="38">
        <f>[1]!s_stmnote_bank_129n($B206,$A206,1)</f>
        <v>0</v>
      </c>
      <c r="AD206" s="54">
        <f>[1]!s_stmnote_bank_30(B206,$A206,1)</f>
        <v>0</v>
      </c>
    </row>
    <row r="207" spans="1:30" ht="24">
      <c r="A207" s="1" t="s">
        <v>1110</v>
      </c>
      <c r="B207" s="87" t="s">
        <v>1315</v>
      </c>
      <c r="C207" s="8">
        <f>IF([1]!b_info_issuer(B207)="0","",IFERROR([1]!b_info_issuer(B207),""))</f>
        <v>0</v>
      </c>
      <c r="D207" s="11">
        <f>IF([1]!b_info_latestissurercreditrating(B207)="0","",IFERROR([1]!b_info_latestissurercreditrating(B207),""))</f>
        <v>0</v>
      </c>
      <c r="E207" s="27" t="str">
        <f>IFERROR(([1]!b_stm07_bs($B207,47,$A207,1,100000000))/[1]!b_stm07_bs($B207,109,$A207,1,100000000),"")</f>
        <v/>
      </c>
      <c r="F207" s="18" t="str">
        <f>IFERROR(([1]!s_stmnote_bank_26($B207,$A207,1,100000000)-[1]!s_stmnote_bank_26($B207,#REF!,1,100000000)+#REF!)/[1]!s_stmnote_bank_1n($B207,#REF!,1,100000000),"")</f>
        <v/>
      </c>
      <c r="G207" s="21" t="str">
        <f t="shared" si="6"/>
        <v/>
      </c>
      <c r="H207" s="18" t="str">
        <f>IFERROR([1]!s_stmnote_bank($B207,"34",$A207,100000000)/[1]!s_stmnote_bank_1n(B207,$A207,1,100000000),"")</f>
        <v/>
      </c>
      <c r="I207" s="25">
        <f>[1]!b_stm07_bs(B207,74,$A207,1,100000000)</f>
        <v>0</v>
      </c>
      <c r="J207" s="25">
        <f>[1]!b_stm07_bs(B207,109,$A207,1,100000000)</f>
        <v>0</v>
      </c>
      <c r="K207" s="10">
        <f>[1]!s_stmnote_bank_5n(B207,$A207,1)</f>
        <v>0</v>
      </c>
      <c r="L207" s="25">
        <f>[1]!s_stmnote_bank_23n(B207,$A207,1)</f>
        <v>0</v>
      </c>
      <c r="M207" s="25">
        <f>[1]!s_stmnote_bank_capadequacyratio(B207,$A207,1)</f>
        <v>0</v>
      </c>
      <c r="N207" s="25">
        <f>[1]!s_stmnote_bank_capadequacyratio_ct1(B207,$A207,1)</f>
        <v>0</v>
      </c>
      <c r="O207" s="6">
        <f>IF(OR([1]!s_fa_roe(B207,20201231)="0",[1]!s_fa_roe(B207,20211231)="0",[1]!s_fa_roe(B207,20221231)="0"),"",IFERROR(([1]!s_fa_roe(B207,20221231)+[1]!s_fa_roe(B207,20201231)+[1]!s_fa_roe(B207,20211231))/3,""))</f>
        <v>0</v>
      </c>
      <c r="P207" s="28" t="str">
        <f>IFERROR(([1]!s_stmnote_bank_65(B207,$A207,1,2,4,100000000)+[1]!s_stmnote_bank_65(B207,$A207,1,2,6,100000000))/[1]!s_stmnote_bank_1n(B207,$A207,1,100000000),"")</f>
        <v/>
      </c>
      <c r="Q207" s="28" t="str">
        <f>IFERROR([1]!s_stmnote_bank_614(B207,$A207,1,2,100000000)/[1]!s_stmnote_bank_647(B207,$A207,1,2,100000000),"")</f>
        <v/>
      </c>
      <c r="R207" s="28" t="str">
        <f>IFERROR(([1]!b_stm07_bs(B207,104,$A207,1,100000000)+[1]!b_stm07_bs(B207,106,$A207,1,100000000)+[1]!b_stm07_bs(B207,76,$A207,1,100000000)+[1]!b_stm07_bs(B207,108,$A207,1,100000000)+[1]!b_stm07_bs(B207,95,$A207,1,100000000))/[1]!b_stm07_bs(B207,128,$A207,1,100000000),"")</f>
        <v/>
      </c>
      <c r="S207" s="28" t="str">
        <f>IFERROR(([1]!s_stmnote_bank_614(B207,$A207,1,2,100000000)+[1]!b_stm07_bs(B207,104,$A207,1,100000000)+[1]!b_stm07_bs(B207,106,$A207,1,100000000)+[1]!b_stm07_bs(B207,76,$A207,1,100000000)+[1]!b_stm07_bs(B207,108,$A207,1,100000000)+[1]!b_stm07_bs(B207,95,$A207,1,100000000))/[1]!b_stm07_bs(B207,128,$A207,1,100000000),"")</f>
        <v/>
      </c>
      <c r="T207" s="11">
        <f>[1]!b_issuer_shareholder(B207,"",1)</f>
        <v>0</v>
      </c>
      <c r="U207" s="10">
        <f>[1]!b_issuer_propofshareholder(B207,"",1)</f>
        <v>0</v>
      </c>
      <c r="V207" s="33" t="str">
        <f t="shared" si="7"/>
        <v>0</v>
      </c>
      <c r="W207" s="33">
        <f>[1]!s_info_city(B207)</f>
        <v>0</v>
      </c>
      <c r="X207" s="10">
        <f>IF([1]!s_stmnote_bank_17n(B207,$A207,1)="0","",[1]!s_stmnote_bank_17n(B207,$A207,1))</f>
        <v>0</v>
      </c>
      <c r="Y207" s="10">
        <f>IF([1]!s_stmnote_bank_18n(B207,$A207,1)="0","",[1]!s_stmnote_bank_18n(B207,$A207,1))</f>
        <v>0</v>
      </c>
      <c r="Z207" s="41">
        <f>IF([1]!s_stmnote_bank_58(B207,$A207,1)="0","",[1]!s_stmnote_bank_58(B207,$A207,1))</f>
        <v>0</v>
      </c>
      <c r="AA207" s="52">
        <f>IF([1]!s_stmnote_bank_60(B207,$A207,1)="0","",[1]!s_stmnote_bank_60(B207,$A207,1))</f>
        <v>0</v>
      </c>
      <c r="AB207" s="52">
        <f>[1]!s_stmnote_bank_5444(B207,$A207,1)</f>
        <v>0</v>
      </c>
      <c r="AC207" s="38">
        <f>[1]!s_stmnote_bank_129n($B207,$A207,1)</f>
        <v>0</v>
      </c>
      <c r="AD207" s="54">
        <f>[1]!s_stmnote_bank_30(B207,$A207,1)</f>
        <v>0</v>
      </c>
    </row>
    <row r="208" spans="1:30" ht="24">
      <c r="A208" s="1" t="s">
        <v>1110</v>
      </c>
      <c r="B208" s="87" t="s">
        <v>1316</v>
      </c>
      <c r="C208" s="8">
        <f>IF([1]!b_info_issuer(B208)="0","",IFERROR([1]!b_info_issuer(B208),""))</f>
        <v>0</v>
      </c>
      <c r="D208" s="11">
        <f>IF([1]!b_info_latestissurercreditrating(B208)="0","",IFERROR([1]!b_info_latestissurercreditrating(B208),""))</f>
        <v>0</v>
      </c>
      <c r="E208" s="27" t="str">
        <f>IFERROR(([1]!b_stm07_bs($B208,47,$A208,1,100000000))/[1]!b_stm07_bs($B208,109,$A208,1,100000000),"")</f>
        <v/>
      </c>
      <c r="F208" s="18" t="str">
        <f>IFERROR(([1]!s_stmnote_bank_26($B208,$A208,1,100000000)-[1]!s_stmnote_bank_26($B208,#REF!,1,100000000)+#REF!)/[1]!s_stmnote_bank_1n($B208,#REF!,1,100000000),"")</f>
        <v/>
      </c>
      <c r="G208" s="21" t="str">
        <f t="shared" si="6"/>
        <v/>
      </c>
      <c r="H208" s="18" t="str">
        <f>IFERROR([1]!s_stmnote_bank($B208,"34",$A208,100000000)/[1]!s_stmnote_bank_1n(B208,$A208,1,100000000),"")</f>
        <v/>
      </c>
      <c r="I208" s="25">
        <f>[1]!b_stm07_bs(B208,74,$A208,1,100000000)</f>
        <v>0</v>
      </c>
      <c r="J208" s="25">
        <f>[1]!b_stm07_bs(B208,109,$A208,1,100000000)</f>
        <v>0</v>
      </c>
      <c r="K208" s="10">
        <f>[1]!s_stmnote_bank_5n(B208,$A208,1)</f>
        <v>0</v>
      </c>
      <c r="L208" s="25">
        <f>[1]!s_stmnote_bank_23n(B208,$A208,1)</f>
        <v>0</v>
      </c>
      <c r="M208" s="25">
        <f>[1]!s_stmnote_bank_capadequacyratio(B208,$A208,1)</f>
        <v>0</v>
      </c>
      <c r="N208" s="25">
        <f>[1]!s_stmnote_bank_capadequacyratio_ct1(B208,$A208,1)</f>
        <v>0</v>
      </c>
      <c r="O208" s="6">
        <f>IF(OR([1]!s_fa_roe(B208,20201231)="0",[1]!s_fa_roe(B208,20211231)="0",[1]!s_fa_roe(B208,20221231)="0"),"",IFERROR(([1]!s_fa_roe(B208,20221231)+[1]!s_fa_roe(B208,20201231)+[1]!s_fa_roe(B208,20211231))/3,""))</f>
        <v>0</v>
      </c>
      <c r="P208" s="28" t="str">
        <f>IFERROR(([1]!s_stmnote_bank_65(B208,$A208,1,2,4,100000000)+[1]!s_stmnote_bank_65(B208,$A208,1,2,6,100000000))/[1]!s_stmnote_bank_1n(B208,$A208,1,100000000),"")</f>
        <v/>
      </c>
      <c r="Q208" s="28" t="str">
        <f>IFERROR([1]!s_stmnote_bank_614(B208,$A208,1,2,100000000)/[1]!s_stmnote_bank_647(B208,$A208,1,2,100000000),"")</f>
        <v/>
      </c>
      <c r="R208" s="28" t="str">
        <f>IFERROR(([1]!b_stm07_bs(B208,104,$A208,1,100000000)+[1]!b_stm07_bs(B208,106,$A208,1,100000000)+[1]!b_stm07_bs(B208,76,$A208,1,100000000)+[1]!b_stm07_bs(B208,108,$A208,1,100000000)+[1]!b_stm07_bs(B208,95,$A208,1,100000000))/[1]!b_stm07_bs(B208,128,$A208,1,100000000),"")</f>
        <v/>
      </c>
      <c r="S208" s="28" t="str">
        <f>IFERROR(([1]!s_stmnote_bank_614(B208,$A208,1,2,100000000)+[1]!b_stm07_bs(B208,104,$A208,1,100000000)+[1]!b_stm07_bs(B208,106,$A208,1,100000000)+[1]!b_stm07_bs(B208,76,$A208,1,100000000)+[1]!b_stm07_bs(B208,108,$A208,1,100000000)+[1]!b_stm07_bs(B208,95,$A208,1,100000000))/[1]!b_stm07_bs(B208,128,$A208,1,100000000),"")</f>
        <v/>
      </c>
      <c r="T208" s="11">
        <f>[1]!b_issuer_shareholder(B208,"",1)</f>
        <v>0</v>
      </c>
      <c r="U208" s="10">
        <f>[1]!b_issuer_propofshareholder(B208,"",1)</f>
        <v>0</v>
      </c>
      <c r="V208" s="33" t="str">
        <f t="shared" si="7"/>
        <v>0</v>
      </c>
      <c r="W208" s="33">
        <f>[1]!s_info_city(B208)</f>
        <v>0</v>
      </c>
      <c r="X208" s="10">
        <f>IF([1]!s_stmnote_bank_17n(B208,$A208,1)="0","",[1]!s_stmnote_bank_17n(B208,$A208,1))</f>
        <v>0</v>
      </c>
      <c r="Y208" s="10">
        <f>IF([1]!s_stmnote_bank_18n(B208,$A208,1)="0","",[1]!s_stmnote_bank_18n(B208,$A208,1))</f>
        <v>0</v>
      </c>
      <c r="Z208" s="41">
        <f>IF([1]!s_stmnote_bank_58(B208,$A208,1)="0","",[1]!s_stmnote_bank_58(B208,$A208,1))</f>
        <v>0</v>
      </c>
      <c r="AA208" s="52">
        <f>IF([1]!s_stmnote_bank_60(B208,$A208,1)="0","",[1]!s_stmnote_bank_60(B208,$A208,1))</f>
        <v>0</v>
      </c>
      <c r="AB208" s="52">
        <f>[1]!s_stmnote_bank_5444(B208,$A208,1)</f>
        <v>0</v>
      </c>
      <c r="AC208" s="38">
        <f>[1]!s_stmnote_bank_129n($B208,$A208,1)</f>
        <v>0</v>
      </c>
      <c r="AD208" s="54">
        <f>[1]!s_stmnote_bank_30(B208,$A208,1)</f>
        <v>0</v>
      </c>
    </row>
    <row r="209" spans="1:30" ht="24">
      <c r="A209" s="1" t="s">
        <v>1110</v>
      </c>
      <c r="B209" s="87" t="s">
        <v>1317</v>
      </c>
      <c r="C209" s="8">
        <f>IF([1]!b_info_issuer(B209)="0","",IFERROR([1]!b_info_issuer(B209),""))</f>
        <v>0</v>
      </c>
      <c r="D209" s="11">
        <f>IF([1]!b_info_latestissurercreditrating(B209)="0","",IFERROR([1]!b_info_latestissurercreditrating(B209),""))</f>
        <v>0</v>
      </c>
      <c r="E209" s="27" t="str">
        <f>IFERROR(([1]!b_stm07_bs($B209,47,$A209,1,100000000))/[1]!b_stm07_bs($B209,109,$A209,1,100000000),"")</f>
        <v/>
      </c>
      <c r="F209" s="18" t="str">
        <f>IFERROR(([1]!s_stmnote_bank_26($B209,$A209,1,100000000)-[1]!s_stmnote_bank_26($B209,#REF!,1,100000000)+#REF!)/[1]!s_stmnote_bank_1n($B209,#REF!,1,100000000),"")</f>
        <v/>
      </c>
      <c r="G209" s="21" t="str">
        <f t="shared" si="6"/>
        <v/>
      </c>
      <c r="H209" s="18" t="str">
        <f>IFERROR([1]!s_stmnote_bank($B209,"34",$A209,100000000)/[1]!s_stmnote_bank_1n(B209,$A209,1,100000000),"")</f>
        <v/>
      </c>
      <c r="I209" s="25">
        <f>[1]!b_stm07_bs(B209,74,$A209,1,100000000)</f>
        <v>0</v>
      </c>
      <c r="J209" s="25">
        <f>[1]!b_stm07_bs(B209,109,$A209,1,100000000)</f>
        <v>0</v>
      </c>
      <c r="K209" s="10">
        <f>[1]!s_stmnote_bank_5n(B209,$A209,1)</f>
        <v>0</v>
      </c>
      <c r="L209" s="25">
        <f>[1]!s_stmnote_bank_23n(B209,$A209,1)</f>
        <v>0</v>
      </c>
      <c r="M209" s="25">
        <f>[1]!s_stmnote_bank_capadequacyratio(B209,$A209,1)</f>
        <v>0</v>
      </c>
      <c r="N209" s="25">
        <f>[1]!s_stmnote_bank_capadequacyratio_ct1(B209,$A209,1)</f>
        <v>0</v>
      </c>
      <c r="O209" s="6">
        <f>IF(OR([1]!s_fa_roe(B209,20201231)="0",[1]!s_fa_roe(B209,20211231)="0",[1]!s_fa_roe(B209,20221231)="0"),"",IFERROR(([1]!s_fa_roe(B209,20221231)+[1]!s_fa_roe(B209,20201231)+[1]!s_fa_roe(B209,20211231))/3,""))</f>
        <v>0</v>
      </c>
      <c r="P209" s="28" t="str">
        <f>IFERROR(([1]!s_stmnote_bank_65(B209,$A209,1,2,4,100000000)+[1]!s_stmnote_bank_65(B209,$A209,1,2,6,100000000))/[1]!s_stmnote_bank_1n(B209,$A209,1,100000000),"")</f>
        <v/>
      </c>
      <c r="Q209" s="28" t="str">
        <f>IFERROR([1]!s_stmnote_bank_614(B209,$A209,1,2,100000000)/[1]!s_stmnote_bank_647(B209,$A209,1,2,100000000),"")</f>
        <v/>
      </c>
      <c r="R209" s="28" t="str">
        <f>IFERROR(([1]!b_stm07_bs(B209,104,$A209,1,100000000)+[1]!b_stm07_bs(B209,106,$A209,1,100000000)+[1]!b_stm07_bs(B209,76,$A209,1,100000000)+[1]!b_stm07_bs(B209,108,$A209,1,100000000)+[1]!b_stm07_bs(B209,95,$A209,1,100000000))/[1]!b_stm07_bs(B209,128,$A209,1,100000000),"")</f>
        <v/>
      </c>
      <c r="S209" s="28" t="str">
        <f>IFERROR(([1]!s_stmnote_bank_614(B209,$A209,1,2,100000000)+[1]!b_stm07_bs(B209,104,$A209,1,100000000)+[1]!b_stm07_bs(B209,106,$A209,1,100000000)+[1]!b_stm07_bs(B209,76,$A209,1,100000000)+[1]!b_stm07_bs(B209,108,$A209,1,100000000)+[1]!b_stm07_bs(B209,95,$A209,1,100000000))/[1]!b_stm07_bs(B209,128,$A209,1,100000000),"")</f>
        <v/>
      </c>
      <c r="T209" s="11">
        <f>[1]!b_issuer_shareholder(B209,"",1)</f>
        <v>0</v>
      </c>
      <c r="U209" s="10">
        <f>[1]!b_issuer_propofshareholder(B209,"",1)</f>
        <v>0</v>
      </c>
      <c r="V209" s="33" t="str">
        <f t="shared" si="7"/>
        <v>0</v>
      </c>
      <c r="W209" s="33">
        <f>[1]!s_info_city(B209)</f>
        <v>0</v>
      </c>
      <c r="X209" s="10">
        <f>IF([1]!s_stmnote_bank_17n(B209,$A209,1)="0","",[1]!s_stmnote_bank_17n(B209,$A209,1))</f>
        <v>0</v>
      </c>
      <c r="Y209" s="10">
        <f>IF([1]!s_stmnote_bank_18n(B209,$A209,1)="0","",[1]!s_stmnote_bank_18n(B209,$A209,1))</f>
        <v>0</v>
      </c>
      <c r="Z209" s="41">
        <f>IF([1]!s_stmnote_bank_58(B209,$A209,1)="0","",[1]!s_stmnote_bank_58(B209,$A209,1))</f>
        <v>0</v>
      </c>
      <c r="AA209" s="52">
        <f>IF([1]!s_stmnote_bank_60(B209,$A209,1)="0","",[1]!s_stmnote_bank_60(B209,$A209,1))</f>
        <v>0</v>
      </c>
      <c r="AB209" s="52">
        <f>[1]!s_stmnote_bank_5444(B209,$A209,1)</f>
        <v>0</v>
      </c>
      <c r="AC209" s="38">
        <f>[1]!s_stmnote_bank_129n($B209,$A209,1)</f>
        <v>0</v>
      </c>
      <c r="AD209" s="54">
        <f>[1]!s_stmnote_bank_30(B209,$A209,1)</f>
        <v>0</v>
      </c>
    </row>
    <row r="210" spans="1:30" ht="24">
      <c r="A210" s="1" t="s">
        <v>1110</v>
      </c>
      <c r="B210" s="87" t="s">
        <v>1318</v>
      </c>
      <c r="C210" s="8">
        <f>IF([1]!b_info_issuer(B210)="0","",IFERROR([1]!b_info_issuer(B210),""))</f>
        <v>0</v>
      </c>
      <c r="D210" s="11">
        <f>IF([1]!b_info_latestissurercreditrating(B210)="0","",IFERROR([1]!b_info_latestissurercreditrating(B210),""))</f>
        <v>0</v>
      </c>
      <c r="E210" s="27" t="str">
        <f>IFERROR(([1]!b_stm07_bs($B210,47,$A210,1,100000000))/[1]!b_stm07_bs($B210,109,$A210,1,100000000),"")</f>
        <v/>
      </c>
      <c r="F210" s="18" t="str">
        <f>IFERROR(([1]!s_stmnote_bank_26($B210,$A210,1,100000000)-[1]!s_stmnote_bank_26($B210,#REF!,1,100000000)+#REF!)/[1]!s_stmnote_bank_1n($B210,#REF!,1,100000000),"")</f>
        <v/>
      </c>
      <c r="G210" s="21" t="str">
        <f t="shared" si="6"/>
        <v/>
      </c>
      <c r="H210" s="18" t="str">
        <f>IFERROR([1]!s_stmnote_bank($B210,"34",$A210,100000000)/[1]!s_stmnote_bank_1n(B210,$A210,1,100000000),"")</f>
        <v/>
      </c>
      <c r="I210" s="25">
        <f>[1]!b_stm07_bs(B210,74,$A210,1,100000000)</f>
        <v>0</v>
      </c>
      <c r="J210" s="25">
        <f>[1]!b_stm07_bs(B210,109,$A210,1,100000000)</f>
        <v>0</v>
      </c>
      <c r="K210" s="10">
        <f>[1]!s_stmnote_bank_5n(B210,$A210,1)</f>
        <v>0</v>
      </c>
      <c r="L210" s="25">
        <f>[1]!s_stmnote_bank_23n(B210,$A210,1)</f>
        <v>0</v>
      </c>
      <c r="M210" s="25">
        <f>[1]!s_stmnote_bank_capadequacyratio(B210,$A210,1)</f>
        <v>0</v>
      </c>
      <c r="N210" s="25">
        <f>[1]!s_stmnote_bank_capadequacyratio_ct1(B210,$A210,1)</f>
        <v>0</v>
      </c>
      <c r="O210" s="6">
        <f>IF(OR([1]!s_fa_roe(B210,20201231)="0",[1]!s_fa_roe(B210,20211231)="0",[1]!s_fa_roe(B210,20221231)="0"),"",IFERROR(([1]!s_fa_roe(B210,20221231)+[1]!s_fa_roe(B210,20201231)+[1]!s_fa_roe(B210,20211231))/3,""))</f>
        <v>0</v>
      </c>
      <c r="P210" s="28" t="str">
        <f>IFERROR(([1]!s_stmnote_bank_65(B210,$A210,1,2,4,100000000)+[1]!s_stmnote_bank_65(B210,$A210,1,2,6,100000000))/[1]!s_stmnote_bank_1n(B210,$A210,1,100000000),"")</f>
        <v/>
      </c>
      <c r="Q210" s="28" t="str">
        <f>IFERROR([1]!s_stmnote_bank_614(B210,$A210,1,2,100000000)/[1]!s_stmnote_bank_647(B210,$A210,1,2,100000000),"")</f>
        <v/>
      </c>
      <c r="R210" s="28" t="str">
        <f>IFERROR(([1]!b_stm07_bs(B210,104,$A210,1,100000000)+[1]!b_stm07_bs(B210,106,$A210,1,100000000)+[1]!b_stm07_bs(B210,76,$A210,1,100000000)+[1]!b_stm07_bs(B210,108,$A210,1,100000000)+[1]!b_stm07_bs(B210,95,$A210,1,100000000))/[1]!b_stm07_bs(B210,128,$A210,1,100000000),"")</f>
        <v/>
      </c>
      <c r="S210" s="28" t="str">
        <f>IFERROR(([1]!s_stmnote_bank_614(B210,$A210,1,2,100000000)+[1]!b_stm07_bs(B210,104,$A210,1,100000000)+[1]!b_stm07_bs(B210,106,$A210,1,100000000)+[1]!b_stm07_bs(B210,76,$A210,1,100000000)+[1]!b_stm07_bs(B210,108,$A210,1,100000000)+[1]!b_stm07_bs(B210,95,$A210,1,100000000))/[1]!b_stm07_bs(B210,128,$A210,1,100000000),"")</f>
        <v/>
      </c>
      <c r="T210" s="11">
        <f>[1]!b_issuer_shareholder(B210,"",1)</f>
        <v>0</v>
      </c>
      <c r="U210" s="10">
        <f>[1]!b_issuer_propofshareholder(B210,"",1)</f>
        <v>0</v>
      </c>
      <c r="V210" s="33" t="str">
        <f t="shared" si="7"/>
        <v>0</v>
      </c>
      <c r="W210" s="33">
        <f>[1]!s_info_city(B210)</f>
        <v>0</v>
      </c>
      <c r="X210" s="10">
        <f>IF([1]!s_stmnote_bank_17n(B210,$A210,1)="0","",[1]!s_stmnote_bank_17n(B210,$A210,1))</f>
        <v>0</v>
      </c>
      <c r="Y210" s="10">
        <f>IF([1]!s_stmnote_bank_18n(B210,$A210,1)="0","",[1]!s_stmnote_bank_18n(B210,$A210,1))</f>
        <v>0</v>
      </c>
      <c r="Z210" s="41">
        <f>IF([1]!s_stmnote_bank_58(B210,$A210,1)="0","",[1]!s_stmnote_bank_58(B210,$A210,1))</f>
        <v>0</v>
      </c>
      <c r="AA210" s="52">
        <f>IF([1]!s_stmnote_bank_60(B210,$A210,1)="0","",[1]!s_stmnote_bank_60(B210,$A210,1))</f>
        <v>0</v>
      </c>
      <c r="AB210" s="52">
        <f>[1]!s_stmnote_bank_5444(B210,$A210,1)</f>
        <v>0</v>
      </c>
      <c r="AC210" s="38">
        <f>[1]!s_stmnote_bank_129n($B210,$A210,1)</f>
        <v>0</v>
      </c>
      <c r="AD210" s="54">
        <f>[1]!s_stmnote_bank_30(B210,$A210,1)</f>
        <v>0</v>
      </c>
    </row>
    <row r="211" spans="1:30" ht="24">
      <c r="A211" s="1" t="s">
        <v>1110</v>
      </c>
      <c r="B211" s="87" t="s">
        <v>1319</v>
      </c>
      <c r="C211" s="8">
        <f>IF([1]!b_info_issuer(B211)="0","",IFERROR([1]!b_info_issuer(B211),""))</f>
        <v>0</v>
      </c>
      <c r="D211" s="11">
        <f>IF([1]!b_info_latestissurercreditrating(B211)="0","",IFERROR([1]!b_info_latestissurercreditrating(B211),""))</f>
        <v>0</v>
      </c>
      <c r="E211" s="27" t="str">
        <f>IFERROR(([1]!b_stm07_bs($B211,47,$A211,1,100000000))/[1]!b_stm07_bs($B211,109,$A211,1,100000000),"")</f>
        <v/>
      </c>
      <c r="F211" s="18" t="str">
        <f>IFERROR(([1]!s_stmnote_bank_26($B211,$A211,1,100000000)-[1]!s_stmnote_bank_26($B211,#REF!,1,100000000)+#REF!)/[1]!s_stmnote_bank_1n($B211,#REF!,1,100000000),"")</f>
        <v/>
      </c>
      <c r="G211" s="21" t="str">
        <f t="shared" si="6"/>
        <v/>
      </c>
      <c r="H211" s="18" t="str">
        <f>IFERROR([1]!s_stmnote_bank($B211,"34",$A211,100000000)/[1]!s_stmnote_bank_1n(B211,$A211,1,100000000),"")</f>
        <v/>
      </c>
      <c r="I211" s="25">
        <f>[1]!b_stm07_bs(B211,74,$A211,1,100000000)</f>
        <v>0</v>
      </c>
      <c r="J211" s="25">
        <f>[1]!b_stm07_bs(B211,109,$A211,1,100000000)</f>
        <v>0</v>
      </c>
      <c r="K211" s="10">
        <f>[1]!s_stmnote_bank_5n(B211,$A211,1)</f>
        <v>0</v>
      </c>
      <c r="L211" s="25">
        <f>[1]!s_stmnote_bank_23n(B211,$A211,1)</f>
        <v>0</v>
      </c>
      <c r="M211" s="25">
        <f>[1]!s_stmnote_bank_capadequacyratio(B211,$A211,1)</f>
        <v>0</v>
      </c>
      <c r="N211" s="25">
        <f>[1]!s_stmnote_bank_capadequacyratio_ct1(B211,$A211,1)</f>
        <v>0</v>
      </c>
      <c r="O211" s="6">
        <f>IF(OR([1]!s_fa_roe(B211,20201231)="0",[1]!s_fa_roe(B211,20211231)="0",[1]!s_fa_roe(B211,20221231)="0"),"",IFERROR(([1]!s_fa_roe(B211,20221231)+[1]!s_fa_roe(B211,20201231)+[1]!s_fa_roe(B211,20211231))/3,""))</f>
        <v>0</v>
      </c>
      <c r="P211" s="28" t="str">
        <f>IFERROR(([1]!s_stmnote_bank_65(B211,$A211,1,2,4,100000000)+[1]!s_stmnote_bank_65(B211,$A211,1,2,6,100000000))/[1]!s_stmnote_bank_1n(B211,$A211,1,100000000),"")</f>
        <v/>
      </c>
      <c r="Q211" s="28" t="str">
        <f>IFERROR([1]!s_stmnote_bank_614(B211,$A211,1,2,100000000)/[1]!s_stmnote_bank_647(B211,$A211,1,2,100000000),"")</f>
        <v/>
      </c>
      <c r="R211" s="28" t="str">
        <f>IFERROR(([1]!b_stm07_bs(B211,104,$A211,1,100000000)+[1]!b_stm07_bs(B211,106,$A211,1,100000000)+[1]!b_stm07_bs(B211,76,$A211,1,100000000)+[1]!b_stm07_bs(B211,108,$A211,1,100000000)+[1]!b_stm07_bs(B211,95,$A211,1,100000000))/[1]!b_stm07_bs(B211,128,$A211,1,100000000),"")</f>
        <v/>
      </c>
      <c r="S211" s="28" t="str">
        <f>IFERROR(([1]!s_stmnote_bank_614(B211,$A211,1,2,100000000)+[1]!b_stm07_bs(B211,104,$A211,1,100000000)+[1]!b_stm07_bs(B211,106,$A211,1,100000000)+[1]!b_stm07_bs(B211,76,$A211,1,100000000)+[1]!b_stm07_bs(B211,108,$A211,1,100000000)+[1]!b_stm07_bs(B211,95,$A211,1,100000000))/[1]!b_stm07_bs(B211,128,$A211,1,100000000),"")</f>
        <v/>
      </c>
      <c r="T211" s="11">
        <f>[1]!b_issuer_shareholder(B211,"",1)</f>
        <v>0</v>
      </c>
      <c r="U211" s="10">
        <f>[1]!b_issuer_propofshareholder(B211,"",1)</f>
        <v>0</v>
      </c>
      <c r="V211" s="33" t="str">
        <f t="shared" si="7"/>
        <v>0</v>
      </c>
      <c r="W211" s="33">
        <f>[1]!s_info_city(B211)</f>
        <v>0</v>
      </c>
      <c r="X211" s="10">
        <f>IF([1]!s_stmnote_bank_17n(B211,$A211,1)="0","",[1]!s_stmnote_bank_17n(B211,$A211,1))</f>
        <v>0</v>
      </c>
      <c r="Y211" s="10">
        <f>IF([1]!s_stmnote_bank_18n(B211,$A211,1)="0","",[1]!s_stmnote_bank_18n(B211,$A211,1))</f>
        <v>0</v>
      </c>
      <c r="Z211" s="41">
        <f>IF([1]!s_stmnote_bank_58(B211,$A211,1)="0","",[1]!s_stmnote_bank_58(B211,$A211,1))</f>
        <v>0</v>
      </c>
      <c r="AA211" s="52">
        <f>IF([1]!s_stmnote_bank_60(B211,$A211,1)="0","",[1]!s_stmnote_bank_60(B211,$A211,1))</f>
        <v>0</v>
      </c>
      <c r="AB211" s="52">
        <f>[1]!s_stmnote_bank_5444(B211,$A211,1)</f>
        <v>0</v>
      </c>
      <c r="AC211" s="38">
        <f>[1]!s_stmnote_bank_129n($B211,$A211,1)</f>
        <v>0</v>
      </c>
      <c r="AD211" s="54">
        <f>[1]!s_stmnote_bank_30(B211,$A211,1)</f>
        <v>0</v>
      </c>
    </row>
    <row r="212" spans="1:30" ht="24">
      <c r="A212" s="1" t="s">
        <v>1110</v>
      </c>
      <c r="B212" s="87" t="s">
        <v>1320</v>
      </c>
      <c r="C212" s="8">
        <f>IF([1]!b_info_issuer(B212)="0","",IFERROR([1]!b_info_issuer(B212),""))</f>
        <v>0</v>
      </c>
      <c r="D212" s="11">
        <f>IF([1]!b_info_latestissurercreditrating(B212)="0","",IFERROR([1]!b_info_latestissurercreditrating(B212),""))</f>
        <v>0</v>
      </c>
      <c r="E212" s="27" t="str">
        <f>IFERROR(([1]!b_stm07_bs($B212,47,$A212,1,100000000))/[1]!b_stm07_bs($B212,109,$A212,1,100000000),"")</f>
        <v/>
      </c>
      <c r="F212" s="18" t="str">
        <f>IFERROR(([1]!s_stmnote_bank_26($B212,$A212,1,100000000)-[1]!s_stmnote_bank_26($B212,#REF!,1,100000000)+#REF!)/[1]!s_stmnote_bank_1n($B212,#REF!,1,100000000),"")</f>
        <v/>
      </c>
      <c r="G212" s="21" t="str">
        <f t="shared" si="6"/>
        <v/>
      </c>
      <c r="H212" s="18" t="str">
        <f>IFERROR([1]!s_stmnote_bank($B212,"34",$A212,100000000)/[1]!s_stmnote_bank_1n(B212,$A212,1,100000000),"")</f>
        <v/>
      </c>
      <c r="I212" s="25">
        <f>[1]!b_stm07_bs(B212,74,$A212,1,100000000)</f>
        <v>0</v>
      </c>
      <c r="J212" s="25">
        <f>[1]!b_stm07_bs(B212,109,$A212,1,100000000)</f>
        <v>0</v>
      </c>
      <c r="K212" s="10">
        <f>[1]!s_stmnote_bank_5n(B212,$A212,1)</f>
        <v>0</v>
      </c>
      <c r="L212" s="25">
        <f>[1]!s_stmnote_bank_23n(B212,$A212,1)</f>
        <v>0</v>
      </c>
      <c r="M212" s="25">
        <f>[1]!s_stmnote_bank_capadequacyratio(B212,$A212,1)</f>
        <v>0</v>
      </c>
      <c r="N212" s="25">
        <f>[1]!s_stmnote_bank_capadequacyratio_ct1(B212,$A212,1)</f>
        <v>0</v>
      </c>
      <c r="O212" s="6">
        <f>IF(OR([1]!s_fa_roe(B212,20201231)="0",[1]!s_fa_roe(B212,20211231)="0",[1]!s_fa_roe(B212,20221231)="0"),"",IFERROR(([1]!s_fa_roe(B212,20221231)+[1]!s_fa_roe(B212,20201231)+[1]!s_fa_roe(B212,20211231))/3,""))</f>
        <v>0</v>
      </c>
      <c r="P212" s="28" t="str">
        <f>IFERROR(([1]!s_stmnote_bank_65(B212,$A212,1,2,4,100000000)+[1]!s_stmnote_bank_65(B212,$A212,1,2,6,100000000))/[1]!s_stmnote_bank_1n(B212,$A212,1,100000000),"")</f>
        <v/>
      </c>
      <c r="Q212" s="28" t="str">
        <f>IFERROR([1]!s_stmnote_bank_614(B212,$A212,1,2,100000000)/[1]!s_stmnote_bank_647(B212,$A212,1,2,100000000),"")</f>
        <v/>
      </c>
      <c r="R212" s="28" t="str">
        <f>IFERROR(([1]!b_stm07_bs(B212,104,$A212,1,100000000)+[1]!b_stm07_bs(B212,106,$A212,1,100000000)+[1]!b_stm07_bs(B212,76,$A212,1,100000000)+[1]!b_stm07_bs(B212,108,$A212,1,100000000)+[1]!b_stm07_bs(B212,95,$A212,1,100000000))/[1]!b_stm07_bs(B212,128,$A212,1,100000000),"")</f>
        <v/>
      </c>
      <c r="S212" s="28" t="str">
        <f>IFERROR(([1]!s_stmnote_bank_614(B212,$A212,1,2,100000000)+[1]!b_stm07_bs(B212,104,$A212,1,100000000)+[1]!b_stm07_bs(B212,106,$A212,1,100000000)+[1]!b_stm07_bs(B212,76,$A212,1,100000000)+[1]!b_stm07_bs(B212,108,$A212,1,100000000)+[1]!b_stm07_bs(B212,95,$A212,1,100000000))/[1]!b_stm07_bs(B212,128,$A212,1,100000000),"")</f>
        <v/>
      </c>
      <c r="T212" s="11">
        <f>[1]!b_issuer_shareholder(B212,"",1)</f>
        <v>0</v>
      </c>
      <c r="U212" s="10">
        <f>[1]!b_issuer_propofshareholder(B212,"",1)</f>
        <v>0</v>
      </c>
      <c r="V212" s="33" t="str">
        <f t="shared" si="7"/>
        <v>0</v>
      </c>
      <c r="W212" s="33">
        <f>[1]!s_info_city(B212)</f>
        <v>0</v>
      </c>
      <c r="X212" s="10">
        <f>IF([1]!s_stmnote_bank_17n(B212,$A212,1)="0","",[1]!s_stmnote_bank_17n(B212,$A212,1))</f>
        <v>0</v>
      </c>
      <c r="Y212" s="10">
        <f>IF([1]!s_stmnote_bank_18n(B212,$A212,1)="0","",[1]!s_stmnote_bank_18n(B212,$A212,1))</f>
        <v>0</v>
      </c>
      <c r="Z212" s="41">
        <f>IF([1]!s_stmnote_bank_58(B212,$A212,1)="0","",[1]!s_stmnote_bank_58(B212,$A212,1))</f>
        <v>0</v>
      </c>
      <c r="AA212" s="52">
        <f>IF([1]!s_stmnote_bank_60(B212,$A212,1)="0","",[1]!s_stmnote_bank_60(B212,$A212,1))</f>
        <v>0</v>
      </c>
      <c r="AB212" s="52">
        <f>[1]!s_stmnote_bank_5444(B212,$A212,1)</f>
        <v>0</v>
      </c>
      <c r="AC212" s="38">
        <f>[1]!s_stmnote_bank_129n($B212,$A212,1)</f>
        <v>0</v>
      </c>
      <c r="AD212" s="54">
        <f>[1]!s_stmnote_bank_30(B212,$A212,1)</f>
        <v>0</v>
      </c>
    </row>
    <row r="213" spans="1:30" ht="24">
      <c r="A213" s="1" t="s">
        <v>1110</v>
      </c>
      <c r="B213" s="87" t="s">
        <v>1321</v>
      </c>
      <c r="C213" s="8">
        <f>IF([1]!b_info_issuer(B213)="0","",IFERROR([1]!b_info_issuer(B213),""))</f>
        <v>0</v>
      </c>
      <c r="D213" s="11">
        <f>IF([1]!b_info_latestissurercreditrating(B213)="0","",IFERROR([1]!b_info_latestissurercreditrating(B213),""))</f>
        <v>0</v>
      </c>
      <c r="E213" s="27" t="str">
        <f>IFERROR(([1]!b_stm07_bs($B213,47,$A213,1,100000000))/[1]!b_stm07_bs($B213,109,$A213,1,100000000),"")</f>
        <v/>
      </c>
      <c r="F213" s="18" t="str">
        <f>IFERROR(([1]!s_stmnote_bank_26($B213,$A213,1,100000000)-[1]!s_stmnote_bank_26($B213,#REF!,1,100000000)+#REF!)/[1]!s_stmnote_bank_1n($B213,#REF!,1,100000000),"")</f>
        <v/>
      </c>
      <c r="G213" s="21" t="str">
        <f t="shared" si="6"/>
        <v/>
      </c>
      <c r="H213" s="18" t="str">
        <f>IFERROR([1]!s_stmnote_bank($B213,"34",$A213,100000000)/[1]!s_stmnote_bank_1n(B213,$A213,1,100000000),"")</f>
        <v/>
      </c>
      <c r="I213" s="25">
        <f>[1]!b_stm07_bs(B213,74,$A213,1,100000000)</f>
        <v>0</v>
      </c>
      <c r="J213" s="25">
        <f>[1]!b_stm07_bs(B213,109,$A213,1,100000000)</f>
        <v>0</v>
      </c>
      <c r="K213" s="10">
        <f>[1]!s_stmnote_bank_5n(B213,$A213,1)</f>
        <v>0</v>
      </c>
      <c r="L213" s="25">
        <f>[1]!s_stmnote_bank_23n(B213,$A213,1)</f>
        <v>0</v>
      </c>
      <c r="M213" s="25">
        <f>[1]!s_stmnote_bank_capadequacyratio(B213,$A213,1)</f>
        <v>0</v>
      </c>
      <c r="N213" s="25">
        <f>[1]!s_stmnote_bank_capadequacyratio_ct1(B213,$A213,1)</f>
        <v>0</v>
      </c>
      <c r="O213" s="6">
        <f>IF(OR([1]!s_fa_roe(B213,20201231)="0",[1]!s_fa_roe(B213,20211231)="0",[1]!s_fa_roe(B213,20221231)="0"),"",IFERROR(([1]!s_fa_roe(B213,20221231)+[1]!s_fa_roe(B213,20201231)+[1]!s_fa_roe(B213,20211231))/3,""))</f>
        <v>0</v>
      </c>
      <c r="P213" s="28" t="str">
        <f>IFERROR(([1]!s_stmnote_bank_65(B213,$A213,1,2,4,100000000)+[1]!s_stmnote_bank_65(B213,$A213,1,2,6,100000000))/[1]!s_stmnote_bank_1n(B213,$A213,1,100000000),"")</f>
        <v/>
      </c>
      <c r="Q213" s="28" t="str">
        <f>IFERROR([1]!s_stmnote_bank_614(B213,$A213,1,2,100000000)/[1]!s_stmnote_bank_647(B213,$A213,1,2,100000000),"")</f>
        <v/>
      </c>
      <c r="R213" s="28" t="str">
        <f>IFERROR(([1]!b_stm07_bs(B213,104,$A213,1,100000000)+[1]!b_stm07_bs(B213,106,$A213,1,100000000)+[1]!b_stm07_bs(B213,76,$A213,1,100000000)+[1]!b_stm07_bs(B213,108,$A213,1,100000000)+[1]!b_stm07_bs(B213,95,$A213,1,100000000))/[1]!b_stm07_bs(B213,128,$A213,1,100000000),"")</f>
        <v/>
      </c>
      <c r="S213" s="28" t="str">
        <f>IFERROR(([1]!s_stmnote_bank_614(B213,$A213,1,2,100000000)+[1]!b_stm07_bs(B213,104,$A213,1,100000000)+[1]!b_stm07_bs(B213,106,$A213,1,100000000)+[1]!b_stm07_bs(B213,76,$A213,1,100000000)+[1]!b_stm07_bs(B213,108,$A213,1,100000000)+[1]!b_stm07_bs(B213,95,$A213,1,100000000))/[1]!b_stm07_bs(B213,128,$A213,1,100000000),"")</f>
        <v/>
      </c>
      <c r="T213" s="11">
        <f>[1]!b_issuer_shareholder(B213,"",1)</f>
        <v>0</v>
      </c>
      <c r="U213" s="10">
        <f>[1]!b_issuer_propofshareholder(B213,"",1)</f>
        <v>0</v>
      </c>
      <c r="V213" s="33" t="str">
        <f t="shared" si="7"/>
        <v>0</v>
      </c>
      <c r="W213" s="33">
        <f>[1]!s_info_city(B213)</f>
        <v>0</v>
      </c>
      <c r="X213" s="10">
        <f>IF([1]!s_stmnote_bank_17n(B213,$A213,1)="0","",[1]!s_stmnote_bank_17n(B213,$A213,1))</f>
        <v>0</v>
      </c>
      <c r="Y213" s="10">
        <f>IF([1]!s_stmnote_bank_18n(B213,$A213,1)="0","",[1]!s_stmnote_bank_18n(B213,$A213,1))</f>
        <v>0</v>
      </c>
      <c r="Z213" s="41">
        <f>IF([1]!s_stmnote_bank_58(B213,$A213,1)="0","",[1]!s_stmnote_bank_58(B213,$A213,1))</f>
        <v>0</v>
      </c>
      <c r="AA213" s="52">
        <f>IF([1]!s_stmnote_bank_60(B213,$A213,1)="0","",[1]!s_stmnote_bank_60(B213,$A213,1))</f>
        <v>0</v>
      </c>
      <c r="AB213" s="52">
        <f>[1]!s_stmnote_bank_5444(B213,$A213,1)</f>
        <v>0</v>
      </c>
      <c r="AC213" s="38">
        <f>[1]!s_stmnote_bank_129n($B213,$A213,1)</f>
        <v>0</v>
      </c>
      <c r="AD213" s="54">
        <f>[1]!s_stmnote_bank_30(B213,$A213,1)</f>
        <v>0</v>
      </c>
    </row>
    <row r="214" spans="1:30" ht="24">
      <c r="A214" s="1" t="s">
        <v>1110</v>
      </c>
      <c r="B214" s="87" t="s">
        <v>1322</v>
      </c>
      <c r="C214" s="8">
        <f>IF([1]!b_info_issuer(B214)="0","",IFERROR([1]!b_info_issuer(B214),""))</f>
        <v>0</v>
      </c>
      <c r="D214" s="11">
        <f>IF([1]!b_info_latestissurercreditrating(B214)="0","",IFERROR([1]!b_info_latestissurercreditrating(B214),""))</f>
        <v>0</v>
      </c>
      <c r="E214" s="27" t="str">
        <f>IFERROR(([1]!b_stm07_bs($B214,47,$A214,1,100000000))/[1]!b_stm07_bs($B214,109,$A214,1,100000000),"")</f>
        <v/>
      </c>
      <c r="F214" s="18" t="str">
        <f>IFERROR(([1]!s_stmnote_bank_26($B214,$A214,1,100000000)-[1]!s_stmnote_bank_26($B214,#REF!,1,100000000)+#REF!)/[1]!s_stmnote_bank_1n($B214,#REF!,1,100000000),"")</f>
        <v/>
      </c>
      <c r="G214" s="21" t="str">
        <f t="shared" si="6"/>
        <v/>
      </c>
      <c r="H214" s="18" t="str">
        <f>IFERROR([1]!s_stmnote_bank($B214,"34",$A214,100000000)/[1]!s_stmnote_bank_1n(B214,$A214,1,100000000),"")</f>
        <v/>
      </c>
      <c r="I214" s="25">
        <f>[1]!b_stm07_bs(B214,74,$A214,1,100000000)</f>
        <v>0</v>
      </c>
      <c r="J214" s="25">
        <f>[1]!b_stm07_bs(B214,109,$A214,1,100000000)</f>
        <v>0</v>
      </c>
      <c r="K214" s="10">
        <f>[1]!s_stmnote_bank_5n(B214,$A214,1)</f>
        <v>0</v>
      </c>
      <c r="L214" s="25">
        <f>[1]!s_stmnote_bank_23n(B214,$A214,1)</f>
        <v>0</v>
      </c>
      <c r="M214" s="25">
        <f>[1]!s_stmnote_bank_capadequacyratio(B214,$A214,1)</f>
        <v>0</v>
      </c>
      <c r="N214" s="25">
        <f>[1]!s_stmnote_bank_capadequacyratio_ct1(B214,$A214,1)</f>
        <v>0</v>
      </c>
      <c r="O214" s="6">
        <f>IF(OR([1]!s_fa_roe(B214,20201231)="0",[1]!s_fa_roe(B214,20211231)="0",[1]!s_fa_roe(B214,20221231)="0"),"",IFERROR(([1]!s_fa_roe(B214,20221231)+[1]!s_fa_roe(B214,20201231)+[1]!s_fa_roe(B214,20211231))/3,""))</f>
        <v>0</v>
      </c>
      <c r="P214" s="28" t="str">
        <f>IFERROR(([1]!s_stmnote_bank_65(B214,$A214,1,2,4,100000000)+[1]!s_stmnote_bank_65(B214,$A214,1,2,6,100000000))/[1]!s_stmnote_bank_1n(B214,$A214,1,100000000),"")</f>
        <v/>
      </c>
      <c r="Q214" s="28" t="str">
        <f>IFERROR([1]!s_stmnote_bank_614(B214,$A214,1,2,100000000)/[1]!s_stmnote_bank_647(B214,$A214,1,2,100000000),"")</f>
        <v/>
      </c>
      <c r="R214" s="28" t="str">
        <f>IFERROR(([1]!b_stm07_bs(B214,104,$A214,1,100000000)+[1]!b_stm07_bs(B214,106,$A214,1,100000000)+[1]!b_stm07_bs(B214,76,$A214,1,100000000)+[1]!b_stm07_bs(B214,108,$A214,1,100000000)+[1]!b_stm07_bs(B214,95,$A214,1,100000000))/[1]!b_stm07_bs(B214,128,$A214,1,100000000),"")</f>
        <v/>
      </c>
      <c r="S214" s="28" t="str">
        <f>IFERROR(([1]!s_stmnote_bank_614(B214,$A214,1,2,100000000)+[1]!b_stm07_bs(B214,104,$A214,1,100000000)+[1]!b_stm07_bs(B214,106,$A214,1,100000000)+[1]!b_stm07_bs(B214,76,$A214,1,100000000)+[1]!b_stm07_bs(B214,108,$A214,1,100000000)+[1]!b_stm07_bs(B214,95,$A214,1,100000000))/[1]!b_stm07_bs(B214,128,$A214,1,100000000),"")</f>
        <v/>
      </c>
      <c r="T214" s="11">
        <f>[1]!b_issuer_shareholder(B214,"",1)</f>
        <v>0</v>
      </c>
      <c r="U214" s="10">
        <f>[1]!b_issuer_propofshareholder(B214,"",1)</f>
        <v>0</v>
      </c>
      <c r="V214" s="33" t="str">
        <f t="shared" si="7"/>
        <v>0</v>
      </c>
      <c r="W214" s="33">
        <f>[1]!s_info_city(B214)</f>
        <v>0</v>
      </c>
      <c r="X214" s="10">
        <f>IF([1]!s_stmnote_bank_17n(B214,$A214,1)="0","",[1]!s_stmnote_bank_17n(B214,$A214,1))</f>
        <v>0</v>
      </c>
      <c r="Y214" s="10">
        <f>IF([1]!s_stmnote_bank_18n(B214,$A214,1)="0","",[1]!s_stmnote_bank_18n(B214,$A214,1))</f>
        <v>0</v>
      </c>
      <c r="Z214" s="41">
        <f>IF([1]!s_stmnote_bank_58(B214,$A214,1)="0","",[1]!s_stmnote_bank_58(B214,$A214,1))</f>
        <v>0</v>
      </c>
      <c r="AA214" s="52">
        <f>IF([1]!s_stmnote_bank_60(B214,$A214,1)="0","",[1]!s_stmnote_bank_60(B214,$A214,1))</f>
        <v>0</v>
      </c>
      <c r="AB214" s="52">
        <f>[1]!s_stmnote_bank_5444(B214,$A214,1)</f>
        <v>0</v>
      </c>
      <c r="AC214" s="38">
        <f>[1]!s_stmnote_bank_129n($B214,$A214,1)</f>
        <v>0</v>
      </c>
      <c r="AD214" s="54">
        <f>[1]!s_stmnote_bank_30(B214,$A214,1)</f>
        <v>0</v>
      </c>
    </row>
    <row r="215" spans="1:30" ht="24">
      <c r="A215" s="1" t="s">
        <v>1110</v>
      </c>
      <c r="B215" s="87" t="s">
        <v>1323</v>
      </c>
      <c r="C215" s="8">
        <f>IF([1]!b_info_issuer(B215)="0","",IFERROR([1]!b_info_issuer(B215),""))</f>
        <v>0</v>
      </c>
      <c r="D215" s="11">
        <f>IF([1]!b_info_latestissurercreditrating(B215)="0","",IFERROR([1]!b_info_latestissurercreditrating(B215),""))</f>
        <v>0</v>
      </c>
      <c r="E215" s="27" t="str">
        <f>IFERROR(([1]!b_stm07_bs($B215,47,$A215,1,100000000))/[1]!b_stm07_bs($B215,109,$A215,1,100000000),"")</f>
        <v/>
      </c>
      <c r="F215" s="18" t="str">
        <f>IFERROR(([1]!s_stmnote_bank_26($B215,$A215,1,100000000)-[1]!s_stmnote_bank_26($B215,#REF!,1,100000000)+#REF!)/[1]!s_stmnote_bank_1n($B215,#REF!,1,100000000),"")</f>
        <v/>
      </c>
      <c r="G215" s="21" t="str">
        <f t="shared" si="6"/>
        <v/>
      </c>
      <c r="H215" s="18" t="str">
        <f>IFERROR([1]!s_stmnote_bank($B215,"34",$A215,100000000)/[1]!s_stmnote_bank_1n(B215,$A215,1,100000000),"")</f>
        <v/>
      </c>
      <c r="I215" s="25">
        <f>[1]!b_stm07_bs(B215,74,$A215,1,100000000)</f>
        <v>0</v>
      </c>
      <c r="J215" s="25">
        <f>[1]!b_stm07_bs(B215,109,$A215,1,100000000)</f>
        <v>0</v>
      </c>
      <c r="K215" s="10">
        <f>[1]!s_stmnote_bank_5n(B215,$A215,1)</f>
        <v>0</v>
      </c>
      <c r="L215" s="25">
        <f>[1]!s_stmnote_bank_23n(B215,$A215,1)</f>
        <v>0</v>
      </c>
      <c r="M215" s="25">
        <f>[1]!s_stmnote_bank_capadequacyratio(B215,$A215,1)</f>
        <v>0</v>
      </c>
      <c r="N215" s="25">
        <f>[1]!s_stmnote_bank_capadequacyratio_ct1(B215,$A215,1)</f>
        <v>0</v>
      </c>
      <c r="O215" s="6">
        <f>IF(OR([1]!s_fa_roe(B215,20201231)="0",[1]!s_fa_roe(B215,20211231)="0",[1]!s_fa_roe(B215,20221231)="0"),"",IFERROR(([1]!s_fa_roe(B215,20221231)+[1]!s_fa_roe(B215,20201231)+[1]!s_fa_roe(B215,20211231))/3,""))</f>
        <v>0</v>
      </c>
      <c r="P215" s="28" t="str">
        <f>IFERROR(([1]!s_stmnote_bank_65(B215,$A215,1,2,4,100000000)+[1]!s_stmnote_bank_65(B215,$A215,1,2,6,100000000))/[1]!s_stmnote_bank_1n(B215,$A215,1,100000000),"")</f>
        <v/>
      </c>
      <c r="Q215" s="28" t="str">
        <f>IFERROR([1]!s_stmnote_bank_614(B215,$A215,1,2,100000000)/[1]!s_stmnote_bank_647(B215,$A215,1,2,100000000),"")</f>
        <v/>
      </c>
      <c r="R215" s="28" t="str">
        <f>IFERROR(([1]!b_stm07_bs(B215,104,$A215,1,100000000)+[1]!b_stm07_bs(B215,106,$A215,1,100000000)+[1]!b_stm07_bs(B215,76,$A215,1,100000000)+[1]!b_stm07_bs(B215,108,$A215,1,100000000)+[1]!b_stm07_bs(B215,95,$A215,1,100000000))/[1]!b_stm07_bs(B215,128,$A215,1,100000000),"")</f>
        <v/>
      </c>
      <c r="S215" s="28" t="str">
        <f>IFERROR(([1]!s_stmnote_bank_614(B215,$A215,1,2,100000000)+[1]!b_stm07_bs(B215,104,$A215,1,100000000)+[1]!b_stm07_bs(B215,106,$A215,1,100000000)+[1]!b_stm07_bs(B215,76,$A215,1,100000000)+[1]!b_stm07_bs(B215,108,$A215,1,100000000)+[1]!b_stm07_bs(B215,95,$A215,1,100000000))/[1]!b_stm07_bs(B215,128,$A215,1,100000000),"")</f>
        <v/>
      </c>
      <c r="T215" s="11">
        <f>[1]!b_issuer_shareholder(B215,"",1)</f>
        <v>0</v>
      </c>
      <c r="U215" s="10">
        <f>[1]!b_issuer_propofshareholder(B215,"",1)</f>
        <v>0</v>
      </c>
      <c r="V215" s="33" t="str">
        <f t="shared" si="7"/>
        <v>0</v>
      </c>
      <c r="W215" s="33">
        <f>[1]!s_info_city(B215)</f>
        <v>0</v>
      </c>
      <c r="X215" s="10">
        <f>IF([1]!s_stmnote_bank_17n(B215,$A215,1)="0","",[1]!s_stmnote_bank_17n(B215,$A215,1))</f>
        <v>0</v>
      </c>
      <c r="Y215" s="10">
        <f>IF([1]!s_stmnote_bank_18n(B215,$A215,1)="0","",[1]!s_stmnote_bank_18n(B215,$A215,1))</f>
        <v>0</v>
      </c>
      <c r="Z215" s="41">
        <f>IF([1]!s_stmnote_bank_58(B215,$A215,1)="0","",[1]!s_stmnote_bank_58(B215,$A215,1))</f>
        <v>0</v>
      </c>
      <c r="AA215" s="52">
        <f>IF([1]!s_stmnote_bank_60(B215,$A215,1)="0","",[1]!s_stmnote_bank_60(B215,$A215,1))</f>
        <v>0</v>
      </c>
      <c r="AB215" s="52">
        <f>[1]!s_stmnote_bank_5444(B215,$A215,1)</f>
        <v>0</v>
      </c>
      <c r="AC215" s="38">
        <f>[1]!s_stmnote_bank_129n($B215,$A215,1)</f>
        <v>0</v>
      </c>
      <c r="AD215" s="54">
        <f>[1]!s_stmnote_bank_30(B215,$A215,1)</f>
        <v>0</v>
      </c>
    </row>
    <row r="216" spans="1:30" ht="24">
      <c r="A216" s="1" t="s">
        <v>1110</v>
      </c>
      <c r="B216" s="87" t="s">
        <v>1324</v>
      </c>
      <c r="C216" s="8">
        <f>IF([1]!b_info_issuer(B216)="0","",IFERROR([1]!b_info_issuer(B216),""))</f>
        <v>0</v>
      </c>
      <c r="D216" s="11">
        <f>IF([1]!b_info_latestissurercreditrating(B216)="0","",IFERROR([1]!b_info_latestissurercreditrating(B216),""))</f>
        <v>0</v>
      </c>
      <c r="E216" s="27" t="str">
        <f>IFERROR(([1]!b_stm07_bs($B216,47,$A216,1,100000000))/[1]!b_stm07_bs($B216,109,$A216,1,100000000),"")</f>
        <v/>
      </c>
      <c r="F216" s="18" t="str">
        <f>IFERROR(([1]!s_stmnote_bank_26($B216,$A216,1,100000000)-[1]!s_stmnote_bank_26($B216,#REF!,1,100000000)+#REF!)/[1]!s_stmnote_bank_1n($B216,#REF!,1,100000000),"")</f>
        <v/>
      </c>
      <c r="G216" s="21" t="str">
        <f t="shared" si="6"/>
        <v/>
      </c>
      <c r="H216" s="18" t="str">
        <f>IFERROR([1]!s_stmnote_bank($B216,"34",$A216,100000000)/[1]!s_stmnote_bank_1n(B216,$A216,1,100000000),"")</f>
        <v/>
      </c>
      <c r="I216" s="25">
        <f>[1]!b_stm07_bs(B216,74,$A216,1,100000000)</f>
        <v>0</v>
      </c>
      <c r="J216" s="25">
        <f>[1]!b_stm07_bs(B216,109,$A216,1,100000000)</f>
        <v>0</v>
      </c>
      <c r="K216" s="10">
        <f>[1]!s_stmnote_bank_5n(B216,$A216,1)</f>
        <v>0</v>
      </c>
      <c r="L216" s="25">
        <f>[1]!s_stmnote_bank_23n(B216,$A216,1)</f>
        <v>0</v>
      </c>
      <c r="M216" s="25">
        <f>[1]!s_stmnote_bank_capadequacyratio(B216,$A216,1)</f>
        <v>0</v>
      </c>
      <c r="N216" s="25">
        <f>[1]!s_stmnote_bank_capadequacyratio_ct1(B216,$A216,1)</f>
        <v>0</v>
      </c>
      <c r="O216" s="6">
        <f>IF(OR([1]!s_fa_roe(B216,20201231)="0",[1]!s_fa_roe(B216,20211231)="0",[1]!s_fa_roe(B216,20221231)="0"),"",IFERROR(([1]!s_fa_roe(B216,20221231)+[1]!s_fa_roe(B216,20201231)+[1]!s_fa_roe(B216,20211231))/3,""))</f>
        <v>0</v>
      </c>
      <c r="P216" s="28" t="str">
        <f>IFERROR(([1]!s_stmnote_bank_65(B216,$A216,1,2,4,100000000)+[1]!s_stmnote_bank_65(B216,$A216,1,2,6,100000000))/[1]!s_stmnote_bank_1n(B216,$A216,1,100000000),"")</f>
        <v/>
      </c>
      <c r="Q216" s="28" t="str">
        <f>IFERROR([1]!s_stmnote_bank_614(B216,$A216,1,2,100000000)/[1]!s_stmnote_bank_647(B216,$A216,1,2,100000000),"")</f>
        <v/>
      </c>
      <c r="R216" s="28" t="str">
        <f>IFERROR(([1]!b_stm07_bs(B216,104,$A216,1,100000000)+[1]!b_stm07_bs(B216,106,$A216,1,100000000)+[1]!b_stm07_bs(B216,76,$A216,1,100000000)+[1]!b_stm07_bs(B216,108,$A216,1,100000000)+[1]!b_stm07_bs(B216,95,$A216,1,100000000))/[1]!b_stm07_bs(B216,128,$A216,1,100000000),"")</f>
        <v/>
      </c>
      <c r="S216" s="28" t="str">
        <f>IFERROR(([1]!s_stmnote_bank_614(B216,$A216,1,2,100000000)+[1]!b_stm07_bs(B216,104,$A216,1,100000000)+[1]!b_stm07_bs(B216,106,$A216,1,100000000)+[1]!b_stm07_bs(B216,76,$A216,1,100000000)+[1]!b_stm07_bs(B216,108,$A216,1,100000000)+[1]!b_stm07_bs(B216,95,$A216,1,100000000))/[1]!b_stm07_bs(B216,128,$A216,1,100000000),"")</f>
        <v/>
      </c>
      <c r="T216" s="11">
        <f>[1]!b_issuer_shareholder(B216,"",1)</f>
        <v>0</v>
      </c>
      <c r="U216" s="10">
        <f>[1]!b_issuer_propofshareholder(B216,"",1)</f>
        <v>0</v>
      </c>
      <c r="V216" s="33" t="str">
        <f t="shared" si="7"/>
        <v>0</v>
      </c>
      <c r="W216" s="33">
        <f>[1]!s_info_city(B216)</f>
        <v>0</v>
      </c>
      <c r="X216" s="10">
        <f>IF([1]!s_stmnote_bank_17n(B216,$A216,1)="0","",[1]!s_stmnote_bank_17n(B216,$A216,1))</f>
        <v>0</v>
      </c>
      <c r="Y216" s="10">
        <f>IF([1]!s_stmnote_bank_18n(B216,$A216,1)="0","",[1]!s_stmnote_bank_18n(B216,$A216,1))</f>
        <v>0</v>
      </c>
      <c r="Z216" s="41">
        <f>IF([1]!s_stmnote_bank_58(B216,$A216,1)="0","",[1]!s_stmnote_bank_58(B216,$A216,1))</f>
        <v>0</v>
      </c>
      <c r="AA216" s="52">
        <f>IF([1]!s_stmnote_bank_60(B216,$A216,1)="0","",[1]!s_stmnote_bank_60(B216,$A216,1))</f>
        <v>0</v>
      </c>
      <c r="AB216" s="52">
        <f>[1]!s_stmnote_bank_5444(B216,$A216,1)</f>
        <v>0</v>
      </c>
      <c r="AC216" s="38">
        <f>[1]!s_stmnote_bank_129n($B216,$A216,1)</f>
        <v>0</v>
      </c>
      <c r="AD216" s="54">
        <f>[1]!s_stmnote_bank_30(B216,$A216,1)</f>
        <v>0</v>
      </c>
    </row>
    <row r="217" spans="1:30" ht="24">
      <c r="A217" s="1" t="s">
        <v>1110</v>
      </c>
      <c r="B217" s="87" t="s">
        <v>1325</v>
      </c>
      <c r="C217" s="8">
        <f>IF([1]!b_info_issuer(B217)="0","",IFERROR([1]!b_info_issuer(B217),""))</f>
        <v>0</v>
      </c>
      <c r="D217" s="11">
        <f>IF([1]!b_info_latestissurercreditrating(B217)="0","",IFERROR([1]!b_info_latestissurercreditrating(B217),""))</f>
        <v>0</v>
      </c>
      <c r="E217" s="27" t="str">
        <f>IFERROR(([1]!b_stm07_bs($B217,47,$A217,1,100000000))/[1]!b_stm07_bs($B217,109,$A217,1,100000000),"")</f>
        <v/>
      </c>
      <c r="F217" s="18" t="str">
        <f>IFERROR(([1]!s_stmnote_bank_26($B217,$A217,1,100000000)-[1]!s_stmnote_bank_26($B217,#REF!,1,100000000)+#REF!)/[1]!s_stmnote_bank_1n($B217,#REF!,1,100000000),"")</f>
        <v/>
      </c>
      <c r="G217" s="21" t="str">
        <f t="shared" si="6"/>
        <v/>
      </c>
      <c r="H217" s="18" t="str">
        <f>IFERROR([1]!s_stmnote_bank($B217,"34",$A217,100000000)/[1]!s_stmnote_bank_1n(B217,$A217,1,100000000),"")</f>
        <v/>
      </c>
      <c r="I217" s="25">
        <f>[1]!b_stm07_bs(B217,74,$A217,1,100000000)</f>
        <v>0</v>
      </c>
      <c r="J217" s="25">
        <f>[1]!b_stm07_bs(B217,109,$A217,1,100000000)</f>
        <v>0</v>
      </c>
      <c r="K217" s="10">
        <f>[1]!s_stmnote_bank_5n(B217,$A217,1)</f>
        <v>0</v>
      </c>
      <c r="L217" s="25">
        <f>[1]!s_stmnote_bank_23n(B217,$A217,1)</f>
        <v>0</v>
      </c>
      <c r="M217" s="25">
        <f>[1]!s_stmnote_bank_capadequacyratio(B217,$A217,1)</f>
        <v>0</v>
      </c>
      <c r="N217" s="25">
        <f>[1]!s_stmnote_bank_capadequacyratio_ct1(B217,$A217,1)</f>
        <v>0</v>
      </c>
      <c r="O217" s="6">
        <f>IF(OR([1]!s_fa_roe(B217,20201231)="0",[1]!s_fa_roe(B217,20211231)="0",[1]!s_fa_roe(B217,20221231)="0"),"",IFERROR(([1]!s_fa_roe(B217,20221231)+[1]!s_fa_roe(B217,20201231)+[1]!s_fa_roe(B217,20211231))/3,""))</f>
        <v>0</v>
      </c>
      <c r="P217" s="28" t="str">
        <f>IFERROR(([1]!s_stmnote_bank_65(B217,$A217,1,2,4,100000000)+[1]!s_stmnote_bank_65(B217,$A217,1,2,6,100000000))/[1]!s_stmnote_bank_1n(B217,$A217,1,100000000),"")</f>
        <v/>
      </c>
      <c r="Q217" s="28" t="str">
        <f>IFERROR([1]!s_stmnote_bank_614(B217,$A217,1,2,100000000)/[1]!s_stmnote_bank_647(B217,$A217,1,2,100000000),"")</f>
        <v/>
      </c>
      <c r="R217" s="28" t="str">
        <f>IFERROR(([1]!b_stm07_bs(B217,104,$A217,1,100000000)+[1]!b_stm07_bs(B217,106,$A217,1,100000000)+[1]!b_stm07_bs(B217,76,$A217,1,100000000)+[1]!b_stm07_bs(B217,108,$A217,1,100000000)+[1]!b_stm07_bs(B217,95,$A217,1,100000000))/[1]!b_stm07_bs(B217,128,$A217,1,100000000),"")</f>
        <v/>
      </c>
      <c r="S217" s="28" t="str">
        <f>IFERROR(([1]!s_stmnote_bank_614(B217,$A217,1,2,100000000)+[1]!b_stm07_bs(B217,104,$A217,1,100000000)+[1]!b_stm07_bs(B217,106,$A217,1,100000000)+[1]!b_stm07_bs(B217,76,$A217,1,100000000)+[1]!b_stm07_bs(B217,108,$A217,1,100000000)+[1]!b_stm07_bs(B217,95,$A217,1,100000000))/[1]!b_stm07_bs(B217,128,$A217,1,100000000),"")</f>
        <v/>
      </c>
      <c r="T217" s="11">
        <f>[1]!b_issuer_shareholder(B217,"",1)</f>
        <v>0</v>
      </c>
      <c r="U217" s="10">
        <f>[1]!b_issuer_propofshareholder(B217,"",1)</f>
        <v>0</v>
      </c>
      <c r="V217" s="33" t="str">
        <f t="shared" si="7"/>
        <v>0</v>
      </c>
      <c r="W217" s="33">
        <f>[1]!s_info_city(B217)</f>
        <v>0</v>
      </c>
      <c r="X217" s="10">
        <f>IF([1]!s_stmnote_bank_17n(B217,$A217,1)="0","",[1]!s_stmnote_bank_17n(B217,$A217,1))</f>
        <v>0</v>
      </c>
      <c r="Y217" s="10">
        <f>IF([1]!s_stmnote_bank_18n(B217,$A217,1)="0","",[1]!s_stmnote_bank_18n(B217,$A217,1))</f>
        <v>0</v>
      </c>
      <c r="Z217" s="41">
        <f>IF([1]!s_stmnote_bank_58(B217,$A217,1)="0","",[1]!s_stmnote_bank_58(B217,$A217,1))</f>
        <v>0</v>
      </c>
      <c r="AA217" s="52">
        <f>IF([1]!s_stmnote_bank_60(B217,$A217,1)="0","",[1]!s_stmnote_bank_60(B217,$A217,1))</f>
        <v>0</v>
      </c>
      <c r="AB217" s="52">
        <f>[1]!s_stmnote_bank_5444(B217,$A217,1)</f>
        <v>0</v>
      </c>
      <c r="AC217" s="38">
        <f>[1]!s_stmnote_bank_129n($B217,$A217,1)</f>
        <v>0</v>
      </c>
      <c r="AD217" s="54">
        <f>[1]!s_stmnote_bank_30(B217,$A217,1)</f>
        <v>0</v>
      </c>
    </row>
    <row r="218" spans="1:30" ht="24">
      <c r="A218" s="1" t="s">
        <v>1110</v>
      </c>
      <c r="B218" s="87" t="s">
        <v>1326</v>
      </c>
      <c r="C218" s="8">
        <f>IF([1]!b_info_issuer(B218)="0","",IFERROR([1]!b_info_issuer(B218),""))</f>
        <v>0</v>
      </c>
      <c r="D218" s="11">
        <f>IF([1]!b_info_latestissurercreditrating(B218)="0","",IFERROR([1]!b_info_latestissurercreditrating(B218),""))</f>
        <v>0</v>
      </c>
      <c r="E218" s="27" t="str">
        <f>IFERROR(([1]!b_stm07_bs($B218,47,$A218,1,100000000))/[1]!b_stm07_bs($B218,109,$A218,1,100000000),"")</f>
        <v/>
      </c>
      <c r="F218" s="18" t="str">
        <f>IFERROR(([1]!s_stmnote_bank_26($B218,$A218,1,100000000)-[1]!s_stmnote_bank_26($B218,#REF!,1,100000000)+#REF!)/[1]!s_stmnote_bank_1n($B218,#REF!,1,100000000),"")</f>
        <v/>
      </c>
      <c r="G218" s="21" t="str">
        <f t="shared" si="6"/>
        <v/>
      </c>
      <c r="H218" s="18" t="str">
        <f>IFERROR([1]!s_stmnote_bank($B218,"34",$A218,100000000)/[1]!s_stmnote_bank_1n(B218,$A218,1,100000000),"")</f>
        <v/>
      </c>
      <c r="I218" s="25">
        <f>[1]!b_stm07_bs(B218,74,$A218,1,100000000)</f>
        <v>0</v>
      </c>
      <c r="J218" s="25">
        <f>[1]!b_stm07_bs(B218,109,$A218,1,100000000)</f>
        <v>0</v>
      </c>
      <c r="K218" s="10">
        <f>[1]!s_stmnote_bank_5n(B218,$A218,1)</f>
        <v>0</v>
      </c>
      <c r="L218" s="25">
        <f>[1]!s_stmnote_bank_23n(B218,$A218,1)</f>
        <v>0</v>
      </c>
      <c r="M218" s="25">
        <f>[1]!s_stmnote_bank_capadequacyratio(B218,$A218,1)</f>
        <v>0</v>
      </c>
      <c r="N218" s="25">
        <f>[1]!s_stmnote_bank_capadequacyratio_ct1(B218,$A218,1)</f>
        <v>0</v>
      </c>
      <c r="O218" s="6">
        <f>IF(OR([1]!s_fa_roe(B218,20201231)="0",[1]!s_fa_roe(B218,20211231)="0",[1]!s_fa_roe(B218,20221231)="0"),"",IFERROR(([1]!s_fa_roe(B218,20221231)+[1]!s_fa_roe(B218,20201231)+[1]!s_fa_roe(B218,20211231))/3,""))</f>
        <v>0</v>
      </c>
      <c r="P218" s="28" t="str">
        <f>IFERROR(([1]!s_stmnote_bank_65(B218,$A218,1,2,4,100000000)+[1]!s_stmnote_bank_65(B218,$A218,1,2,6,100000000))/[1]!s_stmnote_bank_1n(B218,$A218,1,100000000),"")</f>
        <v/>
      </c>
      <c r="Q218" s="28" t="str">
        <f>IFERROR([1]!s_stmnote_bank_614(B218,$A218,1,2,100000000)/[1]!s_stmnote_bank_647(B218,$A218,1,2,100000000),"")</f>
        <v/>
      </c>
      <c r="R218" s="28" t="str">
        <f>IFERROR(([1]!b_stm07_bs(B218,104,$A218,1,100000000)+[1]!b_stm07_bs(B218,106,$A218,1,100000000)+[1]!b_stm07_bs(B218,76,$A218,1,100000000)+[1]!b_stm07_bs(B218,108,$A218,1,100000000)+[1]!b_stm07_bs(B218,95,$A218,1,100000000))/[1]!b_stm07_bs(B218,128,$A218,1,100000000),"")</f>
        <v/>
      </c>
      <c r="S218" s="28" t="str">
        <f>IFERROR(([1]!s_stmnote_bank_614(B218,$A218,1,2,100000000)+[1]!b_stm07_bs(B218,104,$A218,1,100000000)+[1]!b_stm07_bs(B218,106,$A218,1,100000000)+[1]!b_stm07_bs(B218,76,$A218,1,100000000)+[1]!b_stm07_bs(B218,108,$A218,1,100000000)+[1]!b_stm07_bs(B218,95,$A218,1,100000000))/[1]!b_stm07_bs(B218,128,$A218,1,100000000),"")</f>
        <v/>
      </c>
      <c r="T218" s="11">
        <f>[1]!b_issuer_shareholder(B218,"",1)</f>
        <v>0</v>
      </c>
      <c r="U218" s="10">
        <f>[1]!b_issuer_propofshareholder(B218,"",1)</f>
        <v>0</v>
      </c>
      <c r="V218" s="33" t="str">
        <f t="shared" si="7"/>
        <v>0</v>
      </c>
      <c r="W218" s="33">
        <f>[1]!s_info_city(B218)</f>
        <v>0</v>
      </c>
      <c r="X218" s="10">
        <f>IF([1]!s_stmnote_bank_17n(B218,$A218,1)="0","",[1]!s_stmnote_bank_17n(B218,$A218,1))</f>
        <v>0</v>
      </c>
      <c r="Y218" s="10">
        <f>IF([1]!s_stmnote_bank_18n(B218,$A218,1)="0","",[1]!s_stmnote_bank_18n(B218,$A218,1))</f>
        <v>0</v>
      </c>
      <c r="Z218" s="41">
        <f>IF([1]!s_stmnote_bank_58(B218,$A218,1)="0","",[1]!s_stmnote_bank_58(B218,$A218,1))</f>
        <v>0</v>
      </c>
      <c r="AA218" s="52">
        <f>IF([1]!s_stmnote_bank_60(B218,$A218,1)="0","",[1]!s_stmnote_bank_60(B218,$A218,1))</f>
        <v>0</v>
      </c>
      <c r="AB218" s="52">
        <f>[1]!s_stmnote_bank_5444(B218,$A218,1)</f>
        <v>0</v>
      </c>
      <c r="AC218" s="38">
        <f>[1]!s_stmnote_bank_129n($B218,$A218,1)</f>
        <v>0</v>
      </c>
      <c r="AD218" s="54">
        <f>[1]!s_stmnote_bank_30(B218,$A218,1)</f>
        <v>0</v>
      </c>
    </row>
    <row r="219" spans="1:30" ht="24">
      <c r="A219" s="1" t="s">
        <v>1110</v>
      </c>
      <c r="B219" s="87" t="s">
        <v>1327</v>
      </c>
      <c r="C219" s="8">
        <f>IF([1]!b_info_issuer(B219)="0","",IFERROR([1]!b_info_issuer(B219),""))</f>
        <v>0</v>
      </c>
      <c r="D219" s="11">
        <f>IF([1]!b_info_latestissurercreditrating(B219)="0","",IFERROR([1]!b_info_latestissurercreditrating(B219),""))</f>
        <v>0</v>
      </c>
      <c r="E219" s="27" t="str">
        <f>IFERROR(([1]!b_stm07_bs($B219,47,$A219,1,100000000))/[1]!b_stm07_bs($B219,109,$A219,1,100000000),"")</f>
        <v/>
      </c>
      <c r="F219" s="18" t="str">
        <f>IFERROR(([1]!s_stmnote_bank_26($B219,$A219,1,100000000)-[1]!s_stmnote_bank_26($B219,#REF!,1,100000000)+#REF!)/[1]!s_stmnote_bank_1n($B219,#REF!,1,100000000),"")</f>
        <v/>
      </c>
      <c r="G219" s="21" t="str">
        <f t="shared" si="6"/>
        <v/>
      </c>
      <c r="H219" s="18" t="str">
        <f>IFERROR([1]!s_stmnote_bank($B219,"34",$A219,100000000)/[1]!s_stmnote_bank_1n(B219,$A219,1,100000000),"")</f>
        <v/>
      </c>
      <c r="I219" s="25">
        <f>[1]!b_stm07_bs(B219,74,$A219,1,100000000)</f>
        <v>0</v>
      </c>
      <c r="J219" s="25">
        <f>[1]!b_stm07_bs(B219,109,$A219,1,100000000)</f>
        <v>0</v>
      </c>
      <c r="K219" s="10">
        <f>[1]!s_stmnote_bank_5n(B219,$A219,1)</f>
        <v>0</v>
      </c>
      <c r="L219" s="25">
        <f>[1]!s_stmnote_bank_23n(B219,$A219,1)</f>
        <v>0</v>
      </c>
      <c r="M219" s="25">
        <f>[1]!s_stmnote_bank_capadequacyratio(B219,$A219,1)</f>
        <v>0</v>
      </c>
      <c r="N219" s="25">
        <f>[1]!s_stmnote_bank_capadequacyratio_ct1(B219,$A219,1)</f>
        <v>0</v>
      </c>
      <c r="O219" s="6">
        <f>IF(OR([1]!s_fa_roe(B219,20201231)="0",[1]!s_fa_roe(B219,20211231)="0",[1]!s_fa_roe(B219,20221231)="0"),"",IFERROR(([1]!s_fa_roe(B219,20221231)+[1]!s_fa_roe(B219,20201231)+[1]!s_fa_roe(B219,20211231))/3,""))</f>
        <v>0</v>
      </c>
      <c r="P219" s="28" t="str">
        <f>IFERROR(([1]!s_stmnote_bank_65(B219,$A219,1,2,4,100000000)+[1]!s_stmnote_bank_65(B219,$A219,1,2,6,100000000))/[1]!s_stmnote_bank_1n(B219,$A219,1,100000000),"")</f>
        <v/>
      </c>
      <c r="Q219" s="28" t="str">
        <f>IFERROR([1]!s_stmnote_bank_614(B219,$A219,1,2,100000000)/[1]!s_stmnote_bank_647(B219,$A219,1,2,100000000),"")</f>
        <v/>
      </c>
      <c r="R219" s="28" t="str">
        <f>IFERROR(([1]!b_stm07_bs(B219,104,$A219,1,100000000)+[1]!b_stm07_bs(B219,106,$A219,1,100000000)+[1]!b_stm07_bs(B219,76,$A219,1,100000000)+[1]!b_stm07_bs(B219,108,$A219,1,100000000)+[1]!b_stm07_bs(B219,95,$A219,1,100000000))/[1]!b_stm07_bs(B219,128,$A219,1,100000000),"")</f>
        <v/>
      </c>
      <c r="S219" s="28" t="str">
        <f>IFERROR(([1]!s_stmnote_bank_614(B219,$A219,1,2,100000000)+[1]!b_stm07_bs(B219,104,$A219,1,100000000)+[1]!b_stm07_bs(B219,106,$A219,1,100000000)+[1]!b_stm07_bs(B219,76,$A219,1,100000000)+[1]!b_stm07_bs(B219,108,$A219,1,100000000)+[1]!b_stm07_bs(B219,95,$A219,1,100000000))/[1]!b_stm07_bs(B219,128,$A219,1,100000000),"")</f>
        <v/>
      </c>
      <c r="T219" s="11">
        <f>[1]!b_issuer_shareholder(B219,"",1)</f>
        <v>0</v>
      </c>
      <c r="U219" s="10">
        <f>[1]!b_issuer_propofshareholder(B219,"",1)</f>
        <v>0</v>
      </c>
      <c r="V219" s="33" t="str">
        <f t="shared" si="7"/>
        <v>0</v>
      </c>
      <c r="W219" s="33">
        <f>[1]!s_info_city(B219)</f>
        <v>0</v>
      </c>
      <c r="X219" s="10">
        <f>IF([1]!s_stmnote_bank_17n(B219,$A219,1)="0","",[1]!s_stmnote_bank_17n(B219,$A219,1))</f>
        <v>0</v>
      </c>
      <c r="Y219" s="10">
        <f>IF([1]!s_stmnote_bank_18n(B219,$A219,1)="0","",[1]!s_stmnote_bank_18n(B219,$A219,1))</f>
        <v>0</v>
      </c>
      <c r="Z219" s="41">
        <f>IF([1]!s_stmnote_bank_58(B219,$A219,1)="0","",[1]!s_stmnote_bank_58(B219,$A219,1))</f>
        <v>0</v>
      </c>
      <c r="AA219" s="52">
        <f>IF([1]!s_stmnote_bank_60(B219,$A219,1)="0","",[1]!s_stmnote_bank_60(B219,$A219,1))</f>
        <v>0</v>
      </c>
      <c r="AB219" s="52">
        <f>[1]!s_stmnote_bank_5444(B219,$A219,1)</f>
        <v>0</v>
      </c>
      <c r="AC219" s="38">
        <f>[1]!s_stmnote_bank_129n($B219,$A219,1)</f>
        <v>0</v>
      </c>
      <c r="AD219" s="54">
        <f>[1]!s_stmnote_bank_30(B219,$A219,1)</f>
        <v>0</v>
      </c>
    </row>
    <row r="220" spans="1:30" ht="24">
      <c r="A220" s="1" t="s">
        <v>1110</v>
      </c>
      <c r="B220" s="87" t="s">
        <v>1328</v>
      </c>
      <c r="C220" s="8">
        <f>IF([1]!b_info_issuer(B220)="0","",IFERROR([1]!b_info_issuer(B220),""))</f>
        <v>0</v>
      </c>
      <c r="D220" s="11">
        <f>IF([1]!b_info_latestissurercreditrating(B220)="0","",IFERROR([1]!b_info_latestissurercreditrating(B220),""))</f>
        <v>0</v>
      </c>
      <c r="E220" s="27" t="str">
        <f>IFERROR(([1]!b_stm07_bs($B220,47,$A220,1,100000000))/[1]!b_stm07_bs($B220,109,$A220,1,100000000),"")</f>
        <v/>
      </c>
      <c r="F220" s="18" t="str">
        <f>IFERROR(([1]!s_stmnote_bank_26($B220,$A220,1,100000000)-[1]!s_stmnote_bank_26($B220,#REF!,1,100000000)+#REF!)/[1]!s_stmnote_bank_1n($B220,#REF!,1,100000000),"")</f>
        <v/>
      </c>
      <c r="G220" s="21" t="str">
        <f t="shared" si="6"/>
        <v/>
      </c>
      <c r="H220" s="18" t="str">
        <f>IFERROR([1]!s_stmnote_bank($B220,"34",$A220,100000000)/[1]!s_stmnote_bank_1n(B220,$A220,1,100000000),"")</f>
        <v/>
      </c>
      <c r="I220" s="25">
        <f>[1]!b_stm07_bs(B220,74,$A220,1,100000000)</f>
        <v>0</v>
      </c>
      <c r="J220" s="25">
        <f>[1]!b_stm07_bs(B220,109,$A220,1,100000000)</f>
        <v>0</v>
      </c>
      <c r="K220" s="10">
        <f>[1]!s_stmnote_bank_5n(B220,$A220,1)</f>
        <v>0</v>
      </c>
      <c r="L220" s="25">
        <f>[1]!s_stmnote_bank_23n(B220,$A220,1)</f>
        <v>0</v>
      </c>
      <c r="M220" s="25">
        <f>[1]!s_stmnote_bank_capadequacyratio(B220,$A220,1)</f>
        <v>0</v>
      </c>
      <c r="N220" s="25">
        <f>[1]!s_stmnote_bank_capadequacyratio_ct1(B220,$A220,1)</f>
        <v>0</v>
      </c>
      <c r="O220" s="6">
        <f>IF(OR([1]!s_fa_roe(B220,20201231)="0",[1]!s_fa_roe(B220,20211231)="0",[1]!s_fa_roe(B220,20221231)="0"),"",IFERROR(([1]!s_fa_roe(B220,20221231)+[1]!s_fa_roe(B220,20201231)+[1]!s_fa_roe(B220,20211231))/3,""))</f>
        <v>0</v>
      </c>
      <c r="P220" s="28" t="str">
        <f>IFERROR(([1]!s_stmnote_bank_65(B220,$A220,1,2,4,100000000)+[1]!s_stmnote_bank_65(B220,$A220,1,2,6,100000000))/[1]!s_stmnote_bank_1n(B220,$A220,1,100000000),"")</f>
        <v/>
      </c>
      <c r="Q220" s="28" t="str">
        <f>IFERROR([1]!s_stmnote_bank_614(B220,$A220,1,2,100000000)/[1]!s_stmnote_bank_647(B220,$A220,1,2,100000000),"")</f>
        <v/>
      </c>
      <c r="R220" s="28" t="str">
        <f>IFERROR(([1]!b_stm07_bs(B220,104,$A220,1,100000000)+[1]!b_stm07_bs(B220,106,$A220,1,100000000)+[1]!b_stm07_bs(B220,76,$A220,1,100000000)+[1]!b_stm07_bs(B220,108,$A220,1,100000000)+[1]!b_stm07_bs(B220,95,$A220,1,100000000))/[1]!b_stm07_bs(B220,128,$A220,1,100000000),"")</f>
        <v/>
      </c>
      <c r="S220" s="28" t="str">
        <f>IFERROR(([1]!s_stmnote_bank_614(B220,$A220,1,2,100000000)+[1]!b_stm07_bs(B220,104,$A220,1,100000000)+[1]!b_stm07_bs(B220,106,$A220,1,100000000)+[1]!b_stm07_bs(B220,76,$A220,1,100000000)+[1]!b_stm07_bs(B220,108,$A220,1,100000000)+[1]!b_stm07_bs(B220,95,$A220,1,100000000))/[1]!b_stm07_bs(B220,128,$A220,1,100000000),"")</f>
        <v/>
      </c>
      <c r="T220" s="11">
        <f>[1]!b_issuer_shareholder(B220,"",1)</f>
        <v>0</v>
      </c>
      <c r="U220" s="10">
        <f>[1]!b_issuer_propofshareholder(B220,"",1)</f>
        <v>0</v>
      </c>
      <c r="V220" s="33" t="str">
        <f t="shared" si="7"/>
        <v>0</v>
      </c>
      <c r="W220" s="33">
        <f>[1]!s_info_city(B220)</f>
        <v>0</v>
      </c>
      <c r="X220" s="10">
        <f>IF([1]!s_stmnote_bank_17n(B220,$A220,1)="0","",[1]!s_stmnote_bank_17n(B220,$A220,1))</f>
        <v>0</v>
      </c>
      <c r="Y220" s="10">
        <f>IF([1]!s_stmnote_bank_18n(B220,$A220,1)="0","",[1]!s_stmnote_bank_18n(B220,$A220,1))</f>
        <v>0</v>
      </c>
      <c r="Z220" s="41">
        <f>IF([1]!s_stmnote_bank_58(B220,$A220,1)="0","",[1]!s_stmnote_bank_58(B220,$A220,1))</f>
        <v>0</v>
      </c>
      <c r="AA220" s="52">
        <f>IF([1]!s_stmnote_bank_60(B220,$A220,1)="0","",[1]!s_stmnote_bank_60(B220,$A220,1))</f>
        <v>0</v>
      </c>
      <c r="AB220" s="52">
        <f>[1]!s_stmnote_bank_5444(B220,$A220,1)</f>
        <v>0</v>
      </c>
      <c r="AC220" s="38">
        <f>[1]!s_stmnote_bank_129n($B220,$A220,1)</f>
        <v>0</v>
      </c>
      <c r="AD220" s="54">
        <f>[1]!s_stmnote_bank_30(B220,$A220,1)</f>
        <v>0</v>
      </c>
    </row>
    <row r="221" spans="1:30" ht="24">
      <c r="A221" s="1" t="s">
        <v>1110</v>
      </c>
      <c r="B221" s="87" t="s">
        <v>1329</v>
      </c>
      <c r="C221" s="8">
        <f>IF([1]!b_info_issuer(B221)="0","",IFERROR([1]!b_info_issuer(B221),""))</f>
        <v>0</v>
      </c>
      <c r="D221" s="11">
        <f>IF([1]!b_info_latestissurercreditrating(B221)="0","",IFERROR([1]!b_info_latestissurercreditrating(B221),""))</f>
        <v>0</v>
      </c>
      <c r="E221" s="27" t="str">
        <f>IFERROR(([1]!b_stm07_bs($B221,47,$A221,1,100000000))/[1]!b_stm07_bs($B221,109,$A221,1,100000000),"")</f>
        <v/>
      </c>
      <c r="F221" s="18" t="str">
        <f>IFERROR(([1]!s_stmnote_bank_26($B221,$A221,1,100000000)-[1]!s_stmnote_bank_26($B221,#REF!,1,100000000)+#REF!)/[1]!s_stmnote_bank_1n($B221,#REF!,1,100000000),"")</f>
        <v/>
      </c>
      <c r="G221" s="21" t="str">
        <f t="shared" si="6"/>
        <v/>
      </c>
      <c r="H221" s="18" t="str">
        <f>IFERROR([1]!s_stmnote_bank($B221,"34",$A221,100000000)/[1]!s_stmnote_bank_1n(B221,$A221,1,100000000),"")</f>
        <v/>
      </c>
      <c r="I221" s="25">
        <f>[1]!b_stm07_bs(B221,74,$A221,1,100000000)</f>
        <v>0</v>
      </c>
      <c r="J221" s="25">
        <f>[1]!b_stm07_bs(B221,109,$A221,1,100000000)</f>
        <v>0</v>
      </c>
      <c r="K221" s="10">
        <f>[1]!s_stmnote_bank_5n(B221,$A221,1)</f>
        <v>0</v>
      </c>
      <c r="L221" s="25">
        <f>[1]!s_stmnote_bank_23n(B221,$A221,1)</f>
        <v>0</v>
      </c>
      <c r="M221" s="25">
        <f>[1]!s_stmnote_bank_capadequacyratio(B221,$A221,1)</f>
        <v>0</v>
      </c>
      <c r="N221" s="25">
        <f>[1]!s_stmnote_bank_capadequacyratio_ct1(B221,$A221,1)</f>
        <v>0</v>
      </c>
      <c r="O221" s="6">
        <f>IF(OR([1]!s_fa_roe(B221,20201231)="0",[1]!s_fa_roe(B221,20211231)="0",[1]!s_fa_roe(B221,20221231)="0"),"",IFERROR(([1]!s_fa_roe(B221,20221231)+[1]!s_fa_roe(B221,20201231)+[1]!s_fa_roe(B221,20211231))/3,""))</f>
        <v>0</v>
      </c>
      <c r="P221" s="28" t="str">
        <f>IFERROR(([1]!s_stmnote_bank_65(B221,$A221,1,2,4,100000000)+[1]!s_stmnote_bank_65(B221,$A221,1,2,6,100000000))/[1]!s_stmnote_bank_1n(B221,$A221,1,100000000),"")</f>
        <v/>
      </c>
      <c r="Q221" s="28" t="str">
        <f>IFERROR([1]!s_stmnote_bank_614(B221,$A221,1,2,100000000)/[1]!s_stmnote_bank_647(B221,$A221,1,2,100000000),"")</f>
        <v/>
      </c>
      <c r="R221" s="28" t="str">
        <f>IFERROR(([1]!b_stm07_bs(B221,104,$A221,1,100000000)+[1]!b_stm07_bs(B221,106,$A221,1,100000000)+[1]!b_stm07_bs(B221,76,$A221,1,100000000)+[1]!b_stm07_bs(B221,108,$A221,1,100000000)+[1]!b_stm07_bs(B221,95,$A221,1,100000000))/[1]!b_stm07_bs(B221,128,$A221,1,100000000),"")</f>
        <v/>
      </c>
      <c r="S221" s="28" t="str">
        <f>IFERROR(([1]!s_stmnote_bank_614(B221,$A221,1,2,100000000)+[1]!b_stm07_bs(B221,104,$A221,1,100000000)+[1]!b_stm07_bs(B221,106,$A221,1,100000000)+[1]!b_stm07_bs(B221,76,$A221,1,100000000)+[1]!b_stm07_bs(B221,108,$A221,1,100000000)+[1]!b_stm07_bs(B221,95,$A221,1,100000000))/[1]!b_stm07_bs(B221,128,$A221,1,100000000),"")</f>
        <v/>
      </c>
      <c r="T221" s="11">
        <f>[1]!b_issuer_shareholder(B221,"",1)</f>
        <v>0</v>
      </c>
      <c r="U221" s="10">
        <f>[1]!b_issuer_propofshareholder(B221,"",1)</f>
        <v>0</v>
      </c>
      <c r="V221" s="33" t="str">
        <f t="shared" si="7"/>
        <v>0</v>
      </c>
      <c r="W221" s="33">
        <f>[1]!s_info_city(B221)</f>
        <v>0</v>
      </c>
      <c r="X221" s="10">
        <f>IF([1]!s_stmnote_bank_17n(B221,$A221,1)="0","",[1]!s_stmnote_bank_17n(B221,$A221,1))</f>
        <v>0</v>
      </c>
      <c r="Y221" s="10">
        <f>IF([1]!s_stmnote_bank_18n(B221,$A221,1)="0","",[1]!s_stmnote_bank_18n(B221,$A221,1))</f>
        <v>0</v>
      </c>
      <c r="Z221" s="41">
        <f>IF([1]!s_stmnote_bank_58(B221,$A221,1)="0","",[1]!s_stmnote_bank_58(B221,$A221,1))</f>
        <v>0</v>
      </c>
      <c r="AA221" s="52">
        <f>IF([1]!s_stmnote_bank_60(B221,$A221,1)="0","",[1]!s_stmnote_bank_60(B221,$A221,1))</f>
        <v>0</v>
      </c>
      <c r="AB221" s="52">
        <f>[1]!s_stmnote_bank_5444(B221,$A221,1)</f>
        <v>0</v>
      </c>
      <c r="AC221" s="38">
        <f>[1]!s_stmnote_bank_129n($B221,$A221,1)</f>
        <v>0</v>
      </c>
      <c r="AD221" s="54">
        <f>[1]!s_stmnote_bank_30(B221,$A221,1)</f>
        <v>0</v>
      </c>
    </row>
    <row r="222" spans="1:30" ht="24">
      <c r="A222" s="1" t="s">
        <v>1110</v>
      </c>
      <c r="B222" s="87" t="s">
        <v>1330</v>
      </c>
      <c r="C222" s="8">
        <f>IF([1]!b_info_issuer(B222)="0","",IFERROR([1]!b_info_issuer(B222),""))</f>
        <v>0</v>
      </c>
      <c r="D222" s="11">
        <f>IF([1]!b_info_latestissurercreditrating(B222)="0","",IFERROR([1]!b_info_latestissurercreditrating(B222),""))</f>
        <v>0</v>
      </c>
      <c r="E222" s="27" t="str">
        <f>IFERROR(([1]!b_stm07_bs($B222,47,$A222,1,100000000))/[1]!b_stm07_bs($B222,109,$A222,1,100000000),"")</f>
        <v/>
      </c>
      <c r="F222" s="18" t="str">
        <f>IFERROR(([1]!s_stmnote_bank_26($B222,$A222,1,100000000)-[1]!s_stmnote_bank_26($B222,#REF!,1,100000000)+#REF!)/[1]!s_stmnote_bank_1n($B222,#REF!,1,100000000),"")</f>
        <v/>
      </c>
      <c r="G222" s="21" t="str">
        <f t="shared" si="6"/>
        <v/>
      </c>
      <c r="H222" s="18" t="str">
        <f>IFERROR([1]!s_stmnote_bank($B222,"34",$A222,100000000)/[1]!s_stmnote_bank_1n(B222,$A222,1,100000000),"")</f>
        <v/>
      </c>
      <c r="I222" s="25">
        <f>[1]!b_stm07_bs(B222,74,$A222,1,100000000)</f>
        <v>0</v>
      </c>
      <c r="J222" s="25">
        <f>[1]!b_stm07_bs(B222,109,$A222,1,100000000)</f>
        <v>0</v>
      </c>
      <c r="K222" s="10">
        <f>[1]!s_stmnote_bank_5n(B222,$A222,1)</f>
        <v>0</v>
      </c>
      <c r="L222" s="25">
        <f>[1]!s_stmnote_bank_23n(B222,$A222,1)</f>
        <v>0</v>
      </c>
      <c r="M222" s="25">
        <f>[1]!s_stmnote_bank_capadequacyratio(B222,$A222,1)</f>
        <v>0</v>
      </c>
      <c r="N222" s="25">
        <f>[1]!s_stmnote_bank_capadequacyratio_ct1(B222,$A222,1)</f>
        <v>0</v>
      </c>
      <c r="O222" s="6">
        <f>IF(OR([1]!s_fa_roe(B222,20201231)="0",[1]!s_fa_roe(B222,20211231)="0",[1]!s_fa_roe(B222,20221231)="0"),"",IFERROR(([1]!s_fa_roe(B222,20221231)+[1]!s_fa_roe(B222,20201231)+[1]!s_fa_roe(B222,20211231))/3,""))</f>
        <v>0</v>
      </c>
      <c r="P222" s="28" t="str">
        <f>IFERROR(([1]!s_stmnote_bank_65(B222,$A222,1,2,4,100000000)+[1]!s_stmnote_bank_65(B222,$A222,1,2,6,100000000))/[1]!s_stmnote_bank_1n(B222,$A222,1,100000000),"")</f>
        <v/>
      </c>
      <c r="Q222" s="28" t="str">
        <f>IFERROR([1]!s_stmnote_bank_614(B222,$A222,1,2,100000000)/[1]!s_stmnote_bank_647(B222,$A222,1,2,100000000),"")</f>
        <v/>
      </c>
      <c r="R222" s="28" t="str">
        <f>IFERROR(([1]!b_stm07_bs(B222,104,$A222,1,100000000)+[1]!b_stm07_bs(B222,106,$A222,1,100000000)+[1]!b_stm07_bs(B222,76,$A222,1,100000000)+[1]!b_stm07_bs(B222,108,$A222,1,100000000)+[1]!b_stm07_bs(B222,95,$A222,1,100000000))/[1]!b_stm07_bs(B222,128,$A222,1,100000000),"")</f>
        <v/>
      </c>
      <c r="S222" s="28" t="str">
        <f>IFERROR(([1]!s_stmnote_bank_614(B222,$A222,1,2,100000000)+[1]!b_stm07_bs(B222,104,$A222,1,100000000)+[1]!b_stm07_bs(B222,106,$A222,1,100000000)+[1]!b_stm07_bs(B222,76,$A222,1,100000000)+[1]!b_stm07_bs(B222,108,$A222,1,100000000)+[1]!b_stm07_bs(B222,95,$A222,1,100000000))/[1]!b_stm07_bs(B222,128,$A222,1,100000000),"")</f>
        <v/>
      </c>
      <c r="T222" s="11">
        <f>[1]!b_issuer_shareholder(B222,"",1)</f>
        <v>0</v>
      </c>
      <c r="U222" s="10">
        <f>[1]!b_issuer_propofshareholder(B222,"",1)</f>
        <v>0</v>
      </c>
      <c r="V222" s="33" t="str">
        <f t="shared" si="7"/>
        <v>0</v>
      </c>
      <c r="W222" s="33">
        <f>[1]!s_info_city(B222)</f>
        <v>0</v>
      </c>
      <c r="X222" s="10">
        <f>IF([1]!s_stmnote_bank_17n(B222,$A222,1)="0","",[1]!s_stmnote_bank_17n(B222,$A222,1))</f>
        <v>0</v>
      </c>
      <c r="Y222" s="10">
        <f>IF([1]!s_stmnote_bank_18n(B222,$A222,1)="0","",[1]!s_stmnote_bank_18n(B222,$A222,1))</f>
        <v>0</v>
      </c>
      <c r="Z222" s="41">
        <f>IF([1]!s_stmnote_bank_58(B222,$A222,1)="0","",[1]!s_stmnote_bank_58(B222,$A222,1))</f>
        <v>0</v>
      </c>
      <c r="AA222" s="52">
        <f>IF([1]!s_stmnote_bank_60(B222,$A222,1)="0","",[1]!s_stmnote_bank_60(B222,$A222,1))</f>
        <v>0</v>
      </c>
      <c r="AB222" s="52">
        <f>[1]!s_stmnote_bank_5444(B222,$A222,1)</f>
        <v>0</v>
      </c>
      <c r="AC222" s="38">
        <f>[1]!s_stmnote_bank_129n($B222,$A222,1)</f>
        <v>0</v>
      </c>
      <c r="AD222" s="54">
        <f>[1]!s_stmnote_bank_30(B222,$A222,1)</f>
        <v>0</v>
      </c>
    </row>
    <row r="223" spans="1:30" ht="24">
      <c r="A223" s="1" t="s">
        <v>1110</v>
      </c>
      <c r="B223" s="87" t="s">
        <v>1331</v>
      </c>
      <c r="C223" s="8">
        <f>IF([1]!b_info_issuer(B223)="0","",IFERROR([1]!b_info_issuer(B223),""))</f>
        <v>0</v>
      </c>
      <c r="D223" s="11">
        <f>IF([1]!b_info_latestissurercreditrating(B223)="0","",IFERROR([1]!b_info_latestissurercreditrating(B223),""))</f>
        <v>0</v>
      </c>
      <c r="E223" s="27" t="str">
        <f>IFERROR(([1]!b_stm07_bs($B223,47,$A223,1,100000000))/[1]!b_stm07_bs($B223,109,$A223,1,100000000),"")</f>
        <v/>
      </c>
      <c r="F223" s="18" t="str">
        <f>IFERROR(([1]!s_stmnote_bank_26($B223,$A223,1,100000000)-[1]!s_stmnote_bank_26($B223,#REF!,1,100000000)+#REF!)/[1]!s_stmnote_bank_1n($B223,#REF!,1,100000000),"")</f>
        <v/>
      </c>
      <c r="G223" s="21" t="str">
        <f t="shared" si="6"/>
        <v/>
      </c>
      <c r="H223" s="18" t="str">
        <f>IFERROR([1]!s_stmnote_bank($B223,"34",$A223,100000000)/[1]!s_stmnote_bank_1n(B223,$A223,1,100000000),"")</f>
        <v/>
      </c>
      <c r="I223" s="25">
        <f>[1]!b_stm07_bs(B223,74,$A223,1,100000000)</f>
        <v>0</v>
      </c>
      <c r="J223" s="25">
        <f>[1]!b_stm07_bs(B223,109,$A223,1,100000000)</f>
        <v>0</v>
      </c>
      <c r="K223" s="10">
        <f>[1]!s_stmnote_bank_5n(B223,$A223,1)</f>
        <v>0</v>
      </c>
      <c r="L223" s="25">
        <f>[1]!s_stmnote_bank_23n(B223,$A223,1)</f>
        <v>0</v>
      </c>
      <c r="M223" s="25">
        <f>[1]!s_stmnote_bank_capadequacyratio(B223,$A223,1)</f>
        <v>0</v>
      </c>
      <c r="N223" s="25">
        <f>[1]!s_stmnote_bank_capadequacyratio_ct1(B223,$A223,1)</f>
        <v>0</v>
      </c>
      <c r="O223" s="6">
        <f>IF(OR([1]!s_fa_roe(B223,20201231)="0",[1]!s_fa_roe(B223,20211231)="0",[1]!s_fa_roe(B223,20221231)="0"),"",IFERROR(([1]!s_fa_roe(B223,20221231)+[1]!s_fa_roe(B223,20201231)+[1]!s_fa_roe(B223,20211231))/3,""))</f>
        <v>0</v>
      </c>
      <c r="P223" s="28" t="str">
        <f>IFERROR(([1]!s_stmnote_bank_65(B223,$A223,1,2,4,100000000)+[1]!s_stmnote_bank_65(B223,$A223,1,2,6,100000000))/[1]!s_stmnote_bank_1n(B223,$A223,1,100000000),"")</f>
        <v/>
      </c>
      <c r="Q223" s="28" t="str">
        <f>IFERROR([1]!s_stmnote_bank_614(B223,$A223,1,2,100000000)/[1]!s_stmnote_bank_647(B223,$A223,1,2,100000000),"")</f>
        <v/>
      </c>
      <c r="R223" s="28" t="str">
        <f>IFERROR(([1]!b_stm07_bs(B223,104,$A223,1,100000000)+[1]!b_stm07_bs(B223,106,$A223,1,100000000)+[1]!b_stm07_bs(B223,76,$A223,1,100000000)+[1]!b_stm07_bs(B223,108,$A223,1,100000000)+[1]!b_stm07_bs(B223,95,$A223,1,100000000))/[1]!b_stm07_bs(B223,128,$A223,1,100000000),"")</f>
        <v/>
      </c>
      <c r="S223" s="28" t="str">
        <f>IFERROR(([1]!s_stmnote_bank_614(B223,$A223,1,2,100000000)+[1]!b_stm07_bs(B223,104,$A223,1,100000000)+[1]!b_stm07_bs(B223,106,$A223,1,100000000)+[1]!b_stm07_bs(B223,76,$A223,1,100000000)+[1]!b_stm07_bs(B223,108,$A223,1,100000000)+[1]!b_stm07_bs(B223,95,$A223,1,100000000))/[1]!b_stm07_bs(B223,128,$A223,1,100000000),"")</f>
        <v/>
      </c>
      <c r="T223" s="11">
        <f>[1]!b_issuer_shareholder(B223,"",1)</f>
        <v>0</v>
      </c>
      <c r="U223" s="10">
        <f>[1]!b_issuer_propofshareholder(B223,"",1)</f>
        <v>0</v>
      </c>
      <c r="V223" s="33" t="str">
        <f t="shared" si="7"/>
        <v>0</v>
      </c>
      <c r="W223" s="33">
        <f>[1]!s_info_city(B223)</f>
        <v>0</v>
      </c>
      <c r="X223" s="10">
        <f>IF([1]!s_stmnote_bank_17n(B223,$A223,1)="0","",[1]!s_stmnote_bank_17n(B223,$A223,1))</f>
        <v>0</v>
      </c>
      <c r="Y223" s="10">
        <f>IF([1]!s_stmnote_bank_18n(B223,$A223,1)="0","",[1]!s_stmnote_bank_18n(B223,$A223,1))</f>
        <v>0</v>
      </c>
      <c r="Z223" s="41">
        <f>IF([1]!s_stmnote_bank_58(B223,$A223,1)="0","",[1]!s_stmnote_bank_58(B223,$A223,1))</f>
        <v>0</v>
      </c>
      <c r="AA223" s="52">
        <f>IF([1]!s_stmnote_bank_60(B223,$A223,1)="0","",[1]!s_stmnote_bank_60(B223,$A223,1))</f>
        <v>0</v>
      </c>
      <c r="AB223" s="52">
        <f>[1]!s_stmnote_bank_5444(B223,$A223,1)</f>
        <v>0</v>
      </c>
      <c r="AC223" s="38">
        <f>[1]!s_stmnote_bank_129n($B223,$A223,1)</f>
        <v>0</v>
      </c>
      <c r="AD223" s="54">
        <f>[1]!s_stmnote_bank_30(B223,$A223,1)</f>
        <v>0</v>
      </c>
    </row>
    <row r="224" spans="1:30" ht="24">
      <c r="A224" s="1" t="s">
        <v>1110</v>
      </c>
      <c r="B224" s="87" t="s">
        <v>1332</v>
      </c>
      <c r="C224" s="8">
        <f>IF([1]!b_info_issuer(B224)="0","",IFERROR([1]!b_info_issuer(B224),""))</f>
        <v>0</v>
      </c>
      <c r="D224" s="11">
        <f>IF([1]!b_info_latestissurercreditrating(B224)="0","",IFERROR([1]!b_info_latestissurercreditrating(B224),""))</f>
        <v>0</v>
      </c>
      <c r="E224" s="27" t="str">
        <f>IFERROR(([1]!b_stm07_bs($B224,47,$A224,1,100000000))/[1]!b_stm07_bs($B224,109,$A224,1,100000000),"")</f>
        <v/>
      </c>
      <c r="F224" s="18" t="str">
        <f>IFERROR(([1]!s_stmnote_bank_26($B224,$A224,1,100000000)-[1]!s_stmnote_bank_26($B224,#REF!,1,100000000)+#REF!)/[1]!s_stmnote_bank_1n($B224,#REF!,1,100000000),"")</f>
        <v/>
      </c>
      <c r="G224" s="21" t="str">
        <f t="shared" si="6"/>
        <v/>
      </c>
      <c r="H224" s="18" t="str">
        <f>IFERROR([1]!s_stmnote_bank($B224,"34",$A224,100000000)/[1]!s_stmnote_bank_1n(B224,$A224,1,100000000),"")</f>
        <v/>
      </c>
      <c r="I224" s="25">
        <f>[1]!b_stm07_bs(B224,74,$A224,1,100000000)</f>
        <v>0</v>
      </c>
      <c r="J224" s="25">
        <f>[1]!b_stm07_bs(B224,109,$A224,1,100000000)</f>
        <v>0</v>
      </c>
      <c r="K224" s="10">
        <f>[1]!s_stmnote_bank_5n(B224,$A224,1)</f>
        <v>0</v>
      </c>
      <c r="L224" s="25">
        <f>[1]!s_stmnote_bank_23n(B224,$A224,1)</f>
        <v>0</v>
      </c>
      <c r="M224" s="25">
        <f>[1]!s_stmnote_bank_capadequacyratio(B224,$A224,1)</f>
        <v>0</v>
      </c>
      <c r="N224" s="25">
        <f>[1]!s_stmnote_bank_capadequacyratio_ct1(B224,$A224,1)</f>
        <v>0</v>
      </c>
      <c r="O224" s="6">
        <f>IF(OR([1]!s_fa_roe(B224,20201231)="0",[1]!s_fa_roe(B224,20211231)="0",[1]!s_fa_roe(B224,20221231)="0"),"",IFERROR(([1]!s_fa_roe(B224,20221231)+[1]!s_fa_roe(B224,20201231)+[1]!s_fa_roe(B224,20211231))/3,""))</f>
        <v>0</v>
      </c>
      <c r="P224" s="28" t="str">
        <f>IFERROR(([1]!s_stmnote_bank_65(B224,$A224,1,2,4,100000000)+[1]!s_stmnote_bank_65(B224,$A224,1,2,6,100000000))/[1]!s_stmnote_bank_1n(B224,$A224,1,100000000),"")</f>
        <v/>
      </c>
      <c r="Q224" s="28" t="str">
        <f>IFERROR([1]!s_stmnote_bank_614(B224,$A224,1,2,100000000)/[1]!s_stmnote_bank_647(B224,$A224,1,2,100000000),"")</f>
        <v/>
      </c>
      <c r="R224" s="28" t="str">
        <f>IFERROR(([1]!b_stm07_bs(B224,104,$A224,1,100000000)+[1]!b_stm07_bs(B224,106,$A224,1,100000000)+[1]!b_stm07_bs(B224,76,$A224,1,100000000)+[1]!b_stm07_bs(B224,108,$A224,1,100000000)+[1]!b_stm07_bs(B224,95,$A224,1,100000000))/[1]!b_stm07_bs(B224,128,$A224,1,100000000),"")</f>
        <v/>
      </c>
      <c r="S224" s="28" t="str">
        <f>IFERROR(([1]!s_stmnote_bank_614(B224,$A224,1,2,100000000)+[1]!b_stm07_bs(B224,104,$A224,1,100000000)+[1]!b_stm07_bs(B224,106,$A224,1,100000000)+[1]!b_stm07_bs(B224,76,$A224,1,100000000)+[1]!b_stm07_bs(B224,108,$A224,1,100000000)+[1]!b_stm07_bs(B224,95,$A224,1,100000000))/[1]!b_stm07_bs(B224,128,$A224,1,100000000),"")</f>
        <v/>
      </c>
      <c r="T224" s="11">
        <f>[1]!b_issuer_shareholder(B224,"",1)</f>
        <v>0</v>
      </c>
      <c r="U224" s="10">
        <f>[1]!b_issuer_propofshareholder(B224,"",1)</f>
        <v>0</v>
      </c>
      <c r="V224" s="33" t="str">
        <f t="shared" si="7"/>
        <v>0</v>
      </c>
      <c r="W224" s="33">
        <f>[1]!s_info_city(B224)</f>
        <v>0</v>
      </c>
      <c r="X224" s="10">
        <f>IF([1]!s_stmnote_bank_17n(B224,$A224,1)="0","",[1]!s_stmnote_bank_17n(B224,$A224,1))</f>
        <v>0</v>
      </c>
      <c r="Y224" s="10">
        <f>IF([1]!s_stmnote_bank_18n(B224,$A224,1)="0","",[1]!s_stmnote_bank_18n(B224,$A224,1))</f>
        <v>0</v>
      </c>
      <c r="Z224" s="41">
        <f>IF([1]!s_stmnote_bank_58(B224,$A224,1)="0","",[1]!s_stmnote_bank_58(B224,$A224,1))</f>
        <v>0</v>
      </c>
      <c r="AA224" s="52">
        <f>IF([1]!s_stmnote_bank_60(B224,$A224,1)="0","",[1]!s_stmnote_bank_60(B224,$A224,1))</f>
        <v>0</v>
      </c>
      <c r="AB224" s="52">
        <f>[1]!s_stmnote_bank_5444(B224,$A224,1)</f>
        <v>0</v>
      </c>
      <c r="AC224" s="38">
        <f>[1]!s_stmnote_bank_129n($B224,$A224,1)</f>
        <v>0</v>
      </c>
      <c r="AD224" s="54">
        <f>[1]!s_stmnote_bank_30(B224,$A224,1)</f>
        <v>0</v>
      </c>
    </row>
    <row r="225" spans="1:30" ht="24">
      <c r="A225" s="1" t="s">
        <v>1110</v>
      </c>
      <c r="B225" s="87" t="s">
        <v>1333</v>
      </c>
      <c r="C225" s="8">
        <f>IF([1]!b_info_issuer(B225)="0","",IFERROR([1]!b_info_issuer(B225),""))</f>
        <v>0</v>
      </c>
      <c r="D225" s="11">
        <f>IF([1]!b_info_latestissurercreditrating(B225)="0","",IFERROR([1]!b_info_latestissurercreditrating(B225),""))</f>
        <v>0</v>
      </c>
      <c r="E225" s="27" t="str">
        <f>IFERROR(([1]!b_stm07_bs($B225,47,$A225,1,100000000))/[1]!b_stm07_bs($B225,109,$A225,1,100000000),"")</f>
        <v/>
      </c>
      <c r="F225" s="18" t="str">
        <f>IFERROR(([1]!s_stmnote_bank_26($B225,$A225,1,100000000)-[1]!s_stmnote_bank_26($B225,#REF!,1,100000000)+#REF!)/[1]!s_stmnote_bank_1n($B225,#REF!,1,100000000),"")</f>
        <v/>
      </c>
      <c r="G225" s="21" t="str">
        <f t="shared" si="6"/>
        <v/>
      </c>
      <c r="H225" s="18" t="str">
        <f>IFERROR([1]!s_stmnote_bank($B225,"34",$A225,100000000)/[1]!s_stmnote_bank_1n(B225,$A225,1,100000000),"")</f>
        <v/>
      </c>
      <c r="I225" s="25">
        <f>[1]!b_stm07_bs(B225,74,$A225,1,100000000)</f>
        <v>0</v>
      </c>
      <c r="J225" s="25">
        <f>[1]!b_stm07_bs(B225,109,$A225,1,100000000)</f>
        <v>0</v>
      </c>
      <c r="K225" s="10">
        <f>[1]!s_stmnote_bank_5n(B225,$A225,1)</f>
        <v>0</v>
      </c>
      <c r="L225" s="25">
        <f>[1]!s_stmnote_bank_23n(B225,$A225,1)</f>
        <v>0</v>
      </c>
      <c r="M225" s="25">
        <f>[1]!s_stmnote_bank_capadequacyratio(B225,$A225,1)</f>
        <v>0</v>
      </c>
      <c r="N225" s="25">
        <f>[1]!s_stmnote_bank_capadequacyratio_ct1(B225,$A225,1)</f>
        <v>0</v>
      </c>
      <c r="O225" s="6">
        <f>IF(OR([1]!s_fa_roe(B225,20201231)="0",[1]!s_fa_roe(B225,20211231)="0",[1]!s_fa_roe(B225,20221231)="0"),"",IFERROR(([1]!s_fa_roe(B225,20221231)+[1]!s_fa_roe(B225,20201231)+[1]!s_fa_roe(B225,20211231))/3,""))</f>
        <v>0</v>
      </c>
      <c r="P225" s="28" t="str">
        <f>IFERROR(([1]!s_stmnote_bank_65(B225,$A225,1,2,4,100000000)+[1]!s_stmnote_bank_65(B225,$A225,1,2,6,100000000))/[1]!s_stmnote_bank_1n(B225,$A225,1,100000000),"")</f>
        <v/>
      </c>
      <c r="Q225" s="28" t="str">
        <f>IFERROR([1]!s_stmnote_bank_614(B225,$A225,1,2,100000000)/[1]!s_stmnote_bank_647(B225,$A225,1,2,100000000),"")</f>
        <v/>
      </c>
      <c r="R225" s="28" t="str">
        <f>IFERROR(([1]!b_stm07_bs(B225,104,$A225,1,100000000)+[1]!b_stm07_bs(B225,106,$A225,1,100000000)+[1]!b_stm07_bs(B225,76,$A225,1,100000000)+[1]!b_stm07_bs(B225,108,$A225,1,100000000)+[1]!b_stm07_bs(B225,95,$A225,1,100000000))/[1]!b_stm07_bs(B225,128,$A225,1,100000000),"")</f>
        <v/>
      </c>
      <c r="S225" s="28" t="str">
        <f>IFERROR(([1]!s_stmnote_bank_614(B225,$A225,1,2,100000000)+[1]!b_stm07_bs(B225,104,$A225,1,100000000)+[1]!b_stm07_bs(B225,106,$A225,1,100000000)+[1]!b_stm07_bs(B225,76,$A225,1,100000000)+[1]!b_stm07_bs(B225,108,$A225,1,100000000)+[1]!b_stm07_bs(B225,95,$A225,1,100000000))/[1]!b_stm07_bs(B225,128,$A225,1,100000000),"")</f>
        <v/>
      </c>
      <c r="T225" s="11">
        <f>[1]!b_issuer_shareholder(B225,"",1)</f>
        <v>0</v>
      </c>
      <c r="U225" s="10">
        <f>[1]!b_issuer_propofshareholder(B225,"",1)</f>
        <v>0</v>
      </c>
      <c r="V225" s="33" t="str">
        <f t="shared" si="7"/>
        <v>0</v>
      </c>
      <c r="W225" s="33">
        <f>[1]!s_info_city(B225)</f>
        <v>0</v>
      </c>
      <c r="X225" s="10">
        <f>IF([1]!s_stmnote_bank_17n(B225,$A225,1)="0","",[1]!s_stmnote_bank_17n(B225,$A225,1))</f>
        <v>0</v>
      </c>
      <c r="Y225" s="10">
        <f>IF([1]!s_stmnote_bank_18n(B225,$A225,1)="0","",[1]!s_stmnote_bank_18n(B225,$A225,1))</f>
        <v>0</v>
      </c>
      <c r="Z225" s="41">
        <f>IF([1]!s_stmnote_bank_58(B225,$A225,1)="0","",[1]!s_stmnote_bank_58(B225,$A225,1))</f>
        <v>0</v>
      </c>
      <c r="AA225" s="52">
        <f>IF([1]!s_stmnote_bank_60(B225,$A225,1)="0","",[1]!s_stmnote_bank_60(B225,$A225,1))</f>
        <v>0</v>
      </c>
      <c r="AB225" s="52">
        <f>[1]!s_stmnote_bank_5444(B225,$A225,1)</f>
        <v>0</v>
      </c>
      <c r="AC225" s="38">
        <f>[1]!s_stmnote_bank_129n($B225,$A225,1)</f>
        <v>0</v>
      </c>
      <c r="AD225" s="54">
        <f>[1]!s_stmnote_bank_30(B225,$A225,1)</f>
        <v>0</v>
      </c>
    </row>
    <row r="226" spans="1:30" ht="24">
      <c r="A226" s="1" t="s">
        <v>1110</v>
      </c>
      <c r="B226" s="87" t="s">
        <v>1334</v>
      </c>
      <c r="C226" s="8">
        <f>IF([1]!b_info_issuer(B226)="0","",IFERROR([1]!b_info_issuer(B226),""))</f>
        <v>0</v>
      </c>
      <c r="D226" s="11">
        <f>IF([1]!b_info_latestissurercreditrating(B226)="0","",IFERROR([1]!b_info_latestissurercreditrating(B226),""))</f>
        <v>0</v>
      </c>
      <c r="E226" s="27" t="str">
        <f>IFERROR(([1]!b_stm07_bs($B226,47,$A226,1,100000000))/[1]!b_stm07_bs($B226,109,$A226,1,100000000),"")</f>
        <v/>
      </c>
      <c r="F226" s="18" t="str">
        <f>IFERROR(([1]!s_stmnote_bank_26($B226,$A226,1,100000000)-[1]!s_stmnote_bank_26($B226,#REF!,1,100000000)+#REF!)/[1]!s_stmnote_bank_1n($B226,#REF!,1,100000000),"")</f>
        <v/>
      </c>
      <c r="G226" s="21" t="str">
        <f t="shared" si="6"/>
        <v/>
      </c>
      <c r="H226" s="18" t="str">
        <f>IFERROR([1]!s_stmnote_bank($B226,"34",$A226,100000000)/[1]!s_stmnote_bank_1n(B226,$A226,1,100000000),"")</f>
        <v/>
      </c>
      <c r="I226" s="25">
        <f>[1]!b_stm07_bs(B226,74,$A226,1,100000000)</f>
        <v>0</v>
      </c>
      <c r="J226" s="25">
        <f>[1]!b_stm07_bs(B226,109,$A226,1,100000000)</f>
        <v>0</v>
      </c>
      <c r="K226" s="10">
        <f>[1]!s_stmnote_bank_5n(B226,$A226,1)</f>
        <v>0</v>
      </c>
      <c r="L226" s="25">
        <f>[1]!s_stmnote_bank_23n(B226,$A226,1)</f>
        <v>0</v>
      </c>
      <c r="M226" s="25">
        <f>[1]!s_stmnote_bank_capadequacyratio(B226,$A226,1)</f>
        <v>0</v>
      </c>
      <c r="N226" s="25">
        <f>[1]!s_stmnote_bank_capadequacyratio_ct1(B226,$A226,1)</f>
        <v>0</v>
      </c>
      <c r="O226" s="6">
        <f>IF(OR([1]!s_fa_roe(B226,20201231)="0",[1]!s_fa_roe(B226,20211231)="0",[1]!s_fa_roe(B226,20221231)="0"),"",IFERROR(([1]!s_fa_roe(B226,20221231)+[1]!s_fa_roe(B226,20201231)+[1]!s_fa_roe(B226,20211231))/3,""))</f>
        <v>0</v>
      </c>
      <c r="P226" s="28" t="str">
        <f>IFERROR(([1]!s_stmnote_bank_65(B226,$A226,1,2,4,100000000)+[1]!s_stmnote_bank_65(B226,$A226,1,2,6,100000000))/[1]!s_stmnote_bank_1n(B226,$A226,1,100000000),"")</f>
        <v/>
      </c>
      <c r="Q226" s="28" t="str">
        <f>IFERROR([1]!s_stmnote_bank_614(B226,$A226,1,2,100000000)/[1]!s_stmnote_bank_647(B226,$A226,1,2,100000000),"")</f>
        <v/>
      </c>
      <c r="R226" s="28" t="str">
        <f>IFERROR(([1]!b_stm07_bs(B226,104,$A226,1,100000000)+[1]!b_stm07_bs(B226,106,$A226,1,100000000)+[1]!b_stm07_bs(B226,76,$A226,1,100000000)+[1]!b_stm07_bs(B226,108,$A226,1,100000000)+[1]!b_stm07_bs(B226,95,$A226,1,100000000))/[1]!b_stm07_bs(B226,128,$A226,1,100000000),"")</f>
        <v/>
      </c>
      <c r="S226" s="28" t="str">
        <f>IFERROR(([1]!s_stmnote_bank_614(B226,$A226,1,2,100000000)+[1]!b_stm07_bs(B226,104,$A226,1,100000000)+[1]!b_stm07_bs(B226,106,$A226,1,100000000)+[1]!b_stm07_bs(B226,76,$A226,1,100000000)+[1]!b_stm07_bs(B226,108,$A226,1,100000000)+[1]!b_stm07_bs(B226,95,$A226,1,100000000))/[1]!b_stm07_bs(B226,128,$A226,1,100000000),"")</f>
        <v/>
      </c>
      <c r="T226" s="11">
        <f>[1]!b_issuer_shareholder(B226,"",1)</f>
        <v>0</v>
      </c>
      <c r="U226" s="10">
        <f>[1]!b_issuer_propofshareholder(B226,"",1)</f>
        <v>0</v>
      </c>
      <c r="V226" s="33" t="str">
        <f t="shared" si="7"/>
        <v>0</v>
      </c>
      <c r="W226" s="33">
        <f>[1]!s_info_city(B226)</f>
        <v>0</v>
      </c>
      <c r="X226" s="10">
        <f>IF([1]!s_stmnote_bank_17n(B226,$A226,1)="0","",[1]!s_stmnote_bank_17n(B226,$A226,1))</f>
        <v>0</v>
      </c>
      <c r="Y226" s="10">
        <f>IF([1]!s_stmnote_bank_18n(B226,$A226,1)="0","",[1]!s_stmnote_bank_18n(B226,$A226,1))</f>
        <v>0</v>
      </c>
      <c r="Z226" s="41">
        <f>IF([1]!s_stmnote_bank_58(B226,$A226,1)="0","",[1]!s_stmnote_bank_58(B226,$A226,1))</f>
        <v>0</v>
      </c>
      <c r="AA226" s="52">
        <f>IF([1]!s_stmnote_bank_60(B226,$A226,1)="0","",[1]!s_stmnote_bank_60(B226,$A226,1))</f>
        <v>0</v>
      </c>
      <c r="AB226" s="52">
        <f>[1]!s_stmnote_bank_5444(B226,$A226,1)</f>
        <v>0</v>
      </c>
      <c r="AC226" s="38">
        <f>[1]!s_stmnote_bank_129n($B226,$A226,1)</f>
        <v>0</v>
      </c>
      <c r="AD226" s="54">
        <f>[1]!s_stmnote_bank_30(B226,$A226,1)</f>
        <v>0</v>
      </c>
    </row>
    <row r="227" spans="1:30" ht="24">
      <c r="A227" s="1" t="s">
        <v>1110</v>
      </c>
      <c r="B227" s="87" t="s">
        <v>1335</v>
      </c>
      <c r="C227" s="8">
        <f>IF([1]!b_info_issuer(B227)="0","",IFERROR([1]!b_info_issuer(B227),""))</f>
        <v>0</v>
      </c>
      <c r="D227" s="11">
        <f>IF([1]!b_info_latestissurercreditrating(B227)="0","",IFERROR([1]!b_info_latestissurercreditrating(B227),""))</f>
        <v>0</v>
      </c>
      <c r="E227" s="27" t="str">
        <f>IFERROR(([1]!b_stm07_bs($B227,47,$A227,1,100000000))/[1]!b_stm07_bs($B227,109,$A227,1,100000000),"")</f>
        <v/>
      </c>
      <c r="F227" s="18" t="str">
        <f>IFERROR(([1]!s_stmnote_bank_26($B227,$A227,1,100000000)-[1]!s_stmnote_bank_26($B227,#REF!,1,100000000)+#REF!)/[1]!s_stmnote_bank_1n($B227,#REF!,1,100000000),"")</f>
        <v/>
      </c>
      <c r="G227" s="21" t="str">
        <f t="shared" si="6"/>
        <v/>
      </c>
      <c r="H227" s="18" t="str">
        <f>IFERROR([1]!s_stmnote_bank($B227,"34",$A227,100000000)/[1]!s_stmnote_bank_1n(B227,$A227,1,100000000),"")</f>
        <v/>
      </c>
      <c r="I227" s="25">
        <f>[1]!b_stm07_bs(B227,74,$A227,1,100000000)</f>
        <v>0</v>
      </c>
      <c r="J227" s="25">
        <f>[1]!b_stm07_bs(B227,109,$A227,1,100000000)</f>
        <v>0</v>
      </c>
      <c r="K227" s="10">
        <f>[1]!s_stmnote_bank_5n(B227,$A227,1)</f>
        <v>0</v>
      </c>
      <c r="L227" s="25">
        <f>[1]!s_stmnote_bank_23n(B227,$A227,1)</f>
        <v>0</v>
      </c>
      <c r="M227" s="25">
        <f>[1]!s_stmnote_bank_capadequacyratio(B227,$A227,1)</f>
        <v>0</v>
      </c>
      <c r="N227" s="25">
        <f>[1]!s_stmnote_bank_capadequacyratio_ct1(B227,$A227,1)</f>
        <v>0</v>
      </c>
      <c r="O227" s="6">
        <f>IF(OR([1]!s_fa_roe(B227,20201231)="0",[1]!s_fa_roe(B227,20211231)="0",[1]!s_fa_roe(B227,20221231)="0"),"",IFERROR(([1]!s_fa_roe(B227,20221231)+[1]!s_fa_roe(B227,20201231)+[1]!s_fa_roe(B227,20211231))/3,""))</f>
        <v>0</v>
      </c>
      <c r="P227" s="28" t="str">
        <f>IFERROR(([1]!s_stmnote_bank_65(B227,$A227,1,2,4,100000000)+[1]!s_stmnote_bank_65(B227,$A227,1,2,6,100000000))/[1]!s_stmnote_bank_1n(B227,$A227,1,100000000),"")</f>
        <v/>
      </c>
      <c r="Q227" s="28" t="str">
        <f>IFERROR([1]!s_stmnote_bank_614(B227,$A227,1,2,100000000)/[1]!s_stmnote_bank_647(B227,$A227,1,2,100000000),"")</f>
        <v/>
      </c>
      <c r="R227" s="28" t="str">
        <f>IFERROR(([1]!b_stm07_bs(B227,104,$A227,1,100000000)+[1]!b_stm07_bs(B227,106,$A227,1,100000000)+[1]!b_stm07_bs(B227,76,$A227,1,100000000)+[1]!b_stm07_bs(B227,108,$A227,1,100000000)+[1]!b_stm07_bs(B227,95,$A227,1,100000000))/[1]!b_stm07_bs(B227,128,$A227,1,100000000),"")</f>
        <v/>
      </c>
      <c r="S227" s="28" t="str">
        <f>IFERROR(([1]!s_stmnote_bank_614(B227,$A227,1,2,100000000)+[1]!b_stm07_bs(B227,104,$A227,1,100000000)+[1]!b_stm07_bs(B227,106,$A227,1,100000000)+[1]!b_stm07_bs(B227,76,$A227,1,100000000)+[1]!b_stm07_bs(B227,108,$A227,1,100000000)+[1]!b_stm07_bs(B227,95,$A227,1,100000000))/[1]!b_stm07_bs(B227,128,$A227,1,100000000),"")</f>
        <v/>
      </c>
      <c r="T227" s="11">
        <f>[1]!b_issuer_shareholder(B227,"",1)</f>
        <v>0</v>
      </c>
      <c r="U227" s="10">
        <f>[1]!b_issuer_propofshareholder(B227,"",1)</f>
        <v>0</v>
      </c>
      <c r="V227" s="33" t="str">
        <f t="shared" si="7"/>
        <v>0</v>
      </c>
      <c r="W227" s="33">
        <f>[1]!s_info_city(B227)</f>
        <v>0</v>
      </c>
      <c r="X227" s="10">
        <f>IF([1]!s_stmnote_bank_17n(B227,$A227,1)="0","",[1]!s_stmnote_bank_17n(B227,$A227,1))</f>
        <v>0</v>
      </c>
      <c r="Y227" s="10">
        <f>IF([1]!s_stmnote_bank_18n(B227,$A227,1)="0","",[1]!s_stmnote_bank_18n(B227,$A227,1))</f>
        <v>0</v>
      </c>
      <c r="Z227" s="41">
        <f>IF([1]!s_stmnote_bank_58(B227,$A227,1)="0","",[1]!s_stmnote_bank_58(B227,$A227,1))</f>
        <v>0</v>
      </c>
      <c r="AA227" s="52">
        <f>IF([1]!s_stmnote_bank_60(B227,$A227,1)="0","",[1]!s_stmnote_bank_60(B227,$A227,1))</f>
        <v>0</v>
      </c>
      <c r="AB227" s="52">
        <f>[1]!s_stmnote_bank_5444(B227,$A227,1)</f>
        <v>0</v>
      </c>
      <c r="AC227" s="38">
        <f>[1]!s_stmnote_bank_129n($B227,$A227,1)</f>
        <v>0</v>
      </c>
      <c r="AD227" s="54">
        <f>[1]!s_stmnote_bank_30(B227,$A227,1)</f>
        <v>0</v>
      </c>
    </row>
    <row r="228" spans="1:30" ht="24">
      <c r="A228" s="1" t="s">
        <v>1110</v>
      </c>
      <c r="B228" s="87" t="s">
        <v>1336</v>
      </c>
      <c r="C228" s="8">
        <f>IF([1]!b_info_issuer(B228)="0","",IFERROR([1]!b_info_issuer(B228),""))</f>
        <v>0</v>
      </c>
      <c r="D228" s="11">
        <f>IF([1]!b_info_latestissurercreditrating(B228)="0","",IFERROR([1]!b_info_latestissurercreditrating(B228),""))</f>
        <v>0</v>
      </c>
      <c r="E228" s="27" t="str">
        <f>IFERROR(([1]!b_stm07_bs($B228,47,$A228,1,100000000))/[1]!b_stm07_bs($B228,109,$A228,1,100000000),"")</f>
        <v/>
      </c>
      <c r="F228" s="18" t="str">
        <f>IFERROR(([1]!s_stmnote_bank_26($B228,$A228,1,100000000)-[1]!s_stmnote_bank_26($B228,#REF!,1,100000000)+#REF!)/[1]!s_stmnote_bank_1n($B228,#REF!,1,100000000),"")</f>
        <v/>
      </c>
      <c r="G228" s="21" t="str">
        <f t="shared" si="6"/>
        <v/>
      </c>
      <c r="H228" s="18" t="str">
        <f>IFERROR([1]!s_stmnote_bank($B228,"34",$A228,100000000)/[1]!s_stmnote_bank_1n(B228,$A228,1,100000000),"")</f>
        <v/>
      </c>
      <c r="I228" s="25">
        <f>[1]!b_stm07_bs(B228,74,$A228,1,100000000)</f>
        <v>0</v>
      </c>
      <c r="J228" s="25">
        <f>[1]!b_stm07_bs(B228,109,$A228,1,100000000)</f>
        <v>0</v>
      </c>
      <c r="K228" s="10">
        <f>[1]!s_stmnote_bank_5n(B228,$A228,1)</f>
        <v>0</v>
      </c>
      <c r="L228" s="25">
        <f>[1]!s_stmnote_bank_23n(B228,$A228,1)</f>
        <v>0</v>
      </c>
      <c r="M228" s="25">
        <f>[1]!s_stmnote_bank_capadequacyratio(B228,$A228,1)</f>
        <v>0</v>
      </c>
      <c r="N228" s="25">
        <f>[1]!s_stmnote_bank_capadequacyratio_ct1(B228,$A228,1)</f>
        <v>0</v>
      </c>
      <c r="O228" s="6">
        <f>IF(OR([1]!s_fa_roe(B228,20201231)="0",[1]!s_fa_roe(B228,20211231)="0",[1]!s_fa_roe(B228,20221231)="0"),"",IFERROR(([1]!s_fa_roe(B228,20221231)+[1]!s_fa_roe(B228,20201231)+[1]!s_fa_roe(B228,20211231))/3,""))</f>
        <v>0</v>
      </c>
      <c r="P228" s="28" t="str">
        <f>IFERROR(([1]!s_stmnote_bank_65(B228,$A228,1,2,4,100000000)+[1]!s_stmnote_bank_65(B228,$A228,1,2,6,100000000))/[1]!s_stmnote_bank_1n(B228,$A228,1,100000000),"")</f>
        <v/>
      </c>
      <c r="Q228" s="28" t="str">
        <f>IFERROR([1]!s_stmnote_bank_614(B228,$A228,1,2,100000000)/[1]!s_stmnote_bank_647(B228,$A228,1,2,100000000),"")</f>
        <v/>
      </c>
      <c r="R228" s="28" t="str">
        <f>IFERROR(([1]!b_stm07_bs(B228,104,$A228,1,100000000)+[1]!b_stm07_bs(B228,106,$A228,1,100000000)+[1]!b_stm07_bs(B228,76,$A228,1,100000000)+[1]!b_stm07_bs(B228,108,$A228,1,100000000)+[1]!b_stm07_bs(B228,95,$A228,1,100000000))/[1]!b_stm07_bs(B228,128,$A228,1,100000000),"")</f>
        <v/>
      </c>
      <c r="S228" s="28" t="str">
        <f>IFERROR(([1]!s_stmnote_bank_614(B228,$A228,1,2,100000000)+[1]!b_stm07_bs(B228,104,$A228,1,100000000)+[1]!b_stm07_bs(B228,106,$A228,1,100000000)+[1]!b_stm07_bs(B228,76,$A228,1,100000000)+[1]!b_stm07_bs(B228,108,$A228,1,100000000)+[1]!b_stm07_bs(B228,95,$A228,1,100000000))/[1]!b_stm07_bs(B228,128,$A228,1,100000000),"")</f>
        <v/>
      </c>
      <c r="T228" s="11">
        <f>[1]!b_issuer_shareholder(B228,"",1)</f>
        <v>0</v>
      </c>
      <c r="U228" s="10">
        <f>[1]!b_issuer_propofshareholder(B228,"",1)</f>
        <v>0</v>
      </c>
      <c r="V228" s="33" t="str">
        <f t="shared" si="7"/>
        <v>0</v>
      </c>
      <c r="W228" s="33">
        <f>[1]!s_info_city(B228)</f>
        <v>0</v>
      </c>
      <c r="X228" s="10">
        <f>IF([1]!s_stmnote_bank_17n(B228,$A228,1)="0","",[1]!s_stmnote_bank_17n(B228,$A228,1))</f>
        <v>0</v>
      </c>
      <c r="Y228" s="10">
        <f>IF([1]!s_stmnote_bank_18n(B228,$A228,1)="0","",[1]!s_stmnote_bank_18n(B228,$A228,1))</f>
        <v>0</v>
      </c>
      <c r="Z228" s="41">
        <f>IF([1]!s_stmnote_bank_58(B228,$A228,1)="0","",[1]!s_stmnote_bank_58(B228,$A228,1))</f>
        <v>0</v>
      </c>
      <c r="AA228" s="52">
        <f>IF([1]!s_stmnote_bank_60(B228,$A228,1)="0","",[1]!s_stmnote_bank_60(B228,$A228,1))</f>
        <v>0</v>
      </c>
      <c r="AB228" s="52">
        <f>[1]!s_stmnote_bank_5444(B228,$A228,1)</f>
        <v>0</v>
      </c>
      <c r="AC228" s="38">
        <f>[1]!s_stmnote_bank_129n($B228,$A228,1)</f>
        <v>0</v>
      </c>
      <c r="AD228" s="54">
        <f>[1]!s_stmnote_bank_30(B228,$A228,1)</f>
        <v>0</v>
      </c>
    </row>
    <row r="229" spans="1:30" ht="24">
      <c r="A229" s="1" t="s">
        <v>1110</v>
      </c>
      <c r="B229" s="87" t="s">
        <v>1337</v>
      </c>
      <c r="C229" s="8">
        <f>IF([1]!b_info_issuer(B229)="0","",IFERROR([1]!b_info_issuer(B229),""))</f>
        <v>0</v>
      </c>
      <c r="D229" s="11">
        <f>IF([1]!b_info_latestissurercreditrating(B229)="0","",IFERROR([1]!b_info_latestissurercreditrating(B229),""))</f>
        <v>0</v>
      </c>
      <c r="E229" s="27" t="str">
        <f>IFERROR(([1]!b_stm07_bs($B229,47,$A229,1,100000000))/[1]!b_stm07_bs($B229,109,$A229,1,100000000),"")</f>
        <v/>
      </c>
      <c r="F229" s="18" t="str">
        <f>IFERROR(([1]!s_stmnote_bank_26($B229,$A229,1,100000000)-[1]!s_stmnote_bank_26($B229,#REF!,1,100000000)+#REF!)/[1]!s_stmnote_bank_1n($B229,#REF!,1,100000000),"")</f>
        <v/>
      </c>
      <c r="G229" s="21" t="str">
        <f t="shared" si="6"/>
        <v/>
      </c>
      <c r="H229" s="18" t="str">
        <f>IFERROR([1]!s_stmnote_bank($B229,"34",$A229,100000000)/[1]!s_stmnote_bank_1n(B229,$A229,1,100000000),"")</f>
        <v/>
      </c>
      <c r="I229" s="25">
        <f>[1]!b_stm07_bs(B229,74,$A229,1,100000000)</f>
        <v>0</v>
      </c>
      <c r="J229" s="25">
        <f>[1]!b_stm07_bs(B229,109,$A229,1,100000000)</f>
        <v>0</v>
      </c>
      <c r="K229" s="10">
        <f>[1]!s_stmnote_bank_5n(B229,$A229,1)</f>
        <v>0</v>
      </c>
      <c r="L229" s="25">
        <f>[1]!s_stmnote_bank_23n(B229,$A229,1)</f>
        <v>0</v>
      </c>
      <c r="M229" s="25">
        <f>[1]!s_stmnote_bank_capadequacyratio(B229,$A229,1)</f>
        <v>0</v>
      </c>
      <c r="N229" s="25">
        <f>[1]!s_stmnote_bank_capadequacyratio_ct1(B229,$A229,1)</f>
        <v>0</v>
      </c>
      <c r="O229" s="6">
        <f>IF(OR([1]!s_fa_roe(B229,20201231)="0",[1]!s_fa_roe(B229,20211231)="0",[1]!s_fa_roe(B229,20221231)="0"),"",IFERROR(([1]!s_fa_roe(B229,20221231)+[1]!s_fa_roe(B229,20201231)+[1]!s_fa_roe(B229,20211231))/3,""))</f>
        <v>0</v>
      </c>
      <c r="P229" s="28" t="str">
        <f>IFERROR(([1]!s_stmnote_bank_65(B229,$A229,1,2,4,100000000)+[1]!s_stmnote_bank_65(B229,$A229,1,2,6,100000000))/[1]!s_stmnote_bank_1n(B229,$A229,1,100000000),"")</f>
        <v/>
      </c>
      <c r="Q229" s="28" t="str">
        <f>IFERROR([1]!s_stmnote_bank_614(B229,$A229,1,2,100000000)/[1]!s_stmnote_bank_647(B229,$A229,1,2,100000000),"")</f>
        <v/>
      </c>
      <c r="R229" s="28" t="str">
        <f>IFERROR(([1]!b_stm07_bs(B229,104,$A229,1,100000000)+[1]!b_stm07_bs(B229,106,$A229,1,100000000)+[1]!b_stm07_bs(B229,76,$A229,1,100000000)+[1]!b_stm07_bs(B229,108,$A229,1,100000000)+[1]!b_stm07_bs(B229,95,$A229,1,100000000))/[1]!b_stm07_bs(B229,128,$A229,1,100000000),"")</f>
        <v/>
      </c>
      <c r="S229" s="28" t="str">
        <f>IFERROR(([1]!s_stmnote_bank_614(B229,$A229,1,2,100000000)+[1]!b_stm07_bs(B229,104,$A229,1,100000000)+[1]!b_stm07_bs(B229,106,$A229,1,100000000)+[1]!b_stm07_bs(B229,76,$A229,1,100000000)+[1]!b_stm07_bs(B229,108,$A229,1,100000000)+[1]!b_stm07_bs(B229,95,$A229,1,100000000))/[1]!b_stm07_bs(B229,128,$A229,1,100000000),"")</f>
        <v/>
      </c>
      <c r="T229" s="11">
        <f>[1]!b_issuer_shareholder(B229,"",1)</f>
        <v>0</v>
      </c>
      <c r="U229" s="10">
        <f>[1]!b_issuer_propofshareholder(B229,"",1)</f>
        <v>0</v>
      </c>
      <c r="V229" s="33" t="str">
        <f t="shared" si="7"/>
        <v>0</v>
      </c>
      <c r="W229" s="33">
        <f>[1]!s_info_city(B229)</f>
        <v>0</v>
      </c>
      <c r="X229" s="10">
        <f>IF([1]!s_stmnote_bank_17n(B229,$A229,1)="0","",[1]!s_stmnote_bank_17n(B229,$A229,1))</f>
        <v>0</v>
      </c>
      <c r="Y229" s="10">
        <f>IF([1]!s_stmnote_bank_18n(B229,$A229,1)="0","",[1]!s_stmnote_bank_18n(B229,$A229,1))</f>
        <v>0</v>
      </c>
      <c r="Z229" s="41">
        <f>IF([1]!s_stmnote_bank_58(B229,$A229,1)="0","",[1]!s_stmnote_bank_58(B229,$A229,1))</f>
        <v>0</v>
      </c>
      <c r="AA229" s="52">
        <f>IF([1]!s_stmnote_bank_60(B229,$A229,1)="0","",[1]!s_stmnote_bank_60(B229,$A229,1))</f>
        <v>0</v>
      </c>
      <c r="AB229" s="52">
        <f>[1]!s_stmnote_bank_5444(B229,$A229,1)</f>
        <v>0</v>
      </c>
      <c r="AC229" s="38">
        <f>[1]!s_stmnote_bank_129n($B229,$A229,1)</f>
        <v>0</v>
      </c>
      <c r="AD229" s="54">
        <f>[1]!s_stmnote_bank_30(B229,$A229,1)</f>
        <v>0</v>
      </c>
    </row>
    <row r="230" spans="1:30" ht="24">
      <c r="A230" s="1" t="s">
        <v>1110</v>
      </c>
      <c r="B230" s="87" t="s">
        <v>1338</v>
      </c>
      <c r="C230" s="8">
        <f>IF([1]!b_info_issuer(B230)="0","",IFERROR([1]!b_info_issuer(B230),""))</f>
        <v>0</v>
      </c>
      <c r="D230" s="11">
        <f>IF([1]!b_info_latestissurercreditrating(B230)="0","",IFERROR([1]!b_info_latestissurercreditrating(B230),""))</f>
        <v>0</v>
      </c>
      <c r="E230" s="27" t="str">
        <f>IFERROR(([1]!b_stm07_bs($B230,47,$A230,1,100000000))/[1]!b_stm07_bs($B230,109,$A230,1,100000000),"")</f>
        <v/>
      </c>
      <c r="F230" s="18" t="str">
        <f>IFERROR(([1]!s_stmnote_bank_26($B230,$A230,1,100000000)-[1]!s_stmnote_bank_26($B230,#REF!,1,100000000)+#REF!)/[1]!s_stmnote_bank_1n($B230,#REF!,1,100000000),"")</f>
        <v/>
      </c>
      <c r="G230" s="21" t="str">
        <f t="shared" si="6"/>
        <v/>
      </c>
      <c r="H230" s="18" t="str">
        <f>IFERROR([1]!s_stmnote_bank($B230,"34",$A230,100000000)/[1]!s_stmnote_bank_1n(B230,$A230,1,100000000),"")</f>
        <v/>
      </c>
      <c r="I230" s="25">
        <f>[1]!b_stm07_bs(B230,74,$A230,1,100000000)</f>
        <v>0</v>
      </c>
      <c r="J230" s="25">
        <f>[1]!b_stm07_bs(B230,109,$A230,1,100000000)</f>
        <v>0</v>
      </c>
      <c r="K230" s="10">
        <f>[1]!s_stmnote_bank_5n(B230,$A230,1)</f>
        <v>0</v>
      </c>
      <c r="L230" s="25">
        <f>[1]!s_stmnote_bank_23n(B230,$A230,1)</f>
        <v>0</v>
      </c>
      <c r="M230" s="25">
        <f>[1]!s_stmnote_bank_capadequacyratio(B230,$A230,1)</f>
        <v>0</v>
      </c>
      <c r="N230" s="25">
        <f>[1]!s_stmnote_bank_capadequacyratio_ct1(B230,$A230,1)</f>
        <v>0</v>
      </c>
      <c r="O230" s="6">
        <f>IF(OR([1]!s_fa_roe(B230,20201231)="0",[1]!s_fa_roe(B230,20211231)="0",[1]!s_fa_roe(B230,20221231)="0"),"",IFERROR(([1]!s_fa_roe(B230,20221231)+[1]!s_fa_roe(B230,20201231)+[1]!s_fa_roe(B230,20211231))/3,""))</f>
        <v>0</v>
      </c>
      <c r="P230" s="28" t="str">
        <f>IFERROR(([1]!s_stmnote_bank_65(B230,$A230,1,2,4,100000000)+[1]!s_stmnote_bank_65(B230,$A230,1,2,6,100000000))/[1]!s_stmnote_bank_1n(B230,$A230,1,100000000),"")</f>
        <v/>
      </c>
      <c r="Q230" s="28" t="str">
        <f>IFERROR([1]!s_stmnote_bank_614(B230,$A230,1,2,100000000)/[1]!s_stmnote_bank_647(B230,$A230,1,2,100000000),"")</f>
        <v/>
      </c>
      <c r="R230" s="28" t="str">
        <f>IFERROR(([1]!b_stm07_bs(B230,104,$A230,1,100000000)+[1]!b_stm07_bs(B230,106,$A230,1,100000000)+[1]!b_stm07_bs(B230,76,$A230,1,100000000)+[1]!b_stm07_bs(B230,108,$A230,1,100000000)+[1]!b_stm07_bs(B230,95,$A230,1,100000000))/[1]!b_stm07_bs(B230,128,$A230,1,100000000),"")</f>
        <v/>
      </c>
      <c r="S230" s="28" t="str">
        <f>IFERROR(([1]!s_stmnote_bank_614(B230,$A230,1,2,100000000)+[1]!b_stm07_bs(B230,104,$A230,1,100000000)+[1]!b_stm07_bs(B230,106,$A230,1,100000000)+[1]!b_stm07_bs(B230,76,$A230,1,100000000)+[1]!b_stm07_bs(B230,108,$A230,1,100000000)+[1]!b_stm07_bs(B230,95,$A230,1,100000000))/[1]!b_stm07_bs(B230,128,$A230,1,100000000),"")</f>
        <v/>
      </c>
      <c r="T230" s="11">
        <f>[1]!b_issuer_shareholder(B230,"",1)</f>
        <v>0</v>
      </c>
      <c r="U230" s="10">
        <f>[1]!b_issuer_propofshareholder(B230,"",1)</f>
        <v>0</v>
      </c>
      <c r="V230" s="33" t="str">
        <f t="shared" si="7"/>
        <v>0</v>
      </c>
      <c r="W230" s="33">
        <f>[1]!s_info_city(B230)</f>
        <v>0</v>
      </c>
      <c r="X230" s="10">
        <f>IF([1]!s_stmnote_bank_17n(B230,$A230,1)="0","",[1]!s_stmnote_bank_17n(B230,$A230,1))</f>
        <v>0</v>
      </c>
      <c r="Y230" s="10">
        <f>IF([1]!s_stmnote_bank_18n(B230,$A230,1)="0","",[1]!s_stmnote_bank_18n(B230,$A230,1))</f>
        <v>0</v>
      </c>
      <c r="Z230" s="41">
        <f>IF([1]!s_stmnote_bank_58(B230,$A230,1)="0","",[1]!s_stmnote_bank_58(B230,$A230,1))</f>
        <v>0</v>
      </c>
      <c r="AA230" s="52">
        <f>IF([1]!s_stmnote_bank_60(B230,$A230,1)="0","",[1]!s_stmnote_bank_60(B230,$A230,1))</f>
        <v>0</v>
      </c>
      <c r="AB230" s="52">
        <f>[1]!s_stmnote_bank_5444(B230,$A230,1)</f>
        <v>0</v>
      </c>
      <c r="AC230" s="38">
        <f>[1]!s_stmnote_bank_129n($B230,$A230,1)</f>
        <v>0</v>
      </c>
      <c r="AD230" s="54">
        <f>[1]!s_stmnote_bank_30(B230,$A230,1)</f>
        <v>0</v>
      </c>
    </row>
    <row r="231" spans="1:30" ht="24">
      <c r="A231" s="1" t="s">
        <v>1110</v>
      </c>
      <c r="B231" s="87" t="s">
        <v>1339</v>
      </c>
      <c r="C231" s="8">
        <f>IF([1]!b_info_issuer(B231)="0","",IFERROR([1]!b_info_issuer(B231),""))</f>
        <v>0</v>
      </c>
      <c r="D231" s="11">
        <f>IF([1]!b_info_latestissurercreditrating(B231)="0","",IFERROR([1]!b_info_latestissurercreditrating(B231),""))</f>
        <v>0</v>
      </c>
      <c r="E231" s="27" t="str">
        <f>IFERROR(([1]!b_stm07_bs($B231,47,$A231,1,100000000))/[1]!b_stm07_bs($B231,109,$A231,1,100000000),"")</f>
        <v/>
      </c>
      <c r="F231" s="18" t="str">
        <f>IFERROR(([1]!s_stmnote_bank_26($B231,$A231,1,100000000)-[1]!s_stmnote_bank_26($B231,#REF!,1,100000000)+#REF!)/[1]!s_stmnote_bank_1n($B231,#REF!,1,100000000),"")</f>
        <v/>
      </c>
      <c r="G231" s="21" t="str">
        <f t="shared" si="6"/>
        <v/>
      </c>
      <c r="H231" s="18" t="str">
        <f>IFERROR([1]!s_stmnote_bank($B231,"34",$A231,100000000)/[1]!s_stmnote_bank_1n(B231,$A231,1,100000000),"")</f>
        <v/>
      </c>
      <c r="I231" s="25">
        <f>[1]!b_stm07_bs(B231,74,$A231,1,100000000)</f>
        <v>0</v>
      </c>
      <c r="J231" s="25">
        <f>[1]!b_stm07_bs(B231,109,$A231,1,100000000)</f>
        <v>0</v>
      </c>
      <c r="K231" s="10">
        <f>[1]!s_stmnote_bank_5n(B231,$A231,1)</f>
        <v>0</v>
      </c>
      <c r="L231" s="25">
        <f>[1]!s_stmnote_bank_23n(B231,$A231,1)</f>
        <v>0</v>
      </c>
      <c r="M231" s="25">
        <f>[1]!s_stmnote_bank_capadequacyratio(B231,$A231,1)</f>
        <v>0</v>
      </c>
      <c r="N231" s="25">
        <f>[1]!s_stmnote_bank_capadequacyratio_ct1(B231,$A231,1)</f>
        <v>0</v>
      </c>
      <c r="O231" s="6">
        <f>IF(OR([1]!s_fa_roe(B231,20201231)="0",[1]!s_fa_roe(B231,20211231)="0",[1]!s_fa_roe(B231,20221231)="0"),"",IFERROR(([1]!s_fa_roe(B231,20221231)+[1]!s_fa_roe(B231,20201231)+[1]!s_fa_roe(B231,20211231))/3,""))</f>
        <v>0</v>
      </c>
      <c r="P231" s="28" t="str">
        <f>IFERROR(([1]!s_stmnote_bank_65(B231,$A231,1,2,4,100000000)+[1]!s_stmnote_bank_65(B231,$A231,1,2,6,100000000))/[1]!s_stmnote_bank_1n(B231,$A231,1,100000000),"")</f>
        <v/>
      </c>
      <c r="Q231" s="28" t="str">
        <f>IFERROR([1]!s_stmnote_bank_614(B231,$A231,1,2,100000000)/[1]!s_stmnote_bank_647(B231,$A231,1,2,100000000),"")</f>
        <v/>
      </c>
      <c r="R231" s="28" t="str">
        <f>IFERROR(([1]!b_stm07_bs(B231,104,$A231,1,100000000)+[1]!b_stm07_bs(B231,106,$A231,1,100000000)+[1]!b_stm07_bs(B231,76,$A231,1,100000000)+[1]!b_stm07_bs(B231,108,$A231,1,100000000)+[1]!b_stm07_bs(B231,95,$A231,1,100000000))/[1]!b_stm07_bs(B231,128,$A231,1,100000000),"")</f>
        <v/>
      </c>
      <c r="S231" s="28" t="str">
        <f>IFERROR(([1]!s_stmnote_bank_614(B231,$A231,1,2,100000000)+[1]!b_stm07_bs(B231,104,$A231,1,100000000)+[1]!b_stm07_bs(B231,106,$A231,1,100000000)+[1]!b_stm07_bs(B231,76,$A231,1,100000000)+[1]!b_stm07_bs(B231,108,$A231,1,100000000)+[1]!b_stm07_bs(B231,95,$A231,1,100000000))/[1]!b_stm07_bs(B231,128,$A231,1,100000000),"")</f>
        <v/>
      </c>
      <c r="T231" s="11">
        <f>[1]!b_issuer_shareholder(B231,"",1)</f>
        <v>0</v>
      </c>
      <c r="U231" s="10">
        <f>[1]!b_issuer_propofshareholder(B231,"",1)</f>
        <v>0</v>
      </c>
      <c r="V231" s="33" t="str">
        <f t="shared" si="7"/>
        <v>0</v>
      </c>
      <c r="W231" s="33">
        <f>[1]!s_info_city(B231)</f>
        <v>0</v>
      </c>
      <c r="X231" s="10">
        <f>IF([1]!s_stmnote_bank_17n(B231,$A231,1)="0","",[1]!s_stmnote_bank_17n(B231,$A231,1))</f>
        <v>0</v>
      </c>
      <c r="Y231" s="10">
        <f>IF([1]!s_stmnote_bank_18n(B231,$A231,1)="0","",[1]!s_stmnote_bank_18n(B231,$A231,1))</f>
        <v>0</v>
      </c>
      <c r="Z231" s="41">
        <f>IF([1]!s_stmnote_bank_58(B231,$A231,1)="0","",[1]!s_stmnote_bank_58(B231,$A231,1))</f>
        <v>0</v>
      </c>
      <c r="AA231" s="52">
        <f>IF([1]!s_stmnote_bank_60(B231,$A231,1)="0","",[1]!s_stmnote_bank_60(B231,$A231,1))</f>
        <v>0</v>
      </c>
      <c r="AB231" s="52">
        <f>[1]!s_stmnote_bank_5444(B231,$A231,1)</f>
        <v>0</v>
      </c>
      <c r="AC231" s="38">
        <f>[1]!s_stmnote_bank_129n($B231,$A231,1)</f>
        <v>0</v>
      </c>
      <c r="AD231" s="54">
        <f>[1]!s_stmnote_bank_30(B231,$A231,1)</f>
        <v>0</v>
      </c>
    </row>
    <row r="232" spans="1:30" ht="24">
      <c r="A232" s="1" t="s">
        <v>1110</v>
      </c>
      <c r="B232" s="87" t="s">
        <v>1340</v>
      </c>
      <c r="C232" s="8">
        <f>IF([1]!b_info_issuer(B232)="0","",IFERROR([1]!b_info_issuer(B232),""))</f>
        <v>0</v>
      </c>
      <c r="D232" s="11">
        <f>IF([1]!b_info_latestissurercreditrating(B232)="0","",IFERROR([1]!b_info_latestissurercreditrating(B232),""))</f>
        <v>0</v>
      </c>
      <c r="E232" s="27" t="str">
        <f>IFERROR(([1]!b_stm07_bs($B232,47,$A232,1,100000000))/[1]!b_stm07_bs($B232,109,$A232,1,100000000),"")</f>
        <v/>
      </c>
      <c r="F232" s="18" t="str">
        <f>IFERROR(([1]!s_stmnote_bank_26($B232,$A232,1,100000000)-[1]!s_stmnote_bank_26($B232,#REF!,1,100000000)+#REF!)/[1]!s_stmnote_bank_1n($B232,#REF!,1,100000000),"")</f>
        <v/>
      </c>
      <c r="G232" s="21" t="str">
        <f t="shared" si="6"/>
        <v/>
      </c>
      <c r="H232" s="18" t="str">
        <f>IFERROR([1]!s_stmnote_bank($B232,"34",$A232,100000000)/[1]!s_stmnote_bank_1n(B232,$A232,1,100000000),"")</f>
        <v/>
      </c>
      <c r="I232" s="25">
        <f>[1]!b_stm07_bs(B232,74,$A232,1,100000000)</f>
        <v>0</v>
      </c>
      <c r="J232" s="25">
        <f>[1]!b_stm07_bs(B232,109,$A232,1,100000000)</f>
        <v>0</v>
      </c>
      <c r="K232" s="10">
        <f>[1]!s_stmnote_bank_5n(B232,$A232,1)</f>
        <v>0</v>
      </c>
      <c r="L232" s="25">
        <f>[1]!s_stmnote_bank_23n(B232,$A232,1)</f>
        <v>0</v>
      </c>
      <c r="M232" s="25">
        <f>[1]!s_stmnote_bank_capadequacyratio(B232,$A232,1)</f>
        <v>0</v>
      </c>
      <c r="N232" s="25">
        <f>[1]!s_stmnote_bank_capadequacyratio_ct1(B232,$A232,1)</f>
        <v>0</v>
      </c>
      <c r="O232" s="6">
        <f>IF(OR([1]!s_fa_roe(B232,20201231)="0",[1]!s_fa_roe(B232,20211231)="0",[1]!s_fa_roe(B232,20221231)="0"),"",IFERROR(([1]!s_fa_roe(B232,20221231)+[1]!s_fa_roe(B232,20201231)+[1]!s_fa_roe(B232,20211231))/3,""))</f>
        <v>0</v>
      </c>
      <c r="P232" s="28" t="str">
        <f>IFERROR(([1]!s_stmnote_bank_65(B232,$A232,1,2,4,100000000)+[1]!s_stmnote_bank_65(B232,$A232,1,2,6,100000000))/[1]!s_stmnote_bank_1n(B232,$A232,1,100000000),"")</f>
        <v/>
      </c>
      <c r="Q232" s="28" t="str">
        <f>IFERROR([1]!s_stmnote_bank_614(B232,$A232,1,2,100000000)/[1]!s_stmnote_bank_647(B232,$A232,1,2,100000000),"")</f>
        <v/>
      </c>
      <c r="R232" s="28" t="str">
        <f>IFERROR(([1]!b_stm07_bs(B232,104,$A232,1,100000000)+[1]!b_stm07_bs(B232,106,$A232,1,100000000)+[1]!b_stm07_bs(B232,76,$A232,1,100000000)+[1]!b_stm07_bs(B232,108,$A232,1,100000000)+[1]!b_stm07_bs(B232,95,$A232,1,100000000))/[1]!b_stm07_bs(B232,128,$A232,1,100000000),"")</f>
        <v/>
      </c>
      <c r="S232" s="28" t="str">
        <f>IFERROR(([1]!s_stmnote_bank_614(B232,$A232,1,2,100000000)+[1]!b_stm07_bs(B232,104,$A232,1,100000000)+[1]!b_stm07_bs(B232,106,$A232,1,100000000)+[1]!b_stm07_bs(B232,76,$A232,1,100000000)+[1]!b_stm07_bs(B232,108,$A232,1,100000000)+[1]!b_stm07_bs(B232,95,$A232,1,100000000))/[1]!b_stm07_bs(B232,128,$A232,1,100000000),"")</f>
        <v/>
      </c>
      <c r="T232" s="11">
        <f>[1]!b_issuer_shareholder(B232,"",1)</f>
        <v>0</v>
      </c>
      <c r="U232" s="10">
        <f>[1]!b_issuer_propofshareholder(B232,"",1)</f>
        <v>0</v>
      </c>
      <c r="V232" s="33" t="str">
        <f t="shared" si="7"/>
        <v>0</v>
      </c>
      <c r="W232" s="33">
        <f>[1]!s_info_city(B232)</f>
        <v>0</v>
      </c>
      <c r="X232" s="10">
        <f>IF([1]!s_stmnote_bank_17n(B232,$A232,1)="0","",[1]!s_stmnote_bank_17n(B232,$A232,1))</f>
        <v>0</v>
      </c>
      <c r="Y232" s="10">
        <f>IF([1]!s_stmnote_bank_18n(B232,$A232,1)="0","",[1]!s_stmnote_bank_18n(B232,$A232,1))</f>
        <v>0</v>
      </c>
      <c r="Z232" s="41">
        <f>IF([1]!s_stmnote_bank_58(B232,$A232,1)="0","",[1]!s_stmnote_bank_58(B232,$A232,1))</f>
        <v>0</v>
      </c>
      <c r="AA232" s="52">
        <f>IF([1]!s_stmnote_bank_60(B232,$A232,1)="0","",[1]!s_stmnote_bank_60(B232,$A232,1))</f>
        <v>0</v>
      </c>
      <c r="AB232" s="52">
        <f>[1]!s_stmnote_bank_5444(B232,$A232,1)</f>
        <v>0</v>
      </c>
      <c r="AC232" s="38">
        <f>[1]!s_stmnote_bank_129n($B232,$A232,1)</f>
        <v>0</v>
      </c>
      <c r="AD232" s="54">
        <f>[1]!s_stmnote_bank_30(B232,$A232,1)</f>
        <v>0</v>
      </c>
    </row>
    <row r="233" spans="1:30" ht="24">
      <c r="A233" s="1" t="s">
        <v>1110</v>
      </c>
      <c r="B233" s="87" t="s">
        <v>1341</v>
      </c>
      <c r="C233" s="8">
        <f>IF([1]!b_info_issuer(B233)="0","",IFERROR([1]!b_info_issuer(B233),""))</f>
        <v>0</v>
      </c>
      <c r="D233" s="11">
        <f>IF([1]!b_info_latestissurercreditrating(B233)="0","",IFERROR([1]!b_info_latestissurercreditrating(B233),""))</f>
        <v>0</v>
      </c>
      <c r="E233" s="27" t="str">
        <f>IFERROR(([1]!b_stm07_bs($B233,47,$A233,1,100000000))/[1]!b_stm07_bs($B233,109,$A233,1,100000000),"")</f>
        <v/>
      </c>
      <c r="F233" s="18" t="str">
        <f>IFERROR(([1]!s_stmnote_bank_26($B233,$A233,1,100000000)-[1]!s_stmnote_bank_26($B233,#REF!,1,100000000)+#REF!)/[1]!s_stmnote_bank_1n($B233,#REF!,1,100000000),"")</f>
        <v/>
      </c>
      <c r="G233" s="21" t="str">
        <f t="shared" si="6"/>
        <v/>
      </c>
      <c r="H233" s="18" t="str">
        <f>IFERROR([1]!s_stmnote_bank($B233,"34",$A233,100000000)/[1]!s_stmnote_bank_1n(B233,$A233,1,100000000),"")</f>
        <v/>
      </c>
      <c r="I233" s="25">
        <f>[1]!b_stm07_bs(B233,74,$A233,1,100000000)</f>
        <v>0</v>
      </c>
      <c r="J233" s="25">
        <f>[1]!b_stm07_bs(B233,109,$A233,1,100000000)</f>
        <v>0</v>
      </c>
      <c r="K233" s="10">
        <f>[1]!s_stmnote_bank_5n(B233,$A233,1)</f>
        <v>0</v>
      </c>
      <c r="L233" s="25">
        <f>[1]!s_stmnote_bank_23n(B233,$A233,1)</f>
        <v>0</v>
      </c>
      <c r="M233" s="25">
        <f>[1]!s_stmnote_bank_capadequacyratio(B233,$A233,1)</f>
        <v>0</v>
      </c>
      <c r="N233" s="25">
        <f>[1]!s_stmnote_bank_capadequacyratio_ct1(B233,$A233,1)</f>
        <v>0</v>
      </c>
      <c r="O233" s="6">
        <f>IF(OR([1]!s_fa_roe(B233,20201231)="0",[1]!s_fa_roe(B233,20211231)="0",[1]!s_fa_roe(B233,20221231)="0"),"",IFERROR(([1]!s_fa_roe(B233,20221231)+[1]!s_fa_roe(B233,20201231)+[1]!s_fa_roe(B233,20211231))/3,""))</f>
        <v>0</v>
      </c>
      <c r="P233" s="28" t="str">
        <f>IFERROR(([1]!s_stmnote_bank_65(B233,$A233,1,2,4,100000000)+[1]!s_stmnote_bank_65(B233,$A233,1,2,6,100000000))/[1]!s_stmnote_bank_1n(B233,$A233,1,100000000),"")</f>
        <v/>
      </c>
      <c r="Q233" s="28" t="str">
        <f>IFERROR([1]!s_stmnote_bank_614(B233,$A233,1,2,100000000)/[1]!s_stmnote_bank_647(B233,$A233,1,2,100000000),"")</f>
        <v/>
      </c>
      <c r="R233" s="28" t="str">
        <f>IFERROR(([1]!b_stm07_bs(B233,104,$A233,1,100000000)+[1]!b_stm07_bs(B233,106,$A233,1,100000000)+[1]!b_stm07_bs(B233,76,$A233,1,100000000)+[1]!b_stm07_bs(B233,108,$A233,1,100000000)+[1]!b_stm07_bs(B233,95,$A233,1,100000000))/[1]!b_stm07_bs(B233,128,$A233,1,100000000),"")</f>
        <v/>
      </c>
      <c r="S233" s="28" t="str">
        <f>IFERROR(([1]!s_stmnote_bank_614(B233,$A233,1,2,100000000)+[1]!b_stm07_bs(B233,104,$A233,1,100000000)+[1]!b_stm07_bs(B233,106,$A233,1,100000000)+[1]!b_stm07_bs(B233,76,$A233,1,100000000)+[1]!b_stm07_bs(B233,108,$A233,1,100000000)+[1]!b_stm07_bs(B233,95,$A233,1,100000000))/[1]!b_stm07_bs(B233,128,$A233,1,100000000),"")</f>
        <v/>
      </c>
      <c r="T233" s="11">
        <f>[1]!b_issuer_shareholder(B233,"",1)</f>
        <v>0</v>
      </c>
      <c r="U233" s="10">
        <f>[1]!b_issuer_propofshareholder(B233,"",1)</f>
        <v>0</v>
      </c>
      <c r="V233" s="33" t="str">
        <f t="shared" si="7"/>
        <v>0</v>
      </c>
      <c r="W233" s="33">
        <f>[1]!s_info_city(B233)</f>
        <v>0</v>
      </c>
      <c r="X233" s="10">
        <f>IF([1]!s_stmnote_bank_17n(B233,$A233,1)="0","",[1]!s_stmnote_bank_17n(B233,$A233,1))</f>
        <v>0</v>
      </c>
      <c r="Y233" s="10">
        <f>IF([1]!s_stmnote_bank_18n(B233,$A233,1)="0","",[1]!s_stmnote_bank_18n(B233,$A233,1))</f>
        <v>0</v>
      </c>
      <c r="Z233" s="41">
        <f>IF([1]!s_stmnote_bank_58(B233,$A233,1)="0","",[1]!s_stmnote_bank_58(B233,$A233,1))</f>
        <v>0</v>
      </c>
      <c r="AA233" s="52">
        <f>IF([1]!s_stmnote_bank_60(B233,$A233,1)="0","",[1]!s_stmnote_bank_60(B233,$A233,1))</f>
        <v>0</v>
      </c>
      <c r="AB233" s="52">
        <f>[1]!s_stmnote_bank_5444(B233,$A233,1)</f>
        <v>0</v>
      </c>
      <c r="AC233" s="38">
        <f>[1]!s_stmnote_bank_129n($B233,$A233,1)</f>
        <v>0</v>
      </c>
      <c r="AD233" s="54">
        <f>[1]!s_stmnote_bank_30(B233,$A233,1)</f>
        <v>0</v>
      </c>
    </row>
    <row r="234" spans="1:30" ht="24">
      <c r="A234" s="1" t="s">
        <v>1110</v>
      </c>
      <c r="B234" s="87" t="s">
        <v>1342</v>
      </c>
      <c r="C234" s="8">
        <f>IF([1]!b_info_issuer(B234)="0","",IFERROR([1]!b_info_issuer(B234),""))</f>
        <v>0</v>
      </c>
      <c r="D234" s="11">
        <f>IF([1]!b_info_latestissurercreditrating(B234)="0","",IFERROR([1]!b_info_latestissurercreditrating(B234),""))</f>
        <v>0</v>
      </c>
      <c r="E234" s="27" t="str">
        <f>IFERROR(([1]!b_stm07_bs($B234,47,$A234,1,100000000))/[1]!b_stm07_bs($B234,109,$A234,1,100000000),"")</f>
        <v/>
      </c>
      <c r="F234" s="18" t="str">
        <f>IFERROR(([1]!s_stmnote_bank_26($B234,$A234,1,100000000)-[1]!s_stmnote_bank_26($B234,#REF!,1,100000000)+#REF!)/[1]!s_stmnote_bank_1n($B234,#REF!,1,100000000),"")</f>
        <v/>
      </c>
      <c r="G234" s="21" t="str">
        <f t="shared" si="6"/>
        <v/>
      </c>
      <c r="H234" s="18" t="str">
        <f>IFERROR([1]!s_stmnote_bank($B234,"34",$A234,100000000)/[1]!s_stmnote_bank_1n(B234,$A234,1,100000000),"")</f>
        <v/>
      </c>
      <c r="I234" s="25">
        <f>[1]!b_stm07_bs(B234,74,$A234,1,100000000)</f>
        <v>0</v>
      </c>
      <c r="J234" s="25">
        <f>[1]!b_stm07_bs(B234,109,$A234,1,100000000)</f>
        <v>0</v>
      </c>
      <c r="K234" s="10">
        <f>[1]!s_stmnote_bank_5n(B234,$A234,1)</f>
        <v>0</v>
      </c>
      <c r="L234" s="25">
        <f>[1]!s_stmnote_bank_23n(B234,$A234,1)</f>
        <v>0</v>
      </c>
      <c r="M234" s="25">
        <f>[1]!s_stmnote_bank_capadequacyratio(B234,$A234,1)</f>
        <v>0</v>
      </c>
      <c r="N234" s="25">
        <f>[1]!s_stmnote_bank_capadequacyratio_ct1(B234,$A234,1)</f>
        <v>0</v>
      </c>
      <c r="O234" s="6">
        <f>IF(OR([1]!s_fa_roe(B234,20201231)="0",[1]!s_fa_roe(B234,20211231)="0",[1]!s_fa_roe(B234,20221231)="0"),"",IFERROR(([1]!s_fa_roe(B234,20221231)+[1]!s_fa_roe(B234,20201231)+[1]!s_fa_roe(B234,20211231))/3,""))</f>
        <v>0</v>
      </c>
      <c r="P234" s="28" t="str">
        <f>IFERROR(([1]!s_stmnote_bank_65(B234,$A234,1,2,4,100000000)+[1]!s_stmnote_bank_65(B234,$A234,1,2,6,100000000))/[1]!s_stmnote_bank_1n(B234,$A234,1,100000000),"")</f>
        <v/>
      </c>
      <c r="Q234" s="28" t="str">
        <f>IFERROR([1]!s_stmnote_bank_614(B234,$A234,1,2,100000000)/[1]!s_stmnote_bank_647(B234,$A234,1,2,100000000),"")</f>
        <v/>
      </c>
      <c r="R234" s="28" t="str">
        <f>IFERROR(([1]!b_stm07_bs(B234,104,$A234,1,100000000)+[1]!b_stm07_bs(B234,106,$A234,1,100000000)+[1]!b_stm07_bs(B234,76,$A234,1,100000000)+[1]!b_stm07_bs(B234,108,$A234,1,100000000)+[1]!b_stm07_bs(B234,95,$A234,1,100000000))/[1]!b_stm07_bs(B234,128,$A234,1,100000000),"")</f>
        <v/>
      </c>
      <c r="S234" s="28" t="str">
        <f>IFERROR(([1]!s_stmnote_bank_614(B234,$A234,1,2,100000000)+[1]!b_stm07_bs(B234,104,$A234,1,100000000)+[1]!b_stm07_bs(B234,106,$A234,1,100000000)+[1]!b_stm07_bs(B234,76,$A234,1,100000000)+[1]!b_stm07_bs(B234,108,$A234,1,100000000)+[1]!b_stm07_bs(B234,95,$A234,1,100000000))/[1]!b_stm07_bs(B234,128,$A234,1,100000000),"")</f>
        <v/>
      </c>
      <c r="T234" s="11">
        <f>[1]!b_issuer_shareholder(B234,"",1)</f>
        <v>0</v>
      </c>
      <c r="U234" s="10">
        <f>[1]!b_issuer_propofshareholder(B234,"",1)</f>
        <v>0</v>
      </c>
      <c r="V234" s="33" t="str">
        <f t="shared" si="7"/>
        <v>0</v>
      </c>
      <c r="W234" s="33">
        <f>[1]!s_info_city(B234)</f>
        <v>0</v>
      </c>
      <c r="X234" s="10">
        <f>IF([1]!s_stmnote_bank_17n(B234,$A234,1)="0","",[1]!s_stmnote_bank_17n(B234,$A234,1))</f>
        <v>0</v>
      </c>
      <c r="Y234" s="10">
        <f>IF([1]!s_stmnote_bank_18n(B234,$A234,1)="0","",[1]!s_stmnote_bank_18n(B234,$A234,1))</f>
        <v>0</v>
      </c>
      <c r="Z234" s="41">
        <f>IF([1]!s_stmnote_bank_58(B234,$A234,1)="0","",[1]!s_stmnote_bank_58(B234,$A234,1))</f>
        <v>0</v>
      </c>
      <c r="AA234" s="52">
        <f>IF([1]!s_stmnote_bank_60(B234,$A234,1)="0","",[1]!s_stmnote_bank_60(B234,$A234,1))</f>
        <v>0</v>
      </c>
      <c r="AB234" s="52">
        <f>[1]!s_stmnote_bank_5444(B234,$A234,1)</f>
        <v>0</v>
      </c>
      <c r="AC234" s="38">
        <f>[1]!s_stmnote_bank_129n($B234,$A234,1)</f>
        <v>0</v>
      </c>
      <c r="AD234" s="54">
        <f>[1]!s_stmnote_bank_30(B234,$A234,1)</f>
        <v>0</v>
      </c>
    </row>
    <row r="235" spans="1:30" ht="24">
      <c r="A235" s="1" t="s">
        <v>1110</v>
      </c>
      <c r="B235" s="87" t="s">
        <v>1343</v>
      </c>
      <c r="C235" s="8">
        <f>IF([1]!b_info_issuer(B235)="0","",IFERROR([1]!b_info_issuer(B235),""))</f>
        <v>0</v>
      </c>
      <c r="D235" s="11">
        <f>IF([1]!b_info_latestissurercreditrating(B235)="0","",IFERROR([1]!b_info_latestissurercreditrating(B235),""))</f>
        <v>0</v>
      </c>
      <c r="E235" s="27" t="str">
        <f>IFERROR(([1]!b_stm07_bs($B235,47,$A235,1,100000000))/[1]!b_stm07_bs($B235,109,$A235,1,100000000),"")</f>
        <v/>
      </c>
      <c r="F235" s="18" t="str">
        <f>IFERROR(([1]!s_stmnote_bank_26($B235,$A235,1,100000000)-[1]!s_stmnote_bank_26($B235,#REF!,1,100000000)+#REF!)/[1]!s_stmnote_bank_1n($B235,#REF!,1,100000000),"")</f>
        <v/>
      </c>
      <c r="G235" s="21" t="str">
        <f t="shared" si="6"/>
        <v/>
      </c>
      <c r="H235" s="18" t="str">
        <f>IFERROR([1]!s_stmnote_bank($B235,"34",$A235,100000000)/[1]!s_stmnote_bank_1n(B235,$A235,1,100000000),"")</f>
        <v/>
      </c>
      <c r="I235" s="25">
        <f>[1]!b_stm07_bs(B235,74,$A235,1,100000000)</f>
        <v>0</v>
      </c>
      <c r="J235" s="25">
        <f>[1]!b_stm07_bs(B235,109,$A235,1,100000000)</f>
        <v>0</v>
      </c>
      <c r="K235" s="10">
        <f>[1]!s_stmnote_bank_5n(B235,$A235,1)</f>
        <v>0</v>
      </c>
      <c r="L235" s="25">
        <f>[1]!s_stmnote_bank_23n(B235,$A235,1)</f>
        <v>0</v>
      </c>
      <c r="M235" s="25">
        <f>[1]!s_stmnote_bank_capadequacyratio(B235,$A235,1)</f>
        <v>0</v>
      </c>
      <c r="N235" s="25">
        <f>[1]!s_stmnote_bank_capadequacyratio_ct1(B235,$A235,1)</f>
        <v>0</v>
      </c>
      <c r="O235" s="6">
        <f>IF(OR([1]!s_fa_roe(B235,20201231)="0",[1]!s_fa_roe(B235,20211231)="0",[1]!s_fa_roe(B235,20221231)="0"),"",IFERROR(([1]!s_fa_roe(B235,20221231)+[1]!s_fa_roe(B235,20201231)+[1]!s_fa_roe(B235,20211231))/3,""))</f>
        <v>0</v>
      </c>
      <c r="P235" s="28" t="str">
        <f>IFERROR(([1]!s_stmnote_bank_65(B235,$A235,1,2,4,100000000)+[1]!s_stmnote_bank_65(B235,$A235,1,2,6,100000000))/[1]!s_stmnote_bank_1n(B235,$A235,1,100000000),"")</f>
        <v/>
      </c>
      <c r="Q235" s="28" t="str">
        <f>IFERROR([1]!s_stmnote_bank_614(B235,$A235,1,2,100000000)/[1]!s_stmnote_bank_647(B235,$A235,1,2,100000000),"")</f>
        <v/>
      </c>
      <c r="R235" s="28" t="str">
        <f>IFERROR(([1]!b_stm07_bs(B235,104,$A235,1,100000000)+[1]!b_stm07_bs(B235,106,$A235,1,100000000)+[1]!b_stm07_bs(B235,76,$A235,1,100000000)+[1]!b_stm07_bs(B235,108,$A235,1,100000000)+[1]!b_stm07_bs(B235,95,$A235,1,100000000))/[1]!b_stm07_bs(B235,128,$A235,1,100000000),"")</f>
        <v/>
      </c>
      <c r="S235" s="28" t="str">
        <f>IFERROR(([1]!s_stmnote_bank_614(B235,$A235,1,2,100000000)+[1]!b_stm07_bs(B235,104,$A235,1,100000000)+[1]!b_stm07_bs(B235,106,$A235,1,100000000)+[1]!b_stm07_bs(B235,76,$A235,1,100000000)+[1]!b_stm07_bs(B235,108,$A235,1,100000000)+[1]!b_stm07_bs(B235,95,$A235,1,100000000))/[1]!b_stm07_bs(B235,128,$A235,1,100000000),"")</f>
        <v/>
      </c>
      <c r="T235" s="11">
        <f>[1]!b_issuer_shareholder(B235,"",1)</f>
        <v>0</v>
      </c>
      <c r="U235" s="10">
        <f>[1]!b_issuer_propofshareholder(B235,"",1)</f>
        <v>0</v>
      </c>
      <c r="V235" s="33" t="str">
        <f t="shared" si="7"/>
        <v>0</v>
      </c>
      <c r="W235" s="33">
        <f>[1]!s_info_city(B235)</f>
        <v>0</v>
      </c>
      <c r="X235" s="10">
        <f>IF([1]!s_stmnote_bank_17n(B235,$A235,1)="0","",[1]!s_stmnote_bank_17n(B235,$A235,1))</f>
        <v>0</v>
      </c>
      <c r="Y235" s="10">
        <f>IF([1]!s_stmnote_bank_18n(B235,$A235,1)="0","",[1]!s_stmnote_bank_18n(B235,$A235,1))</f>
        <v>0</v>
      </c>
      <c r="Z235" s="41">
        <f>IF([1]!s_stmnote_bank_58(B235,$A235,1)="0","",[1]!s_stmnote_bank_58(B235,$A235,1))</f>
        <v>0</v>
      </c>
      <c r="AA235" s="52">
        <f>IF([1]!s_stmnote_bank_60(B235,$A235,1)="0","",[1]!s_stmnote_bank_60(B235,$A235,1))</f>
        <v>0</v>
      </c>
      <c r="AB235" s="52">
        <f>[1]!s_stmnote_bank_5444(B235,$A235,1)</f>
        <v>0</v>
      </c>
      <c r="AC235" s="38">
        <f>[1]!s_stmnote_bank_129n($B235,$A235,1)</f>
        <v>0</v>
      </c>
      <c r="AD235" s="54">
        <f>[1]!s_stmnote_bank_30(B235,$A235,1)</f>
        <v>0</v>
      </c>
    </row>
    <row r="236" spans="1:30" ht="24">
      <c r="A236" s="1" t="s">
        <v>1110</v>
      </c>
      <c r="B236" s="87" t="s">
        <v>1344</v>
      </c>
      <c r="C236" s="8">
        <f>IF([1]!b_info_issuer(B236)="0","",IFERROR([1]!b_info_issuer(B236),""))</f>
        <v>0</v>
      </c>
      <c r="D236" s="11">
        <f>IF([1]!b_info_latestissurercreditrating(B236)="0","",IFERROR([1]!b_info_latestissurercreditrating(B236),""))</f>
        <v>0</v>
      </c>
      <c r="E236" s="27" t="str">
        <f>IFERROR(([1]!b_stm07_bs($B236,47,$A236,1,100000000))/[1]!b_stm07_bs($B236,109,$A236,1,100000000),"")</f>
        <v/>
      </c>
      <c r="F236" s="18" t="str">
        <f>IFERROR(([1]!s_stmnote_bank_26($B236,$A236,1,100000000)-[1]!s_stmnote_bank_26($B236,#REF!,1,100000000)+#REF!)/[1]!s_stmnote_bank_1n($B236,#REF!,1,100000000),"")</f>
        <v/>
      </c>
      <c r="G236" s="21" t="str">
        <f t="shared" si="6"/>
        <v/>
      </c>
      <c r="H236" s="18" t="str">
        <f>IFERROR([1]!s_stmnote_bank($B236,"34",$A236,100000000)/[1]!s_stmnote_bank_1n(B236,$A236,1,100000000),"")</f>
        <v/>
      </c>
      <c r="I236" s="25">
        <f>[1]!b_stm07_bs(B236,74,$A236,1,100000000)</f>
        <v>0</v>
      </c>
      <c r="J236" s="25">
        <f>[1]!b_stm07_bs(B236,109,$A236,1,100000000)</f>
        <v>0</v>
      </c>
      <c r="K236" s="10">
        <f>[1]!s_stmnote_bank_5n(B236,$A236,1)</f>
        <v>0</v>
      </c>
      <c r="L236" s="25">
        <f>[1]!s_stmnote_bank_23n(B236,$A236,1)</f>
        <v>0</v>
      </c>
      <c r="M236" s="25">
        <f>[1]!s_stmnote_bank_capadequacyratio(B236,$A236,1)</f>
        <v>0</v>
      </c>
      <c r="N236" s="25">
        <f>[1]!s_stmnote_bank_capadequacyratio_ct1(B236,$A236,1)</f>
        <v>0</v>
      </c>
      <c r="O236" s="6">
        <f>IF(OR([1]!s_fa_roe(B236,20201231)="0",[1]!s_fa_roe(B236,20211231)="0",[1]!s_fa_roe(B236,20221231)="0"),"",IFERROR(([1]!s_fa_roe(B236,20221231)+[1]!s_fa_roe(B236,20201231)+[1]!s_fa_roe(B236,20211231))/3,""))</f>
        <v>0</v>
      </c>
      <c r="P236" s="28" t="str">
        <f>IFERROR(([1]!s_stmnote_bank_65(B236,$A236,1,2,4,100000000)+[1]!s_stmnote_bank_65(B236,$A236,1,2,6,100000000))/[1]!s_stmnote_bank_1n(B236,$A236,1,100000000),"")</f>
        <v/>
      </c>
      <c r="Q236" s="28" t="str">
        <f>IFERROR([1]!s_stmnote_bank_614(B236,$A236,1,2,100000000)/[1]!s_stmnote_bank_647(B236,$A236,1,2,100000000),"")</f>
        <v/>
      </c>
      <c r="R236" s="28" t="str">
        <f>IFERROR(([1]!b_stm07_bs(B236,104,$A236,1,100000000)+[1]!b_stm07_bs(B236,106,$A236,1,100000000)+[1]!b_stm07_bs(B236,76,$A236,1,100000000)+[1]!b_stm07_bs(B236,108,$A236,1,100000000)+[1]!b_stm07_bs(B236,95,$A236,1,100000000))/[1]!b_stm07_bs(B236,128,$A236,1,100000000),"")</f>
        <v/>
      </c>
      <c r="S236" s="28" t="str">
        <f>IFERROR(([1]!s_stmnote_bank_614(B236,$A236,1,2,100000000)+[1]!b_stm07_bs(B236,104,$A236,1,100000000)+[1]!b_stm07_bs(B236,106,$A236,1,100000000)+[1]!b_stm07_bs(B236,76,$A236,1,100000000)+[1]!b_stm07_bs(B236,108,$A236,1,100000000)+[1]!b_stm07_bs(B236,95,$A236,1,100000000))/[1]!b_stm07_bs(B236,128,$A236,1,100000000),"")</f>
        <v/>
      </c>
      <c r="T236" s="11">
        <f>[1]!b_issuer_shareholder(B236,"",1)</f>
        <v>0</v>
      </c>
      <c r="U236" s="10">
        <f>[1]!b_issuer_propofshareholder(B236,"",1)</f>
        <v>0</v>
      </c>
      <c r="V236" s="33" t="str">
        <f t="shared" si="7"/>
        <v>0</v>
      </c>
      <c r="W236" s="33">
        <f>[1]!s_info_city(B236)</f>
        <v>0</v>
      </c>
      <c r="X236" s="10">
        <f>IF([1]!s_stmnote_bank_17n(B236,$A236,1)="0","",[1]!s_stmnote_bank_17n(B236,$A236,1))</f>
        <v>0</v>
      </c>
      <c r="Y236" s="10">
        <f>IF([1]!s_stmnote_bank_18n(B236,$A236,1)="0","",[1]!s_stmnote_bank_18n(B236,$A236,1))</f>
        <v>0</v>
      </c>
      <c r="Z236" s="41">
        <f>IF([1]!s_stmnote_bank_58(B236,$A236,1)="0","",[1]!s_stmnote_bank_58(B236,$A236,1))</f>
        <v>0</v>
      </c>
      <c r="AA236" s="52">
        <f>IF([1]!s_stmnote_bank_60(B236,$A236,1)="0","",[1]!s_stmnote_bank_60(B236,$A236,1))</f>
        <v>0</v>
      </c>
      <c r="AB236" s="52">
        <f>[1]!s_stmnote_bank_5444(B236,$A236,1)</f>
        <v>0</v>
      </c>
      <c r="AC236" s="38">
        <f>[1]!s_stmnote_bank_129n($B236,$A236,1)</f>
        <v>0</v>
      </c>
      <c r="AD236" s="54">
        <f>[1]!s_stmnote_bank_30(B236,$A236,1)</f>
        <v>0</v>
      </c>
    </row>
    <row r="237" spans="1:30" ht="24">
      <c r="A237" s="1" t="s">
        <v>1110</v>
      </c>
      <c r="B237" s="87" t="s">
        <v>1345</v>
      </c>
      <c r="C237" s="8">
        <f>IF([1]!b_info_issuer(B237)="0","",IFERROR([1]!b_info_issuer(B237),""))</f>
        <v>0</v>
      </c>
      <c r="D237" s="11">
        <f>IF([1]!b_info_latestissurercreditrating(B237)="0","",IFERROR([1]!b_info_latestissurercreditrating(B237),""))</f>
        <v>0</v>
      </c>
      <c r="E237" s="27" t="str">
        <f>IFERROR(([1]!b_stm07_bs($B237,47,$A237,1,100000000))/[1]!b_stm07_bs($B237,109,$A237,1,100000000),"")</f>
        <v/>
      </c>
      <c r="F237" s="18" t="str">
        <f>IFERROR(([1]!s_stmnote_bank_26($B237,$A237,1,100000000)-[1]!s_stmnote_bank_26($B237,#REF!,1,100000000)+#REF!)/[1]!s_stmnote_bank_1n($B237,#REF!,1,100000000),"")</f>
        <v/>
      </c>
      <c r="G237" s="21" t="str">
        <f t="shared" si="6"/>
        <v/>
      </c>
      <c r="H237" s="18" t="str">
        <f>IFERROR([1]!s_stmnote_bank($B237,"34",$A237,100000000)/[1]!s_stmnote_bank_1n(B237,$A237,1,100000000),"")</f>
        <v/>
      </c>
      <c r="I237" s="25">
        <f>[1]!b_stm07_bs(B237,74,$A237,1,100000000)</f>
        <v>0</v>
      </c>
      <c r="J237" s="25">
        <f>[1]!b_stm07_bs(B237,109,$A237,1,100000000)</f>
        <v>0</v>
      </c>
      <c r="K237" s="10">
        <f>[1]!s_stmnote_bank_5n(B237,$A237,1)</f>
        <v>0</v>
      </c>
      <c r="L237" s="25">
        <f>[1]!s_stmnote_bank_23n(B237,$A237,1)</f>
        <v>0</v>
      </c>
      <c r="M237" s="25">
        <f>[1]!s_stmnote_bank_capadequacyratio(B237,$A237,1)</f>
        <v>0</v>
      </c>
      <c r="N237" s="25">
        <f>[1]!s_stmnote_bank_capadequacyratio_ct1(B237,$A237,1)</f>
        <v>0</v>
      </c>
      <c r="O237" s="6">
        <f>IF(OR([1]!s_fa_roe(B237,20201231)="0",[1]!s_fa_roe(B237,20211231)="0",[1]!s_fa_roe(B237,20221231)="0"),"",IFERROR(([1]!s_fa_roe(B237,20221231)+[1]!s_fa_roe(B237,20201231)+[1]!s_fa_roe(B237,20211231))/3,""))</f>
        <v>0</v>
      </c>
      <c r="P237" s="28" t="str">
        <f>IFERROR(([1]!s_stmnote_bank_65(B237,$A237,1,2,4,100000000)+[1]!s_stmnote_bank_65(B237,$A237,1,2,6,100000000))/[1]!s_stmnote_bank_1n(B237,$A237,1,100000000),"")</f>
        <v/>
      </c>
      <c r="Q237" s="28" t="str">
        <f>IFERROR([1]!s_stmnote_bank_614(B237,$A237,1,2,100000000)/[1]!s_stmnote_bank_647(B237,$A237,1,2,100000000),"")</f>
        <v/>
      </c>
      <c r="R237" s="28" t="str">
        <f>IFERROR(([1]!b_stm07_bs(B237,104,$A237,1,100000000)+[1]!b_stm07_bs(B237,106,$A237,1,100000000)+[1]!b_stm07_bs(B237,76,$A237,1,100000000)+[1]!b_stm07_bs(B237,108,$A237,1,100000000)+[1]!b_stm07_bs(B237,95,$A237,1,100000000))/[1]!b_stm07_bs(B237,128,$A237,1,100000000),"")</f>
        <v/>
      </c>
      <c r="S237" s="28" t="str">
        <f>IFERROR(([1]!s_stmnote_bank_614(B237,$A237,1,2,100000000)+[1]!b_stm07_bs(B237,104,$A237,1,100000000)+[1]!b_stm07_bs(B237,106,$A237,1,100000000)+[1]!b_stm07_bs(B237,76,$A237,1,100000000)+[1]!b_stm07_bs(B237,108,$A237,1,100000000)+[1]!b_stm07_bs(B237,95,$A237,1,100000000))/[1]!b_stm07_bs(B237,128,$A237,1,100000000),"")</f>
        <v/>
      </c>
      <c r="T237" s="11">
        <f>[1]!b_issuer_shareholder(B237,"",1)</f>
        <v>0</v>
      </c>
      <c r="U237" s="10">
        <f>[1]!b_issuer_propofshareholder(B237,"",1)</f>
        <v>0</v>
      </c>
      <c r="V237" s="33" t="str">
        <f t="shared" si="7"/>
        <v>0</v>
      </c>
      <c r="W237" s="33">
        <f>[1]!s_info_city(B237)</f>
        <v>0</v>
      </c>
      <c r="X237" s="10">
        <f>IF([1]!s_stmnote_bank_17n(B237,$A237,1)="0","",[1]!s_stmnote_bank_17n(B237,$A237,1))</f>
        <v>0</v>
      </c>
      <c r="Y237" s="10">
        <f>IF([1]!s_stmnote_bank_18n(B237,$A237,1)="0","",[1]!s_stmnote_bank_18n(B237,$A237,1))</f>
        <v>0</v>
      </c>
      <c r="Z237" s="41">
        <f>IF([1]!s_stmnote_bank_58(B237,$A237,1)="0","",[1]!s_stmnote_bank_58(B237,$A237,1))</f>
        <v>0</v>
      </c>
      <c r="AA237" s="52">
        <f>IF([1]!s_stmnote_bank_60(B237,$A237,1)="0","",[1]!s_stmnote_bank_60(B237,$A237,1))</f>
        <v>0</v>
      </c>
      <c r="AB237" s="52">
        <f>[1]!s_stmnote_bank_5444(B237,$A237,1)</f>
        <v>0</v>
      </c>
      <c r="AC237" s="38">
        <f>[1]!s_stmnote_bank_129n($B237,$A237,1)</f>
        <v>0</v>
      </c>
      <c r="AD237" s="54">
        <f>[1]!s_stmnote_bank_30(B237,$A237,1)</f>
        <v>0</v>
      </c>
    </row>
    <row r="238" spans="1:30" ht="24">
      <c r="A238" s="1" t="s">
        <v>1110</v>
      </c>
      <c r="B238" s="87" t="s">
        <v>1346</v>
      </c>
      <c r="C238" s="8">
        <f>IF([1]!b_info_issuer(B238)="0","",IFERROR([1]!b_info_issuer(B238),""))</f>
        <v>0</v>
      </c>
      <c r="D238" s="11">
        <f>IF([1]!b_info_latestissurercreditrating(B238)="0","",IFERROR([1]!b_info_latestissurercreditrating(B238),""))</f>
        <v>0</v>
      </c>
      <c r="E238" s="27" t="str">
        <f>IFERROR(([1]!b_stm07_bs($B238,47,$A238,1,100000000))/[1]!b_stm07_bs($B238,109,$A238,1,100000000),"")</f>
        <v/>
      </c>
      <c r="F238" s="18" t="str">
        <f>IFERROR(([1]!s_stmnote_bank_26($B238,$A238,1,100000000)-[1]!s_stmnote_bank_26($B238,#REF!,1,100000000)+#REF!)/[1]!s_stmnote_bank_1n($B238,#REF!,1,100000000),"")</f>
        <v/>
      </c>
      <c r="G238" s="21" t="str">
        <f t="shared" si="6"/>
        <v/>
      </c>
      <c r="H238" s="18" t="str">
        <f>IFERROR([1]!s_stmnote_bank($B238,"34",$A238,100000000)/[1]!s_stmnote_bank_1n(B238,$A238,1,100000000),"")</f>
        <v/>
      </c>
      <c r="I238" s="25">
        <f>[1]!b_stm07_bs(B238,74,$A238,1,100000000)</f>
        <v>0</v>
      </c>
      <c r="J238" s="25">
        <f>[1]!b_stm07_bs(B238,109,$A238,1,100000000)</f>
        <v>0</v>
      </c>
      <c r="K238" s="10">
        <f>[1]!s_stmnote_bank_5n(B238,$A238,1)</f>
        <v>0</v>
      </c>
      <c r="L238" s="25">
        <f>[1]!s_stmnote_bank_23n(B238,$A238,1)</f>
        <v>0</v>
      </c>
      <c r="M238" s="25">
        <f>[1]!s_stmnote_bank_capadequacyratio(B238,$A238,1)</f>
        <v>0</v>
      </c>
      <c r="N238" s="25">
        <f>[1]!s_stmnote_bank_capadequacyratio_ct1(B238,$A238,1)</f>
        <v>0</v>
      </c>
      <c r="O238" s="6">
        <f>IF(OR([1]!s_fa_roe(B238,20201231)="0",[1]!s_fa_roe(B238,20211231)="0",[1]!s_fa_roe(B238,20221231)="0"),"",IFERROR(([1]!s_fa_roe(B238,20221231)+[1]!s_fa_roe(B238,20201231)+[1]!s_fa_roe(B238,20211231))/3,""))</f>
        <v>0</v>
      </c>
      <c r="P238" s="28" t="str">
        <f>IFERROR(([1]!s_stmnote_bank_65(B238,$A238,1,2,4,100000000)+[1]!s_stmnote_bank_65(B238,$A238,1,2,6,100000000))/[1]!s_stmnote_bank_1n(B238,$A238,1,100000000),"")</f>
        <v/>
      </c>
      <c r="Q238" s="28" t="str">
        <f>IFERROR([1]!s_stmnote_bank_614(B238,$A238,1,2,100000000)/[1]!s_stmnote_bank_647(B238,$A238,1,2,100000000),"")</f>
        <v/>
      </c>
      <c r="R238" s="28" t="str">
        <f>IFERROR(([1]!b_stm07_bs(B238,104,$A238,1,100000000)+[1]!b_stm07_bs(B238,106,$A238,1,100000000)+[1]!b_stm07_bs(B238,76,$A238,1,100000000)+[1]!b_stm07_bs(B238,108,$A238,1,100000000)+[1]!b_stm07_bs(B238,95,$A238,1,100000000))/[1]!b_stm07_bs(B238,128,$A238,1,100000000),"")</f>
        <v/>
      </c>
      <c r="S238" s="28" t="str">
        <f>IFERROR(([1]!s_stmnote_bank_614(B238,$A238,1,2,100000000)+[1]!b_stm07_bs(B238,104,$A238,1,100000000)+[1]!b_stm07_bs(B238,106,$A238,1,100000000)+[1]!b_stm07_bs(B238,76,$A238,1,100000000)+[1]!b_stm07_bs(B238,108,$A238,1,100000000)+[1]!b_stm07_bs(B238,95,$A238,1,100000000))/[1]!b_stm07_bs(B238,128,$A238,1,100000000),"")</f>
        <v/>
      </c>
      <c r="T238" s="11">
        <f>[1]!b_issuer_shareholder(B238,"",1)</f>
        <v>0</v>
      </c>
      <c r="U238" s="10">
        <f>[1]!b_issuer_propofshareholder(B238,"",1)</f>
        <v>0</v>
      </c>
      <c r="V238" s="33" t="str">
        <f t="shared" si="7"/>
        <v>0</v>
      </c>
      <c r="W238" s="33">
        <f>[1]!s_info_city(B238)</f>
        <v>0</v>
      </c>
      <c r="X238" s="10">
        <f>IF([1]!s_stmnote_bank_17n(B238,$A238,1)="0","",[1]!s_stmnote_bank_17n(B238,$A238,1))</f>
        <v>0</v>
      </c>
      <c r="Y238" s="10">
        <f>IF([1]!s_stmnote_bank_18n(B238,$A238,1)="0","",[1]!s_stmnote_bank_18n(B238,$A238,1))</f>
        <v>0</v>
      </c>
      <c r="Z238" s="41">
        <f>IF([1]!s_stmnote_bank_58(B238,$A238,1)="0","",[1]!s_stmnote_bank_58(B238,$A238,1))</f>
        <v>0</v>
      </c>
      <c r="AA238" s="52">
        <f>IF([1]!s_stmnote_bank_60(B238,$A238,1)="0","",[1]!s_stmnote_bank_60(B238,$A238,1))</f>
        <v>0</v>
      </c>
      <c r="AB238" s="52">
        <f>[1]!s_stmnote_bank_5444(B238,$A238,1)</f>
        <v>0</v>
      </c>
      <c r="AC238" s="38">
        <f>[1]!s_stmnote_bank_129n($B238,$A238,1)</f>
        <v>0</v>
      </c>
      <c r="AD238" s="54">
        <f>[1]!s_stmnote_bank_30(B238,$A238,1)</f>
        <v>0</v>
      </c>
    </row>
    <row r="239" spans="1:30" ht="24">
      <c r="A239" s="1" t="s">
        <v>1110</v>
      </c>
      <c r="B239" s="87" t="s">
        <v>1347</v>
      </c>
      <c r="C239" s="8">
        <f>IF([1]!b_info_issuer(B239)="0","",IFERROR([1]!b_info_issuer(B239),""))</f>
        <v>0</v>
      </c>
      <c r="D239" s="11">
        <f>IF([1]!b_info_latestissurercreditrating(B239)="0","",IFERROR([1]!b_info_latestissurercreditrating(B239),""))</f>
        <v>0</v>
      </c>
      <c r="E239" s="27" t="str">
        <f>IFERROR(([1]!b_stm07_bs($B239,47,$A239,1,100000000))/[1]!b_stm07_bs($B239,109,$A239,1,100000000),"")</f>
        <v/>
      </c>
      <c r="F239" s="18" t="str">
        <f>IFERROR(([1]!s_stmnote_bank_26($B239,$A239,1,100000000)-[1]!s_stmnote_bank_26($B239,#REF!,1,100000000)+#REF!)/[1]!s_stmnote_bank_1n($B239,#REF!,1,100000000),"")</f>
        <v/>
      </c>
      <c r="G239" s="21" t="str">
        <f t="shared" si="6"/>
        <v/>
      </c>
      <c r="H239" s="18" t="str">
        <f>IFERROR([1]!s_stmnote_bank($B239,"34",$A239,100000000)/[1]!s_stmnote_bank_1n(B239,$A239,1,100000000),"")</f>
        <v/>
      </c>
      <c r="I239" s="25">
        <f>[1]!b_stm07_bs(B239,74,$A239,1,100000000)</f>
        <v>0</v>
      </c>
      <c r="J239" s="25">
        <f>[1]!b_stm07_bs(B239,109,$A239,1,100000000)</f>
        <v>0</v>
      </c>
      <c r="K239" s="10">
        <f>[1]!s_stmnote_bank_5n(B239,$A239,1)</f>
        <v>0</v>
      </c>
      <c r="L239" s="25">
        <f>[1]!s_stmnote_bank_23n(B239,$A239,1)</f>
        <v>0</v>
      </c>
      <c r="M239" s="25">
        <f>[1]!s_stmnote_bank_capadequacyratio(B239,$A239,1)</f>
        <v>0</v>
      </c>
      <c r="N239" s="25">
        <f>[1]!s_stmnote_bank_capadequacyratio_ct1(B239,$A239,1)</f>
        <v>0</v>
      </c>
      <c r="O239" s="6">
        <f>IF(OR([1]!s_fa_roe(B239,20201231)="0",[1]!s_fa_roe(B239,20211231)="0",[1]!s_fa_roe(B239,20221231)="0"),"",IFERROR(([1]!s_fa_roe(B239,20221231)+[1]!s_fa_roe(B239,20201231)+[1]!s_fa_roe(B239,20211231))/3,""))</f>
        <v>0</v>
      </c>
      <c r="P239" s="28" t="str">
        <f>IFERROR(([1]!s_stmnote_bank_65(B239,$A239,1,2,4,100000000)+[1]!s_stmnote_bank_65(B239,$A239,1,2,6,100000000))/[1]!s_stmnote_bank_1n(B239,$A239,1,100000000),"")</f>
        <v/>
      </c>
      <c r="Q239" s="28" t="str">
        <f>IFERROR([1]!s_stmnote_bank_614(B239,$A239,1,2,100000000)/[1]!s_stmnote_bank_647(B239,$A239,1,2,100000000),"")</f>
        <v/>
      </c>
      <c r="R239" s="28" t="str">
        <f>IFERROR(([1]!b_stm07_bs(B239,104,$A239,1,100000000)+[1]!b_stm07_bs(B239,106,$A239,1,100000000)+[1]!b_stm07_bs(B239,76,$A239,1,100000000)+[1]!b_stm07_bs(B239,108,$A239,1,100000000)+[1]!b_stm07_bs(B239,95,$A239,1,100000000))/[1]!b_stm07_bs(B239,128,$A239,1,100000000),"")</f>
        <v/>
      </c>
      <c r="S239" s="28" t="str">
        <f>IFERROR(([1]!s_stmnote_bank_614(B239,$A239,1,2,100000000)+[1]!b_stm07_bs(B239,104,$A239,1,100000000)+[1]!b_stm07_bs(B239,106,$A239,1,100000000)+[1]!b_stm07_bs(B239,76,$A239,1,100000000)+[1]!b_stm07_bs(B239,108,$A239,1,100000000)+[1]!b_stm07_bs(B239,95,$A239,1,100000000))/[1]!b_stm07_bs(B239,128,$A239,1,100000000),"")</f>
        <v/>
      </c>
      <c r="T239" s="11">
        <f>[1]!b_issuer_shareholder(B239,"",1)</f>
        <v>0</v>
      </c>
      <c r="U239" s="10">
        <f>[1]!b_issuer_propofshareholder(B239,"",1)</f>
        <v>0</v>
      </c>
      <c r="V239" s="33" t="str">
        <f t="shared" si="7"/>
        <v>0</v>
      </c>
      <c r="W239" s="33">
        <f>[1]!s_info_city(B239)</f>
        <v>0</v>
      </c>
      <c r="X239" s="10">
        <f>IF([1]!s_stmnote_bank_17n(B239,$A239,1)="0","",[1]!s_stmnote_bank_17n(B239,$A239,1))</f>
        <v>0</v>
      </c>
      <c r="Y239" s="10">
        <f>IF([1]!s_stmnote_bank_18n(B239,$A239,1)="0","",[1]!s_stmnote_bank_18n(B239,$A239,1))</f>
        <v>0</v>
      </c>
      <c r="Z239" s="41">
        <f>IF([1]!s_stmnote_bank_58(B239,$A239,1)="0","",[1]!s_stmnote_bank_58(B239,$A239,1))</f>
        <v>0</v>
      </c>
      <c r="AA239" s="52">
        <f>IF([1]!s_stmnote_bank_60(B239,$A239,1)="0","",[1]!s_stmnote_bank_60(B239,$A239,1))</f>
        <v>0</v>
      </c>
      <c r="AB239" s="52">
        <f>[1]!s_stmnote_bank_5444(B239,$A239,1)</f>
        <v>0</v>
      </c>
      <c r="AC239" s="38">
        <f>[1]!s_stmnote_bank_129n($B239,$A239,1)</f>
        <v>0</v>
      </c>
      <c r="AD239" s="54">
        <f>[1]!s_stmnote_bank_30(B239,$A239,1)</f>
        <v>0</v>
      </c>
    </row>
    <row r="240" spans="1:30" ht="24">
      <c r="A240" s="1" t="s">
        <v>1110</v>
      </c>
      <c r="B240" s="87" t="s">
        <v>1348</v>
      </c>
      <c r="C240" s="8">
        <f>IF([1]!b_info_issuer(B240)="0","",IFERROR([1]!b_info_issuer(B240),""))</f>
        <v>0</v>
      </c>
      <c r="D240" s="11">
        <f>IF([1]!b_info_latestissurercreditrating(B240)="0","",IFERROR([1]!b_info_latestissurercreditrating(B240),""))</f>
        <v>0</v>
      </c>
      <c r="E240" s="27" t="str">
        <f>IFERROR(([1]!b_stm07_bs($B240,47,$A240,1,100000000))/[1]!b_stm07_bs($B240,109,$A240,1,100000000),"")</f>
        <v/>
      </c>
      <c r="F240" s="18" t="str">
        <f>IFERROR(([1]!s_stmnote_bank_26($B240,$A240,1,100000000)-[1]!s_stmnote_bank_26($B240,#REF!,1,100000000)+#REF!)/[1]!s_stmnote_bank_1n($B240,#REF!,1,100000000),"")</f>
        <v/>
      </c>
      <c r="G240" s="21" t="str">
        <f t="shared" si="6"/>
        <v/>
      </c>
      <c r="H240" s="18" t="str">
        <f>IFERROR([1]!s_stmnote_bank($B240,"34",$A240,100000000)/[1]!s_stmnote_bank_1n(B240,$A240,1,100000000),"")</f>
        <v/>
      </c>
      <c r="I240" s="25">
        <f>[1]!b_stm07_bs(B240,74,$A240,1,100000000)</f>
        <v>0</v>
      </c>
      <c r="J240" s="25">
        <f>[1]!b_stm07_bs(B240,109,$A240,1,100000000)</f>
        <v>0</v>
      </c>
      <c r="K240" s="10">
        <f>[1]!s_stmnote_bank_5n(B240,$A240,1)</f>
        <v>0</v>
      </c>
      <c r="L240" s="25">
        <f>[1]!s_stmnote_bank_23n(B240,$A240,1)</f>
        <v>0</v>
      </c>
      <c r="M240" s="25">
        <f>[1]!s_stmnote_bank_capadequacyratio(B240,$A240,1)</f>
        <v>0</v>
      </c>
      <c r="N240" s="25">
        <f>[1]!s_stmnote_bank_capadequacyratio_ct1(B240,$A240,1)</f>
        <v>0</v>
      </c>
      <c r="O240" s="6">
        <f>IF(OR([1]!s_fa_roe(B240,20201231)="0",[1]!s_fa_roe(B240,20211231)="0",[1]!s_fa_roe(B240,20221231)="0"),"",IFERROR(([1]!s_fa_roe(B240,20221231)+[1]!s_fa_roe(B240,20201231)+[1]!s_fa_roe(B240,20211231))/3,""))</f>
        <v>0</v>
      </c>
      <c r="P240" s="28" t="str">
        <f>IFERROR(([1]!s_stmnote_bank_65(B240,$A240,1,2,4,100000000)+[1]!s_stmnote_bank_65(B240,$A240,1,2,6,100000000))/[1]!s_stmnote_bank_1n(B240,$A240,1,100000000),"")</f>
        <v/>
      </c>
      <c r="Q240" s="28" t="str">
        <f>IFERROR([1]!s_stmnote_bank_614(B240,$A240,1,2,100000000)/[1]!s_stmnote_bank_647(B240,$A240,1,2,100000000),"")</f>
        <v/>
      </c>
      <c r="R240" s="28" t="str">
        <f>IFERROR(([1]!b_stm07_bs(B240,104,$A240,1,100000000)+[1]!b_stm07_bs(B240,106,$A240,1,100000000)+[1]!b_stm07_bs(B240,76,$A240,1,100000000)+[1]!b_stm07_bs(B240,108,$A240,1,100000000)+[1]!b_stm07_bs(B240,95,$A240,1,100000000))/[1]!b_stm07_bs(B240,128,$A240,1,100000000),"")</f>
        <v/>
      </c>
      <c r="S240" s="28" t="str">
        <f>IFERROR(([1]!s_stmnote_bank_614(B240,$A240,1,2,100000000)+[1]!b_stm07_bs(B240,104,$A240,1,100000000)+[1]!b_stm07_bs(B240,106,$A240,1,100000000)+[1]!b_stm07_bs(B240,76,$A240,1,100000000)+[1]!b_stm07_bs(B240,108,$A240,1,100000000)+[1]!b_stm07_bs(B240,95,$A240,1,100000000))/[1]!b_stm07_bs(B240,128,$A240,1,100000000),"")</f>
        <v/>
      </c>
      <c r="T240" s="11">
        <f>[1]!b_issuer_shareholder(B240,"",1)</f>
        <v>0</v>
      </c>
      <c r="U240" s="10">
        <f>[1]!b_issuer_propofshareholder(B240,"",1)</f>
        <v>0</v>
      </c>
      <c r="V240" s="33" t="str">
        <f t="shared" si="7"/>
        <v>0</v>
      </c>
      <c r="W240" s="33">
        <f>[1]!s_info_city(B240)</f>
        <v>0</v>
      </c>
      <c r="X240" s="10">
        <f>IF([1]!s_stmnote_bank_17n(B240,$A240,1)="0","",[1]!s_stmnote_bank_17n(B240,$A240,1))</f>
        <v>0</v>
      </c>
      <c r="Y240" s="10">
        <f>IF([1]!s_stmnote_bank_18n(B240,$A240,1)="0","",[1]!s_stmnote_bank_18n(B240,$A240,1))</f>
        <v>0</v>
      </c>
      <c r="Z240" s="41">
        <f>IF([1]!s_stmnote_bank_58(B240,$A240,1)="0","",[1]!s_stmnote_bank_58(B240,$A240,1))</f>
        <v>0</v>
      </c>
      <c r="AA240" s="52">
        <f>IF([1]!s_stmnote_bank_60(B240,$A240,1)="0","",[1]!s_stmnote_bank_60(B240,$A240,1))</f>
        <v>0</v>
      </c>
      <c r="AB240" s="52">
        <f>[1]!s_stmnote_bank_5444(B240,$A240,1)</f>
        <v>0</v>
      </c>
      <c r="AC240" s="38">
        <f>[1]!s_stmnote_bank_129n($B240,$A240,1)</f>
        <v>0</v>
      </c>
      <c r="AD240" s="54">
        <f>[1]!s_stmnote_bank_30(B240,$A240,1)</f>
        <v>0</v>
      </c>
    </row>
    <row r="241" spans="1:30" ht="24">
      <c r="A241" s="1" t="s">
        <v>1110</v>
      </c>
      <c r="B241" s="87" t="s">
        <v>1349</v>
      </c>
      <c r="C241" s="8">
        <f>IF([1]!b_info_issuer(B241)="0","",IFERROR([1]!b_info_issuer(B241),""))</f>
        <v>0</v>
      </c>
      <c r="D241" s="11">
        <f>IF([1]!b_info_latestissurercreditrating(B241)="0","",IFERROR([1]!b_info_latestissurercreditrating(B241),""))</f>
        <v>0</v>
      </c>
      <c r="E241" s="27" t="str">
        <f>IFERROR(([1]!b_stm07_bs($B241,47,$A241,1,100000000))/[1]!b_stm07_bs($B241,109,$A241,1,100000000),"")</f>
        <v/>
      </c>
      <c r="F241" s="18" t="str">
        <f>IFERROR(([1]!s_stmnote_bank_26($B241,$A241,1,100000000)-[1]!s_stmnote_bank_26($B241,#REF!,1,100000000)+#REF!)/[1]!s_stmnote_bank_1n($B241,#REF!,1,100000000),"")</f>
        <v/>
      </c>
      <c r="G241" s="21" t="str">
        <f t="shared" si="6"/>
        <v/>
      </c>
      <c r="H241" s="18" t="str">
        <f>IFERROR([1]!s_stmnote_bank($B241,"34",$A241,100000000)/[1]!s_stmnote_bank_1n(B241,$A241,1,100000000),"")</f>
        <v/>
      </c>
      <c r="I241" s="25">
        <f>[1]!b_stm07_bs(B241,74,$A241,1,100000000)</f>
        <v>0</v>
      </c>
      <c r="J241" s="25">
        <f>[1]!b_stm07_bs(B241,109,$A241,1,100000000)</f>
        <v>0</v>
      </c>
      <c r="K241" s="10">
        <f>[1]!s_stmnote_bank_5n(B241,$A241,1)</f>
        <v>0</v>
      </c>
      <c r="L241" s="25">
        <f>[1]!s_stmnote_bank_23n(B241,$A241,1)</f>
        <v>0</v>
      </c>
      <c r="M241" s="25">
        <f>[1]!s_stmnote_bank_capadequacyratio(B241,$A241,1)</f>
        <v>0</v>
      </c>
      <c r="N241" s="25">
        <f>[1]!s_stmnote_bank_capadequacyratio_ct1(B241,$A241,1)</f>
        <v>0</v>
      </c>
      <c r="O241" s="6">
        <f>IF(OR([1]!s_fa_roe(B241,20201231)="0",[1]!s_fa_roe(B241,20211231)="0",[1]!s_fa_roe(B241,20221231)="0"),"",IFERROR(([1]!s_fa_roe(B241,20221231)+[1]!s_fa_roe(B241,20201231)+[1]!s_fa_roe(B241,20211231))/3,""))</f>
        <v>0</v>
      </c>
      <c r="P241" s="28" t="str">
        <f>IFERROR(([1]!s_stmnote_bank_65(B241,$A241,1,2,4,100000000)+[1]!s_stmnote_bank_65(B241,$A241,1,2,6,100000000))/[1]!s_stmnote_bank_1n(B241,$A241,1,100000000),"")</f>
        <v/>
      </c>
      <c r="Q241" s="28" t="str">
        <f>IFERROR([1]!s_stmnote_bank_614(B241,$A241,1,2,100000000)/[1]!s_stmnote_bank_647(B241,$A241,1,2,100000000),"")</f>
        <v/>
      </c>
      <c r="R241" s="28" t="str">
        <f>IFERROR(([1]!b_stm07_bs(B241,104,$A241,1,100000000)+[1]!b_stm07_bs(B241,106,$A241,1,100000000)+[1]!b_stm07_bs(B241,76,$A241,1,100000000)+[1]!b_stm07_bs(B241,108,$A241,1,100000000)+[1]!b_stm07_bs(B241,95,$A241,1,100000000))/[1]!b_stm07_bs(B241,128,$A241,1,100000000),"")</f>
        <v/>
      </c>
      <c r="S241" s="28" t="str">
        <f>IFERROR(([1]!s_stmnote_bank_614(B241,$A241,1,2,100000000)+[1]!b_stm07_bs(B241,104,$A241,1,100000000)+[1]!b_stm07_bs(B241,106,$A241,1,100000000)+[1]!b_stm07_bs(B241,76,$A241,1,100000000)+[1]!b_stm07_bs(B241,108,$A241,1,100000000)+[1]!b_stm07_bs(B241,95,$A241,1,100000000))/[1]!b_stm07_bs(B241,128,$A241,1,100000000),"")</f>
        <v/>
      </c>
      <c r="T241" s="11">
        <f>[1]!b_issuer_shareholder(B241,"",1)</f>
        <v>0</v>
      </c>
      <c r="U241" s="10">
        <f>[1]!b_issuer_propofshareholder(B241,"",1)</f>
        <v>0</v>
      </c>
      <c r="V241" s="33" t="str">
        <f t="shared" si="7"/>
        <v>0</v>
      </c>
      <c r="W241" s="33">
        <f>[1]!s_info_city(B241)</f>
        <v>0</v>
      </c>
      <c r="X241" s="10">
        <f>IF([1]!s_stmnote_bank_17n(B241,$A241,1)="0","",[1]!s_stmnote_bank_17n(B241,$A241,1))</f>
        <v>0</v>
      </c>
      <c r="Y241" s="10">
        <f>IF([1]!s_stmnote_bank_18n(B241,$A241,1)="0","",[1]!s_stmnote_bank_18n(B241,$A241,1))</f>
        <v>0</v>
      </c>
      <c r="Z241" s="41">
        <f>IF([1]!s_stmnote_bank_58(B241,$A241,1)="0","",[1]!s_stmnote_bank_58(B241,$A241,1))</f>
        <v>0</v>
      </c>
      <c r="AA241" s="52">
        <f>IF([1]!s_stmnote_bank_60(B241,$A241,1)="0","",[1]!s_stmnote_bank_60(B241,$A241,1))</f>
        <v>0</v>
      </c>
      <c r="AB241" s="52">
        <f>[1]!s_stmnote_bank_5444(B241,$A241,1)</f>
        <v>0</v>
      </c>
      <c r="AC241" s="38">
        <f>[1]!s_stmnote_bank_129n($B241,$A241,1)</f>
        <v>0</v>
      </c>
      <c r="AD241" s="54">
        <f>[1]!s_stmnote_bank_30(B241,$A241,1)</f>
        <v>0</v>
      </c>
    </row>
    <row r="242" spans="1:30" ht="24">
      <c r="A242" s="1" t="s">
        <v>1110</v>
      </c>
      <c r="B242" s="87" t="s">
        <v>1350</v>
      </c>
      <c r="C242" s="8">
        <f>IF([1]!b_info_issuer(B242)="0","",IFERROR([1]!b_info_issuer(B242),""))</f>
        <v>0</v>
      </c>
      <c r="D242" s="11">
        <f>IF([1]!b_info_latestissurercreditrating(B242)="0","",IFERROR([1]!b_info_latestissurercreditrating(B242),""))</f>
        <v>0</v>
      </c>
      <c r="E242" s="27" t="str">
        <f>IFERROR(([1]!b_stm07_bs($B242,47,$A242,1,100000000))/[1]!b_stm07_bs($B242,109,$A242,1,100000000),"")</f>
        <v/>
      </c>
      <c r="F242" s="18" t="str">
        <f>IFERROR(([1]!s_stmnote_bank_26($B242,$A242,1,100000000)-[1]!s_stmnote_bank_26($B242,#REF!,1,100000000)+#REF!)/[1]!s_stmnote_bank_1n($B242,#REF!,1,100000000),"")</f>
        <v/>
      </c>
      <c r="G242" s="21" t="str">
        <f t="shared" si="6"/>
        <v/>
      </c>
      <c r="H242" s="18" t="str">
        <f>IFERROR([1]!s_stmnote_bank($B242,"34",$A242,100000000)/[1]!s_stmnote_bank_1n(B242,$A242,1,100000000),"")</f>
        <v/>
      </c>
      <c r="I242" s="25">
        <f>[1]!b_stm07_bs(B242,74,$A242,1,100000000)</f>
        <v>0</v>
      </c>
      <c r="J242" s="25">
        <f>[1]!b_stm07_bs(B242,109,$A242,1,100000000)</f>
        <v>0</v>
      </c>
      <c r="K242" s="10">
        <f>[1]!s_stmnote_bank_5n(B242,$A242,1)</f>
        <v>0</v>
      </c>
      <c r="L242" s="25">
        <f>[1]!s_stmnote_bank_23n(B242,$A242,1)</f>
        <v>0</v>
      </c>
      <c r="M242" s="25">
        <f>[1]!s_stmnote_bank_capadequacyratio(B242,$A242,1)</f>
        <v>0</v>
      </c>
      <c r="N242" s="25">
        <f>[1]!s_stmnote_bank_capadequacyratio_ct1(B242,$A242,1)</f>
        <v>0</v>
      </c>
      <c r="O242" s="6">
        <f>IF(OR([1]!s_fa_roe(B242,20201231)="0",[1]!s_fa_roe(B242,20211231)="0",[1]!s_fa_roe(B242,20221231)="0"),"",IFERROR(([1]!s_fa_roe(B242,20221231)+[1]!s_fa_roe(B242,20201231)+[1]!s_fa_roe(B242,20211231))/3,""))</f>
        <v>0</v>
      </c>
      <c r="P242" s="28" t="str">
        <f>IFERROR(([1]!s_stmnote_bank_65(B242,$A242,1,2,4,100000000)+[1]!s_stmnote_bank_65(B242,$A242,1,2,6,100000000))/[1]!s_stmnote_bank_1n(B242,$A242,1,100000000),"")</f>
        <v/>
      </c>
      <c r="Q242" s="28" t="str">
        <f>IFERROR([1]!s_stmnote_bank_614(B242,$A242,1,2,100000000)/[1]!s_stmnote_bank_647(B242,$A242,1,2,100000000),"")</f>
        <v/>
      </c>
      <c r="R242" s="28" t="str">
        <f>IFERROR(([1]!b_stm07_bs(B242,104,$A242,1,100000000)+[1]!b_stm07_bs(B242,106,$A242,1,100000000)+[1]!b_stm07_bs(B242,76,$A242,1,100000000)+[1]!b_stm07_bs(B242,108,$A242,1,100000000)+[1]!b_stm07_bs(B242,95,$A242,1,100000000))/[1]!b_stm07_bs(B242,128,$A242,1,100000000),"")</f>
        <v/>
      </c>
      <c r="S242" s="28" t="str">
        <f>IFERROR(([1]!s_stmnote_bank_614(B242,$A242,1,2,100000000)+[1]!b_stm07_bs(B242,104,$A242,1,100000000)+[1]!b_stm07_bs(B242,106,$A242,1,100000000)+[1]!b_stm07_bs(B242,76,$A242,1,100000000)+[1]!b_stm07_bs(B242,108,$A242,1,100000000)+[1]!b_stm07_bs(B242,95,$A242,1,100000000))/[1]!b_stm07_bs(B242,128,$A242,1,100000000),"")</f>
        <v/>
      </c>
      <c r="T242" s="11">
        <f>[1]!b_issuer_shareholder(B242,"",1)</f>
        <v>0</v>
      </c>
      <c r="U242" s="10">
        <f>[1]!b_issuer_propofshareholder(B242,"",1)</f>
        <v>0</v>
      </c>
      <c r="V242" s="33" t="str">
        <f t="shared" si="7"/>
        <v>0</v>
      </c>
      <c r="W242" s="33">
        <f>[1]!s_info_city(B242)</f>
        <v>0</v>
      </c>
      <c r="X242" s="10">
        <f>IF([1]!s_stmnote_bank_17n(B242,$A242,1)="0","",[1]!s_stmnote_bank_17n(B242,$A242,1))</f>
        <v>0</v>
      </c>
      <c r="Y242" s="10">
        <f>IF([1]!s_stmnote_bank_18n(B242,$A242,1)="0","",[1]!s_stmnote_bank_18n(B242,$A242,1))</f>
        <v>0</v>
      </c>
      <c r="Z242" s="41">
        <f>IF([1]!s_stmnote_bank_58(B242,$A242,1)="0","",[1]!s_stmnote_bank_58(B242,$A242,1))</f>
        <v>0</v>
      </c>
      <c r="AA242" s="52">
        <f>IF([1]!s_stmnote_bank_60(B242,$A242,1)="0","",[1]!s_stmnote_bank_60(B242,$A242,1))</f>
        <v>0</v>
      </c>
      <c r="AB242" s="52">
        <f>[1]!s_stmnote_bank_5444(B242,$A242,1)</f>
        <v>0</v>
      </c>
      <c r="AC242" s="38">
        <f>[1]!s_stmnote_bank_129n($B242,$A242,1)</f>
        <v>0</v>
      </c>
      <c r="AD242" s="54">
        <f>[1]!s_stmnote_bank_30(B242,$A242,1)</f>
        <v>0</v>
      </c>
    </row>
    <row r="243" spans="1:30" ht="24">
      <c r="A243" s="1" t="s">
        <v>1110</v>
      </c>
      <c r="B243" s="87" t="s">
        <v>1351</v>
      </c>
      <c r="C243" s="8">
        <f>IF([1]!b_info_issuer(B243)="0","",IFERROR([1]!b_info_issuer(B243),""))</f>
        <v>0</v>
      </c>
      <c r="D243" s="11">
        <f>IF([1]!b_info_latestissurercreditrating(B243)="0","",IFERROR([1]!b_info_latestissurercreditrating(B243),""))</f>
        <v>0</v>
      </c>
      <c r="E243" s="27" t="str">
        <f>IFERROR(([1]!b_stm07_bs($B243,47,$A243,1,100000000))/[1]!b_stm07_bs($B243,109,$A243,1,100000000),"")</f>
        <v/>
      </c>
      <c r="F243" s="18" t="str">
        <f>IFERROR(([1]!s_stmnote_bank_26($B243,$A243,1,100000000)-[1]!s_stmnote_bank_26($B243,#REF!,1,100000000)+#REF!)/[1]!s_stmnote_bank_1n($B243,#REF!,1,100000000),"")</f>
        <v/>
      </c>
      <c r="G243" s="21" t="str">
        <f t="shared" si="6"/>
        <v/>
      </c>
      <c r="H243" s="18" t="str">
        <f>IFERROR([1]!s_stmnote_bank($B243,"34",$A243,100000000)/[1]!s_stmnote_bank_1n(B243,$A243,1,100000000),"")</f>
        <v/>
      </c>
      <c r="I243" s="25">
        <f>[1]!b_stm07_bs(B243,74,$A243,1,100000000)</f>
        <v>0</v>
      </c>
      <c r="J243" s="25">
        <f>[1]!b_stm07_bs(B243,109,$A243,1,100000000)</f>
        <v>0</v>
      </c>
      <c r="K243" s="10">
        <f>[1]!s_stmnote_bank_5n(B243,$A243,1)</f>
        <v>0</v>
      </c>
      <c r="L243" s="25">
        <f>[1]!s_stmnote_bank_23n(B243,$A243,1)</f>
        <v>0</v>
      </c>
      <c r="M243" s="25">
        <f>[1]!s_stmnote_bank_capadequacyratio(B243,$A243,1)</f>
        <v>0</v>
      </c>
      <c r="N243" s="25">
        <f>[1]!s_stmnote_bank_capadequacyratio_ct1(B243,$A243,1)</f>
        <v>0</v>
      </c>
      <c r="O243" s="6">
        <f>IF(OR([1]!s_fa_roe(B243,20201231)="0",[1]!s_fa_roe(B243,20211231)="0",[1]!s_fa_roe(B243,20221231)="0"),"",IFERROR(([1]!s_fa_roe(B243,20221231)+[1]!s_fa_roe(B243,20201231)+[1]!s_fa_roe(B243,20211231))/3,""))</f>
        <v>0</v>
      </c>
      <c r="P243" s="28" t="str">
        <f>IFERROR(([1]!s_stmnote_bank_65(B243,$A243,1,2,4,100000000)+[1]!s_stmnote_bank_65(B243,$A243,1,2,6,100000000))/[1]!s_stmnote_bank_1n(B243,$A243,1,100000000),"")</f>
        <v/>
      </c>
      <c r="Q243" s="28" t="str">
        <f>IFERROR([1]!s_stmnote_bank_614(B243,$A243,1,2,100000000)/[1]!s_stmnote_bank_647(B243,$A243,1,2,100000000),"")</f>
        <v/>
      </c>
      <c r="R243" s="28" t="str">
        <f>IFERROR(([1]!b_stm07_bs(B243,104,$A243,1,100000000)+[1]!b_stm07_bs(B243,106,$A243,1,100000000)+[1]!b_stm07_bs(B243,76,$A243,1,100000000)+[1]!b_stm07_bs(B243,108,$A243,1,100000000)+[1]!b_stm07_bs(B243,95,$A243,1,100000000))/[1]!b_stm07_bs(B243,128,$A243,1,100000000),"")</f>
        <v/>
      </c>
      <c r="S243" s="28" t="str">
        <f>IFERROR(([1]!s_stmnote_bank_614(B243,$A243,1,2,100000000)+[1]!b_stm07_bs(B243,104,$A243,1,100000000)+[1]!b_stm07_bs(B243,106,$A243,1,100000000)+[1]!b_stm07_bs(B243,76,$A243,1,100000000)+[1]!b_stm07_bs(B243,108,$A243,1,100000000)+[1]!b_stm07_bs(B243,95,$A243,1,100000000))/[1]!b_stm07_bs(B243,128,$A243,1,100000000),"")</f>
        <v/>
      </c>
      <c r="T243" s="11">
        <f>[1]!b_issuer_shareholder(B243,"",1)</f>
        <v>0</v>
      </c>
      <c r="U243" s="10">
        <f>[1]!b_issuer_propofshareholder(B243,"",1)</f>
        <v>0</v>
      </c>
      <c r="V243" s="33" t="str">
        <f t="shared" si="7"/>
        <v>0</v>
      </c>
      <c r="W243" s="33">
        <f>[1]!s_info_city(B243)</f>
        <v>0</v>
      </c>
      <c r="X243" s="10">
        <f>IF([1]!s_stmnote_bank_17n(B243,$A243,1)="0","",[1]!s_stmnote_bank_17n(B243,$A243,1))</f>
        <v>0</v>
      </c>
      <c r="Y243" s="10">
        <f>IF([1]!s_stmnote_bank_18n(B243,$A243,1)="0","",[1]!s_stmnote_bank_18n(B243,$A243,1))</f>
        <v>0</v>
      </c>
      <c r="Z243" s="41">
        <f>IF([1]!s_stmnote_bank_58(B243,$A243,1)="0","",[1]!s_stmnote_bank_58(B243,$A243,1))</f>
        <v>0</v>
      </c>
      <c r="AA243" s="52">
        <f>IF([1]!s_stmnote_bank_60(B243,$A243,1)="0","",[1]!s_stmnote_bank_60(B243,$A243,1))</f>
        <v>0</v>
      </c>
      <c r="AB243" s="52">
        <f>[1]!s_stmnote_bank_5444(B243,$A243,1)</f>
        <v>0</v>
      </c>
      <c r="AC243" s="38">
        <f>[1]!s_stmnote_bank_129n($B243,$A243,1)</f>
        <v>0</v>
      </c>
      <c r="AD243" s="54">
        <f>[1]!s_stmnote_bank_30(B243,$A243,1)</f>
        <v>0</v>
      </c>
    </row>
    <row r="244" spans="1:30" ht="24">
      <c r="A244" s="1" t="s">
        <v>1110</v>
      </c>
      <c r="B244" s="87" t="s">
        <v>1352</v>
      </c>
      <c r="C244" s="8">
        <f>IF([1]!b_info_issuer(B244)="0","",IFERROR([1]!b_info_issuer(B244),""))</f>
        <v>0</v>
      </c>
      <c r="D244" s="11">
        <f>IF([1]!b_info_latestissurercreditrating(B244)="0","",IFERROR([1]!b_info_latestissurercreditrating(B244),""))</f>
        <v>0</v>
      </c>
      <c r="E244" s="27" t="str">
        <f>IFERROR(([1]!b_stm07_bs($B244,47,$A244,1,100000000))/[1]!b_stm07_bs($B244,109,$A244,1,100000000),"")</f>
        <v/>
      </c>
      <c r="F244" s="18" t="str">
        <f>IFERROR(([1]!s_stmnote_bank_26($B244,$A244,1,100000000)-[1]!s_stmnote_bank_26($B244,#REF!,1,100000000)+#REF!)/[1]!s_stmnote_bank_1n($B244,#REF!,1,100000000),"")</f>
        <v/>
      </c>
      <c r="G244" s="21" t="str">
        <f t="shared" si="6"/>
        <v/>
      </c>
      <c r="H244" s="18" t="str">
        <f>IFERROR([1]!s_stmnote_bank($B244,"34",$A244,100000000)/[1]!s_stmnote_bank_1n(B244,$A244,1,100000000),"")</f>
        <v/>
      </c>
      <c r="I244" s="25">
        <f>[1]!b_stm07_bs(B244,74,$A244,1,100000000)</f>
        <v>0</v>
      </c>
      <c r="J244" s="25">
        <f>[1]!b_stm07_bs(B244,109,$A244,1,100000000)</f>
        <v>0</v>
      </c>
      <c r="K244" s="10">
        <f>[1]!s_stmnote_bank_5n(B244,$A244,1)</f>
        <v>0</v>
      </c>
      <c r="L244" s="25">
        <f>[1]!s_stmnote_bank_23n(B244,$A244,1)</f>
        <v>0</v>
      </c>
      <c r="M244" s="25">
        <f>[1]!s_stmnote_bank_capadequacyratio(B244,$A244,1)</f>
        <v>0</v>
      </c>
      <c r="N244" s="25">
        <f>[1]!s_stmnote_bank_capadequacyratio_ct1(B244,$A244,1)</f>
        <v>0</v>
      </c>
      <c r="O244" s="6">
        <f>IF(OR([1]!s_fa_roe(B244,20201231)="0",[1]!s_fa_roe(B244,20211231)="0",[1]!s_fa_roe(B244,20221231)="0"),"",IFERROR(([1]!s_fa_roe(B244,20221231)+[1]!s_fa_roe(B244,20201231)+[1]!s_fa_roe(B244,20211231))/3,""))</f>
        <v>0</v>
      </c>
      <c r="P244" s="28" t="str">
        <f>IFERROR(([1]!s_stmnote_bank_65(B244,$A244,1,2,4,100000000)+[1]!s_stmnote_bank_65(B244,$A244,1,2,6,100000000))/[1]!s_stmnote_bank_1n(B244,$A244,1,100000000),"")</f>
        <v/>
      </c>
      <c r="Q244" s="28" t="str">
        <f>IFERROR([1]!s_stmnote_bank_614(B244,$A244,1,2,100000000)/[1]!s_stmnote_bank_647(B244,$A244,1,2,100000000),"")</f>
        <v/>
      </c>
      <c r="R244" s="28" t="str">
        <f>IFERROR(([1]!b_stm07_bs(B244,104,$A244,1,100000000)+[1]!b_stm07_bs(B244,106,$A244,1,100000000)+[1]!b_stm07_bs(B244,76,$A244,1,100000000)+[1]!b_stm07_bs(B244,108,$A244,1,100000000)+[1]!b_stm07_bs(B244,95,$A244,1,100000000))/[1]!b_stm07_bs(B244,128,$A244,1,100000000),"")</f>
        <v/>
      </c>
      <c r="S244" s="28" t="str">
        <f>IFERROR(([1]!s_stmnote_bank_614(B244,$A244,1,2,100000000)+[1]!b_stm07_bs(B244,104,$A244,1,100000000)+[1]!b_stm07_bs(B244,106,$A244,1,100000000)+[1]!b_stm07_bs(B244,76,$A244,1,100000000)+[1]!b_stm07_bs(B244,108,$A244,1,100000000)+[1]!b_stm07_bs(B244,95,$A244,1,100000000))/[1]!b_stm07_bs(B244,128,$A244,1,100000000),"")</f>
        <v/>
      </c>
      <c r="T244" s="11">
        <f>[1]!b_issuer_shareholder(B244,"",1)</f>
        <v>0</v>
      </c>
      <c r="U244" s="10">
        <f>[1]!b_issuer_propofshareholder(B244,"",1)</f>
        <v>0</v>
      </c>
      <c r="V244" s="33" t="str">
        <f t="shared" si="7"/>
        <v>0</v>
      </c>
      <c r="W244" s="33">
        <f>[1]!s_info_city(B244)</f>
        <v>0</v>
      </c>
      <c r="X244" s="10">
        <f>IF([1]!s_stmnote_bank_17n(B244,$A244,1)="0","",[1]!s_stmnote_bank_17n(B244,$A244,1))</f>
        <v>0</v>
      </c>
      <c r="Y244" s="10">
        <f>IF([1]!s_stmnote_bank_18n(B244,$A244,1)="0","",[1]!s_stmnote_bank_18n(B244,$A244,1))</f>
        <v>0</v>
      </c>
      <c r="Z244" s="41">
        <f>IF([1]!s_stmnote_bank_58(B244,$A244,1)="0","",[1]!s_stmnote_bank_58(B244,$A244,1))</f>
        <v>0</v>
      </c>
      <c r="AA244" s="52">
        <f>IF([1]!s_stmnote_bank_60(B244,$A244,1)="0","",[1]!s_stmnote_bank_60(B244,$A244,1))</f>
        <v>0</v>
      </c>
      <c r="AB244" s="52">
        <f>[1]!s_stmnote_bank_5444(B244,$A244,1)</f>
        <v>0</v>
      </c>
      <c r="AC244" s="38">
        <f>[1]!s_stmnote_bank_129n($B244,$A244,1)</f>
        <v>0</v>
      </c>
      <c r="AD244" s="54">
        <f>[1]!s_stmnote_bank_30(B244,$A244,1)</f>
        <v>0</v>
      </c>
    </row>
    <row r="245" spans="1:30" ht="24">
      <c r="A245" s="1" t="s">
        <v>1110</v>
      </c>
      <c r="B245" s="87" t="s">
        <v>1353</v>
      </c>
      <c r="C245" s="8">
        <f>IF([1]!b_info_issuer(B245)="0","",IFERROR([1]!b_info_issuer(B245),""))</f>
        <v>0</v>
      </c>
      <c r="D245" s="11">
        <f>IF([1]!b_info_latestissurercreditrating(B245)="0","",IFERROR([1]!b_info_latestissurercreditrating(B245),""))</f>
        <v>0</v>
      </c>
      <c r="E245" s="27" t="str">
        <f>IFERROR(([1]!b_stm07_bs($B245,47,$A245,1,100000000))/[1]!b_stm07_bs($B245,109,$A245,1,100000000),"")</f>
        <v/>
      </c>
      <c r="F245" s="18" t="str">
        <f>IFERROR(([1]!s_stmnote_bank_26($B245,$A245,1,100000000)-[1]!s_stmnote_bank_26($B245,#REF!,1,100000000)+#REF!)/[1]!s_stmnote_bank_1n($B245,#REF!,1,100000000),"")</f>
        <v/>
      </c>
      <c r="G245" s="21" t="str">
        <f t="shared" si="6"/>
        <v/>
      </c>
      <c r="H245" s="18" t="str">
        <f>IFERROR([1]!s_stmnote_bank($B245,"34",$A245,100000000)/[1]!s_stmnote_bank_1n(B245,$A245,1,100000000),"")</f>
        <v/>
      </c>
      <c r="I245" s="25">
        <f>[1]!b_stm07_bs(B245,74,$A245,1,100000000)</f>
        <v>0</v>
      </c>
      <c r="J245" s="25">
        <f>[1]!b_stm07_bs(B245,109,$A245,1,100000000)</f>
        <v>0</v>
      </c>
      <c r="K245" s="10">
        <f>[1]!s_stmnote_bank_5n(B245,$A245,1)</f>
        <v>0</v>
      </c>
      <c r="L245" s="25">
        <f>[1]!s_stmnote_bank_23n(B245,$A245,1)</f>
        <v>0</v>
      </c>
      <c r="M245" s="25">
        <f>[1]!s_stmnote_bank_capadequacyratio(B245,$A245,1)</f>
        <v>0</v>
      </c>
      <c r="N245" s="25">
        <f>[1]!s_stmnote_bank_capadequacyratio_ct1(B245,$A245,1)</f>
        <v>0</v>
      </c>
      <c r="O245" s="6">
        <f>IF(OR([1]!s_fa_roe(B245,20201231)="0",[1]!s_fa_roe(B245,20211231)="0",[1]!s_fa_roe(B245,20221231)="0"),"",IFERROR(([1]!s_fa_roe(B245,20221231)+[1]!s_fa_roe(B245,20201231)+[1]!s_fa_roe(B245,20211231))/3,""))</f>
        <v>0</v>
      </c>
      <c r="P245" s="28" t="str">
        <f>IFERROR(([1]!s_stmnote_bank_65(B245,$A245,1,2,4,100000000)+[1]!s_stmnote_bank_65(B245,$A245,1,2,6,100000000))/[1]!s_stmnote_bank_1n(B245,$A245,1,100000000),"")</f>
        <v/>
      </c>
      <c r="Q245" s="28" t="str">
        <f>IFERROR([1]!s_stmnote_bank_614(B245,$A245,1,2,100000000)/[1]!s_stmnote_bank_647(B245,$A245,1,2,100000000),"")</f>
        <v/>
      </c>
      <c r="R245" s="28" t="str">
        <f>IFERROR(([1]!b_stm07_bs(B245,104,$A245,1,100000000)+[1]!b_stm07_bs(B245,106,$A245,1,100000000)+[1]!b_stm07_bs(B245,76,$A245,1,100000000)+[1]!b_stm07_bs(B245,108,$A245,1,100000000)+[1]!b_stm07_bs(B245,95,$A245,1,100000000))/[1]!b_stm07_bs(B245,128,$A245,1,100000000),"")</f>
        <v/>
      </c>
      <c r="S245" s="28" t="str">
        <f>IFERROR(([1]!s_stmnote_bank_614(B245,$A245,1,2,100000000)+[1]!b_stm07_bs(B245,104,$A245,1,100000000)+[1]!b_stm07_bs(B245,106,$A245,1,100000000)+[1]!b_stm07_bs(B245,76,$A245,1,100000000)+[1]!b_stm07_bs(B245,108,$A245,1,100000000)+[1]!b_stm07_bs(B245,95,$A245,1,100000000))/[1]!b_stm07_bs(B245,128,$A245,1,100000000),"")</f>
        <v/>
      </c>
      <c r="T245" s="11">
        <f>[1]!b_issuer_shareholder(B245,"",1)</f>
        <v>0</v>
      </c>
      <c r="U245" s="10">
        <f>[1]!b_issuer_propofshareholder(B245,"",1)</f>
        <v>0</v>
      </c>
      <c r="V245" s="33" t="str">
        <f t="shared" si="7"/>
        <v>0</v>
      </c>
      <c r="W245" s="33">
        <f>[1]!s_info_city(B245)</f>
        <v>0</v>
      </c>
      <c r="X245" s="10">
        <f>IF([1]!s_stmnote_bank_17n(B245,$A245,1)="0","",[1]!s_stmnote_bank_17n(B245,$A245,1))</f>
        <v>0</v>
      </c>
      <c r="Y245" s="10">
        <f>IF([1]!s_stmnote_bank_18n(B245,$A245,1)="0","",[1]!s_stmnote_bank_18n(B245,$A245,1))</f>
        <v>0</v>
      </c>
      <c r="Z245" s="41">
        <f>IF([1]!s_stmnote_bank_58(B245,$A245,1)="0","",[1]!s_stmnote_bank_58(B245,$A245,1))</f>
        <v>0</v>
      </c>
      <c r="AA245" s="52">
        <f>IF([1]!s_stmnote_bank_60(B245,$A245,1)="0","",[1]!s_stmnote_bank_60(B245,$A245,1))</f>
        <v>0</v>
      </c>
      <c r="AB245" s="52">
        <f>[1]!s_stmnote_bank_5444(B245,$A245,1)</f>
        <v>0</v>
      </c>
      <c r="AC245" s="38">
        <f>[1]!s_stmnote_bank_129n($B245,$A245,1)</f>
        <v>0</v>
      </c>
      <c r="AD245" s="54">
        <f>[1]!s_stmnote_bank_30(B245,$A245,1)</f>
        <v>0</v>
      </c>
    </row>
    <row r="246" spans="1:30" ht="24">
      <c r="A246" s="1" t="s">
        <v>1110</v>
      </c>
      <c r="B246" s="87" t="s">
        <v>1354</v>
      </c>
      <c r="C246" s="8">
        <f>IF([1]!b_info_issuer(B246)="0","",IFERROR([1]!b_info_issuer(B246),""))</f>
        <v>0</v>
      </c>
      <c r="D246" s="11">
        <f>IF([1]!b_info_latestissurercreditrating(B246)="0","",IFERROR([1]!b_info_latestissurercreditrating(B246),""))</f>
        <v>0</v>
      </c>
      <c r="E246" s="27" t="str">
        <f>IFERROR(([1]!b_stm07_bs($B246,47,$A246,1,100000000))/[1]!b_stm07_bs($B246,109,$A246,1,100000000),"")</f>
        <v/>
      </c>
      <c r="F246" s="18" t="str">
        <f>IFERROR(([1]!s_stmnote_bank_26($B246,$A246,1,100000000)-[1]!s_stmnote_bank_26($B246,#REF!,1,100000000)+#REF!)/[1]!s_stmnote_bank_1n($B246,#REF!,1,100000000),"")</f>
        <v/>
      </c>
      <c r="G246" s="21" t="str">
        <f t="shared" si="6"/>
        <v/>
      </c>
      <c r="H246" s="18" t="str">
        <f>IFERROR([1]!s_stmnote_bank($B246,"34",$A246,100000000)/[1]!s_stmnote_bank_1n(B246,$A246,1,100000000),"")</f>
        <v/>
      </c>
      <c r="I246" s="25">
        <f>[1]!b_stm07_bs(B246,74,$A246,1,100000000)</f>
        <v>0</v>
      </c>
      <c r="J246" s="25">
        <f>[1]!b_stm07_bs(B246,109,$A246,1,100000000)</f>
        <v>0</v>
      </c>
      <c r="K246" s="10">
        <f>[1]!s_stmnote_bank_5n(B246,$A246,1)</f>
        <v>0</v>
      </c>
      <c r="L246" s="25">
        <f>[1]!s_stmnote_bank_23n(B246,$A246,1)</f>
        <v>0</v>
      </c>
      <c r="M246" s="25">
        <f>[1]!s_stmnote_bank_capadequacyratio(B246,$A246,1)</f>
        <v>0</v>
      </c>
      <c r="N246" s="25">
        <f>[1]!s_stmnote_bank_capadequacyratio_ct1(B246,$A246,1)</f>
        <v>0</v>
      </c>
      <c r="O246" s="6">
        <f>IF(OR([1]!s_fa_roe(B246,20201231)="0",[1]!s_fa_roe(B246,20211231)="0",[1]!s_fa_roe(B246,20221231)="0"),"",IFERROR(([1]!s_fa_roe(B246,20221231)+[1]!s_fa_roe(B246,20201231)+[1]!s_fa_roe(B246,20211231))/3,""))</f>
        <v>0</v>
      </c>
      <c r="P246" s="28" t="str">
        <f>IFERROR(([1]!s_stmnote_bank_65(B246,$A246,1,2,4,100000000)+[1]!s_stmnote_bank_65(B246,$A246,1,2,6,100000000))/[1]!s_stmnote_bank_1n(B246,$A246,1,100000000),"")</f>
        <v/>
      </c>
      <c r="Q246" s="28" t="str">
        <f>IFERROR([1]!s_stmnote_bank_614(B246,$A246,1,2,100000000)/[1]!s_stmnote_bank_647(B246,$A246,1,2,100000000),"")</f>
        <v/>
      </c>
      <c r="R246" s="28" t="str">
        <f>IFERROR(([1]!b_stm07_bs(B246,104,$A246,1,100000000)+[1]!b_stm07_bs(B246,106,$A246,1,100000000)+[1]!b_stm07_bs(B246,76,$A246,1,100000000)+[1]!b_stm07_bs(B246,108,$A246,1,100000000)+[1]!b_stm07_bs(B246,95,$A246,1,100000000))/[1]!b_stm07_bs(B246,128,$A246,1,100000000),"")</f>
        <v/>
      </c>
      <c r="S246" s="28" t="str">
        <f>IFERROR(([1]!s_stmnote_bank_614(B246,$A246,1,2,100000000)+[1]!b_stm07_bs(B246,104,$A246,1,100000000)+[1]!b_stm07_bs(B246,106,$A246,1,100000000)+[1]!b_stm07_bs(B246,76,$A246,1,100000000)+[1]!b_stm07_bs(B246,108,$A246,1,100000000)+[1]!b_stm07_bs(B246,95,$A246,1,100000000))/[1]!b_stm07_bs(B246,128,$A246,1,100000000),"")</f>
        <v/>
      </c>
      <c r="T246" s="11">
        <f>[1]!b_issuer_shareholder(B246,"",1)</f>
        <v>0</v>
      </c>
      <c r="U246" s="10">
        <f>[1]!b_issuer_propofshareholder(B246,"",1)</f>
        <v>0</v>
      </c>
      <c r="V246" s="33" t="str">
        <f t="shared" si="7"/>
        <v>0</v>
      </c>
      <c r="W246" s="33">
        <f>[1]!s_info_city(B246)</f>
        <v>0</v>
      </c>
      <c r="X246" s="10">
        <f>IF([1]!s_stmnote_bank_17n(B246,$A246,1)="0","",[1]!s_stmnote_bank_17n(B246,$A246,1))</f>
        <v>0</v>
      </c>
      <c r="Y246" s="10">
        <f>IF([1]!s_stmnote_bank_18n(B246,$A246,1)="0","",[1]!s_stmnote_bank_18n(B246,$A246,1))</f>
        <v>0</v>
      </c>
      <c r="Z246" s="41">
        <f>IF([1]!s_stmnote_bank_58(B246,$A246,1)="0","",[1]!s_stmnote_bank_58(B246,$A246,1))</f>
        <v>0</v>
      </c>
      <c r="AA246" s="52">
        <f>IF([1]!s_stmnote_bank_60(B246,$A246,1)="0","",[1]!s_stmnote_bank_60(B246,$A246,1))</f>
        <v>0</v>
      </c>
      <c r="AB246" s="52">
        <f>[1]!s_stmnote_bank_5444(B246,$A246,1)</f>
        <v>0</v>
      </c>
      <c r="AC246" s="38">
        <f>[1]!s_stmnote_bank_129n($B246,$A246,1)</f>
        <v>0</v>
      </c>
      <c r="AD246" s="54">
        <f>[1]!s_stmnote_bank_30(B246,$A246,1)</f>
        <v>0</v>
      </c>
    </row>
    <row r="247" spans="1:30" ht="24">
      <c r="A247" s="1" t="s">
        <v>1110</v>
      </c>
      <c r="B247" s="87" t="s">
        <v>1355</v>
      </c>
      <c r="C247" s="8">
        <f>IF([1]!b_info_issuer(B247)="0","",IFERROR([1]!b_info_issuer(B247),""))</f>
        <v>0</v>
      </c>
      <c r="D247" s="11">
        <f>IF([1]!b_info_latestissurercreditrating(B247)="0","",IFERROR([1]!b_info_latestissurercreditrating(B247),""))</f>
        <v>0</v>
      </c>
      <c r="E247" s="27" t="str">
        <f>IFERROR(([1]!b_stm07_bs($B247,47,$A247,1,100000000))/[1]!b_stm07_bs($B247,109,$A247,1,100000000),"")</f>
        <v/>
      </c>
      <c r="F247" s="18" t="str">
        <f>IFERROR(([1]!s_stmnote_bank_26($B247,$A247,1,100000000)-[1]!s_stmnote_bank_26($B247,#REF!,1,100000000)+#REF!)/[1]!s_stmnote_bank_1n($B247,#REF!,1,100000000),"")</f>
        <v/>
      </c>
      <c r="G247" s="21" t="str">
        <f t="shared" si="6"/>
        <v/>
      </c>
      <c r="H247" s="18" t="str">
        <f>IFERROR([1]!s_stmnote_bank($B247,"34",$A247,100000000)/[1]!s_stmnote_bank_1n(B247,$A247,1,100000000),"")</f>
        <v/>
      </c>
      <c r="I247" s="25">
        <f>[1]!b_stm07_bs(B247,74,$A247,1,100000000)</f>
        <v>0</v>
      </c>
      <c r="J247" s="25">
        <f>[1]!b_stm07_bs(B247,109,$A247,1,100000000)</f>
        <v>0</v>
      </c>
      <c r="K247" s="10">
        <f>[1]!s_stmnote_bank_5n(B247,$A247,1)</f>
        <v>0</v>
      </c>
      <c r="L247" s="25">
        <f>[1]!s_stmnote_bank_23n(B247,$A247,1)</f>
        <v>0</v>
      </c>
      <c r="M247" s="25">
        <f>[1]!s_stmnote_bank_capadequacyratio(B247,$A247,1)</f>
        <v>0</v>
      </c>
      <c r="N247" s="25">
        <f>[1]!s_stmnote_bank_capadequacyratio_ct1(B247,$A247,1)</f>
        <v>0</v>
      </c>
      <c r="O247" s="6">
        <f>IF(OR([1]!s_fa_roe(B247,20201231)="0",[1]!s_fa_roe(B247,20211231)="0",[1]!s_fa_roe(B247,20221231)="0"),"",IFERROR(([1]!s_fa_roe(B247,20221231)+[1]!s_fa_roe(B247,20201231)+[1]!s_fa_roe(B247,20211231))/3,""))</f>
        <v>0</v>
      </c>
      <c r="P247" s="28" t="str">
        <f>IFERROR(([1]!s_stmnote_bank_65(B247,$A247,1,2,4,100000000)+[1]!s_stmnote_bank_65(B247,$A247,1,2,6,100000000))/[1]!s_stmnote_bank_1n(B247,$A247,1,100000000),"")</f>
        <v/>
      </c>
      <c r="Q247" s="28" t="str">
        <f>IFERROR([1]!s_stmnote_bank_614(B247,$A247,1,2,100000000)/[1]!s_stmnote_bank_647(B247,$A247,1,2,100000000),"")</f>
        <v/>
      </c>
      <c r="R247" s="28" t="str">
        <f>IFERROR(([1]!b_stm07_bs(B247,104,$A247,1,100000000)+[1]!b_stm07_bs(B247,106,$A247,1,100000000)+[1]!b_stm07_bs(B247,76,$A247,1,100000000)+[1]!b_stm07_bs(B247,108,$A247,1,100000000)+[1]!b_stm07_bs(B247,95,$A247,1,100000000))/[1]!b_stm07_bs(B247,128,$A247,1,100000000),"")</f>
        <v/>
      </c>
      <c r="S247" s="28" t="str">
        <f>IFERROR(([1]!s_stmnote_bank_614(B247,$A247,1,2,100000000)+[1]!b_stm07_bs(B247,104,$A247,1,100000000)+[1]!b_stm07_bs(B247,106,$A247,1,100000000)+[1]!b_stm07_bs(B247,76,$A247,1,100000000)+[1]!b_stm07_bs(B247,108,$A247,1,100000000)+[1]!b_stm07_bs(B247,95,$A247,1,100000000))/[1]!b_stm07_bs(B247,128,$A247,1,100000000),"")</f>
        <v/>
      </c>
      <c r="T247" s="11">
        <f>[1]!b_issuer_shareholder(B247,"",1)</f>
        <v>0</v>
      </c>
      <c r="U247" s="10">
        <f>[1]!b_issuer_propofshareholder(B247,"",1)</f>
        <v>0</v>
      </c>
      <c r="V247" s="33" t="str">
        <f t="shared" si="7"/>
        <v>0</v>
      </c>
      <c r="W247" s="33">
        <f>[1]!s_info_city(B247)</f>
        <v>0</v>
      </c>
      <c r="X247" s="10">
        <f>IF([1]!s_stmnote_bank_17n(B247,$A247,1)="0","",[1]!s_stmnote_bank_17n(B247,$A247,1))</f>
        <v>0</v>
      </c>
      <c r="Y247" s="10">
        <f>IF([1]!s_stmnote_bank_18n(B247,$A247,1)="0","",[1]!s_stmnote_bank_18n(B247,$A247,1))</f>
        <v>0</v>
      </c>
      <c r="Z247" s="41">
        <f>IF([1]!s_stmnote_bank_58(B247,$A247,1)="0","",[1]!s_stmnote_bank_58(B247,$A247,1))</f>
        <v>0</v>
      </c>
      <c r="AA247" s="52">
        <f>IF([1]!s_stmnote_bank_60(B247,$A247,1)="0","",[1]!s_stmnote_bank_60(B247,$A247,1))</f>
        <v>0</v>
      </c>
      <c r="AB247" s="52">
        <f>[1]!s_stmnote_bank_5444(B247,$A247,1)</f>
        <v>0</v>
      </c>
      <c r="AC247" s="38">
        <f>[1]!s_stmnote_bank_129n($B247,$A247,1)</f>
        <v>0</v>
      </c>
      <c r="AD247" s="54">
        <f>[1]!s_stmnote_bank_30(B247,$A247,1)</f>
        <v>0</v>
      </c>
    </row>
    <row r="248" spans="1:30" ht="24">
      <c r="A248" s="1" t="s">
        <v>1110</v>
      </c>
      <c r="B248" s="87" t="s">
        <v>1356</v>
      </c>
      <c r="C248" s="8">
        <f>IF([1]!b_info_issuer(B248)="0","",IFERROR([1]!b_info_issuer(B248),""))</f>
        <v>0</v>
      </c>
      <c r="D248" s="11">
        <f>IF([1]!b_info_latestissurercreditrating(B248)="0","",IFERROR([1]!b_info_latestissurercreditrating(B248),""))</f>
        <v>0</v>
      </c>
      <c r="E248" s="27" t="str">
        <f>IFERROR(([1]!b_stm07_bs($B248,47,$A248,1,100000000))/[1]!b_stm07_bs($B248,109,$A248,1,100000000),"")</f>
        <v/>
      </c>
      <c r="F248" s="18" t="str">
        <f>IFERROR(([1]!s_stmnote_bank_26($B248,$A248,1,100000000)-[1]!s_stmnote_bank_26($B248,#REF!,1,100000000)+#REF!)/[1]!s_stmnote_bank_1n($B248,#REF!,1,100000000),"")</f>
        <v/>
      </c>
      <c r="G248" s="21" t="str">
        <f t="shared" si="6"/>
        <v/>
      </c>
      <c r="H248" s="18" t="str">
        <f>IFERROR([1]!s_stmnote_bank($B248,"34",$A248,100000000)/[1]!s_stmnote_bank_1n(B248,$A248,1,100000000),"")</f>
        <v/>
      </c>
      <c r="I248" s="25">
        <f>[1]!b_stm07_bs(B248,74,$A248,1,100000000)</f>
        <v>0</v>
      </c>
      <c r="J248" s="25">
        <f>[1]!b_stm07_bs(B248,109,$A248,1,100000000)</f>
        <v>0</v>
      </c>
      <c r="K248" s="10">
        <f>[1]!s_stmnote_bank_5n(B248,$A248,1)</f>
        <v>0</v>
      </c>
      <c r="L248" s="25">
        <f>[1]!s_stmnote_bank_23n(B248,$A248,1)</f>
        <v>0</v>
      </c>
      <c r="M248" s="25">
        <f>[1]!s_stmnote_bank_capadequacyratio(B248,$A248,1)</f>
        <v>0</v>
      </c>
      <c r="N248" s="25">
        <f>[1]!s_stmnote_bank_capadequacyratio_ct1(B248,$A248,1)</f>
        <v>0</v>
      </c>
      <c r="O248" s="6">
        <f>IF(OR([1]!s_fa_roe(B248,20201231)="0",[1]!s_fa_roe(B248,20211231)="0",[1]!s_fa_roe(B248,20221231)="0"),"",IFERROR(([1]!s_fa_roe(B248,20221231)+[1]!s_fa_roe(B248,20201231)+[1]!s_fa_roe(B248,20211231))/3,""))</f>
        <v>0</v>
      </c>
      <c r="P248" s="28" t="str">
        <f>IFERROR(([1]!s_stmnote_bank_65(B248,$A248,1,2,4,100000000)+[1]!s_stmnote_bank_65(B248,$A248,1,2,6,100000000))/[1]!s_stmnote_bank_1n(B248,$A248,1,100000000),"")</f>
        <v/>
      </c>
      <c r="Q248" s="28" t="str">
        <f>IFERROR([1]!s_stmnote_bank_614(B248,$A248,1,2,100000000)/[1]!s_stmnote_bank_647(B248,$A248,1,2,100000000),"")</f>
        <v/>
      </c>
      <c r="R248" s="28" t="str">
        <f>IFERROR(([1]!b_stm07_bs(B248,104,$A248,1,100000000)+[1]!b_stm07_bs(B248,106,$A248,1,100000000)+[1]!b_stm07_bs(B248,76,$A248,1,100000000)+[1]!b_stm07_bs(B248,108,$A248,1,100000000)+[1]!b_stm07_bs(B248,95,$A248,1,100000000))/[1]!b_stm07_bs(B248,128,$A248,1,100000000),"")</f>
        <v/>
      </c>
      <c r="S248" s="28" t="str">
        <f>IFERROR(([1]!s_stmnote_bank_614(B248,$A248,1,2,100000000)+[1]!b_stm07_bs(B248,104,$A248,1,100000000)+[1]!b_stm07_bs(B248,106,$A248,1,100000000)+[1]!b_stm07_bs(B248,76,$A248,1,100000000)+[1]!b_stm07_bs(B248,108,$A248,1,100000000)+[1]!b_stm07_bs(B248,95,$A248,1,100000000))/[1]!b_stm07_bs(B248,128,$A248,1,100000000),"")</f>
        <v/>
      </c>
      <c r="T248" s="11">
        <f>[1]!b_issuer_shareholder(B248,"",1)</f>
        <v>0</v>
      </c>
      <c r="U248" s="10">
        <f>[1]!b_issuer_propofshareholder(B248,"",1)</f>
        <v>0</v>
      </c>
      <c r="V248" s="33" t="str">
        <f t="shared" si="7"/>
        <v>0</v>
      </c>
      <c r="W248" s="33">
        <f>[1]!s_info_city(B248)</f>
        <v>0</v>
      </c>
      <c r="X248" s="10">
        <f>IF([1]!s_stmnote_bank_17n(B248,$A248,1)="0","",[1]!s_stmnote_bank_17n(B248,$A248,1))</f>
        <v>0</v>
      </c>
      <c r="Y248" s="10">
        <f>IF([1]!s_stmnote_bank_18n(B248,$A248,1)="0","",[1]!s_stmnote_bank_18n(B248,$A248,1))</f>
        <v>0</v>
      </c>
      <c r="Z248" s="41">
        <f>IF([1]!s_stmnote_bank_58(B248,$A248,1)="0","",[1]!s_stmnote_bank_58(B248,$A248,1))</f>
        <v>0</v>
      </c>
      <c r="AA248" s="52">
        <f>IF([1]!s_stmnote_bank_60(B248,$A248,1)="0","",[1]!s_stmnote_bank_60(B248,$A248,1))</f>
        <v>0</v>
      </c>
      <c r="AB248" s="52">
        <f>[1]!s_stmnote_bank_5444(B248,$A248,1)</f>
        <v>0</v>
      </c>
      <c r="AC248" s="38">
        <f>[1]!s_stmnote_bank_129n($B248,$A248,1)</f>
        <v>0</v>
      </c>
      <c r="AD248" s="54">
        <f>[1]!s_stmnote_bank_30(B248,$A248,1)</f>
        <v>0</v>
      </c>
    </row>
    <row r="249" spans="1:30" ht="24">
      <c r="A249" s="1" t="s">
        <v>1110</v>
      </c>
      <c r="B249" s="87" t="s">
        <v>1357</v>
      </c>
      <c r="C249" s="8">
        <f>IF([1]!b_info_issuer(B249)="0","",IFERROR([1]!b_info_issuer(B249),""))</f>
        <v>0</v>
      </c>
      <c r="D249" s="11">
        <f>IF([1]!b_info_latestissurercreditrating(B249)="0","",IFERROR([1]!b_info_latestissurercreditrating(B249),""))</f>
        <v>0</v>
      </c>
      <c r="E249" s="27" t="str">
        <f>IFERROR(([1]!b_stm07_bs($B249,47,$A249,1,100000000))/[1]!b_stm07_bs($B249,109,$A249,1,100000000),"")</f>
        <v/>
      </c>
      <c r="F249" s="18" t="str">
        <f>IFERROR(([1]!s_stmnote_bank_26($B249,$A249,1,100000000)-[1]!s_stmnote_bank_26($B249,#REF!,1,100000000)+#REF!)/[1]!s_stmnote_bank_1n($B249,#REF!,1,100000000),"")</f>
        <v/>
      </c>
      <c r="G249" s="21" t="str">
        <f t="shared" si="6"/>
        <v/>
      </c>
      <c r="H249" s="18" t="str">
        <f>IFERROR([1]!s_stmnote_bank($B249,"34",$A249,100000000)/[1]!s_stmnote_bank_1n(B249,$A249,1,100000000),"")</f>
        <v/>
      </c>
      <c r="I249" s="25">
        <f>[1]!b_stm07_bs(B249,74,$A249,1,100000000)</f>
        <v>0</v>
      </c>
      <c r="J249" s="25">
        <f>[1]!b_stm07_bs(B249,109,$A249,1,100000000)</f>
        <v>0</v>
      </c>
      <c r="K249" s="10">
        <f>[1]!s_stmnote_bank_5n(B249,$A249,1)</f>
        <v>0</v>
      </c>
      <c r="L249" s="25">
        <f>[1]!s_stmnote_bank_23n(B249,$A249,1)</f>
        <v>0</v>
      </c>
      <c r="M249" s="25">
        <f>[1]!s_stmnote_bank_capadequacyratio(B249,$A249,1)</f>
        <v>0</v>
      </c>
      <c r="N249" s="25">
        <f>[1]!s_stmnote_bank_capadequacyratio_ct1(B249,$A249,1)</f>
        <v>0</v>
      </c>
      <c r="O249" s="6">
        <f>IF(OR([1]!s_fa_roe(B249,20201231)="0",[1]!s_fa_roe(B249,20211231)="0",[1]!s_fa_roe(B249,20221231)="0"),"",IFERROR(([1]!s_fa_roe(B249,20221231)+[1]!s_fa_roe(B249,20201231)+[1]!s_fa_roe(B249,20211231))/3,""))</f>
        <v>0</v>
      </c>
      <c r="P249" s="28" t="str">
        <f>IFERROR(([1]!s_stmnote_bank_65(B249,$A249,1,2,4,100000000)+[1]!s_stmnote_bank_65(B249,$A249,1,2,6,100000000))/[1]!s_stmnote_bank_1n(B249,$A249,1,100000000),"")</f>
        <v/>
      </c>
      <c r="Q249" s="28" t="str">
        <f>IFERROR([1]!s_stmnote_bank_614(B249,$A249,1,2,100000000)/[1]!s_stmnote_bank_647(B249,$A249,1,2,100000000),"")</f>
        <v/>
      </c>
      <c r="R249" s="28" t="str">
        <f>IFERROR(([1]!b_stm07_bs(B249,104,$A249,1,100000000)+[1]!b_stm07_bs(B249,106,$A249,1,100000000)+[1]!b_stm07_bs(B249,76,$A249,1,100000000)+[1]!b_stm07_bs(B249,108,$A249,1,100000000)+[1]!b_stm07_bs(B249,95,$A249,1,100000000))/[1]!b_stm07_bs(B249,128,$A249,1,100000000),"")</f>
        <v/>
      </c>
      <c r="S249" s="28" t="str">
        <f>IFERROR(([1]!s_stmnote_bank_614(B249,$A249,1,2,100000000)+[1]!b_stm07_bs(B249,104,$A249,1,100000000)+[1]!b_stm07_bs(B249,106,$A249,1,100000000)+[1]!b_stm07_bs(B249,76,$A249,1,100000000)+[1]!b_stm07_bs(B249,108,$A249,1,100000000)+[1]!b_stm07_bs(B249,95,$A249,1,100000000))/[1]!b_stm07_bs(B249,128,$A249,1,100000000),"")</f>
        <v/>
      </c>
      <c r="T249" s="11">
        <f>[1]!b_issuer_shareholder(B249,"",1)</f>
        <v>0</v>
      </c>
      <c r="U249" s="10">
        <f>[1]!b_issuer_propofshareholder(B249,"",1)</f>
        <v>0</v>
      </c>
      <c r="V249" s="33" t="str">
        <f t="shared" si="7"/>
        <v>0</v>
      </c>
      <c r="W249" s="33">
        <f>[1]!s_info_city(B249)</f>
        <v>0</v>
      </c>
      <c r="X249" s="10">
        <f>IF([1]!s_stmnote_bank_17n(B249,$A249,1)="0","",[1]!s_stmnote_bank_17n(B249,$A249,1))</f>
        <v>0</v>
      </c>
      <c r="Y249" s="10">
        <f>IF([1]!s_stmnote_bank_18n(B249,$A249,1)="0","",[1]!s_stmnote_bank_18n(B249,$A249,1))</f>
        <v>0</v>
      </c>
      <c r="Z249" s="41">
        <f>IF([1]!s_stmnote_bank_58(B249,$A249,1)="0","",[1]!s_stmnote_bank_58(B249,$A249,1))</f>
        <v>0</v>
      </c>
      <c r="AA249" s="52">
        <f>IF([1]!s_stmnote_bank_60(B249,$A249,1)="0","",[1]!s_stmnote_bank_60(B249,$A249,1))</f>
        <v>0</v>
      </c>
      <c r="AB249" s="52">
        <f>[1]!s_stmnote_bank_5444(B249,$A249,1)</f>
        <v>0</v>
      </c>
      <c r="AC249" s="38">
        <f>[1]!s_stmnote_bank_129n($B249,$A249,1)</f>
        <v>0</v>
      </c>
      <c r="AD249" s="54">
        <f>[1]!s_stmnote_bank_30(B249,$A249,1)</f>
        <v>0</v>
      </c>
    </row>
    <row r="250" spans="1:30" ht="24">
      <c r="A250" s="1" t="s">
        <v>1110</v>
      </c>
      <c r="B250" s="87" t="s">
        <v>1358</v>
      </c>
      <c r="C250" s="8">
        <f>IF([1]!b_info_issuer(B250)="0","",IFERROR([1]!b_info_issuer(B250),""))</f>
        <v>0</v>
      </c>
      <c r="D250" s="11">
        <f>IF([1]!b_info_latestissurercreditrating(B250)="0","",IFERROR([1]!b_info_latestissurercreditrating(B250),""))</f>
        <v>0</v>
      </c>
      <c r="E250" s="27" t="str">
        <f>IFERROR(([1]!b_stm07_bs($B250,47,$A250,1,100000000))/[1]!b_stm07_bs($B250,109,$A250,1,100000000),"")</f>
        <v/>
      </c>
      <c r="F250" s="18" t="str">
        <f>IFERROR(([1]!s_stmnote_bank_26($B250,$A250,1,100000000)-[1]!s_stmnote_bank_26($B250,#REF!,1,100000000)+#REF!)/[1]!s_stmnote_bank_1n($B250,#REF!,1,100000000),"")</f>
        <v/>
      </c>
      <c r="G250" s="21" t="str">
        <f t="shared" si="6"/>
        <v/>
      </c>
      <c r="H250" s="18" t="str">
        <f>IFERROR([1]!s_stmnote_bank($B250,"34",$A250,100000000)/[1]!s_stmnote_bank_1n(B250,$A250,1,100000000),"")</f>
        <v/>
      </c>
      <c r="I250" s="25">
        <f>[1]!b_stm07_bs(B250,74,$A250,1,100000000)</f>
        <v>0</v>
      </c>
      <c r="J250" s="25">
        <f>[1]!b_stm07_bs(B250,109,$A250,1,100000000)</f>
        <v>0</v>
      </c>
      <c r="K250" s="10">
        <f>[1]!s_stmnote_bank_5n(B250,$A250,1)</f>
        <v>0</v>
      </c>
      <c r="L250" s="25">
        <f>[1]!s_stmnote_bank_23n(B250,$A250,1)</f>
        <v>0</v>
      </c>
      <c r="M250" s="25">
        <f>[1]!s_stmnote_bank_capadequacyratio(B250,$A250,1)</f>
        <v>0</v>
      </c>
      <c r="N250" s="25">
        <f>[1]!s_stmnote_bank_capadequacyratio_ct1(B250,$A250,1)</f>
        <v>0</v>
      </c>
      <c r="O250" s="6">
        <f>IF(OR([1]!s_fa_roe(B250,20201231)="0",[1]!s_fa_roe(B250,20211231)="0",[1]!s_fa_roe(B250,20221231)="0"),"",IFERROR(([1]!s_fa_roe(B250,20221231)+[1]!s_fa_roe(B250,20201231)+[1]!s_fa_roe(B250,20211231))/3,""))</f>
        <v>0</v>
      </c>
      <c r="P250" s="28" t="str">
        <f>IFERROR(([1]!s_stmnote_bank_65(B250,$A250,1,2,4,100000000)+[1]!s_stmnote_bank_65(B250,$A250,1,2,6,100000000))/[1]!s_stmnote_bank_1n(B250,$A250,1,100000000),"")</f>
        <v/>
      </c>
      <c r="Q250" s="28" t="str">
        <f>IFERROR([1]!s_stmnote_bank_614(B250,$A250,1,2,100000000)/[1]!s_stmnote_bank_647(B250,$A250,1,2,100000000),"")</f>
        <v/>
      </c>
      <c r="R250" s="28" t="str">
        <f>IFERROR(([1]!b_stm07_bs(B250,104,$A250,1,100000000)+[1]!b_stm07_bs(B250,106,$A250,1,100000000)+[1]!b_stm07_bs(B250,76,$A250,1,100000000)+[1]!b_stm07_bs(B250,108,$A250,1,100000000)+[1]!b_stm07_bs(B250,95,$A250,1,100000000))/[1]!b_stm07_bs(B250,128,$A250,1,100000000),"")</f>
        <v/>
      </c>
      <c r="S250" s="28" t="str">
        <f>IFERROR(([1]!s_stmnote_bank_614(B250,$A250,1,2,100000000)+[1]!b_stm07_bs(B250,104,$A250,1,100000000)+[1]!b_stm07_bs(B250,106,$A250,1,100000000)+[1]!b_stm07_bs(B250,76,$A250,1,100000000)+[1]!b_stm07_bs(B250,108,$A250,1,100000000)+[1]!b_stm07_bs(B250,95,$A250,1,100000000))/[1]!b_stm07_bs(B250,128,$A250,1,100000000),"")</f>
        <v/>
      </c>
      <c r="T250" s="11">
        <f>[1]!b_issuer_shareholder(B250,"",1)</f>
        <v>0</v>
      </c>
      <c r="U250" s="10">
        <f>[1]!b_issuer_propofshareholder(B250,"",1)</f>
        <v>0</v>
      </c>
      <c r="V250" s="33" t="str">
        <f t="shared" si="7"/>
        <v>0</v>
      </c>
      <c r="W250" s="33">
        <f>[1]!s_info_city(B250)</f>
        <v>0</v>
      </c>
      <c r="X250" s="10">
        <f>IF([1]!s_stmnote_bank_17n(B250,$A250,1)="0","",[1]!s_stmnote_bank_17n(B250,$A250,1))</f>
        <v>0</v>
      </c>
      <c r="Y250" s="10">
        <f>IF([1]!s_stmnote_bank_18n(B250,$A250,1)="0","",[1]!s_stmnote_bank_18n(B250,$A250,1))</f>
        <v>0</v>
      </c>
      <c r="Z250" s="41">
        <f>IF([1]!s_stmnote_bank_58(B250,$A250,1)="0","",[1]!s_stmnote_bank_58(B250,$A250,1))</f>
        <v>0</v>
      </c>
      <c r="AA250" s="52">
        <f>IF([1]!s_stmnote_bank_60(B250,$A250,1)="0","",[1]!s_stmnote_bank_60(B250,$A250,1))</f>
        <v>0</v>
      </c>
      <c r="AB250" s="52">
        <f>[1]!s_stmnote_bank_5444(B250,$A250,1)</f>
        <v>0</v>
      </c>
      <c r="AC250" s="38">
        <f>[1]!s_stmnote_bank_129n($B250,$A250,1)</f>
        <v>0</v>
      </c>
      <c r="AD250" s="54">
        <f>[1]!s_stmnote_bank_30(B250,$A250,1)</f>
        <v>0</v>
      </c>
    </row>
    <row r="251" spans="1:30" ht="24">
      <c r="A251" s="1" t="s">
        <v>1110</v>
      </c>
      <c r="B251" s="87" t="s">
        <v>1359</v>
      </c>
      <c r="C251" s="8">
        <f>IF([1]!b_info_issuer(B251)="0","",IFERROR([1]!b_info_issuer(B251),""))</f>
        <v>0</v>
      </c>
      <c r="D251" s="11">
        <f>IF([1]!b_info_latestissurercreditrating(B251)="0","",IFERROR([1]!b_info_latestissurercreditrating(B251),""))</f>
        <v>0</v>
      </c>
      <c r="E251" s="27" t="str">
        <f>IFERROR(([1]!b_stm07_bs($B251,47,$A251,1,100000000))/[1]!b_stm07_bs($B251,109,$A251,1,100000000),"")</f>
        <v/>
      </c>
      <c r="F251" s="18" t="str">
        <f>IFERROR(([1]!s_stmnote_bank_26($B251,$A251,1,100000000)-[1]!s_stmnote_bank_26($B251,#REF!,1,100000000)+#REF!)/[1]!s_stmnote_bank_1n($B251,#REF!,1,100000000),"")</f>
        <v/>
      </c>
      <c r="G251" s="21" t="str">
        <f t="shared" si="6"/>
        <v/>
      </c>
      <c r="H251" s="18" t="str">
        <f>IFERROR([1]!s_stmnote_bank($B251,"34",$A251,100000000)/[1]!s_stmnote_bank_1n(B251,$A251,1,100000000),"")</f>
        <v/>
      </c>
      <c r="I251" s="25">
        <f>[1]!b_stm07_bs(B251,74,$A251,1,100000000)</f>
        <v>0</v>
      </c>
      <c r="J251" s="25">
        <f>[1]!b_stm07_bs(B251,109,$A251,1,100000000)</f>
        <v>0</v>
      </c>
      <c r="K251" s="10">
        <f>[1]!s_stmnote_bank_5n(B251,$A251,1)</f>
        <v>0</v>
      </c>
      <c r="L251" s="25">
        <f>[1]!s_stmnote_bank_23n(B251,$A251,1)</f>
        <v>0</v>
      </c>
      <c r="M251" s="25">
        <f>[1]!s_stmnote_bank_capadequacyratio(B251,$A251,1)</f>
        <v>0</v>
      </c>
      <c r="N251" s="25">
        <f>[1]!s_stmnote_bank_capadequacyratio_ct1(B251,$A251,1)</f>
        <v>0</v>
      </c>
      <c r="O251" s="6">
        <f>IF(OR([1]!s_fa_roe(B251,20201231)="0",[1]!s_fa_roe(B251,20211231)="0",[1]!s_fa_roe(B251,20221231)="0"),"",IFERROR(([1]!s_fa_roe(B251,20221231)+[1]!s_fa_roe(B251,20201231)+[1]!s_fa_roe(B251,20211231))/3,""))</f>
        <v>0</v>
      </c>
      <c r="P251" s="28" t="str">
        <f>IFERROR(([1]!s_stmnote_bank_65(B251,$A251,1,2,4,100000000)+[1]!s_stmnote_bank_65(B251,$A251,1,2,6,100000000))/[1]!s_stmnote_bank_1n(B251,$A251,1,100000000),"")</f>
        <v/>
      </c>
      <c r="Q251" s="28" t="str">
        <f>IFERROR([1]!s_stmnote_bank_614(B251,$A251,1,2,100000000)/[1]!s_stmnote_bank_647(B251,$A251,1,2,100000000),"")</f>
        <v/>
      </c>
      <c r="R251" s="28" t="str">
        <f>IFERROR(([1]!b_stm07_bs(B251,104,$A251,1,100000000)+[1]!b_stm07_bs(B251,106,$A251,1,100000000)+[1]!b_stm07_bs(B251,76,$A251,1,100000000)+[1]!b_stm07_bs(B251,108,$A251,1,100000000)+[1]!b_stm07_bs(B251,95,$A251,1,100000000))/[1]!b_stm07_bs(B251,128,$A251,1,100000000),"")</f>
        <v/>
      </c>
      <c r="S251" s="28" t="str">
        <f>IFERROR(([1]!s_stmnote_bank_614(B251,$A251,1,2,100000000)+[1]!b_stm07_bs(B251,104,$A251,1,100000000)+[1]!b_stm07_bs(B251,106,$A251,1,100000000)+[1]!b_stm07_bs(B251,76,$A251,1,100000000)+[1]!b_stm07_bs(B251,108,$A251,1,100000000)+[1]!b_stm07_bs(B251,95,$A251,1,100000000))/[1]!b_stm07_bs(B251,128,$A251,1,100000000),"")</f>
        <v/>
      </c>
      <c r="T251" s="11">
        <f>[1]!b_issuer_shareholder(B251,"",1)</f>
        <v>0</v>
      </c>
      <c r="U251" s="10">
        <f>[1]!b_issuer_propofshareholder(B251,"",1)</f>
        <v>0</v>
      </c>
      <c r="V251" s="33" t="str">
        <f t="shared" si="7"/>
        <v>0</v>
      </c>
      <c r="W251" s="33">
        <f>[1]!s_info_city(B251)</f>
        <v>0</v>
      </c>
      <c r="X251" s="10">
        <f>IF([1]!s_stmnote_bank_17n(B251,$A251,1)="0","",[1]!s_stmnote_bank_17n(B251,$A251,1))</f>
        <v>0</v>
      </c>
      <c r="Y251" s="10">
        <f>IF([1]!s_stmnote_bank_18n(B251,$A251,1)="0","",[1]!s_stmnote_bank_18n(B251,$A251,1))</f>
        <v>0</v>
      </c>
      <c r="Z251" s="41">
        <f>IF([1]!s_stmnote_bank_58(B251,$A251,1)="0","",[1]!s_stmnote_bank_58(B251,$A251,1))</f>
        <v>0</v>
      </c>
      <c r="AA251" s="52">
        <f>IF([1]!s_stmnote_bank_60(B251,$A251,1)="0","",[1]!s_stmnote_bank_60(B251,$A251,1))</f>
        <v>0</v>
      </c>
      <c r="AB251" s="52">
        <f>[1]!s_stmnote_bank_5444(B251,$A251,1)</f>
        <v>0</v>
      </c>
      <c r="AC251" s="38">
        <f>[1]!s_stmnote_bank_129n($B251,$A251,1)</f>
        <v>0</v>
      </c>
      <c r="AD251" s="54">
        <f>[1]!s_stmnote_bank_30(B251,$A251,1)</f>
        <v>0</v>
      </c>
    </row>
    <row r="252" spans="1:30" ht="24">
      <c r="A252" s="1" t="s">
        <v>1110</v>
      </c>
      <c r="B252" s="87" t="s">
        <v>1360</v>
      </c>
      <c r="C252" s="8">
        <f>IF([1]!b_info_issuer(B252)="0","",IFERROR([1]!b_info_issuer(B252),""))</f>
        <v>0</v>
      </c>
      <c r="D252" s="11">
        <f>IF([1]!b_info_latestissurercreditrating(B252)="0","",IFERROR([1]!b_info_latestissurercreditrating(B252),""))</f>
        <v>0</v>
      </c>
      <c r="E252" s="27" t="str">
        <f>IFERROR(([1]!b_stm07_bs($B252,47,$A252,1,100000000))/[1]!b_stm07_bs($B252,109,$A252,1,100000000),"")</f>
        <v/>
      </c>
      <c r="F252" s="18" t="str">
        <f>IFERROR(([1]!s_stmnote_bank_26($B252,$A252,1,100000000)-[1]!s_stmnote_bank_26($B252,#REF!,1,100000000)+#REF!)/[1]!s_stmnote_bank_1n($B252,#REF!,1,100000000),"")</f>
        <v/>
      </c>
      <c r="G252" s="21" t="str">
        <f t="shared" si="6"/>
        <v/>
      </c>
      <c r="H252" s="18" t="str">
        <f>IFERROR([1]!s_stmnote_bank($B252,"34",$A252,100000000)/[1]!s_stmnote_bank_1n(B252,$A252,1,100000000),"")</f>
        <v/>
      </c>
      <c r="I252" s="25">
        <f>[1]!b_stm07_bs(B252,74,$A252,1,100000000)</f>
        <v>0</v>
      </c>
      <c r="J252" s="25">
        <f>[1]!b_stm07_bs(B252,109,$A252,1,100000000)</f>
        <v>0</v>
      </c>
      <c r="K252" s="10">
        <f>[1]!s_stmnote_bank_5n(B252,$A252,1)</f>
        <v>0</v>
      </c>
      <c r="L252" s="25">
        <f>[1]!s_stmnote_bank_23n(B252,$A252,1)</f>
        <v>0</v>
      </c>
      <c r="M252" s="25">
        <f>[1]!s_stmnote_bank_capadequacyratio(B252,$A252,1)</f>
        <v>0</v>
      </c>
      <c r="N252" s="25">
        <f>[1]!s_stmnote_bank_capadequacyratio_ct1(B252,$A252,1)</f>
        <v>0</v>
      </c>
      <c r="O252" s="6">
        <f>IF(OR([1]!s_fa_roe(B252,20201231)="0",[1]!s_fa_roe(B252,20211231)="0",[1]!s_fa_roe(B252,20221231)="0"),"",IFERROR(([1]!s_fa_roe(B252,20221231)+[1]!s_fa_roe(B252,20201231)+[1]!s_fa_roe(B252,20211231))/3,""))</f>
        <v>0</v>
      </c>
      <c r="P252" s="28" t="str">
        <f>IFERROR(([1]!s_stmnote_bank_65(B252,$A252,1,2,4,100000000)+[1]!s_stmnote_bank_65(B252,$A252,1,2,6,100000000))/[1]!s_stmnote_bank_1n(B252,$A252,1,100000000),"")</f>
        <v/>
      </c>
      <c r="Q252" s="28" t="str">
        <f>IFERROR([1]!s_stmnote_bank_614(B252,$A252,1,2,100000000)/[1]!s_stmnote_bank_647(B252,$A252,1,2,100000000),"")</f>
        <v/>
      </c>
      <c r="R252" s="28" t="str">
        <f>IFERROR(([1]!b_stm07_bs(B252,104,$A252,1,100000000)+[1]!b_stm07_bs(B252,106,$A252,1,100000000)+[1]!b_stm07_bs(B252,76,$A252,1,100000000)+[1]!b_stm07_bs(B252,108,$A252,1,100000000)+[1]!b_stm07_bs(B252,95,$A252,1,100000000))/[1]!b_stm07_bs(B252,128,$A252,1,100000000),"")</f>
        <v/>
      </c>
      <c r="S252" s="28" t="str">
        <f>IFERROR(([1]!s_stmnote_bank_614(B252,$A252,1,2,100000000)+[1]!b_stm07_bs(B252,104,$A252,1,100000000)+[1]!b_stm07_bs(B252,106,$A252,1,100000000)+[1]!b_stm07_bs(B252,76,$A252,1,100000000)+[1]!b_stm07_bs(B252,108,$A252,1,100000000)+[1]!b_stm07_bs(B252,95,$A252,1,100000000))/[1]!b_stm07_bs(B252,128,$A252,1,100000000),"")</f>
        <v/>
      </c>
      <c r="T252" s="11">
        <f>[1]!b_issuer_shareholder(B252,"",1)</f>
        <v>0</v>
      </c>
      <c r="U252" s="10">
        <f>[1]!b_issuer_propofshareholder(B252,"",1)</f>
        <v>0</v>
      </c>
      <c r="V252" s="33" t="str">
        <f t="shared" si="7"/>
        <v>0</v>
      </c>
      <c r="W252" s="33">
        <f>[1]!s_info_city(B252)</f>
        <v>0</v>
      </c>
      <c r="X252" s="10">
        <f>IF([1]!s_stmnote_bank_17n(B252,$A252,1)="0","",[1]!s_stmnote_bank_17n(B252,$A252,1))</f>
        <v>0</v>
      </c>
      <c r="Y252" s="10">
        <f>IF([1]!s_stmnote_bank_18n(B252,$A252,1)="0","",[1]!s_stmnote_bank_18n(B252,$A252,1))</f>
        <v>0</v>
      </c>
      <c r="Z252" s="41">
        <f>IF([1]!s_stmnote_bank_58(B252,$A252,1)="0","",[1]!s_stmnote_bank_58(B252,$A252,1))</f>
        <v>0</v>
      </c>
      <c r="AA252" s="52">
        <f>IF([1]!s_stmnote_bank_60(B252,$A252,1)="0","",[1]!s_stmnote_bank_60(B252,$A252,1))</f>
        <v>0</v>
      </c>
      <c r="AB252" s="52">
        <f>[1]!s_stmnote_bank_5444(B252,$A252,1)</f>
        <v>0</v>
      </c>
      <c r="AC252" s="38">
        <f>[1]!s_stmnote_bank_129n($B252,$A252,1)</f>
        <v>0</v>
      </c>
      <c r="AD252" s="54">
        <f>[1]!s_stmnote_bank_30(B252,$A252,1)</f>
        <v>0</v>
      </c>
    </row>
    <row r="253" spans="1:30" ht="24">
      <c r="A253" s="1" t="s">
        <v>1110</v>
      </c>
      <c r="B253" s="87" t="s">
        <v>1361</v>
      </c>
      <c r="C253" s="8">
        <f>IF([1]!b_info_issuer(B253)="0","",IFERROR([1]!b_info_issuer(B253),""))</f>
        <v>0</v>
      </c>
      <c r="D253" s="11">
        <f>IF([1]!b_info_latestissurercreditrating(B253)="0","",IFERROR([1]!b_info_latestissurercreditrating(B253),""))</f>
        <v>0</v>
      </c>
      <c r="E253" s="27" t="str">
        <f>IFERROR(([1]!b_stm07_bs($B253,47,$A253,1,100000000))/[1]!b_stm07_bs($B253,109,$A253,1,100000000),"")</f>
        <v/>
      </c>
      <c r="F253" s="18" t="str">
        <f>IFERROR(([1]!s_stmnote_bank_26($B253,$A253,1,100000000)-[1]!s_stmnote_bank_26($B253,#REF!,1,100000000)+#REF!)/[1]!s_stmnote_bank_1n($B253,#REF!,1,100000000),"")</f>
        <v/>
      </c>
      <c r="G253" s="21" t="str">
        <f t="shared" si="6"/>
        <v/>
      </c>
      <c r="H253" s="18" t="str">
        <f>IFERROR([1]!s_stmnote_bank($B253,"34",$A253,100000000)/[1]!s_stmnote_bank_1n(B253,$A253,1,100000000),"")</f>
        <v/>
      </c>
      <c r="I253" s="25">
        <f>[1]!b_stm07_bs(B253,74,$A253,1,100000000)</f>
        <v>0</v>
      </c>
      <c r="J253" s="25">
        <f>[1]!b_stm07_bs(B253,109,$A253,1,100000000)</f>
        <v>0</v>
      </c>
      <c r="K253" s="10">
        <f>[1]!s_stmnote_bank_5n(B253,$A253,1)</f>
        <v>0</v>
      </c>
      <c r="L253" s="25">
        <f>[1]!s_stmnote_bank_23n(B253,$A253,1)</f>
        <v>0</v>
      </c>
      <c r="M253" s="25">
        <f>[1]!s_stmnote_bank_capadequacyratio(B253,$A253,1)</f>
        <v>0</v>
      </c>
      <c r="N253" s="25">
        <f>[1]!s_stmnote_bank_capadequacyratio_ct1(B253,$A253,1)</f>
        <v>0</v>
      </c>
      <c r="O253" s="6">
        <f>IF(OR([1]!s_fa_roe(B253,20201231)="0",[1]!s_fa_roe(B253,20211231)="0",[1]!s_fa_roe(B253,20221231)="0"),"",IFERROR(([1]!s_fa_roe(B253,20221231)+[1]!s_fa_roe(B253,20201231)+[1]!s_fa_roe(B253,20211231))/3,""))</f>
        <v>0</v>
      </c>
      <c r="P253" s="28" t="str">
        <f>IFERROR(([1]!s_stmnote_bank_65(B253,$A253,1,2,4,100000000)+[1]!s_stmnote_bank_65(B253,$A253,1,2,6,100000000))/[1]!s_stmnote_bank_1n(B253,$A253,1,100000000),"")</f>
        <v/>
      </c>
      <c r="Q253" s="28" t="str">
        <f>IFERROR([1]!s_stmnote_bank_614(B253,$A253,1,2,100000000)/[1]!s_stmnote_bank_647(B253,$A253,1,2,100000000),"")</f>
        <v/>
      </c>
      <c r="R253" s="28" t="str">
        <f>IFERROR(([1]!b_stm07_bs(B253,104,$A253,1,100000000)+[1]!b_stm07_bs(B253,106,$A253,1,100000000)+[1]!b_stm07_bs(B253,76,$A253,1,100000000)+[1]!b_stm07_bs(B253,108,$A253,1,100000000)+[1]!b_stm07_bs(B253,95,$A253,1,100000000))/[1]!b_stm07_bs(B253,128,$A253,1,100000000),"")</f>
        <v/>
      </c>
      <c r="S253" s="28" t="str">
        <f>IFERROR(([1]!s_stmnote_bank_614(B253,$A253,1,2,100000000)+[1]!b_stm07_bs(B253,104,$A253,1,100000000)+[1]!b_stm07_bs(B253,106,$A253,1,100000000)+[1]!b_stm07_bs(B253,76,$A253,1,100000000)+[1]!b_stm07_bs(B253,108,$A253,1,100000000)+[1]!b_stm07_bs(B253,95,$A253,1,100000000))/[1]!b_stm07_bs(B253,128,$A253,1,100000000),"")</f>
        <v/>
      </c>
      <c r="T253" s="11">
        <f>[1]!b_issuer_shareholder(B253,"",1)</f>
        <v>0</v>
      </c>
      <c r="U253" s="10">
        <f>[1]!b_issuer_propofshareholder(B253,"",1)</f>
        <v>0</v>
      </c>
      <c r="V253" s="33" t="str">
        <f t="shared" si="7"/>
        <v>0</v>
      </c>
      <c r="W253" s="33">
        <f>[1]!s_info_city(B253)</f>
        <v>0</v>
      </c>
      <c r="X253" s="10">
        <f>IF([1]!s_stmnote_bank_17n(B253,$A253,1)="0","",[1]!s_stmnote_bank_17n(B253,$A253,1))</f>
        <v>0</v>
      </c>
      <c r="Y253" s="10">
        <f>IF([1]!s_stmnote_bank_18n(B253,$A253,1)="0","",[1]!s_stmnote_bank_18n(B253,$A253,1))</f>
        <v>0</v>
      </c>
      <c r="Z253" s="41">
        <f>IF([1]!s_stmnote_bank_58(B253,$A253,1)="0","",[1]!s_stmnote_bank_58(B253,$A253,1))</f>
        <v>0</v>
      </c>
      <c r="AA253" s="52">
        <f>IF([1]!s_stmnote_bank_60(B253,$A253,1)="0","",[1]!s_stmnote_bank_60(B253,$A253,1))</f>
        <v>0</v>
      </c>
      <c r="AB253" s="52">
        <f>[1]!s_stmnote_bank_5444(B253,$A253,1)</f>
        <v>0</v>
      </c>
      <c r="AC253" s="38">
        <f>[1]!s_stmnote_bank_129n($B253,$A253,1)</f>
        <v>0</v>
      </c>
      <c r="AD253" s="54">
        <f>[1]!s_stmnote_bank_30(B253,$A253,1)</f>
        <v>0</v>
      </c>
    </row>
    <row r="254" spans="1:30" ht="24">
      <c r="A254" s="1" t="s">
        <v>1110</v>
      </c>
      <c r="B254" s="87" t="s">
        <v>1362</v>
      </c>
      <c r="C254" s="8">
        <f>IF([1]!b_info_issuer(B254)="0","",IFERROR([1]!b_info_issuer(B254),""))</f>
        <v>0</v>
      </c>
      <c r="D254" s="11">
        <f>IF([1]!b_info_latestissurercreditrating(B254)="0","",IFERROR([1]!b_info_latestissurercreditrating(B254),""))</f>
        <v>0</v>
      </c>
      <c r="E254" s="27" t="str">
        <f>IFERROR(([1]!b_stm07_bs($B254,47,$A254,1,100000000))/[1]!b_stm07_bs($B254,109,$A254,1,100000000),"")</f>
        <v/>
      </c>
      <c r="F254" s="18" t="str">
        <f>IFERROR(([1]!s_stmnote_bank_26($B254,$A254,1,100000000)-[1]!s_stmnote_bank_26($B254,#REF!,1,100000000)+#REF!)/[1]!s_stmnote_bank_1n($B254,#REF!,1,100000000),"")</f>
        <v/>
      </c>
      <c r="G254" s="21" t="str">
        <f t="shared" si="6"/>
        <v/>
      </c>
      <c r="H254" s="18" t="str">
        <f>IFERROR([1]!s_stmnote_bank($B254,"34",$A254,100000000)/[1]!s_stmnote_bank_1n(B254,$A254,1,100000000),"")</f>
        <v/>
      </c>
      <c r="I254" s="25">
        <f>[1]!b_stm07_bs(B254,74,$A254,1,100000000)</f>
        <v>0</v>
      </c>
      <c r="J254" s="25">
        <f>[1]!b_stm07_bs(B254,109,$A254,1,100000000)</f>
        <v>0</v>
      </c>
      <c r="K254" s="10">
        <f>[1]!s_stmnote_bank_5n(B254,$A254,1)</f>
        <v>0</v>
      </c>
      <c r="L254" s="25">
        <f>[1]!s_stmnote_bank_23n(B254,$A254,1)</f>
        <v>0</v>
      </c>
      <c r="M254" s="25">
        <f>[1]!s_stmnote_bank_capadequacyratio(B254,$A254,1)</f>
        <v>0</v>
      </c>
      <c r="N254" s="25">
        <f>[1]!s_stmnote_bank_capadequacyratio_ct1(B254,$A254,1)</f>
        <v>0</v>
      </c>
      <c r="O254" s="6">
        <f>IF(OR([1]!s_fa_roe(B254,20201231)="0",[1]!s_fa_roe(B254,20211231)="0",[1]!s_fa_roe(B254,20221231)="0"),"",IFERROR(([1]!s_fa_roe(B254,20221231)+[1]!s_fa_roe(B254,20201231)+[1]!s_fa_roe(B254,20211231))/3,""))</f>
        <v>0</v>
      </c>
      <c r="P254" s="28" t="str">
        <f>IFERROR(([1]!s_stmnote_bank_65(B254,$A254,1,2,4,100000000)+[1]!s_stmnote_bank_65(B254,$A254,1,2,6,100000000))/[1]!s_stmnote_bank_1n(B254,$A254,1,100000000),"")</f>
        <v/>
      </c>
      <c r="Q254" s="28" t="str">
        <f>IFERROR([1]!s_stmnote_bank_614(B254,$A254,1,2,100000000)/[1]!s_stmnote_bank_647(B254,$A254,1,2,100000000),"")</f>
        <v/>
      </c>
      <c r="R254" s="28" t="str">
        <f>IFERROR(([1]!b_stm07_bs(B254,104,$A254,1,100000000)+[1]!b_stm07_bs(B254,106,$A254,1,100000000)+[1]!b_stm07_bs(B254,76,$A254,1,100000000)+[1]!b_stm07_bs(B254,108,$A254,1,100000000)+[1]!b_stm07_bs(B254,95,$A254,1,100000000))/[1]!b_stm07_bs(B254,128,$A254,1,100000000),"")</f>
        <v/>
      </c>
      <c r="S254" s="28" t="str">
        <f>IFERROR(([1]!s_stmnote_bank_614(B254,$A254,1,2,100000000)+[1]!b_stm07_bs(B254,104,$A254,1,100000000)+[1]!b_stm07_bs(B254,106,$A254,1,100000000)+[1]!b_stm07_bs(B254,76,$A254,1,100000000)+[1]!b_stm07_bs(B254,108,$A254,1,100000000)+[1]!b_stm07_bs(B254,95,$A254,1,100000000))/[1]!b_stm07_bs(B254,128,$A254,1,100000000),"")</f>
        <v/>
      </c>
      <c r="T254" s="11">
        <f>[1]!b_issuer_shareholder(B254,"",1)</f>
        <v>0</v>
      </c>
      <c r="U254" s="10">
        <f>[1]!b_issuer_propofshareholder(B254,"",1)</f>
        <v>0</v>
      </c>
      <c r="V254" s="33" t="str">
        <f t="shared" si="7"/>
        <v>0</v>
      </c>
      <c r="W254" s="33">
        <f>[1]!s_info_city(B254)</f>
        <v>0</v>
      </c>
      <c r="X254" s="10">
        <f>IF([1]!s_stmnote_bank_17n(B254,$A254,1)="0","",[1]!s_stmnote_bank_17n(B254,$A254,1))</f>
        <v>0</v>
      </c>
      <c r="Y254" s="10">
        <f>IF([1]!s_stmnote_bank_18n(B254,$A254,1)="0","",[1]!s_stmnote_bank_18n(B254,$A254,1))</f>
        <v>0</v>
      </c>
      <c r="Z254" s="41">
        <f>IF([1]!s_stmnote_bank_58(B254,$A254,1)="0","",[1]!s_stmnote_bank_58(B254,$A254,1))</f>
        <v>0</v>
      </c>
      <c r="AA254" s="52">
        <f>IF([1]!s_stmnote_bank_60(B254,$A254,1)="0","",[1]!s_stmnote_bank_60(B254,$A254,1))</f>
        <v>0</v>
      </c>
      <c r="AB254" s="52">
        <f>[1]!s_stmnote_bank_5444(B254,$A254,1)</f>
        <v>0</v>
      </c>
      <c r="AC254" s="38">
        <f>[1]!s_stmnote_bank_129n($B254,$A254,1)</f>
        <v>0</v>
      </c>
      <c r="AD254" s="54">
        <f>[1]!s_stmnote_bank_30(B254,$A254,1)</f>
        <v>0</v>
      </c>
    </row>
    <row r="255" spans="1:30" ht="24">
      <c r="A255" s="1" t="s">
        <v>1110</v>
      </c>
      <c r="B255" s="87" t="s">
        <v>1363</v>
      </c>
      <c r="C255" s="8">
        <f>IF([1]!b_info_issuer(B255)="0","",IFERROR([1]!b_info_issuer(B255),""))</f>
        <v>0</v>
      </c>
      <c r="D255" s="11">
        <f>IF([1]!b_info_latestissurercreditrating(B255)="0","",IFERROR([1]!b_info_latestissurercreditrating(B255),""))</f>
        <v>0</v>
      </c>
      <c r="E255" s="27" t="str">
        <f>IFERROR(([1]!b_stm07_bs($B255,47,$A255,1,100000000))/[1]!b_stm07_bs($B255,109,$A255,1,100000000),"")</f>
        <v/>
      </c>
      <c r="F255" s="18" t="str">
        <f>IFERROR(([1]!s_stmnote_bank_26($B255,$A255,1,100000000)-[1]!s_stmnote_bank_26($B255,#REF!,1,100000000)+#REF!)/[1]!s_stmnote_bank_1n($B255,#REF!,1,100000000),"")</f>
        <v/>
      </c>
      <c r="G255" s="21" t="str">
        <f t="shared" si="6"/>
        <v/>
      </c>
      <c r="H255" s="18" t="str">
        <f>IFERROR([1]!s_stmnote_bank($B255,"34",$A255,100000000)/[1]!s_stmnote_bank_1n(B255,$A255,1,100000000),"")</f>
        <v/>
      </c>
      <c r="I255" s="25">
        <f>[1]!b_stm07_bs(B255,74,$A255,1,100000000)</f>
        <v>0</v>
      </c>
      <c r="J255" s="25">
        <f>[1]!b_stm07_bs(B255,109,$A255,1,100000000)</f>
        <v>0</v>
      </c>
      <c r="K255" s="10">
        <f>[1]!s_stmnote_bank_5n(B255,$A255,1)</f>
        <v>0</v>
      </c>
      <c r="L255" s="25">
        <f>[1]!s_stmnote_bank_23n(B255,$A255,1)</f>
        <v>0</v>
      </c>
      <c r="M255" s="25">
        <f>[1]!s_stmnote_bank_capadequacyratio(B255,$A255,1)</f>
        <v>0</v>
      </c>
      <c r="N255" s="25">
        <f>[1]!s_stmnote_bank_capadequacyratio_ct1(B255,$A255,1)</f>
        <v>0</v>
      </c>
      <c r="O255" s="6">
        <f>IF(OR([1]!s_fa_roe(B255,20201231)="0",[1]!s_fa_roe(B255,20211231)="0",[1]!s_fa_roe(B255,20221231)="0"),"",IFERROR(([1]!s_fa_roe(B255,20221231)+[1]!s_fa_roe(B255,20201231)+[1]!s_fa_roe(B255,20211231))/3,""))</f>
        <v>0</v>
      </c>
      <c r="P255" s="28" t="str">
        <f>IFERROR(([1]!s_stmnote_bank_65(B255,$A255,1,2,4,100000000)+[1]!s_stmnote_bank_65(B255,$A255,1,2,6,100000000))/[1]!s_stmnote_bank_1n(B255,$A255,1,100000000),"")</f>
        <v/>
      </c>
      <c r="Q255" s="28" t="str">
        <f>IFERROR([1]!s_stmnote_bank_614(B255,$A255,1,2,100000000)/[1]!s_stmnote_bank_647(B255,$A255,1,2,100000000),"")</f>
        <v/>
      </c>
      <c r="R255" s="28" t="str">
        <f>IFERROR(([1]!b_stm07_bs(B255,104,$A255,1,100000000)+[1]!b_stm07_bs(B255,106,$A255,1,100000000)+[1]!b_stm07_bs(B255,76,$A255,1,100000000)+[1]!b_stm07_bs(B255,108,$A255,1,100000000)+[1]!b_stm07_bs(B255,95,$A255,1,100000000))/[1]!b_stm07_bs(B255,128,$A255,1,100000000),"")</f>
        <v/>
      </c>
      <c r="S255" s="28" t="str">
        <f>IFERROR(([1]!s_stmnote_bank_614(B255,$A255,1,2,100000000)+[1]!b_stm07_bs(B255,104,$A255,1,100000000)+[1]!b_stm07_bs(B255,106,$A255,1,100000000)+[1]!b_stm07_bs(B255,76,$A255,1,100000000)+[1]!b_stm07_bs(B255,108,$A255,1,100000000)+[1]!b_stm07_bs(B255,95,$A255,1,100000000))/[1]!b_stm07_bs(B255,128,$A255,1,100000000),"")</f>
        <v/>
      </c>
      <c r="T255" s="11">
        <f>[1]!b_issuer_shareholder(B255,"",1)</f>
        <v>0</v>
      </c>
      <c r="U255" s="10">
        <f>[1]!b_issuer_propofshareholder(B255,"",1)</f>
        <v>0</v>
      </c>
      <c r="V255" s="33" t="str">
        <f t="shared" si="7"/>
        <v>0</v>
      </c>
      <c r="W255" s="33">
        <f>[1]!s_info_city(B255)</f>
        <v>0</v>
      </c>
      <c r="X255" s="10">
        <f>IF([1]!s_stmnote_bank_17n(B255,$A255,1)="0","",[1]!s_stmnote_bank_17n(B255,$A255,1))</f>
        <v>0</v>
      </c>
      <c r="Y255" s="10">
        <f>IF([1]!s_stmnote_bank_18n(B255,$A255,1)="0","",[1]!s_stmnote_bank_18n(B255,$A255,1))</f>
        <v>0</v>
      </c>
      <c r="Z255" s="41">
        <f>IF([1]!s_stmnote_bank_58(B255,$A255,1)="0","",[1]!s_stmnote_bank_58(B255,$A255,1))</f>
        <v>0</v>
      </c>
      <c r="AA255" s="52">
        <f>IF([1]!s_stmnote_bank_60(B255,$A255,1)="0","",[1]!s_stmnote_bank_60(B255,$A255,1))</f>
        <v>0</v>
      </c>
      <c r="AB255" s="52">
        <f>[1]!s_stmnote_bank_5444(B255,$A255,1)</f>
        <v>0</v>
      </c>
      <c r="AC255" s="38">
        <f>[1]!s_stmnote_bank_129n($B255,$A255,1)</f>
        <v>0</v>
      </c>
      <c r="AD255" s="54">
        <f>[1]!s_stmnote_bank_30(B255,$A255,1)</f>
        <v>0</v>
      </c>
    </row>
    <row r="256" spans="1:30" ht="24">
      <c r="A256" s="1" t="s">
        <v>1110</v>
      </c>
      <c r="B256" s="87" t="s">
        <v>1364</v>
      </c>
      <c r="C256" s="8">
        <f>IF([1]!b_info_issuer(B256)="0","",IFERROR([1]!b_info_issuer(B256),""))</f>
        <v>0</v>
      </c>
      <c r="D256" s="11">
        <f>IF([1]!b_info_latestissurercreditrating(B256)="0","",IFERROR([1]!b_info_latestissurercreditrating(B256),""))</f>
        <v>0</v>
      </c>
      <c r="E256" s="27" t="str">
        <f>IFERROR(([1]!b_stm07_bs($B256,47,$A256,1,100000000))/[1]!b_stm07_bs($B256,109,$A256,1,100000000),"")</f>
        <v/>
      </c>
      <c r="F256" s="18" t="str">
        <f>IFERROR(([1]!s_stmnote_bank_26($B256,$A256,1,100000000)-[1]!s_stmnote_bank_26($B256,#REF!,1,100000000)+#REF!)/[1]!s_stmnote_bank_1n($B256,#REF!,1,100000000),"")</f>
        <v/>
      </c>
      <c r="G256" s="21" t="str">
        <f t="shared" si="6"/>
        <v/>
      </c>
      <c r="H256" s="18" t="str">
        <f>IFERROR([1]!s_stmnote_bank($B256,"34",$A256,100000000)/[1]!s_stmnote_bank_1n(B256,$A256,1,100000000),"")</f>
        <v/>
      </c>
      <c r="I256" s="25">
        <f>[1]!b_stm07_bs(B256,74,$A256,1,100000000)</f>
        <v>0</v>
      </c>
      <c r="J256" s="25">
        <f>[1]!b_stm07_bs(B256,109,$A256,1,100000000)</f>
        <v>0</v>
      </c>
      <c r="K256" s="10">
        <f>[1]!s_stmnote_bank_5n(B256,$A256,1)</f>
        <v>0</v>
      </c>
      <c r="L256" s="25">
        <f>[1]!s_stmnote_bank_23n(B256,$A256,1)</f>
        <v>0</v>
      </c>
      <c r="M256" s="25">
        <f>[1]!s_stmnote_bank_capadequacyratio(B256,$A256,1)</f>
        <v>0</v>
      </c>
      <c r="N256" s="25">
        <f>[1]!s_stmnote_bank_capadequacyratio_ct1(B256,$A256,1)</f>
        <v>0</v>
      </c>
      <c r="O256" s="6">
        <f>IF(OR([1]!s_fa_roe(B256,20201231)="0",[1]!s_fa_roe(B256,20211231)="0",[1]!s_fa_roe(B256,20221231)="0"),"",IFERROR(([1]!s_fa_roe(B256,20221231)+[1]!s_fa_roe(B256,20201231)+[1]!s_fa_roe(B256,20211231))/3,""))</f>
        <v>0</v>
      </c>
      <c r="P256" s="28" t="str">
        <f>IFERROR(([1]!s_stmnote_bank_65(B256,$A256,1,2,4,100000000)+[1]!s_stmnote_bank_65(B256,$A256,1,2,6,100000000))/[1]!s_stmnote_bank_1n(B256,$A256,1,100000000),"")</f>
        <v/>
      </c>
      <c r="Q256" s="28" t="str">
        <f>IFERROR([1]!s_stmnote_bank_614(B256,$A256,1,2,100000000)/[1]!s_stmnote_bank_647(B256,$A256,1,2,100000000),"")</f>
        <v/>
      </c>
      <c r="R256" s="28" t="str">
        <f>IFERROR(([1]!b_stm07_bs(B256,104,$A256,1,100000000)+[1]!b_stm07_bs(B256,106,$A256,1,100000000)+[1]!b_stm07_bs(B256,76,$A256,1,100000000)+[1]!b_stm07_bs(B256,108,$A256,1,100000000)+[1]!b_stm07_bs(B256,95,$A256,1,100000000))/[1]!b_stm07_bs(B256,128,$A256,1,100000000),"")</f>
        <v/>
      </c>
      <c r="S256" s="28" t="str">
        <f>IFERROR(([1]!s_stmnote_bank_614(B256,$A256,1,2,100000000)+[1]!b_stm07_bs(B256,104,$A256,1,100000000)+[1]!b_stm07_bs(B256,106,$A256,1,100000000)+[1]!b_stm07_bs(B256,76,$A256,1,100000000)+[1]!b_stm07_bs(B256,108,$A256,1,100000000)+[1]!b_stm07_bs(B256,95,$A256,1,100000000))/[1]!b_stm07_bs(B256,128,$A256,1,100000000),"")</f>
        <v/>
      </c>
      <c r="T256" s="11">
        <f>[1]!b_issuer_shareholder(B256,"",1)</f>
        <v>0</v>
      </c>
      <c r="U256" s="10">
        <f>[1]!b_issuer_propofshareholder(B256,"",1)</f>
        <v>0</v>
      </c>
      <c r="V256" s="33" t="str">
        <f t="shared" si="7"/>
        <v>0</v>
      </c>
      <c r="W256" s="33">
        <f>[1]!s_info_city(B256)</f>
        <v>0</v>
      </c>
      <c r="X256" s="10">
        <f>IF([1]!s_stmnote_bank_17n(B256,$A256,1)="0","",[1]!s_stmnote_bank_17n(B256,$A256,1))</f>
        <v>0</v>
      </c>
      <c r="Y256" s="10">
        <f>IF([1]!s_stmnote_bank_18n(B256,$A256,1)="0","",[1]!s_stmnote_bank_18n(B256,$A256,1))</f>
        <v>0</v>
      </c>
      <c r="Z256" s="41">
        <f>IF([1]!s_stmnote_bank_58(B256,$A256,1)="0","",[1]!s_stmnote_bank_58(B256,$A256,1))</f>
        <v>0</v>
      </c>
      <c r="AA256" s="52">
        <f>IF([1]!s_stmnote_bank_60(B256,$A256,1)="0","",[1]!s_stmnote_bank_60(B256,$A256,1))</f>
        <v>0</v>
      </c>
      <c r="AB256" s="52">
        <f>[1]!s_stmnote_bank_5444(B256,$A256,1)</f>
        <v>0</v>
      </c>
      <c r="AC256" s="38">
        <f>[1]!s_stmnote_bank_129n($B256,$A256,1)</f>
        <v>0</v>
      </c>
      <c r="AD256" s="54">
        <f>[1]!s_stmnote_bank_30(B256,$A256,1)</f>
        <v>0</v>
      </c>
    </row>
    <row r="257" spans="1:30" ht="24">
      <c r="A257" s="1" t="s">
        <v>1110</v>
      </c>
      <c r="B257" s="87" t="s">
        <v>1365</v>
      </c>
      <c r="C257" s="8">
        <f>IF([1]!b_info_issuer(B257)="0","",IFERROR([1]!b_info_issuer(B257),""))</f>
        <v>0</v>
      </c>
      <c r="D257" s="11">
        <f>IF([1]!b_info_latestissurercreditrating(B257)="0","",IFERROR([1]!b_info_latestissurercreditrating(B257),""))</f>
        <v>0</v>
      </c>
      <c r="E257" s="27" t="str">
        <f>IFERROR(([1]!b_stm07_bs($B257,47,$A257,1,100000000))/[1]!b_stm07_bs($B257,109,$A257,1,100000000),"")</f>
        <v/>
      </c>
      <c r="F257" s="18" t="str">
        <f>IFERROR(([1]!s_stmnote_bank_26($B257,$A257,1,100000000)-[1]!s_stmnote_bank_26($B257,#REF!,1,100000000)+#REF!)/[1]!s_stmnote_bank_1n($B257,#REF!,1,100000000),"")</f>
        <v/>
      </c>
      <c r="G257" s="21" t="str">
        <f t="shared" si="6"/>
        <v/>
      </c>
      <c r="H257" s="18" t="str">
        <f>IFERROR([1]!s_stmnote_bank($B257,"34",$A257,100000000)/[1]!s_stmnote_bank_1n(B257,$A257,1,100000000),"")</f>
        <v/>
      </c>
      <c r="I257" s="25">
        <f>[1]!b_stm07_bs(B257,74,$A257,1,100000000)</f>
        <v>0</v>
      </c>
      <c r="J257" s="25">
        <f>[1]!b_stm07_bs(B257,109,$A257,1,100000000)</f>
        <v>0</v>
      </c>
      <c r="K257" s="10">
        <f>[1]!s_stmnote_bank_5n(B257,$A257,1)</f>
        <v>0</v>
      </c>
      <c r="L257" s="25">
        <f>[1]!s_stmnote_bank_23n(B257,$A257,1)</f>
        <v>0</v>
      </c>
      <c r="M257" s="25">
        <f>[1]!s_stmnote_bank_capadequacyratio(B257,$A257,1)</f>
        <v>0</v>
      </c>
      <c r="N257" s="25">
        <f>[1]!s_stmnote_bank_capadequacyratio_ct1(B257,$A257,1)</f>
        <v>0</v>
      </c>
      <c r="O257" s="6">
        <f>IF(OR([1]!s_fa_roe(B257,20201231)="0",[1]!s_fa_roe(B257,20211231)="0",[1]!s_fa_roe(B257,20221231)="0"),"",IFERROR(([1]!s_fa_roe(B257,20221231)+[1]!s_fa_roe(B257,20201231)+[1]!s_fa_roe(B257,20211231))/3,""))</f>
        <v>0</v>
      </c>
      <c r="P257" s="28" t="str">
        <f>IFERROR(([1]!s_stmnote_bank_65(B257,$A257,1,2,4,100000000)+[1]!s_stmnote_bank_65(B257,$A257,1,2,6,100000000))/[1]!s_stmnote_bank_1n(B257,$A257,1,100000000),"")</f>
        <v/>
      </c>
      <c r="Q257" s="28" t="str">
        <f>IFERROR([1]!s_stmnote_bank_614(B257,$A257,1,2,100000000)/[1]!s_stmnote_bank_647(B257,$A257,1,2,100000000),"")</f>
        <v/>
      </c>
      <c r="R257" s="28" t="str">
        <f>IFERROR(([1]!b_stm07_bs(B257,104,$A257,1,100000000)+[1]!b_stm07_bs(B257,106,$A257,1,100000000)+[1]!b_stm07_bs(B257,76,$A257,1,100000000)+[1]!b_stm07_bs(B257,108,$A257,1,100000000)+[1]!b_stm07_bs(B257,95,$A257,1,100000000))/[1]!b_stm07_bs(B257,128,$A257,1,100000000),"")</f>
        <v/>
      </c>
      <c r="S257" s="28" t="str">
        <f>IFERROR(([1]!s_stmnote_bank_614(B257,$A257,1,2,100000000)+[1]!b_stm07_bs(B257,104,$A257,1,100000000)+[1]!b_stm07_bs(B257,106,$A257,1,100000000)+[1]!b_stm07_bs(B257,76,$A257,1,100000000)+[1]!b_stm07_bs(B257,108,$A257,1,100000000)+[1]!b_stm07_bs(B257,95,$A257,1,100000000))/[1]!b_stm07_bs(B257,128,$A257,1,100000000),"")</f>
        <v/>
      </c>
      <c r="T257" s="11">
        <f>[1]!b_issuer_shareholder(B257,"",1)</f>
        <v>0</v>
      </c>
      <c r="U257" s="10">
        <f>[1]!b_issuer_propofshareholder(B257,"",1)</f>
        <v>0</v>
      </c>
      <c r="V257" s="33" t="str">
        <f t="shared" si="7"/>
        <v>0</v>
      </c>
      <c r="W257" s="33">
        <f>[1]!s_info_city(B257)</f>
        <v>0</v>
      </c>
      <c r="X257" s="10">
        <f>IF([1]!s_stmnote_bank_17n(B257,$A257,1)="0","",[1]!s_stmnote_bank_17n(B257,$A257,1))</f>
        <v>0</v>
      </c>
      <c r="Y257" s="10">
        <f>IF([1]!s_stmnote_bank_18n(B257,$A257,1)="0","",[1]!s_stmnote_bank_18n(B257,$A257,1))</f>
        <v>0</v>
      </c>
      <c r="Z257" s="41">
        <f>IF([1]!s_stmnote_bank_58(B257,$A257,1)="0","",[1]!s_stmnote_bank_58(B257,$A257,1))</f>
        <v>0</v>
      </c>
      <c r="AA257" s="52">
        <f>IF([1]!s_stmnote_bank_60(B257,$A257,1)="0","",[1]!s_stmnote_bank_60(B257,$A257,1))</f>
        <v>0</v>
      </c>
      <c r="AB257" s="52">
        <f>[1]!s_stmnote_bank_5444(B257,$A257,1)</f>
        <v>0</v>
      </c>
      <c r="AC257" s="38">
        <f>[1]!s_stmnote_bank_129n($B257,$A257,1)</f>
        <v>0</v>
      </c>
      <c r="AD257" s="54">
        <f>[1]!s_stmnote_bank_30(B257,$A257,1)</f>
        <v>0</v>
      </c>
    </row>
    <row r="258" spans="1:30" ht="24">
      <c r="A258" s="1" t="s">
        <v>1110</v>
      </c>
      <c r="B258" s="87" t="s">
        <v>1366</v>
      </c>
      <c r="C258" s="8">
        <f>IF([1]!b_info_issuer(B258)="0","",IFERROR([1]!b_info_issuer(B258),""))</f>
        <v>0</v>
      </c>
      <c r="D258" s="11">
        <f>IF([1]!b_info_latestissurercreditrating(B258)="0","",IFERROR([1]!b_info_latestissurercreditrating(B258),""))</f>
        <v>0</v>
      </c>
      <c r="E258" s="27" t="str">
        <f>IFERROR(([1]!b_stm07_bs($B258,47,$A258,1,100000000))/[1]!b_stm07_bs($B258,109,$A258,1,100000000),"")</f>
        <v/>
      </c>
      <c r="F258" s="18" t="str">
        <f>IFERROR(([1]!s_stmnote_bank_26($B258,$A258,1,100000000)-[1]!s_stmnote_bank_26($B258,#REF!,1,100000000)+#REF!)/[1]!s_stmnote_bank_1n($B258,#REF!,1,100000000),"")</f>
        <v/>
      </c>
      <c r="G258" s="21" t="str">
        <f t="shared" si="6"/>
        <v/>
      </c>
      <c r="H258" s="18" t="str">
        <f>IFERROR([1]!s_stmnote_bank($B258,"34",$A258,100000000)/[1]!s_stmnote_bank_1n(B258,$A258,1,100000000),"")</f>
        <v/>
      </c>
      <c r="I258" s="25">
        <f>[1]!b_stm07_bs(B258,74,$A258,1,100000000)</f>
        <v>0</v>
      </c>
      <c r="J258" s="25">
        <f>[1]!b_stm07_bs(B258,109,$A258,1,100000000)</f>
        <v>0</v>
      </c>
      <c r="K258" s="10">
        <f>[1]!s_stmnote_bank_5n(B258,$A258,1)</f>
        <v>0</v>
      </c>
      <c r="L258" s="25">
        <f>[1]!s_stmnote_bank_23n(B258,$A258,1)</f>
        <v>0</v>
      </c>
      <c r="M258" s="25">
        <f>[1]!s_stmnote_bank_capadequacyratio(B258,$A258,1)</f>
        <v>0</v>
      </c>
      <c r="N258" s="25">
        <f>[1]!s_stmnote_bank_capadequacyratio_ct1(B258,$A258,1)</f>
        <v>0</v>
      </c>
      <c r="O258" s="6">
        <f>IF(OR([1]!s_fa_roe(B258,20201231)="0",[1]!s_fa_roe(B258,20211231)="0",[1]!s_fa_roe(B258,20221231)="0"),"",IFERROR(([1]!s_fa_roe(B258,20221231)+[1]!s_fa_roe(B258,20201231)+[1]!s_fa_roe(B258,20211231))/3,""))</f>
        <v>0</v>
      </c>
      <c r="P258" s="28" t="str">
        <f>IFERROR(([1]!s_stmnote_bank_65(B258,$A258,1,2,4,100000000)+[1]!s_stmnote_bank_65(B258,$A258,1,2,6,100000000))/[1]!s_stmnote_bank_1n(B258,$A258,1,100000000),"")</f>
        <v/>
      </c>
      <c r="Q258" s="28" t="str">
        <f>IFERROR([1]!s_stmnote_bank_614(B258,$A258,1,2,100000000)/[1]!s_stmnote_bank_647(B258,$A258,1,2,100000000),"")</f>
        <v/>
      </c>
      <c r="R258" s="28" t="str">
        <f>IFERROR(([1]!b_stm07_bs(B258,104,$A258,1,100000000)+[1]!b_stm07_bs(B258,106,$A258,1,100000000)+[1]!b_stm07_bs(B258,76,$A258,1,100000000)+[1]!b_stm07_bs(B258,108,$A258,1,100000000)+[1]!b_stm07_bs(B258,95,$A258,1,100000000))/[1]!b_stm07_bs(B258,128,$A258,1,100000000),"")</f>
        <v/>
      </c>
      <c r="S258" s="28" t="str">
        <f>IFERROR(([1]!s_stmnote_bank_614(B258,$A258,1,2,100000000)+[1]!b_stm07_bs(B258,104,$A258,1,100000000)+[1]!b_stm07_bs(B258,106,$A258,1,100000000)+[1]!b_stm07_bs(B258,76,$A258,1,100000000)+[1]!b_stm07_bs(B258,108,$A258,1,100000000)+[1]!b_stm07_bs(B258,95,$A258,1,100000000))/[1]!b_stm07_bs(B258,128,$A258,1,100000000),"")</f>
        <v/>
      </c>
      <c r="T258" s="11">
        <f>[1]!b_issuer_shareholder(B258,"",1)</f>
        <v>0</v>
      </c>
      <c r="U258" s="10">
        <f>[1]!b_issuer_propofshareholder(B258,"",1)</f>
        <v>0</v>
      </c>
      <c r="V258" s="33" t="str">
        <f t="shared" si="7"/>
        <v>0</v>
      </c>
      <c r="W258" s="33">
        <f>[1]!s_info_city(B258)</f>
        <v>0</v>
      </c>
      <c r="X258" s="10">
        <f>IF([1]!s_stmnote_bank_17n(B258,$A258,1)="0","",[1]!s_stmnote_bank_17n(B258,$A258,1))</f>
        <v>0</v>
      </c>
      <c r="Y258" s="10">
        <f>IF([1]!s_stmnote_bank_18n(B258,$A258,1)="0","",[1]!s_stmnote_bank_18n(B258,$A258,1))</f>
        <v>0</v>
      </c>
      <c r="Z258" s="41">
        <f>IF([1]!s_stmnote_bank_58(B258,$A258,1)="0","",[1]!s_stmnote_bank_58(B258,$A258,1))</f>
        <v>0</v>
      </c>
      <c r="AA258" s="52">
        <f>IF([1]!s_stmnote_bank_60(B258,$A258,1)="0","",[1]!s_stmnote_bank_60(B258,$A258,1))</f>
        <v>0</v>
      </c>
      <c r="AB258" s="52">
        <f>[1]!s_stmnote_bank_5444(B258,$A258,1)</f>
        <v>0</v>
      </c>
      <c r="AC258" s="38">
        <f>[1]!s_stmnote_bank_129n($B258,$A258,1)</f>
        <v>0</v>
      </c>
      <c r="AD258" s="54">
        <f>[1]!s_stmnote_bank_30(B258,$A258,1)</f>
        <v>0</v>
      </c>
    </row>
    <row r="259" spans="1:30" ht="24">
      <c r="A259" s="1" t="s">
        <v>1110</v>
      </c>
      <c r="B259" s="87" t="s">
        <v>1367</v>
      </c>
      <c r="C259" s="8">
        <f>IF([1]!b_info_issuer(B259)="0","",IFERROR([1]!b_info_issuer(B259),""))</f>
        <v>0</v>
      </c>
      <c r="D259" s="11">
        <f>IF([1]!b_info_latestissurercreditrating(B259)="0","",IFERROR([1]!b_info_latestissurercreditrating(B259),""))</f>
        <v>0</v>
      </c>
      <c r="E259" s="27" t="str">
        <f>IFERROR(([1]!b_stm07_bs($B259,47,$A259,1,100000000))/[1]!b_stm07_bs($B259,109,$A259,1,100000000),"")</f>
        <v/>
      </c>
      <c r="F259" s="18" t="str">
        <f>IFERROR(([1]!s_stmnote_bank_26($B259,$A259,1,100000000)-[1]!s_stmnote_bank_26($B259,#REF!,1,100000000)+#REF!)/[1]!s_stmnote_bank_1n($B259,#REF!,1,100000000),"")</f>
        <v/>
      </c>
      <c r="G259" s="21" t="str">
        <f t="shared" ref="G259:G322" si="8">IFERROR(H259+K259/100,"")</f>
        <v/>
      </c>
      <c r="H259" s="18" t="str">
        <f>IFERROR([1]!s_stmnote_bank($B259,"34",$A259,100000000)/[1]!s_stmnote_bank_1n(B259,$A259,1,100000000),"")</f>
        <v/>
      </c>
      <c r="I259" s="25">
        <f>[1]!b_stm07_bs(B259,74,$A259,1,100000000)</f>
        <v>0</v>
      </c>
      <c r="J259" s="25">
        <f>[1]!b_stm07_bs(B259,109,$A259,1,100000000)</f>
        <v>0</v>
      </c>
      <c r="K259" s="10">
        <f>[1]!s_stmnote_bank_5n(B259,$A259,1)</f>
        <v>0</v>
      </c>
      <c r="L259" s="25">
        <f>[1]!s_stmnote_bank_23n(B259,$A259,1)</f>
        <v>0</v>
      </c>
      <c r="M259" s="25">
        <f>[1]!s_stmnote_bank_capadequacyratio(B259,$A259,1)</f>
        <v>0</v>
      </c>
      <c r="N259" s="25">
        <f>[1]!s_stmnote_bank_capadequacyratio_ct1(B259,$A259,1)</f>
        <v>0</v>
      </c>
      <c r="O259" s="6">
        <f>IF(OR([1]!s_fa_roe(B259,20201231)="0",[1]!s_fa_roe(B259,20211231)="0",[1]!s_fa_roe(B259,20221231)="0"),"",IFERROR(([1]!s_fa_roe(B259,20221231)+[1]!s_fa_roe(B259,20201231)+[1]!s_fa_roe(B259,20211231))/3,""))</f>
        <v>0</v>
      </c>
      <c r="P259" s="28" t="str">
        <f>IFERROR(([1]!s_stmnote_bank_65(B259,$A259,1,2,4,100000000)+[1]!s_stmnote_bank_65(B259,$A259,1,2,6,100000000))/[1]!s_stmnote_bank_1n(B259,$A259,1,100000000),"")</f>
        <v/>
      </c>
      <c r="Q259" s="28" t="str">
        <f>IFERROR([1]!s_stmnote_bank_614(B259,$A259,1,2,100000000)/[1]!s_stmnote_bank_647(B259,$A259,1,2,100000000),"")</f>
        <v/>
      </c>
      <c r="R259" s="28" t="str">
        <f>IFERROR(([1]!b_stm07_bs(B259,104,$A259,1,100000000)+[1]!b_stm07_bs(B259,106,$A259,1,100000000)+[1]!b_stm07_bs(B259,76,$A259,1,100000000)+[1]!b_stm07_bs(B259,108,$A259,1,100000000)+[1]!b_stm07_bs(B259,95,$A259,1,100000000))/[1]!b_stm07_bs(B259,128,$A259,1,100000000),"")</f>
        <v/>
      </c>
      <c r="S259" s="28" t="str">
        <f>IFERROR(([1]!s_stmnote_bank_614(B259,$A259,1,2,100000000)+[1]!b_stm07_bs(B259,104,$A259,1,100000000)+[1]!b_stm07_bs(B259,106,$A259,1,100000000)+[1]!b_stm07_bs(B259,76,$A259,1,100000000)+[1]!b_stm07_bs(B259,108,$A259,1,100000000)+[1]!b_stm07_bs(B259,95,$A259,1,100000000))/[1]!b_stm07_bs(B259,128,$A259,1,100000000),"")</f>
        <v/>
      </c>
      <c r="T259" s="11">
        <f>[1]!b_issuer_shareholder(B259,"",1)</f>
        <v>0</v>
      </c>
      <c r="U259" s="10">
        <f>[1]!b_issuer_propofshareholder(B259,"",1)</f>
        <v>0</v>
      </c>
      <c r="V259" s="33" t="str">
        <f t="shared" ref="V259:V322" si="9">LEFT(C259,2)</f>
        <v>0</v>
      </c>
      <c r="W259" s="33">
        <f>[1]!s_info_city(B259)</f>
        <v>0</v>
      </c>
      <c r="X259" s="10">
        <f>IF([1]!s_stmnote_bank_17n(B259,$A259,1)="0","",[1]!s_stmnote_bank_17n(B259,$A259,1))</f>
        <v>0</v>
      </c>
      <c r="Y259" s="10">
        <f>IF([1]!s_stmnote_bank_18n(B259,$A259,1)="0","",[1]!s_stmnote_bank_18n(B259,$A259,1))</f>
        <v>0</v>
      </c>
      <c r="Z259" s="41">
        <f>IF([1]!s_stmnote_bank_58(B259,$A259,1)="0","",[1]!s_stmnote_bank_58(B259,$A259,1))</f>
        <v>0</v>
      </c>
      <c r="AA259" s="52">
        <f>IF([1]!s_stmnote_bank_60(B259,$A259,1)="0","",[1]!s_stmnote_bank_60(B259,$A259,1))</f>
        <v>0</v>
      </c>
      <c r="AB259" s="52">
        <f>[1]!s_stmnote_bank_5444(B259,$A259,1)</f>
        <v>0</v>
      </c>
      <c r="AC259" s="38">
        <f>[1]!s_stmnote_bank_129n($B259,$A259,1)</f>
        <v>0</v>
      </c>
      <c r="AD259" s="54">
        <f>[1]!s_stmnote_bank_30(B259,$A259,1)</f>
        <v>0</v>
      </c>
    </row>
    <row r="260" spans="1:30" ht="24">
      <c r="A260" s="1" t="s">
        <v>1110</v>
      </c>
      <c r="B260" s="87" t="s">
        <v>1368</v>
      </c>
      <c r="C260" s="8">
        <f>IF([1]!b_info_issuer(B260)="0","",IFERROR([1]!b_info_issuer(B260),""))</f>
        <v>0</v>
      </c>
      <c r="D260" s="11">
        <f>IF([1]!b_info_latestissurercreditrating(B260)="0","",IFERROR([1]!b_info_latestissurercreditrating(B260),""))</f>
        <v>0</v>
      </c>
      <c r="E260" s="27" t="str">
        <f>IFERROR(([1]!b_stm07_bs($B260,47,$A260,1,100000000))/[1]!b_stm07_bs($B260,109,$A260,1,100000000),"")</f>
        <v/>
      </c>
      <c r="F260" s="18" t="str">
        <f>IFERROR(([1]!s_stmnote_bank_26($B260,$A260,1,100000000)-[1]!s_stmnote_bank_26($B260,#REF!,1,100000000)+#REF!)/[1]!s_stmnote_bank_1n($B260,#REF!,1,100000000),"")</f>
        <v/>
      </c>
      <c r="G260" s="21" t="str">
        <f t="shared" si="8"/>
        <v/>
      </c>
      <c r="H260" s="18" t="str">
        <f>IFERROR([1]!s_stmnote_bank($B260,"34",$A260,100000000)/[1]!s_stmnote_bank_1n(B260,$A260,1,100000000),"")</f>
        <v/>
      </c>
      <c r="I260" s="25">
        <f>[1]!b_stm07_bs(B260,74,$A260,1,100000000)</f>
        <v>0</v>
      </c>
      <c r="J260" s="25">
        <f>[1]!b_stm07_bs(B260,109,$A260,1,100000000)</f>
        <v>0</v>
      </c>
      <c r="K260" s="10">
        <f>[1]!s_stmnote_bank_5n(B260,$A260,1)</f>
        <v>0</v>
      </c>
      <c r="L260" s="25">
        <f>[1]!s_stmnote_bank_23n(B260,$A260,1)</f>
        <v>0</v>
      </c>
      <c r="M260" s="25">
        <f>[1]!s_stmnote_bank_capadequacyratio(B260,$A260,1)</f>
        <v>0</v>
      </c>
      <c r="N260" s="25">
        <f>[1]!s_stmnote_bank_capadequacyratio_ct1(B260,$A260,1)</f>
        <v>0</v>
      </c>
      <c r="O260" s="6">
        <f>IF(OR([1]!s_fa_roe(B260,20201231)="0",[1]!s_fa_roe(B260,20211231)="0",[1]!s_fa_roe(B260,20221231)="0"),"",IFERROR(([1]!s_fa_roe(B260,20221231)+[1]!s_fa_roe(B260,20201231)+[1]!s_fa_roe(B260,20211231))/3,""))</f>
        <v>0</v>
      </c>
      <c r="P260" s="28" t="str">
        <f>IFERROR(([1]!s_stmnote_bank_65(B260,$A260,1,2,4,100000000)+[1]!s_stmnote_bank_65(B260,$A260,1,2,6,100000000))/[1]!s_stmnote_bank_1n(B260,$A260,1,100000000),"")</f>
        <v/>
      </c>
      <c r="Q260" s="28" t="str">
        <f>IFERROR([1]!s_stmnote_bank_614(B260,$A260,1,2,100000000)/[1]!s_stmnote_bank_647(B260,$A260,1,2,100000000),"")</f>
        <v/>
      </c>
      <c r="R260" s="28" t="str">
        <f>IFERROR(([1]!b_stm07_bs(B260,104,$A260,1,100000000)+[1]!b_stm07_bs(B260,106,$A260,1,100000000)+[1]!b_stm07_bs(B260,76,$A260,1,100000000)+[1]!b_stm07_bs(B260,108,$A260,1,100000000)+[1]!b_stm07_bs(B260,95,$A260,1,100000000))/[1]!b_stm07_bs(B260,128,$A260,1,100000000),"")</f>
        <v/>
      </c>
      <c r="S260" s="28" t="str">
        <f>IFERROR(([1]!s_stmnote_bank_614(B260,$A260,1,2,100000000)+[1]!b_stm07_bs(B260,104,$A260,1,100000000)+[1]!b_stm07_bs(B260,106,$A260,1,100000000)+[1]!b_stm07_bs(B260,76,$A260,1,100000000)+[1]!b_stm07_bs(B260,108,$A260,1,100000000)+[1]!b_stm07_bs(B260,95,$A260,1,100000000))/[1]!b_stm07_bs(B260,128,$A260,1,100000000),"")</f>
        <v/>
      </c>
      <c r="T260" s="11">
        <f>[1]!b_issuer_shareholder(B260,"",1)</f>
        <v>0</v>
      </c>
      <c r="U260" s="10">
        <f>[1]!b_issuer_propofshareholder(B260,"",1)</f>
        <v>0</v>
      </c>
      <c r="V260" s="33" t="str">
        <f t="shared" si="9"/>
        <v>0</v>
      </c>
      <c r="W260" s="33">
        <f>[1]!s_info_city(B260)</f>
        <v>0</v>
      </c>
      <c r="X260" s="10">
        <f>IF([1]!s_stmnote_bank_17n(B260,$A260,1)="0","",[1]!s_stmnote_bank_17n(B260,$A260,1))</f>
        <v>0</v>
      </c>
      <c r="Y260" s="10">
        <f>IF([1]!s_stmnote_bank_18n(B260,$A260,1)="0","",[1]!s_stmnote_bank_18n(B260,$A260,1))</f>
        <v>0</v>
      </c>
      <c r="Z260" s="41">
        <f>IF([1]!s_stmnote_bank_58(B260,$A260,1)="0","",[1]!s_stmnote_bank_58(B260,$A260,1))</f>
        <v>0</v>
      </c>
      <c r="AA260" s="52">
        <f>IF([1]!s_stmnote_bank_60(B260,$A260,1)="0","",[1]!s_stmnote_bank_60(B260,$A260,1))</f>
        <v>0</v>
      </c>
      <c r="AB260" s="52">
        <f>[1]!s_stmnote_bank_5444(B260,$A260,1)</f>
        <v>0</v>
      </c>
      <c r="AC260" s="38">
        <f>[1]!s_stmnote_bank_129n($B260,$A260,1)</f>
        <v>0</v>
      </c>
      <c r="AD260" s="54">
        <f>[1]!s_stmnote_bank_30(B260,$A260,1)</f>
        <v>0</v>
      </c>
    </row>
    <row r="261" spans="1:30" ht="24">
      <c r="A261" s="1" t="s">
        <v>1110</v>
      </c>
      <c r="B261" s="87" t="s">
        <v>1369</v>
      </c>
      <c r="C261" s="8">
        <f>IF([1]!b_info_issuer(B261)="0","",IFERROR([1]!b_info_issuer(B261),""))</f>
        <v>0</v>
      </c>
      <c r="D261" s="11">
        <f>IF([1]!b_info_latestissurercreditrating(B261)="0","",IFERROR([1]!b_info_latestissurercreditrating(B261),""))</f>
        <v>0</v>
      </c>
      <c r="E261" s="27" t="str">
        <f>IFERROR(([1]!b_stm07_bs($B261,47,$A261,1,100000000))/[1]!b_stm07_bs($B261,109,$A261,1,100000000),"")</f>
        <v/>
      </c>
      <c r="F261" s="18" t="str">
        <f>IFERROR(([1]!s_stmnote_bank_26($B261,$A261,1,100000000)-[1]!s_stmnote_bank_26($B261,#REF!,1,100000000)+#REF!)/[1]!s_stmnote_bank_1n($B261,#REF!,1,100000000),"")</f>
        <v/>
      </c>
      <c r="G261" s="21" t="str">
        <f t="shared" si="8"/>
        <v/>
      </c>
      <c r="H261" s="18" t="str">
        <f>IFERROR([1]!s_stmnote_bank($B261,"34",$A261,100000000)/[1]!s_stmnote_bank_1n(B261,$A261,1,100000000),"")</f>
        <v/>
      </c>
      <c r="I261" s="25">
        <f>[1]!b_stm07_bs(B261,74,$A261,1,100000000)</f>
        <v>0</v>
      </c>
      <c r="J261" s="25">
        <f>[1]!b_stm07_bs(B261,109,$A261,1,100000000)</f>
        <v>0</v>
      </c>
      <c r="K261" s="10">
        <f>[1]!s_stmnote_bank_5n(B261,$A261,1)</f>
        <v>0</v>
      </c>
      <c r="L261" s="25">
        <f>[1]!s_stmnote_bank_23n(B261,$A261,1)</f>
        <v>0</v>
      </c>
      <c r="M261" s="25">
        <f>[1]!s_stmnote_bank_capadequacyratio(B261,$A261,1)</f>
        <v>0</v>
      </c>
      <c r="N261" s="25">
        <f>[1]!s_stmnote_bank_capadequacyratio_ct1(B261,$A261,1)</f>
        <v>0</v>
      </c>
      <c r="O261" s="6">
        <f>IF(OR([1]!s_fa_roe(B261,20201231)="0",[1]!s_fa_roe(B261,20211231)="0",[1]!s_fa_roe(B261,20221231)="0"),"",IFERROR(([1]!s_fa_roe(B261,20221231)+[1]!s_fa_roe(B261,20201231)+[1]!s_fa_roe(B261,20211231))/3,""))</f>
        <v>0</v>
      </c>
      <c r="P261" s="28" t="str">
        <f>IFERROR(([1]!s_stmnote_bank_65(B261,$A261,1,2,4,100000000)+[1]!s_stmnote_bank_65(B261,$A261,1,2,6,100000000))/[1]!s_stmnote_bank_1n(B261,$A261,1,100000000),"")</f>
        <v/>
      </c>
      <c r="Q261" s="28" t="str">
        <f>IFERROR([1]!s_stmnote_bank_614(B261,$A261,1,2,100000000)/[1]!s_stmnote_bank_647(B261,$A261,1,2,100000000),"")</f>
        <v/>
      </c>
      <c r="R261" s="28" t="str">
        <f>IFERROR(([1]!b_stm07_bs(B261,104,$A261,1,100000000)+[1]!b_stm07_bs(B261,106,$A261,1,100000000)+[1]!b_stm07_bs(B261,76,$A261,1,100000000)+[1]!b_stm07_bs(B261,108,$A261,1,100000000)+[1]!b_stm07_bs(B261,95,$A261,1,100000000))/[1]!b_stm07_bs(B261,128,$A261,1,100000000),"")</f>
        <v/>
      </c>
      <c r="S261" s="28" t="str">
        <f>IFERROR(([1]!s_stmnote_bank_614(B261,$A261,1,2,100000000)+[1]!b_stm07_bs(B261,104,$A261,1,100000000)+[1]!b_stm07_bs(B261,106,$A261,1,100000000)+[1]!b_stm07_bs(B261,76,$A261,1,100000000)+[1]!b_stm07_bs(B261,108,$A261,1,100000000)+[1]!b_stm07_bs(B261,95,$A261,1,100000000))/[1]!b_stm07_bs(B261,128,$A261,1,100000000),"")</f>
        <v/>
      </c>
      <c r="T261" s="11">
        <f>[1]!b_issuer_shareholder(B261,"",1)</f>
        <v>0</v>
      </c>
      <c r="U261" s="10">
        <f>[1]!b_issuer_propofshareholder(B261,"",1)</f>
        <v>0</v>
      </c>
      <c r="V261" s="33" t="str">
        <f t="shared" si="9"/>
        <v>0</v>
      </c>
      <c r="W261" s="33">
        <f>[1]!s_info_city(B261)</f>
        <v>0</v>
      </c>
      <c r="X261" s="10">
        <f>IF([1]!s_stmnote_bank_17n(B261,$A261,1)="0","",[1]!s_stmnote_bank_17n(B261,$A261,1))</f>
        <v>0</v>
      </c>
      <c r="Y261" s="10">
        <f>IF([1]!s_stmnote_bank_18n(B261,$A261,1)="0","",[1]!s_stmnote_bank_18n(B261,$A261,1))</f>
        <v>0</v>
      </c>
      <c r="Z261" s="41">
        <f>IF([1]!s_stmnote_bank_58(B261,$A261,1)="0","",[1]!s_stmnote_bank_58(B261,$A261,1))</f>
        <v>0</v>
      </c>
      <c r="AA261" s="52">
        <f>IF([1]!s_stmnote_bank_60(B261,$A261,1)="0","",[1]!s_stmnote_bank_60(B261,$A261,1))</f>
        <v>0</v>
      </c>
      <c r="AB261" s="52">
        <f>[1]!s_stmnote_bank_5444(B261,$A261,1)</f>
        <v>0</v>
      </c>
      <c r="AC261" s="38">
        <f>[1]!s_stmnote_bank_129n($B261,$A261,1)</f>
        <v>0</v>
      </c>
      <c r="AD261" s="54">
        <f>[1]!s_stmnote_bank_30(B261,$A261,1)</f>
        <v>0</v>
      </c>
    </row>
    <row r="262" spans="1:30" ht="24">
      <c r="A262" s="1" t="s">
        <v>1110</v>
      </c>
      <c r="B262" s="87" t="s">
        <v>1370</v>
      </c>
      <c r="C262" s="8">
        <f>IF([1]!b_info_issuer(B262)="0","",IFERROR([1]!b_info_issuer(B262),""))</f>
        <v>0</v>
      </c>
      <c r="D262" s="11">
        <f>IF([1]!b_info_latestissurercreditrating(B262)="0","",IFERROR([1]!b_info_latestissurercreditrating(B262),""))</f>
        <v>0</v>
      </c>
      <c r="E262" s="27" t="str">
        <f>IFERROR(([1]!b_stm07_bs($B262,47,$A262,1,100000000))/[1]!b_stm07_bs($B262,109,$A262,1,100000000),"")</f>
        <v/>
      </c>
      <c r="F262" s="18" t="str">
        <f>IFERROR(([1]!s_stmnote_bank_26($B262,$A262,1,100000000)-[1]!s_stmnote_bank_26($B262,#REF!,1,100000000)+#REF!)/[1]!s_stmnote_bank_1n($B262,#REF!,1,100000000),"")</f>
        <v/>
      </c>
      <c r="G262" s="21" t="str">
        <f t="shared" si="8"/>
        <v/>
      </c>
      <c r="H262" s="18" t="str">
        <f>IFERROR([1]!s_stmnote_bank($B262,"34",$A262,100000000)/[1]!s_stmnote_bank_1n(B262,$A262,1,100000000),"")</f>
        <v/>
      </c>
      <c r="I262" s="25">
        <f>[1]!b_stm07_bs(B262,74,$A262,1,100000000)</f>
        <v>0</v>
      </c>
      <c r="J262" s="25">
        <f>[1]!b_stm07_bs(B262,109,$A262,1,100000000)</f>
        <v>0</v>
      </c>
      <c r="K262" s="10">
        <f>[1]!s_stmnote_bank_5n(B262,$A262,1)</f>
        <v>0</v>
      </c>
      <c r="L262" s="25">
        <f>[1]!s_stmnote_bank_23n(B262,$A262,1)</f>
        <v>0</v>
      </c>
      <c r="M262" s="25">
        <f>[1]!s_stmnote_bank_capadequacyratio(B262,$A262,1)</f>
        <v>0</v>
      </c>
      <c r="N262" s="25">
        <f>[1]!s_stmnote_bank_capadequacyratio_ct1(B262,$A262,1)</f>
        <v>0</v>
      </c>
      <c r="O262" s="6">
        <f>IF(OR([1]!s_fa_roe(B262,20201231)="0",[1]!s_fa_roe(B262,20211231)="0",[1]!s_fa_roe(B262,20221231)="0"),"",IFERROR(([1]!s_fa_roe(B262,20221231)+[1]!s_fa_roe(B262,20201231)+[1]!s_fa_roe(B262,20211231))/3,""))</f>
        <v>0</v>
      </c>
      <c r="P262" s="28" t="str">
        <f>IFERROR(([1]!s_stmnote_bank_65(B262,$A262,1,2,4,100000000)+[1]!s_stmnote_bank_65(B262,$A262,1,2,6,100000000))/[1]!s_stmnote_bank_1n(B262,$A262,1,100000000),"")</f>
        <v/>
      </c>
      <c r="Q262" s="28" t="str">
        <f>IFERROR([1]!s_stmnote_bank_614(B262,$A262,1,2,100000000)/[1]!s_stmnote_bank_647(B262,$A262,1,2,100000000),"")</f>
        <v/>
      </c>
      <c r="R262" s="28" t="str">
        <f>IFERROR(([1]!b_stm07_bs(B262,104,$A262,1,100000000)+[1]!b_stm07_bs(B262,106,$A262,1,100000000)+[1]!b_stm07_bs(B262,76,$A262,1,100000000)+[1]!b_stm07_bs(B262,108,$A262,1,100000000)+[1]!b_stm07_bs(B262,95,$A262,1,100000000))/[1]!b_stm07_bs(B262,128,$A262,1,100000000),"")</f>
        <v/>
      </c>
      <c r="S262" s="28" t="str">
        <f>IFERROR(([1]!s_stmnote_bank_614(B262,$A262,1,2,100000000)+[1]!b_stm07_bs(B262,104,$A262,1,100000000)+[1]!b_stm07_bs(B262,106,$A262,1,100000000)+[1]!b_stm07_bs(B262,76,$A262,1,100000000)+[1]!b_stm07_bs(B262,108,$A262,1,100000000)+[1]!b_stm07_bs(B262,95,$A262,1,100000000))/[1]!b_stm07_bs(B262,128,$A262,1,100000000),"")</f>
        <v/>
      </c>
      <c r="T262" s="11">
        <f>[1]!b_issuer_shareholder(B262,"",1)</f>
        <v>0</v>
      </c>
      <c r="U262" s="10">
        <f>[1]!b_issuer_propofshareholder(B262,"",1)</f>
        <v>0</v>
      </c>
      <c r="V262" s="33" t="str">
        <f t="shared" si="9"/>
        <v>0</v>
      </c>
      <c r="W262" s="33">
        <f>[1]!s_info_city(B262)</f>
        <v>0</v>
      </c>
      <c r="X262" s="10">
        <f>IF([1]!s_stmnote_bank_17n(B262,$A262,1)="0","",[1]!s_stmnote_bank_17n(B262,$A262,1))</f>
        <v>0</v>
      </c>
      <c r="Y262" s="10">
        <f>IF([1]!s_stmnote_bank_18n(B262,$A262,1)="0","",[1]!s_stmnote_bank_18n(B262,$A262,1))</f>
        <v>0</v>
      </c>
      <c r="Z262" s="41">
        <f>IF([1]!s_stmnote_bank_58(B262,$A262,1)="0","",[1]!s_stmnote_bank_58(B262,$A262,1))</f>
        <v>0</v>
      </c>
      <c r="AA262" s="52">
        <f>IF([1]!s_stmnote_bank_60(B262,$A262,1)="0","",[1]!s_stmnote_bank_60(B262,$A262,1))</f>
        <v>0</v>
      </c>
      <c r="AB262" s="52">
        <f>[1]!s_stmnote_bank_5444(B262,$A262,1)</f>
        <v>0</v>
      </c>
      <c r="AC262" s="38">
        <f>[1]!s_stmnote_bank_129n($B262,$A262,1)</f>
        <v>0</v>
      </c>
      <c r="AD262" s="54">
        <f>[1]!s_stmnote_bank_30(B262,$A262,1)</f>
        <v>0</v>
      </c>
    </row>
    <row r="263" spans="1:30" ht="24">
      <c r="A263" s="1" t="s">
        <v>1110</v>
      </c>
      <c r="B263" s="87" t="s">
        <v>1371</v>
      </c>
      <c r="C263" s="8">
        <f>IF([1]!b_info_issuer(B263)="0","",IFERROR([1]!b_info_issuer(B263),""))</f>
        <v>0</v>
      </c>
      <c r="D263" s="11">
        <f>IF([1]!b_info_latestissurercreditrating(B263)="0","",IFERROR([1]!b_info_latestissurercreditrating(B263),""))</f>
        <v>0</v>
      </c>
      <c r="E263" s="27" t="str">
        <f>IFERROR(([1]!b_stm07_bs($B263,47,$A263,1,100000000))/[1]!b_stm07_bs($B263,109,$A263,1,100000000),"")</f>
        <v/>
      </c>
      <c r="F263" s="18" t="str">
        <f>IFERROR(([1]!s_stmnote_bank_26($B263,$A263,1,100000000)-[1]!s_stmnote_bank_26($B263,#REF!,1,100000000)+#REF!)/[1]!s_stmnote_bank_1n($B263,#REF!,1,100000000),"")</f>
        <v/>
      </c>
      <c r="G263" s="21" t="str">
        <f t="shared" si="8"/>
        <v/>
      </c>
      <c r="H263" s="18" t="str">
        <f>IFERROR([1]!s_stmnote_bank($B263,"34",$A263,100000000)/[1]!s_stmnote_bank_1n(B263,$A263,1,100000000),"")</f>
        <v/>
      </c>
      <c r="I263" s="25">
        <f>[1]!b_stm07_bs(B263,74,$A263,1,100000000)</f>
        <v>0</v>
      </c>
      <c r="J263" s="25">
        <f>[1]!b_stm07_bs(B263,109,$A263,1,100000000)</f>
        <v>0</v>
      </c>
      <c r="K263" s="10">
        <f>[1]!s_stmnote_bank_5n(B263,$A263,1)</f>
        <v>0</v>
      </c>
      <c r="L263" s="25">
        <f>[1]!s_stmnote_bank_23n(B263,$A263,1)</f>
        <v>0</v>
      </c>
      <c r="M263" s="25">
        <f>[1]!s_stmnote_bank_capadequacyratio(B263,$A263,1)</f>
        <v>0</v>
      </c>
      <c r="N263" s="25">
        <f>[1]!s_stmnote_bank_capadequacyratio_ct1(B263,$A263,1)</f>
        <v>0</v>
      </c>
      <c r="O263" s="6">
        <f>IF(OR([1]!s_fa_roe(B263,20201231)="0",[1]!s_fa_roe(B263,20211231)="0",[1]!s_fa_roe(B263,20221231)="0"),"",IFERROR(([1]!s_fa_roe(B263,20221231)+[1]!s_fa_roe(B263,20201231)+[1]!s_fa_roe(B263,20211231))/3,""))</f>
        <v>0</v>
      </c>
      <c r="P263" s="28" t="str">
        <f>IFERROR(([1]!s_stmnote_bank_65(B263,$A263,1,2,4,100000000)+[1]!s_stmnote_bank_65(B263,$A263,1,2,6,100000000))/[1]!s_stmnote_bank_1n(B263,$A263,1,100000000),"")</f>
        <v/>
      </c>
      <c r="Q263" s="28" t="str">
        <f>IFERROR([1]!s_stmnote_bank_614(B263,$A263,1,2,100000000)/[1]!s_stmnote_bank_647(B263,$A263,1,2,100000000),"")</f>
        <v/>
      </c>
      <c r="R263" s="28" t="str">
        <f>IFERROR(([1]!b_stm07_bs(B263,104,$A263,1,100000000)+[1]!b_stm07_bs(B263,106,$A263,1,100000000)+[1]!b_stm07_bs(B263,76,$A263,1,100000000)+[1]!b_stm07_bs(B263,108,$A263,1,100000000)+[1]!b_stm07_bs(B263,95,$A263,1,100000000))/[1]!b_stm07_bs(B263,128,$A263,1,100000000),"")</f>
        <v/>
      </c>
      <c r="S263" s="28" t="str">
        <f>IFERROR(([1]!s_stmnote_bank_614(B263,$A263,1,2,100000000)+[1]!b_stm07_bs(B263,104,$A263,1,100000000)+[1]!b_stm07_bs(B263,106,$A263,1,100000000)+[1]!b_stm07_bs(B263,76,$A263,1,100000000)+[1]!b_stm07_bs(B263,108,$A263,1,100000000)+[1]!b_stm07_bs(B263,95,$A263,1,100000000))/[1]!b_stm07_bs(B263,128,$A263,1,100000000),"")</f>
        <v/>
      </c>
      <c r="T263" s="11">
        <f>[1]!b_issuer_shareholder(B263,"",1)</f>
        <v>0</v>
      </c>
      <c r="U263" s="10">
        <f>[1]!b_issuer_propofshareholder(B263,"",1)</f>
        <v>0</v>
      </c>
      <c r="V263" s="33" t="str">
        <f t="shared" si="9"/>
        <v>0</v>
      </c>
      <c r="W263" s="33">
        <f>[1]!s_info_city(B263)</f>
        <v>0</v>
      </c>
      <c r="X263" s="10">
        <f>IF([1]!s_stmnote_bank_17n(B263,$A263,1)="0","",[1]!s_stmnote_bank_17n(B263,$A263,1))</f>
        <v>0</v>
      </c>
      <c r="Y263" s="10">
        <f>IF([1]!s_stmnote_bank_18n(B263,$A263,1)="0","",[1]!s_stmnote_bank_18n(B263,$A263,1))</f>
        <v>0</v>
      </c>
      <c r="Z263" s="41">
        <f>IF([1]!s_stmnote_bank_58(B263,$A263,1)="0","",[1]!s_stmnote_bank_58(B263,$A263,1))</f>
        <v>0</v>
      </c>
      <c r="AA263" s="52">
        <f>IF([1]!s_stmnote_bank_60(B263,$A263,1)="0","",[1]!s_stmnote_bank_60(B263,$A263,1))</f>
        <v>0</v>
      </c>
      <c r="AB263" s="52">
        <f>[1]!s_stmnote_bank_5444(B263,$A263,1)</f>
        <v>0</v>
      </c>
      <c r="AC263" s="38">
        <f>[1]!s_stmnote_bank_129n($B263,$A263,1)</f>
        <v>0</v>
      </c>
      <c r="AD263" s="54">
        <f>[1]!s_stmnote_bank_30(B263,$A263,1)</f>
        <v>0</v>
      </c>
    </row>
    <row r="264" spans="1:30" ht="24">
      <c r="A264" s="1" t="s">
        <v>1110</v>
      </c>
      <c r="B264" s="87" t="s">
        <v>1372</v>
      </c>
      <c r="C264" s="8">
        <f>IF([1]!b_info_issuer(B264)="0","",IFERROR([1]!b_info_issuer(B264),""))</f>
        <v>0</v>
      </c>
      <c r="D264" s="11">
        <f>IF([1]!b_info_latestissurercreditrating(B264)="0","",IFERROR([1]!b_info_latestissurercreditrating(B264),""))</f>
        <v>0</v>
      </c>
      <c r="E264" s="27" t="str">
        <f>IFERROR(([1]!b_stm07_bs($B264,47,$A264,1,100000000))/[1]!b_stm07_bs($B264,109,$A264,1,100000000),"")</f>
        <v/>
      </c>
      <c r="F264" s="18" t="str">
        <f>IFERROR(([1]!s_stmnote_bank_26($B264,$A264,1,100000000)-[1]!s_stmnote_bank_26($B264,#REF!,1,100000000)+#REF!)/[1]!s_stmnote_bank_1n($B264,#REF!,1,100000000),"")</f>
        <v/>
      </c>
      <c r="G264" s="21" t="str">
        <f t="shared" si="8"/>
        <v/>
      </c>
      <c r="H264" s="18" t="str">
        <f>IFERROR([1]!s_stmnote_bank($B264,"34",$A264,100000000)/[1]!s_stmnote_bank_1n(B264,$A264,1,100000000),"")</f>
        <v/>
      </c>
      <c r="I264" s="25">
        <f>[1]!b_stm07_bs(B264,74,$A264,1,100000000)</f>
        <v>0</v>
      </c>
      <c r="J264" s="25">
        <f>[1]!b_stm07_bs(B264,109,$A264,1,100000000)</f>
        <v>0</v>
      </c>
      <c r="K264" s="10">
        <f>[1]!s_stmnote_bank_5n(B264,$A264,1)</f>
        <v>0</v>
      </c>
      <c r="L264" s="25">
        <f>[1]!s_stmnote_bank_23n(B264,$A264,1)</f>
        <v>0</v>
      </c>
      <c r="M264" s="25">
        <f>[1]!s_stmnote_bank_capadequacyratio(B264,$A264,1)</f>
        <v>0</v>
      </c>
      <c r="N264" s="25">
        <f>[1]!s_stmnote_bank_capadequacyratio_ct1(B264,$A264,1)</f>
        <v>0</v>
      </c>
      <c r="O264" s="6">
        <f>IF(OR([1]!s_fa_roe(B264,20201231)="0",[1]!s_fa_roe(B264,20211231)="0",[1]!s_fa_roe(B264,20221231)="0"),"",IFERROR(([1]!s_fa_roe(B264,20221231)+[1]!s_fa_roe(B264,20201231)+[1]!s_fa_roe(B264,20211231))/3,""))</f>
        <v>0</v>
      </c>
      <c r="P264" s="28" t="str">
        <f>IFERROR(([1]!s_stmnote_bank_65(B264,$A264,1,2,4,100000000)+[1]!s_stmnote_bank_65(B264,$A264,1,2,6,100000000))/[1]!s_stmnote_bank_1n(B264,$A264,1,100000000),"")</f>
        <v/>
      </c>
      <c r="Q264" s="28" t="str">
        <f>IFERROR([1]!s_stmnote_bank_614(B264,$A264,1,2,100000000)/[1]!s_stmnote_bank_647(B264,$A264,1,2,100000000),"")</f>
        <v/>
      </c>
      <c r="R264" s="28" t="str">
        <f>IFERROR(([1]!b_stm07_bs(B264,104,$A264,1,100000000)+[1]!b_stm07_bs(B264,106,$A264,1,100000000)+[1]!b_stm07_bs(B264,76,$A264,1,100000000)+[1]!b_stm07_bs(B264,108,$A264,1,100000000)+[1]!b_stm07_bs(B264,95,$A264,1,100000000))/[1]!b_stm07_bs(B264,128,$A264,1,100000000),"")</f>
        <v/>
      </c>
      <c r="S264" s="28" t="str">
        <f>IFERROR(([1]!s_stmnote_bank_614(B264,$A264,1,2,100000000)+[1]!b_stm07_bs(B264,104,$A264,1,100000000)+[1]!b_stm07_bs(B264,106,$A264,1,100000000)+[1]!b_stm07_bs(B264,76,$A264,1,100000000)+[1]!b_stm07_bs(B264,108,$A264,1,100000000)+[1]!b_stm07_bs(B264,95,$A264,1,100000000))/[1]!b_stm07_bs(B264,128,$A264,1,100000000),"")</f>
        <v/>
      </c>
      <c r="T264" s="11">
        <f>[1]!b_issuer_shareholder(B264,"",1)</f>
        <v>0</v>
      </c>
      <c r="U264" s="10">
        <f>[1]!b_issuer_propofshareholder(B264,"",1)</f>
        <v>0</v>
      </c>
      <c r="V264" s="33" t="str">
        <f t="shared" si="9"/>
        <v>0</v>
      </c>
      <c r="W264" s="33">
        <f>[1]!s_info_city(B264)</f>
        <v>0</v>
      </c>
      <c r="X264" s="10">
        <f>IF([1]!s_stmnote_bank_17n(B264,$A264,1)="0","",[1]!s_stmnote_bank_17n(B264,$A264,1))</f>
        <v>0</v>
      </c>
      <c r="Y264" s="10">
        <f>IF([1]!s_stmnote_bank_18n(B264,$A264,1)="0","",[1]!s_stmnote_bank_18n(B264,$A264,1))</f>
        <v>0</v>
      </c>
      <c r="Z264" s="41">
        <f>IF([1]!s_stmnote_bank_58(B264,$A264,1)="0","",[1]!s_stmnote_bank_58(B264,$A264,1))</f>
        <v>0</v>
      </c>
      <c r="AA264" s="52">
        <f>IF([1]!s_stmnote_bank_60(B264,$A264,1)="0","",[1]!s_stmnote_bank_60(B264,$A264,1))</f>
        <v>0</v>
      </c>
      <c r="AB264" s="52">
        <f>[1]!s_stmnote_bank_5444(B264,$A264,1)</f>
        <v>0</v>
      </c>
      <c r="AC264" s="38">
        <f>[1]!s_stmnote_bank_129n($B264,$A264,1)</f>
        <v>0</v>
      </c>
      <c r="AD264" s="54">
        <f>[1]!s_stmnote_bank_30(B264,$A264,1)</f>
        <v>0</v>
      </c>
    </row>
    <row r="265" spans="1:30" ht="24">
      <c r="A265" s="1" t="s">
        <v>1110</v>
      </c>
      <c r="B265" s="87" t="s">
        <v>1373</v>
      </c>
      <c r="C265" s="8">
        <f>IF([1]!b_info_issuer(B265)="0","",IFERROR([1]!b_info_issuer(B265),""))</f>
        <v>0</v>
      </c>
      <c r="D265" s="11">
        <f>IF([1]!b_info_latestissurercreditrating(B265)="0","",IFERROR([1]!b_info_latestissurercreditrating(B265),""))</f>
        <v>0</v>
      </c>
      <c r="E265" s="27" t="str">
        <f>IFERROR(([1]!b_stm07_bs($B265,47,$A265,1,100000000))/[1]!b_stm07_bs($B265,109,$A265,1,100000000),"")</f>
        <v/>
      </c>
      <c r="F265" s="18" t="str">
        <f>IFERROR(([1]!s_stmnote_bank_26($B265,$A265,1,100000000)-[1]!s_stmnote_bank_26($B265,#REF!,1,100000000)+#REF!)/[1]!s_stmnote_bank_1n($B265,#REF!,1,100000000),"")</f>
        <v/>
      </c>
      <c r="G265" s="21" t="str">
        <f t="shared" si="8"/>
        <v/>
      </c>
      <c r="H265" s="18" t="str">
        <f>IFERROR([1]!s_stmnote_bank($B265,"34",$A265,100000000)/[1]!s_stmnote_bank_1n(B265,$A265,1,100000000),"")</f>
        <v/>
      </c>
      <c r="I265" s="25">
        <f>[1]!b_stm07_bs(B265,74,$A265,1,100000000)</f>
        <v>0</v>
      </c>
      <c r="J265" s="25">
        <f>[1]!b_stm07_bs(B265,109,$A265,1,100000000)</f>
        <v>0</v>
      </c>
      <c r="K265" s="10">
        <f>[1]!s_stmnote_bank_5n(B265,$A265,1)</f>
        <v>0</v>
      </c>
      <c r="L265" s="25">
        <f>[1]!s_stmnote_bank_23n(B265,$A265,1)</f>
        <v>0</v>
      </c>
      <c r="M265" s="25">
        <f>[1]!s_stmnote_bank_capadequacyratio(B265,$A265,1)</f>
        <v>0</v>
      </c>
      <c r="N265" s="25">
        <f>[1]!s_stmnote_bank_capadequacyratio_ct1(B265,$A265,1)</f>
        <v>0</v>
      </c>
      <c r="O265" s="6">
        <f>IF(OR([1]!s_fa_roe(B265,20201231)="0",[1]!s_fa_roe(B265,20211231)="0",[1]!s_fa_roe(B265,20221231)="0"),"",IFERROR(([1]!s_fa_roe(B265,20221231)+[1]!s_fa_roe(B265,20201231)+[1]!s_fa_roe(B265,20211231))/3,""))</f>
        <v>0</v>
      </c>
      <c r="P265" s="28" t="str">
        <f>IFERROR(([1]!s_stmnote_bank_65(B265,$A265,1,2,4,100000000)+[1]!s_stmnote_bank_65(B265,$A265,1,2,6,100000000))/[1]!s_stmnote_bank_1n(B265,$A265,1,100000000),"")</f>
        <v/>
      </c>
      <c r="Q265" s="28" t="str">
        <f>IFERROR([1]!s_stmnote_bank_614(B265,$A265,1,2,100000000)/[1]!s_stmnote_bank_647(B265,$A265,1,2,100000000),"")</f>
        <v/>
      </c>
      <c r="R265" s="28" t="str">
        <f>IFERROR(([1]!b_stm07_bs(B265,104,$A265,1,100000000)+[1]!b_stm07_bs(B265,106,$A265,1,100000000)+[1]!b_stm07_bs(B265,76,$A265,1,100000000)+[1]!b_stm07_bs(B265,108,$A265,1,100000000)+[1]!b_stm07_bs(B265,95,$A265,1,100000000))/[1]!b_stm07_bs(B265,128,$A265,1,100000000),"")</f>
        <v/>
      </c>
      <c r="S265" s="28" t="str">
        <f>IFERROR(([1]!s_stmnote_bank_614(B265,$A265,1,2,100000000)+[1]!b_stm07_bs(B265,104,$A265,1,100000000)+[1]!b_stm07_bs(B265,106,$A265,1,100000000)+[1]!b_stm07_bs(B265,76,$A265,1,100000000)+[1]!b_stm07_bs(B265,108,$A265,1,100000000)+[1]!b_stm07_bs(B265,95,$A265,1,100000000))/[1]!b_stm07_bs(B265,128,$A265,1,100000000),"")</f>
        <v/>
      </c>
      <c r="T265" s="11">
        <f>[1]!b_issuer_shareholder(B265,"",1)</f>
        <v>0</v>
      </c>
      <c r="U265" s="10">
        <f>[1]!b_issuer_propofshareholder(B265,"",1)</f>
        <v>0</v>
      </c>
      <c r="V265" s="33" t="str">
        <f t="shared" si="9"/>
        <v>0</v>
      </c>
      <c r="W265" s="33">
        <f>[1]!s_info_city(B265)</f>
        <v>0</v>
      </c>
      <c r="X265" s="10">
        <f>IF([1]!s_stmnote_bank_17n(B265,$A265,1)="0","",[1]!s_stmnote_bank_17n(B265,$A265,1))</f>
        <v>0</v>
      </c>
      <c r="Y265" s="10">
        <f>IF([1]!s_stmnote_bank_18n(B265,$A265,1)="0","",[1]!s_stmnote_bank_18n(B265,$A265,1))</f>
        <v>0</v>
      </c>
      <c r="Z265" s="41">
        <f>IF([1]!s_stmnote_bank_58(B265,$A265,1)="0","",[1]!s_stmnote_bank_58(B265,$A265,1))</f>
        <v>0</v>
      </c>
      <c r="AA265" s="52">
        <f>IF([1]!s_stmnote_bank_60(B265,$A265,1)="0","",[1]!s_stmnote_bank_60(B265,$A265,1))</f>
        <v>0</v>
      </c>
      <c r="AB265" s="52">
        <f>[1]!s_stmnote_bank_5444(B265,$A265,1)</f>
        <v>0</v>
      </c>
      <c r="AC265" s="38">
        <f>[1]!s_stmnote_bank_129n($B265,$A265,1)</f>
        <v>0</v>
      </c>
      <c r="AD265" s="54">
        <f>[1]!s_stmnote_bank_30(B265,$A265,1)</f>
        <v>0</v>
      </c>
    </row>
    <row r="266" spans="1:30" ht="24">
      <c r="A266" s="1" t="s">
        <v>1110</v>
      </c>
      <c r="B266" s="87" t="s">
        <v>1374</v>
      </c>
      <c r="C266" s="8">
        <f>IF([1]!b_info_issuer(B266)="0","",IFERROR([1]!b_info_issuer(B266),""))</f>
        <v>0</v>
      </c>
      <c r="D266" s="11">
        <f>IF([1]!b_info_latestissurercreditrating(B266)="0","",IFERROR([1]!b_info_latestissurercreditrating(B266),""))</f>
        <v>0</v>
      </c>
      <c r="E266" s="27" t="str">
        <f>IFERROR(([1]!b_stm07_bs($B266,47,$A266,1,100000000))/[1]!b_stm07_bs($B266,109,$A266,1,100000000),"")</f>
        <v/>
      </c>
      <c r="F266" s="18" t="str">
        <f>IFERROR(([1]!s_stmnote_bank_26($B266,$A266,1,100000000)-[1]!s_stmnote_bank_26($B266,#REF!,1,100000000)+#REF!)/[1]!s_stmnote_bank_1n($B266,#REF!,1,100000000),"")</f>
        <v/>
      </c>
      <c r="G266" s="21" t="str">
        <f t="shared" si="8"/>
        <v/>
      </c>
      <c r="H266" s="18" t="str">
        <f>IFERROR([1]!s_stmnote_bank($B266,"34",$A266,100000000)/[1]!s_stmnote_bank_1n(B266,$A266,1,100000000),"")</f>
        <v/>
      </c>
      <c r="I266" s="25">
        <f>[1]!b_stm07_bs(B266,74,$A266,1,100000000)</f>
        <v>0</v>
      </c>
      <c r="J266" s="25">
        <f>[1]!b_stm07_bs(B266,109,$A266,1,100000000)</f>
        <v>0</v>
      </c>
      <c r="K266" s="10">
        <f>[1]!s_stmnote_bank_5n(B266,$A266,1)</f>
        <v>0</v>
      </c>
      <c r="L266" s="25">
        <f>[1]!s_stmnote_bank_23n(B266,$A266,1)</f>
        <v>0</v>
      </c>
      <c r="M266" s="25">
        <f>[1]!s_stmnote_bank_capadequacyratio(B266,$A266,1)</f>
        <v>0</v>
      </c>
      <c r="N266" s="25">
        <f>[1]!s_stmnote_bank_capadequacyratio_ct1(B266,$A266,1)</f>
        <v>0</v>
      </c>
      <c r="O266" s="6">
        <f>IF(OR([1]!s_fa_roe(B266,20201231)="0",[1]!s_fa_roe(B266,20211231)="0",[1]!s_fa_roe(B266,20221231)="0"),"",IFERROR(([1]!s_fa_roe(B266,20221231)+[1]!s_fa_roe(B266,20201231)+[1]!s_fa_roe(B266,20211231))/3,""))</f>
        <v>0</v>
      </c>
      <c r="P266" s="28" t="str">
        <f>IFERROR(([1]!s_stmnote_bank_65(B266,$A266,1,2,4,100000000)+[1]!s_stmnote_bank_65(B266,$A266,1,2,6,100000000))/[1]!s_stmnote_bank_1n(B266,$A266,1,100000000),"")</f>
        <v/>
      </c>
      <c r="Q266" s="28" t="str">
        <f>IFERROR([1]!s_stmnote_bank_614(B266,$A266,1,2,100000000)/[1]!s_stmnote_bank_647(B266,$A266,1,2,100000000),"")</f>
        <v/>
      </c>
      <c r="R266" s="28" t="str">
        <f>IFERROR(([1]!b_stm07_bs(B266,104,$A266,1,100000000)+[1]!b_stm07_bs(B266,106,$A266,1,100000000)+[1]!b_stm07_bs(B266,76,$A266,1,100000000)+[1]!b_stm07_bs(B266,108,$A266,1,100000000)+[1]!b_stm07_bs(B266,95,$A266,1,100000000))/[1]!b_stm07_bs(B266,128,$A266,1,100000000),"")</f>
        <v/>
      </c>
      <c r="S266" s="28" t="str">
        <f>IFERROR(([1]!s_stmnote_bank_614(B266,$A266,1,2,100000000)+[1]!b_stm07_bs(B266,104,$A266,1,100000000)+[1]!b_stm07_bs(B266,106,$A266,1,100000000)+[1]!b_stm07_bs(B266,76,$A266,1,100000000)+[1]!b_stm07_bs(B266,108,$A266,1,100000000)+[1]!b_stm07_bs(B266,95,$A266,1,100000000))/[1]!b_stm07_bs(B266,128,$A266,1,100000000),"")</f>
        <v/>
      </c>
      <c r="T266" s="11">
        <f>[1]!b_issuer_shareholder(B266,"",1)</f>
        <v>0</v>
      </c>
      <c r="U266" s="10">
        <f>[1]!b_issuer_propofshareholder(B266,"",1)</f>
        <v>0</v>
      </c>
      <c r="V266" s="33" t="str">
        <f t="shared" si="9"/>
        <v>0</v>
      </c>
      <c r="W266" s="33">
        <f>[1]!s_info_city(B266)</f>
        <v>0</v>
      </c>
      <c r="X266" s="10">
        <f>IF([1]!s_stmnote_bank_17n(B266,$A266,1)="0","",[1]!s_stmnote_bank_17n(B266,$A266,1))</f>
        <v>0</v>
      </c>
      <c r="Y266" s="10">
        <f>IF([1]!s_stmnote_bank_18n(B266,$A266,1)="0","",[1]!s_stmnote_bank_18n(B266,$A266,1))</f>
        <v>0</v>
      </c>
      <c r="Z266" s="41">
        <f>IF([1]!s_stmnote_bank_58(B266,$A266,1)="0","",[1]!s_stmnote_bank_58(B266,$A266,1))</f>
        <v>0</v>
      </c>
      <c r="AA266" s="52">
        <f>IF([1]!s_stmnote_bank_60(B266,$A266,1)="0","",[1]!s_stmnote_bank_60(B266,$A266,1))</f>
        <v>0</v>
      </c>
      <c r="AB266" s="52">
        <f>[1]!s_stmnote_bank_5444(B266,$A266,1)</f>
        <v>0</v>
      </c>
      <c r="AC266" s="38">
        <f>[1]!s_stmnote_bank_129n($B266,$A266,1)</f>
        <v>0</v>
      </c>
      <c r="AD266" s="54">
        <f>[1]!s_stmnote_bank_30(B266,$A266,1)</f>
        <v>0</v>
      </c>
    </row>
    <row r="267" spans="1:30" ht="24">
      <c r="A267" s="1" t="s">
        <v>1110</v>
      </c>
      <c r="B267" s="87" t="s">
        <v>1375</v>
      </c>
      <c r="C267" s="8">
        <f>IF([1]!b_info_issuer(B267)="0","",IFERROR([1]!b_info_issuer(B267),""))</f>
        <v>0</v>
      </c>
      <c r="D267" s="11">
        <f>IF([1]!b_info_latestissurercreditrating(B267)="0","",IFERROR([1]!b_info_latestissurercreditrating(B267),""))</f>
        <v>0</v>
      </c>
      <c r="E267" s="27" t="str">
        <f>IFERROR(([1]!b_stm07_bs($B267,47,$A267,1,100000000))/[1]!b_stm07_bs($B267,109,$A267,1,100000000),"")</f>
        <v/>
      </c>
      <c r="F267" s="18" t="str">
        <f>IFERROR(([1]!s_stmnote_bank_26($B267,$A267,1,100000000)-[1]!s_stmnote_bank_26($B267,#REF!,1,100000000)+#REF!)/[1]!s_stmnote_bank_1n($B267,#REF!,1,100000000),"")</f>
        <v/>
      </c>
      <c r="G267" s="21" t="str">
        <f t="shared" si="8"/>
        <v/>
      </c>
      <c r="H267" s="18" t="str">
        <f>IFERROR([1]!s_stmnote_bank($B267,"34",$A267,100000000)/[1]!s_stmnote_bank_1n(B267,$A267,1,100000000),"")</f>
        <v/>
      </c>
      <c r="I267" s="25">
        <f>[1]!b_stm07_bs(B267,74,$A267,1,100000000)</f>
        <v>0</v>
      </c>
      <c r="J267" s="25">
        <f>[1]!b_stm07_bs(B267,109,$A267,1,100000000)</f>
        <v>0</v>
      </c>
      <c r="K267" s="10">
        <f>[1]!s_stmnote_bank_5n(B267,$A267,1)</f>
        <v>0</v>
      </c>
      <c r="L267" s="25">
        <f>[1]!s_stmnote_bank_23n(B267,$A267,1)</f>
        <v>0</v>
      </c>
      <c r="M267" s="25">
        <f>[1]!s_stmnote_bank_capadequacyratio(B267,$A267,1)</f>
        <v>0</v>
      </c>
      <c r="N267" s="25">
        <f>[1]!s_stmnote_bank_capadequacyratio_ct1(B267,$A267,1)</f>
        <v>0</v>
      </c>
      <c r="O267" s="6">
        <f>IF(OR([1]!s_fa_roe(B267,20201231)="0",[1]!s_fa_roe(B267,20211231)="0",[1]!s_fa_roe(B267,20221231)="0"),"",IFERROR(([1]!s_fa_roe(B267,20221231)+[1]!s_fa_roe(B267,20201231)+[1]!s_fa_roe(B267,20211231))/3,""))</f>
        <v>0</v>
      </c>
      <c r="P267" s="28" t="str">
        <f>IFERROR(([1]!s_stmnote_bank_65(B267,$A267,1,2,4,100000000)+[1]!s_stmnote_bank_65(B267,$A267,1,2,6,100000000))/[1]!s_stmnote_bank_1n(B267,$A267,1,100000000),"")</f>
        <v/>
      </c>
      <c r="Q267" s="28" t="str">
        <f>IFERROR([1]!s_stmnote_bank_614(B267,$A267,1,2,100000000)/[1]!s_stmnote_bank_647(B267,$A267,1,2,100000000),"")</f>
        <v/>
      </c>
      <c r="R267" s="28" t="str">
        <f>IFERROR(([1]!b_stm07_bs(B267,104,$A267,1,100000000)+[1]!b_stm07_bs(B267,106,$A267,1,100000000)+[1]!b_stm07_bs(B267,76,$A267,1,100000000)+[1]!b_stm07_bs(B267,108,$A267,1,100000000)+[1]!b_stm07_bs(B267,95,$A267,1,100000000))/[1]!b_stm07_bs(B267,128,$A267,1,100000000),"")</f>
        <v/>
      </c>
      <c r="S267" s="28" t="str">
        <f>IFERROR(([1]!s_stmnote_bank_614(B267,$A267,1,2,100000000)+[1]!b_stm07_bs(B267,104,$A267,1,100000000)+[1]!b_stm07_bs(B267,106,$A267,1,100000000)+[1]!b_stm07_bs(B267,76,$A267,1,100000000)+[1]!b_stm07_bs(B267,108,$A267,1,100000000)+[1]!b_stm07_bs(B267,95,$A267,1,100000000))/[1]!b_stm07_bs(B267,128,$A267,1,100000000),"")</f>
        <v/>
      </c>
      <c r="T267" s="11">
        <f>[1]!b_issuer_shareholder(B267,"",1)</f>
        <v>0</v>
      </c>
      <c r="U267" s="10">
        <f>[1]!b_issuer_propofshareholder(B267,"",1)</f>
        <v>0</v>
      </c>
      <c r="V267" s="33" t="str">
        <f t="shared" si="9"/>
        <v>0</v>
      </c>
      <c r="W267" s="33">
        <f>[1]!s_info_city(B267)</f>
        <v>0</v>
      </c>
      <c r="X267" s="10">
        <f>IF([1]!s_stmnote_bank_17n(B267,$A267,1)="0","",[1]!s_stmnote_bank_17n(B267,$A267,1))</f>
        <v>0</v>
      </c>
      <c r="Y267" s="10">
        <f>IF([1]!s_stmnote_bank_18n(B267,$A267,1)="0","",[1]!s_stmnote_bank_18n(B267,$A267,1))</f>
        <v>0</v>
      </c>
      <c r="Z267" s="41">
        <f>IF([1]!s_stmnote_bank_58(B267,$A267,1)="0","",[1]!s_stmnote_bank_58(B267,$A267,1))</f>
        <v>0</v>
      </c>
      <c r="AA267" s="52">
        <f>IF([1]!s_stmnote_bank_60(B267,$A267,1)="0","",[1]!s_stmnote_bank_60(B267,$A267,1))</f>
        <v>0</v>
      </c>
      <c r="AB267" s="52">
        <f>[1]!s_stmnote_bank_5444(B267,$A267,1)</f>
        <v>0</v>
      </c>
      <c r="AC267" s="38">
        <f>[1]!s_stmnote_bank_129n($B267,$A267,1)</f>
        <v>0</v>
      </c>
      <c r="AD267" s="54">
        <f>[1]!s_stmnote_bank_30(B267,$A267,1)</f>
        <v>0</v>
      </c>
    </row>
    <row r="268" spans="1:30" ht="24">
      <c r="A268" s="1" t="s">
        <v>1110</v>
      </c>
      <c r="B268" s="87" t="s">
        <v>1376</v>
      </c>
      <c r="C268" s="8">
        <f>IF([1]!b_info_issuer(B268)="0","",IFERROR([1]!b_info_issuer(B268),""))</f>
        <v>0</v>
      </c>
      <c r="D268" s="11">
        <f>IF([1]!b_info_latestissurercreditrating(B268)="0","",IFERROR([1]!b_info_latestissurercreditrating(B268),""))</f>
        <v>0</v>
      </c>
      <c r="E268" s="27" t="str">
        <f>IFERROR(([1]!b_stm07_bs($B268,47,$A268,1,100000000))/[1]!b_stm07_bs($B268,109,$A268,1,100000000),"")</f>
        <v/>
      </c>
      <c r="F268" s="18" t="str">
        <f>IFERROR(([1]!s_stmnote_bank_26($B268,$A268,1,100000000)-[1]!s_stmnote_bank_26($B268,#REF!,1,100000000)+#REF!)/[1]!s_stmnote_bank_1n($B268,#REF!,1,100000000),"")</f>
        <v/>
      </c>
      <c r="G268" s="21" t="str">
        <f t="shared" si="8"/>
        <v/>
      </c>
      <c r="H268" s="18" t="str">
        <f>IFERROR([1]!s_stmnote_bank($B268,"34",$A268,100000000)/[1]!s_stmnote_bank_1n(B268,$A268,1,100000000),"")</f>
        <v/>
      </c>
      <c r="I268" s="25">
        <f>[1]!b_stm07_bs(B268,74,$A268,1,100000000)</f>
        <v>0</v>
      </c>
      <c r="J268" s="25">
        <f>[1]!b_stm07_bs(B268,109,$A268,1,100000000)</f>
        <v>0</v>
      </c>
      <c r="K268" s="10">
        <f>[1]!s_stmnote_bank_5n(B268,$A268,1)</f>
        <v>0</v>
      </c>
      <c r="L268" s="25">
        <f>[1]!s_stmnote_bank_23n(B268,$A268,1)</f>
        <v>0</v>
      </c>
      <c r="M268" s="25">
        <f>[1]!s_stmnote_bank_capadequacyratio(B268,$A268,1)</f>
        <v>0</v>
      </c>
      <c r="N268" s="25">
        <f>[1]!s_stmnote_bank_capadequacyratio_ct1(B268,$A268,1)</f>
        <v>0</v>
      </c>
      <c r="O268" s="6">
        <f>IF(OR([1]!s_fa_roe(B268,20201231)="0",[1]!s_fa_roe(B268,20211231)="0",[1]!s_fa_roe(B268,20221231)="0"),"",IFERROR(([1]!s_fa_roe(B268,20221231)+[1]!s_fa_roe(B268,20201231)+[1]!s_fa_roe(B268,20211231))/3,""))</f>
        <v>0</v>
      </c>
      <c r="P268" s="28" t="str">
        <f>IFERROR(([1]!s_stmnote_bank_65(B268,$A268,1,2,4,100000000)+[1]!s_stmnote_bank_65(B268,$A268,1,2,6,100000000))/[1]!s_stmnote_bank_1n(B268,$A268,1,100000000),"")</f>
        <v/>
      </c>
      <c r="Q268" s="28" t="str">
        <f>IFERROR([1]!s_stmnote_bank_614(B268,$A268,1,2,100000000)/[1]!s_stmnote_bank_647(B268,$A268,1,2,100000000),"")</f>
        <v/>
      </c>
      <c r="R268" s="28" t="str">
        <f>IFERROR(([1]!b_stm07_bs(B268,104,$A268,1,100000000)+[1]!b_stm07_bs(B268,106,$A268,1,100000000)+[1]!b_stm07_bs(B268,76,$A268,1,100000000)+[1]!b_stm07_bs(B268,108,$A268,1,100000000)+[1]!b_stm07_bs(B268,95,$A268,1,100000000))/[1]!b_stm07_bs(B268,128,$A268,1,100000000),"")</f>
        <v/>
      </c>
      <c r="S268" s="28" t="str">
        <f>IFERROR(([1]!s_stmnote_bank_614(B268,$A268,1,2,100000000)+[1]!b_stm07_bs(B268,104,$A268,1,100000000)+[1]!b_stm07_bs(B268,106,$A268,1,100000000)+[1]!b_stm07_bs(B268,76,$A268,1,100000000)+[1]!b_stm07_bs(B268,108,$A268,1,100000000)+[1]!b_stm07_bs(B268,95,$A268,1,100000000))/[1]!b_stm07_bs(B268,128,$A268,1,100000000),"")</f>
        <v/>
      </c>
      <c r="T268" s="11">
        <f>[1]!b_issuer_shareholder(B268,"",1)</f>
        <v>0</v>
      </c>
      <c r="U268" s="10">
        <f>[1]!b_issuer_propofshareholder(B268,"",1)</f>
        <v>0</v>
      </c>
      <c r="V268" s="33" t="str">
        <f t="shared" si="9"/>
        <v>0</v>
      </c>
      <c r="W268" s="33">
        <f>[1]!s_info_city(B268)</f>
        <v>0</v>
      </c>
      <c r="X268" s="10">
        <f>IF([1]!s_stmnote_bank_17n(B268,$A268,1)="0","",[1]!s_stmnote_bank_17n(B268,$A268,1))</f>
        <v>0</v>
      </c>
      <c r="Y268" s="10">
        <f>IF([1]!s_stmnote_bank_18n(B268,$A268,1)="0","",[1]!s_stmnote_bank_18n(B268,$A268,1))</f>
        <v>0</v>
      </c>
      <c r="Z268" s="41">
        <f>IF([1]!s_stmnote_bank_58(B268,$A268,1)="0","",[1]!s_stmnote_bank_58(B268,$A268,1))</f>
        <v>0</v>
      </c>
      <c r="AA268" s="52">
        <f>IF([1]!s_stmnote_bank_60(B268,$A268,1)="0","",[1]!s_stmnote_bank_60(B268,$A268,1))</f>
        <v>0</v>
      </c>
      <c r="AB268" s="52">
        <f>[1]!s_stmnote_bank_5444(B268,$A268,1)</f>
        <v>0</v>
      </c>
      <c r="AC268" s="38">
        <f>[1]!s_stmnote_bank_129n($B268,$A268,1)</f>
        <v>0</v>
      </c>
      <c r="AD268" s="54">
        <f>[1]!s_stmnote_bank_30(B268,$A268,1)</f>
        <v>0</v>
      </c>
    </row>
    <row r="269" spans="1:30" ht="24">
      <c r="A269" s="1" t="s">
        <v>1110</v>
      </c>
      <c r="B269" s="87" t="s">
        <v>1377</v>
      </c>
      <c r="C269" s="8">
        <f>IF([1]!b_info_issuer(B269)="0","",IFERROR([1]!b_info_issuer(B269),""))</f>
        <v>0</v>
      </c>
      <c r="D269" s="11">
        <f>IF([1]!b_info_latestissurercreditrating(B269)="0","",IFERROR([1]!b_info_latestissurercreditrating(B269),""))</f>
        <v>0</v>
      </c>
      <c r="E269" s="27" t="str">
        <f>IFERROR(([1]!b_stm07_bs($B269,47,$A269,1,100000000))/[1]!b_stm07_bs($B269,109,$A269,1,100000000),"")</f>
        <v/>
      </c>
      <c r="F269" s="18" t="str">
        <f>IFERROR(([1]!s_stmnote_bank_26($B269,$A269,1,100000000)-[1]!s_stmnote_bank_26($B269,#REF!,1,100000000)+#REF!)/[1]!s_stmnote_bank_1n($B269,#REF!,1,100000000),"")</f>
        <v/>
      </c>
      <c r="G269" s="21" t="str">
        <f t="shared" si="8"/>
        <v/>
      </c>
      <c r="H269" s="18" t="str">
        <f>IFERROR([1]!s_stmnote_bank($B269,"34",$A269,100000000)/[1]!s_stmnote_bank_1n(B269,$A269,1,100000000),"")</f>
        <v/>
      </c>
      <c r="I269" s="25">
        <f>[1]!b_stm07_bs(B269,74,$A269,1,100000000)</f>
        <v>0</v>
      </c>
      <c r="J269" s="25">
        <f>[1]!b_stm07_bs(B269,109,$A269,1,100000000)</f>
        <v>0</v>
      </c>
      <c r="K269" s="10">
        <f>[1]!s_stmnote_bank_5n(B269,$A269,1)</f>
        <v>0</v>
      </c>
      <c r="L269" s="25">
        <f>[1]!s_stmnote_bank_23n(B269,$A269,1)</f>
        <v>0</v>
      </c>
      <c r="M269" s="25">
        <f>[1]!s_stmnote_bank_capadequacyratio(B269,$A269,1)</f>
        <v>0</v>
      </c>
      <c r="N269" s="25">
        <f>[1]!s_stmnote_bank_capadequacyratio_ct1(B269,$A269,1)</f>
        <v>0</v>
      </c>
      <c r="O269" s="6">
        <f>IF(OR([1]!s_fa_roe(B269,20201231)="0",[1]!s_fa_roe(B269,20211231)="0",[1]!s_fa_roe(B269,20221231)="0"),"",IFERROR(([1]!s_fa_roe(B269,20221231)+[1]!s_fa_roe(B269,20201231)+[1]!s_fa_roe(B269,20211231))/3,""))</f>
        <v>0</v>
      </c>
      <c r="P269" s="28" t="str">
        <f>IFERROR(([1]!s_stmnote_bank_65(B269,$A269,1,2,4,100000000)+[1]!s_stmnote_bank_65(B269,$A269,1,2,6,100000000))/[1]!s_stmnote_bank_1n(B269,$A269,1,100000000),"")</f>
        <v/>
      </c>
      <c r="Q269" s="28" t="str">
        <f>IFERROR([1]!s_stmnote_bank_614(B269,$A269,1,2,100000000)/[1]!s_stmnote_bank_647(B269,$A269,1,2,100000000),"")</f>
        <v/>
      </c>
      <c r="R269" s="28" t="str">
        <f>IFERROR(([1]!b_stm07_bs(B269,104,$A269,1,100000000)+[1]!b_stm07_bs(B269,106,$A269,1,100000000)+[1]!b_stm07_bs(B269,76,$A269,1,100000000)+[1]!b_stm07_bs(B269,108,$A269,1,100000000)+[1]!b_stm07_bs(B269,95,$A269,1,100000000))/[1]!b_stm07_bs(B269,128,$A269,1,100000000),"")</f>
        <v/>
      </c>
      <c r="S269" s="28" t="str">
        <f>IFERROR(([1]!s_stmnote_bank_614(B269,$A269,1,2,100000000)+[1]!b_stm07_bs(B269,104,$A269,1,100000000)+[1]!b_stm07_bs(B269,106,$A269,1,100000000)+[1]!b_stm07_bs(B269,76,$A269,1,100000000)+[1]!b_stm07_bs(B269,108,$A269,1,100000000)+[1]!b_stm07_bs(B269,95,$A269,1,100000000))/[1]!b_stm07_bs(B269,128,$A269,1,100000000),"")</f>
        <v/>
      </c>
      <c r="T269" s="11">
        <f>[1]!b_issuer_shareholder(B269,"",1)</f>
        <v>0</v>
      </c>
      <c r="U269" s="10">
        <f>[1]!b_issuer_propofshareholder(B269,"",1)</f>
        <v>0</v>
      </c>
      <c r="V269" s="33" t="str">
        <f t="shared" si="9"/>
        <v>0</v>
      </c>
      <c r="W269" s="33">
        <f>[1]!s_info_city(B269)</f>
        <v>0</v>
      </c>
      <c r="X269" s="10">
        <f>IF([1]!s_stmnote_bank_17n(B269,$A269,1)="0","",[1]!s_stmnote_bank_17n(B269,$A269,1))</f>
        <v>0</v>
      </c>
      <c r="Y269" s="10">
        <f>IF([1]!s_stmnote_bank_18n(B269,$A269,1)="0","",[1]!s_stmnote_bank_18n(B269,$A269,1))</f>
        <v>0</v>
      </c>
      <c r="Z269" s="41">
        <f>IF([1]!s_stmnote_bank_58(B269,$A269,1)="0","",[1]!s_stmnote_bank_58(B269,$A269,1))</f>
        <v>0</v>
      </c>
      <c r="AA269" s="52">
        <f>IF([1]!s_stmnote_bank_60(B269,$A269,1)="0","",[1]!s_stmnote_bank_60(B269,$A269,1))</f>
        <v>0</v>
      </c>
      <c r="AB269" s="52">
        <f>[1]!s_stmnote_bank_5444(B269,$A269,1)</f>
        <v>0</v>
      </c>
      <c r="AC269" s="38">
        <f>[1]!s_stmnote_bank_129n($B269,$A269,1)</f>
        <v>0</v>
      </c>
      <c r="AD269" s="54">
        <f>[1]!s_stmnote_bank_30(B269,$A269,1)</f>
        <v>0</v>
      </c>
    </row>
    <row r="270" spans="1:30" ht="24">
      <c r="A270" s="1" t="s">
        <v>1110</v>
      </c>
      <c r="B270" s="87" t="s">
        <v>1378</v>
      </c>
      <c r="C270" s="8">
        <f>IF([1]!b_info_issuer(B270)="0","",IFERROR([1]!b_info_issuer(B270),""))</f>
        <v>0</v>
      </c>
      <c r="D270" s="11">
        <f>IF([1]!b_info_latestissurercreditrating(B270)="0","",IFERROR([1]!b_info_latestissurercreditrating(B270),""))</f>
        <v>0</v>
      </c>
      <c r="E270" s="27" t="str">
        <f>IFERROR(([1]!b_stm07_bs($B270,47,$A270,1,100000000))/[1]!b_stm07_bs($B270,109,$A270,1,100000000),"")</f>
        <v/>
      </c>
      <c r="F270" s="18" t="str">
        <f>IFERROR(([1]!s_stmnote_bank_26($B270,$A270,1,100000000)-[1]!s_stmnote_bank_26($B270,#REF!,1,100000000)+#REF!)/[1]!s_stmnote_bank_1n($B270,#REF!,1,100000000),"")</f>
        <v/>
      </c>
      <c r="G270" s="21" t="str">
        <f t="shared" si="8"/>
        <v/>
      </c>
      <c r="H270" s="18" t="str">
        <f>IFERROR([1]!s_stmnote_bank($B270,"34",$A270,100000000)/[1]!s_stmnote_bank_1n(B270,$A270,1,100000000),"")</f>
        <v/>
      </c>
      <c r="I270" s="25">
        <f>[1]!b_stm07_bs(B270,74,$A270,1,100000000)</f>
        <v>0</v>
      </c>
      <c r="J270" s="25">
        <f>[1]!b_stm07_bs(B270,109,$A270,1,100000000)</f>
        <v>0</v>
      </c>
      <c r="K270" s="10">
        <f>[1]!s_stmnote_bank_5n(B270,$A270,1)</f>
        <v>0</v>
      </c>
      <c r="L270" s="25">
        <f>[1]!s_stmnote_bank_23n(B270,$A270,1)</f>
        <v>0</v>
      </c>
      <c r="M270" s="25">
        <f>[1]!s_stmnote_bank_capadequacyratio(B270,$A270,1)</f>
        <v>0</v>
      </c>
      <c r="N270" s="25">
        <f>[1]!s_stmnote_bank_capadequacyratio_ct1(B270,$A270,1)</f>
        <v>0</v>
      </c>
      <c r="O270" s="6">
        <f>IF(OR([1]!s_fa_roe(B270,20201231)="0",[1]!s_fa_roe(B270,20211231)="0",[1]!s_fa_roe(B270,20221231)="0"),"",IFERROR(([1]!s_fa_roe(B270,20221231)+[1]!s_fa_roe(B270,20201231)+[1]!s_fa_roe(B270,20211231))/3,""))</f>
        <v>0</v>
      </c>
      <c r="P270" s="28" t="str">
        <f>IFERROR(([1]!s_stmnote_bank_65(B270,$A270,1,2,4,100000000)+[1]!s_stmnote_bank_65(B270,$A270,1,2,6,100000000))/[1]!s_stmnote_bank_1n(B270,$A270,1,100000000),"")</f>
        <v/>
      </c>
      <c r="Q270" s="28" t="str">
        <f>IFERROR([1]!s_stmnote_bank_614(B270,$A270,1,2,100000000)/[1]!s_stmnote_bank_647(B270,$A270,1,2,100000000),"")</f>
        <v/>
      </c>
      <c r="R270" s="28" t="str">
        <f>IFERROR(([1]!b_stm07_bs(B270,104,$A270,1,100000000)+[1]!b_stm07_bs(B270,106,$A270,1,100000000)+[1]!b_stm07_bs(B270,76,$A270,1,100000000)+[1]!b_stm07_bs(B270,108,$A270,1,100000000)+[1]!b_stm07_bs(B270,95,$A270,1,100000000))/[1]!b_stm07_bs(B270,128,$A270,1,100000000),"")</f>
        <v/>
      </c>
      <c r="S270" s="28" t="str">
        <f>IFERROR(([1]!s_stmnote_bank_614(B270,$A270,1,2,100000000)+[1]!b_stm07_bs(B270,104,$A270,1,100000000)+[1]!b_stm07_bs(B270,106,$A270,1,100000000)+[1]!b_stm07_bs(B270,76,$A270,1,100000000)+[1]!b_stm07_bs(B270,108,$A270,1,100000000)+[1]!b_stm07_bs(B270,95,$A270,1,100000000))/[1]!b_stm07_bs(B270,128,$A270,1,100000000),"")</f>
        <v/>
      </c>
      <c r="T270" s="11">
        <f>[1]!b_issuer_shareholder(B270,"",1)</f>
        <v>0</v>
      </c>
      <c r="U270" s="10">
        <f>[1]!b_issuer_propofshareholder(B270,"",1)</f>
        <v>0</v>
      </c>
      <c r="V270" s="33" t="str">
        <f t="shared" si="9"/>
        <v>0</v>
      </c>
      <c r="W270" s="33">
        <f>[1]!s_info_city(B270)</f>
        <v>0</v>
      </c>
      <c r="X270" s="10">
        <f>IF([1]!s_stmnote_bank_17n(B270,$A270,1)="0","",[1]!s_stmnote_bank_17n(B270,$A270,1))</f>
        <v>0</v>
      </c>
      <c r="Y270" s="10">
        <f>IF([1]!s_stmnote_bank_18n(B270,$A270,1)="0","",[1]!s_stmnote_bank_18n(B270,$A270,1))</f>
        <v>0</v>
      </c>
      <c r="Z270" s="41">
        <f>IF([1]!s_stmnote_bank_58(B270,$A270,1)="0","",[1]!s_stmnote_bank_58(B270,$A270,1))</f>
        <v>0</v>
      </c>
      <c r="AA270" s="52">
        <f>IF([1]!s_stmnote_bank_60(B270,$A270,1)="0","",[1]!s_stmnote_bank_60(B270,$A270,1))</f>
        <v>0</v>
      </c>
      <c r="AB270" s="52">
        <f>[1]!s_stmnote_bank_5444(B270,$A270,1)</f>
        <v>0</v>
      </c>
      <c r="AC270" s="38">
        <f>[1]!s_stmnote_bank_129n($B270,$A270,1)</f>
        <v>0</v>
      </c>
      <c r="AD270" s="54">
        <f>[1]!s_stmnote_bank_30(B270,$A270,1)</f>
        <v>0</v>
      </c>
    </row>
    <row r="271" spans="1:30" ht="24">
      <c r="A271" s="1" t="s">
        <v>1110</v>
      </c>
      <c r="B271" s="87" t="s">
        <v>1379</v>
      </c>
      <c r="C271" s="8">
        <f>IF([1]!b_info_issuer(B271)="0","",IFERROR([1]!b_info_issuer(B271),""))</f>
        <v>0</v>
      </c>
      <c r="D271" s="11">
        <f>IF([1]!b_info_latestissurercreditrating(B271)="0","",IFERROR([1]!b_info_latestissurercreditrating(B271),""))</f>
        <v>0</v>
      </c>
      <c r="E271" s="27" t="str">
        <f>IFERROR(([1]!b_stm07_bs($B271,47,$A271,1,100000000))/[1]!b_stm07_bs($B271,109,$A271,1,100000000),"")</f>
        <v/>
      </c>
      <c r="F271" s="18" t="str">
        <f>IFERROR(([1]!s_stmnote_bank_26($B271,$A271,1,100000000)-[1]!s_stmnote_bank_26($B271,#REF!,1,100000000)+#REF!)/[1]!s_stmnote_bank_1n($B271,#REF!,1,100000000),"")</f>
        <v/>
      </c>
      <c r="G271" s="21" t="str">
        <f t="shared" si="8"/>
        <v/>
      </c>
      <c r="H271" s="18" t="str">
        <f>IFERROR([1]!s_stmnote_bank($B271,"34",$A271,100000000)/[1]!s_stmnote_bank_1n(B271,$A271,1,100000000),"")</f>
        <v/>
      </c>
      <c r="I271" s="25">
        <f>[1]!b_stm07_bs(B271,74,$A271,1,100000000)</f>
        <v>0</v>
      </c>
      <c r="J271" s="25">
        <f>[1]!b_stm07_bs(B271,109,$A271,1,100000000)</f>
        <v>0</v>
      </c>
      <c r="K271" s="10">
        <f>[1]!s_stmnote_bank_5n(B271,$A271,1)</f>
        <v>0</v>
      </c>
      <c r="L271" s="25">
        <f>[1]!s_stmnote_bank_23n(B271,$A271,1)</f>
        <v>0</v>
      </c>
      <c r="M271" s="25">
        <f>[1]!s_stmnote_bank_capadequacyratio(B271,$A271,1)</f>
        <v>0</v>
      </c>
      <c r="N271" s="25">
        <f>[1]!s_stmnote_bank_capadequacyratio_ct1(B271,$A271,1)</f>
        <v>0</v>
      </c>
      <c r="O271" s="6">
        <f>IF(OR([1]!s_fa_roe(B271,20201231)="0",[1]!s_fa_roe(B271,20211231)="0",[1]!s_fa_roe(B271,20221231)="0"),"",IFERROR(([1]!s_fa_roe(B271,20221231)+[1]!s_fa_roe(B271,20201231)+[1]!s_fa_roe(B271,20211231))/3,""))</f>
        <v>0</v>
      </c>
      <c r="P271" s="28" t="str">
        <f>IFERROR(([1]!s_stmnote_bank_65(B271,$A271,1,2,4,100000000)+[1]!s_stmnote_bank_65(B271,$A271,1,2,6,100000000))/[1]!s_stmnote_bank_1n(B271,$A271,1,100000000),"")</f>
        <v/>
      </c>
      <c r="Q271" s="28" t="str">
        <f>IFERROR([1]!s_stmnote_bank_614(B271,$A271,1,2,100000000)/[1]!s_stmnote_bank_647(B271,$A271,1,2,100000000),"")</f>
        <v/>
      </c>
      <c r="R271" s="28" t="str">
        <f>IFERROR(([1]!b_stm07_bs(B271,104,$A271,1,100000000)+[1]!b_stm07_bs(B271,106,$A271,1,100000000)+[1]!b_stm07_bs(B271,76,$A271,1,100000000)+[1]!b_stm07_bs(B271,108,$A271,1,100000000)+[1]!b_stm07_bs(B271,95,$A271,1,100000000))/[1]!b_stm07_bs(B271,128,$A271,1,100000000),"")</f>
        <v/>
      </c>
      <c r="S271" s="28" t="str">
        <f>IFERROR(([1]!s_stmnote_bank_614(B271,$A271,1,2,100000000)+[1]!b_stm07_bs(B271,104,$A271,1,100000000)+[1]!b_stm07_bs(B271,106,$A271,1,100000000)+[1]!b_stm07_bs(B271,76,$A271,1,100000000)+[1]!b_stm07_bs(B271,108,$A271,1,100000000)+[1]!b_stm07_bs(B271,95,$A271,1,100000000))/[1]!b_stm07_bs(B271,128,$A271,1,100000000),"")</f>
        <v/>
      </c>
      <c r="T271" s="11">
        <f>[1]!b_issuer_shareholder(B271,"",1)</f>
        <v>0</v>
      </c>
      <c r="U271" s="10">
        <f>[1]!b_issuer_propofshareholder(B271,"",1)</f>
        <v>0</v>
      </c>
      <c r="V271" s="33" t="str">
        <f t="shared" si="9"/>
        <v>0</v>
      </c>
      <c r="W271" s="33">
        <f>[1]!s_info_city(B271)</f>
        <v>0</v>
      </c>
      <c r="X271" s="10">
        <f>IF([1]!s_stmnote_bank_17n(B271,$A271,1)="0","",[1]!s_stmnote_bank_17n(B271,$A271,1))</f>
        <v>0</v>
      </c>
      <c r="Y271" s="10">
        <f>IF([1]!s_stmnote_bank_18n(B271,$A271,1)="0","",[1]!s_stmnote_bank_18n(B271,$A271,1))</f>
        <v>0</v>
      </c>
      <c r="Z271" s="41">
        <f>IF([1]!s_stmnote_bank_58(B271,$A271,1)="0","",[1]!s_stmnote_bank_58(B271,$A271,1))</f>
        <v>0</v>
      </c>
      <c r="AA271" s="52">
        <f>IF([1]!s_stmnote_bank_60(B271,$A271,1)="0","",[1]!s_stmnote_bank_60(B271,$A271,1))</f>
        <v>0</v>
      </c>
      <c r="AB271" s="52">
        <f>[1]!s_stmnote_bank_5444(B271,$A271,1)</f>
        <v>0</v>
      </c>
      <c r="AC271" s="38">
        <f>[1]!s_stmnote_bank_129n($B271,$A271,1)</f>
        <v>0</v>
      </c>
      <c r="AD271" s="54">
        <f>[1]!s_stmnote_bank_30(B271,$A271,1)</f>
        <v>0</v>
      </c>
    </row>
    <row r="272" spans="1:30" ht="24">
      <c r="A272" s="1" t="s">
        <v>1110</v>
      </c>
      <c r="B272" s="87" t="s">
        <v>1380</v>
      </c>
      <c r="C272" s="8">
        <f>IF([1]!b_info_issuer(B272)="0","",IFERROR([1]!b_info_issuer(B272),""))</f>
        <v>0</v>
      </c>
      <c r="D272" s="11">
        <f>IF([1]!b_info_latestissurercreditrating(B272)="0","",IFERROR([1]!b_info_latestissurercreditrating(B272),""))</f>
        <v>0</v>
      </c>
      <c r="E272" s="27" t="str">
        <f>IFERROR(([1]!b_stm07_bs($B272,47,$A272,1,100000000))/[1]!b_stm07_bs($B272,109,$A272,1,100000000),"")</f>
        <v/>
      </c>
      <c r="F272" s="18" t="str">
        <f>IFERROR(([1]!s_stmnote_bank_26($B272,$A272,1,100000000)-[1]!s_stmnote_bank_26($B272,#REF!,1,100000000)+#REF!)/[1]!s_stmnote_bank_1n($B272,#REF!,1,100000000),"")</f>
        <v/>
      </c>
      <c r="G272" s="21" t="str">
        <f t="shared" si="8"/>
        <v/>
      </c>
      <c r="H272" s="18" t="str">
        <f>IFERROR([1]!s_stmnote_bank($B272,"34",$A272,100000000)/[1]!s_stmnote_bank_1n(B272,$A272,1,100000000),"")</f>
        <v/>
      </c>
      <c r="I272" s="25">
        <f>[1]!b_stm07_bs(B272,74,$A272,1,100000000)</f>
        <v>0</v>
      </c>
      <c r="J272" s="25">
        <f>[1]!b_stm07_bs(B272,109,$A272,1,100000000)</f>
        <v>0</v>
      </c>
      <c r="K272" s="10">
        <f>[1]!s_stmnote_bank_5n(B272,$A272,1)</f>
        <v>0</v>
      </c>
      <c r="L272" s="25">
        <f>[1]!s_stmnote_bank_23n(B272,$A272,1)</f>
        <v>0</v>
      </c>
      <c r="M272" s="25">
        <f>[1]!s_stmnote_bank_capadequacyratio(B272,$A272,1)</f>
        <v>0</v>
      </c>
      <c r="N272" s="25">
        <f>[1]!s_stmnote_bank_capadequacyratio_ct1(B272,$A272,1)</f>
        <v>0</v>
      </c>
      <c r="O272" s="6">
        <f>IF(OR([1]!s_fa_roe(B272,20201231)="0",[1]!s_fa_roe(B272,20211231)="0",[1]!s_fa_roe(B272,20221231)="0"),"",IFERROR(([1]!s_fa_roe(B272,20221231)+[1]!s_fa_roe(B272,20201231)+[1]!s_fa_roe(B272,20211231))/3,""))</f>
        <v>0</v>
      </c>
      <c r="P272" s="28" t="str">
        <f>IFERROR(([1]!s_stmnote_bank_65(B272,$A272,1,2,4,100000000)+[1]!s_stmnote_bank_65(B272,$A272,1,2,6,100000000))/[1]!s_stmnote_bank_1n(B272,$A272,1,100000000),"")</f>
        <v/>
      </c>
      <c r="Q272" s="28" t="str">
        <f>IFERROR([1]!s_stmnote_bank_614(B272,$A272,1,2,100000000)/[1]!s_stmnote_bank_647(B272,$A272,1,2,100000000),"")</f>
        <v/>
      </c>
      <c r="R272" s="28" t="str">
        <f>IFERROR(([1]!b_stm07_bs(B272,104,$A272,1,100000000)+[1]!b_stm07_bs(B272,106,$A272,1,100000000)+[1]!b_stm07_bs(B272,76,$A272,1,100000000)+[1]!b_stm07_bs(B272,108,$A272,1,100000000)+[1]!b_stm07_bs(B272,95,$A272,1,100000000))/[1]!b_stm07_bs(B272,128,$A272,1,100000000),"")</f>
        <v/>
      </c>
      <c r="S272" s="28" t="str">
        <f>IFERROR(([1]!s_stmnote_bank_614(B272,$A272,1,2,100000000)+[1]!b_stm07_bs(B272,104,$A272,1,100000000)+[1]!b_stm07_bs(B272,106,$A272,1,100000000)+[1]!b_stm07_bs(B272,76,$A272,1,100000000)+[1]!b_stm07_bs(B272,108,$A272,1,100000000)+[1]!b_stm07_bs(B272,95,$A272,1,100000000))/[1]!b_stm07_bs(B272,128,$A272,1,100000000),"")</f>
        <v/>
      </c>
      <c r="T272" s="11">
        <f>[1]!b_issuer_shareholder(B272,"",1)</f>
        <v>0</v>
      </c>
      <c r="U272" s="10">
        <f>[1]!b_issuer_propofshareholder(B272,"",1)</f>
        <v>0</v>
      </c>
      <c r="V272" s="33" t="str">
        <f t="shared" si="9"/>
        <v>0</v>
      </c>
      <c r="W272" s="33">
        <f>[1]!s_info_city(B272)</f>
        <v>0</v>
      </c>
      <c r="X272" s="10">
        <f>IF([1]!s_stmnote_bank_17n(B272,$A272,1)="0","",[1]!s_stmnote_bank_17n(B272,$A272,1))</f>
        <v>0</v>
      </c>
      <c r="Y272" s="10">
        <f>IF([1]!s_stmnote_bank_18n(B272,$A272,1)="0","",[1]!s_stmnote_bank_18n(B272,$A272,1))</f>
        <v>0</v>
      </c>
      <c r="Z272" s="41">
        <f>IF([1]!s_stmnote_bank_58(B272,$A272,1)="0","",[1]!s_stmnote_bank_58(B272,$A272,1))</f>
        <v>0</v>
      </c>
      <c r="AA272" s="52">
        <f>IF([1]!s_stmnote_bank_60(B272,$A272,1)="0","",[1]!s_stmnote_bank_60(B272,$A272,1))</f>
        <v>0</v>
      </c>
      <c r="AB272" s="52">
        <f>[1]!s_stmnote_bank_5444(B272,$A272,1)</f>
        <v>0</v>
      </c>
      <c r="AC272" s="38">
        <f>[1]!s_stmnote_bank_129n($B272,$A272,1)</f>
        <v>0</v>
      </c>
      <c r="AD272" s="54">
        <f>[1]!s_stmnote_bank_30(B272,$A272,1)</f>
        <v>0</v>
      </c>
    </row>
    <row r="273" spans="1:30" ht="24">
      <c r="A273" s="1" t="s">
        <v>1110</v>
      </c>
      <c r="B273" s="87" t="s">
        <v>1381</v>
      </c>
      <c r="C273" s="8">
        <f>IF([1]!b_info_issuer(B273)="0","",IFERROR([1]!b_info_issuer(B273),""))</f>
        <v>0</v>
      </c>
      <c r="D273" s="11">
        <f>IF([1]!b_info_latestissurercreditrating(B273)="0","",IFERROR([1]!b_info_latestissurercreditrating(B273),""))</f>
        <v>0</v>
      </c>
      <c r="E273" s="27" t="str">
        <f>IFERROR(([1]!b_stm07_bs($B273,47,$A273,1,100000000))/[1]!b_stm07_bs($B273,109,$A273,1,100000000),"")</f>
        <v/>
      </c>
      <c r="F273" s="18" t="str">
        <f>IFERROR(([1]!s_stmnote_bank_26($B273,$A273,1,100000000)-[1]!s_stmnote_bank_26($B273,#REF!,1,100000000)+#REF!)/[1]!s_stmnote_bank_1n($B273,#REF!,1,100000000),"")</f>
        <v/>
      </c>
      <c r="G273" s="21" t="str">
        <f t="shared" si="8"/>
        <v/>
      </c>
      <c r="H273" s="18" t="str">
        <f>IFERROR([1]!s_stmnote_bank($B273,"34",$A273,100000000)/[1]!s_stmnote_bank_1n(B273,$A273,1,100000000),"")</f>
        <v/>
      </c>
      <c r="I273" s="25">
        <f>[1]!b_stm07_bs(B273,74,$A273,1,100000000)</f>
        <v>0</v>
      </c>
      <c r="J273" s="25">
        <f>[1]!b_stm07_bs(B273,109,$A273,1,100000000)</f>
        <v>0</v>
      </c>
      <c r="K273" s="10">
        <f>[1]!s_stmnote_bank_5n(B273,$A273,1)</f>
        <v>0</v>
      </c>
      <c r="L273" s="25">
        <f>[1]!s_stmnote_bank_23n(B273,$A273,1)</f>
        <v>0</v>
      </c>
      <c r="M273" s="25">
        <f>[1]!s_stmnote_bank_capadequacyratio(B273,$A273,1)</f>
        <v>0</v>
      </c>
      <c r="N273" s="25">
        <f>[1]!s_stmnote_bank_capadequacyratio_ct1(B273,$A273,1)</f>
        <v>0</v>
      </c>
      <c r="O273" s="6">
        <f>IF(OR([1]!s_fa_roe(B273,20201231)="0",[1]!s_fa_roe(B273,20211231)="0",[1]!s_fa_roe(B273,20221231)="0"),"",IFERROR(([1]!s_fa_roe(B273,20221231)+[1]!s_fa_roe(B273,20201231)+[1]!s_fa_roe(B273,20211231))/3,""))</f>
        <v>0</v>
      </c>
      <c r="P273" s="28" t="str">
        <f>IFERROR(([1]!s_stmnote_bank_65(B273,$A273,1,2,4,100000000)+[1]!s_stmnote_bank_65(B273,$A273,1,2,6,100000000))/[1]!s_stmnote_bank_1n(B273,$A273,1,100000000),"")</f>
        <v/>
      </c>
      <c r="Q273" s="28" t="str">
        <f>IFERROR([1]!s_stmnote_bank_614(B273,$A273,1,2,100000000)/[1]!s_stmnote_bank_647(B273,$A273,1,2,100000000),"")</f>
        <v/>
      </c>
      <c r="R273" s="28" t="str">
        <f>IFERROR(([1]!b_stm07_bs(B273,104,$A273,1,100000000)+[1]!b_stm07_bs(B273,106,$A273,1,100000000)+[1]!b_stm07_bs(B273,76,$A273,1,100000000)+[1]!b_stm07_bs(B273,108,$A273,1,100000000)+[1]!b_stm07_bs(B273,95,$A273,1,100000000))/[1]!b_stm07_bs(B273,128,$A273,1,100000000),"")</f>
        <v/>
      </c>
      <c r="S273" s="28" t="str">
        <f>IFERROR(([1]!s_stmnote_bank_614(B273,$A273,1,2,100000000)+[1]!b_stm07_bs(B273,104,$A273,1,100000000)+[1]!b_stm07_bs(B273,106,$A273,1,100000000)+[1]!b_stm07_bs(B273,76,$A273,1,100000000)+[1]!b_stm07_bs(B273,108,$A273,1,100000000)+[1]!b_stm07_bs(B273,95,$A273,1,100000000))/[1]!b_stm07_bs(B273,128,$A273,1,100000000),"")</f>
        <v/>
      </c>
      <c r="T273" s="11">
        <f>[1]!b_issuer_shareholder(B273,"",1)</f>
        <v>0</v>
      </c>
      <c r="U273" s="10">
        <f>[1]!b_issuer_propofshareholder(B273,"",1)</f>
        <v>0</v>
      </c>
      <c r="V273" s="33" t="str">
        <f t="shared" si="9"/>
        <v>0</v>
      </c>
      <c r="W273" s="33">
        <f>[1]!s_info_city(B273)</f>
        <v>0</v>
      </c>
      <c r="X273" s="10">
        <f>IF([1]!s_stmnote_bank_17n(B273,$A273,1)="0","",[1]!s_stmnote_bank_17n(B273,$A273,1))</f>
        <v>0</v>
      </c>
      <c r="Y273" s="10">
        <f>IF([1]!s_stmnote_bank_18n(B273,$A273,1)="0","",[1]!s_stmnote_bank_18n(B273,$A273,1))</f>
        <v>0</v>
      </c>
      <c r="Z273" s="41">
        <f>IF([1]!s_stmnote_bank_58(B273,$A273,1)="0","",[1]!s_stmnote_bank_58(B273,$A273,1))</f>
        <v>0</v>
      </c>
      <c r="AA273" s="52">
        <f>IF([1]!s_stmnote_bank_60(B273,$A273,1)="0","",[1]!s_stmnote_bank_60(B273,$A273,1))</f>
        <v>0</v>
      </c>
      <c r="AB273" s="52">
        <f>[1]!s_stmnote_bank_5444(B273,$A273,1)</f>
        <v>0</v>
      </c>
      <c r="AC273" s="38">
        <f>[1]!s_stmnote_bank_129n($B273,$A273,1)</f>
        <v>0</v>
      </c>
      <c r="AD273" s="54">
        <f>[1]!s_stmnote_bank_30(B273,$A273,1)</f>
        <v>0</v>
      </c>
    </row>
    <row r="274" spans="1:30" ht="24">
      <c r="A274" s="1" t="s">
        <v>1110</v>
      </c>
      <c r="B274" s="87" t="s">
        <v>1382</v>
      </c>
      <c r="C274" s="8">
        <f>IF([1]!b_info_issuer(B274)="0","",IFERROR([1]!b_info_issuer(B274),""))</f>
        <v>0</v>
      </c>
      <c r="D274" s="11">
        <f>IF([1]!b_info_latestissurercreditrating(B274)="0","",IFERROR([1]!b_info_latestissurercreditrating(B274),""))</f>
        <v>0</v>
      </c>
      <c r="E274" s="27" t="str">
        <f>IFERROR(([1]!b_stm07_bs($B274,47,$A274,1,100000000))/[1]!b_stm07_bs($B274,109,$A274,1,100000000),"")</f>
        <v/>
      </c>
      <c r="F274" s="18" t="str">
        <f>IFERROR(([1]!s_stmnote_bank_26($B274,$A274,1,100000000)-[1]!s_stmnote_bank_26($B274,#REF!,1,100000000)+#REF!)/[1]!s_stmnote_bank_1n($B274,#REF!,1,100000000),"")</f>
        <v/>
      </c>
      <c r="G274" s="21" t="str">
        <f t="shared" si="8"/>
        <v/>
      </c>
      <c r="H274" s="18" t="str">
        <f>IFERROR([1]!s_stmnote_bank($B274,"34",$A274,100000000)/[1]!s_stmnote_bank_1n(B274,$A274,1,100000000),"")</f>
        <v/>
      </c>
      <c r="I274" s="25">
        <f>[1]!b_stm07_bs(B274,74,$A274,1,100000000)</f>
        <v>0</v>
      </c>
      <c r="J274" s="25">
        <f>[1]!b_stm07_bs(B274,109,$A274,1,100000000)</f>
        <v>0</v>
      </c>
      <c r="K274" s="10">
        <f>[1]!s_stmnote_bank_5n(B274,$A274,1)</f>
        <v>0</v>
      </c>
      <c r="L274" s="25">
        <f>[1]!s_stmnote_bank_23n(B274,$A274,1)</f>
        <v>0</v>
      </c>
      <c r="M274" s="25">
        <f>[1]!s_stmnote_bank_capadequacyratio(B274,$A274,1)</f>
        <v>0</v>
      </c>
      <c r="N274" s="25">
        <f>[1]!s_stmnote_bank_capadequacyratio_ct1(B274,$A274,1)</f>
        <v>0</v>
      </c>
      <c r="O274" s="6">
        <f>IF(OR([1]!s_fa_roe(B274,20201231)="0",[1]!s_fa_roe(B274,20211231)="0",[1]!s_fa_roe(B274,20221231)="0"),"",IFERROR(([1]!s_fa_roe(B274,20221231)+[1]!s_fa_roe(B274,20201231)+[1]!s_fa_roe(B274,20211231))/3,""))</f>
        <v>0</v>
      </c>
      <c r="P274" s="28" t="str">
        <f>IFERROR(([1]!s_stmnote_bank_65(B274,$A274,1,2,4,100000000)+[1]!s_stmnote_bank_65(B274,$A274,1,2,6,100000000))/[1]!s_stmnote_bank_1n(B274,$A274,1,100000000),"")</f>
        <v/>
      </c>
      <c r="Q274" s="28" t="str">
        <f>IFERROR([1]!s_stmnote_bank_614(B274,$A274,1,2,100000000)/[1]!s_stmnote_bank_647(B274,$A274,1,2,100000000),"")</f>
        <v/>
      </c>
      <c r="R274" s="28" t="str">
        <f>IFERROR(([1]!b_stm07_bs(B274,104,$A274,1,100000000)+[1]!b_stm07_bs(B274,106,$A274,1,100000000)+[1]!b_stm07_bs(B274,76,$A274,1,100000000)+[1]!b_stm07_bs(B274,108,$A274,1,100000000)+[1]!b_stm07_bs(B274,95,$A274,1,100000000))/[1]!b_stm07_bs(B274,128,$A274,1,100000000),"")</f>
        <v/>
      </c>
      <c r="S274" s="28" t="str">
        <f>IFERROR(([1]!s_stmnote_bank_614(B274,$A274,1,2,100000000)+[1]!b_stm07_bs(B274,104,$A274,1,100000000)+[1]!b_stm07_bs(B274,106,$A274,1,100000000)+[1]!b_stm07_bs(B274,76,$A274,1,100000000)+[1]!b_stm07_bs(B274,108,$A274,1,100000000)+[1]!b_stm07_bs(B274,95,$A274,1,100000000))/[1]!b_stm07_bs(B274,128,$A274,1,100000000),"")</f>
        <v/>
      </c>
      <c r="T274" s="11">
        <f>[1]!b_issuer_shareholder(B274,"",1)</f>
        <v>0</v>
      </c>
      <c r="U274" s="10">
        <f>[1]!b_issuer_propofshareholder(B274,"",1)</f>
        <v>0</v>
      </c>
      <c r="V274" s="33" t="str">
        <f t="shared" si="9"/>
        <v>0</v>
      </c>
      <c r="W274" s="33">
        <f>[1]!s_info_city(B274)</f>
        <v>0</v>
      </c>
      <c r="X274" s="10">
        <f>IF([1]!s_stmnote_bank_17n(B274,$A274,1)="0","",[1]!s_stmnote_bank_17n(B274,$A274,1))</f>
        <v>0</v>
      </c>
      <c r="Y274" s="10">
        <f>IF([1]!s_stmnote_bank_18n(B274,$A274,1)="0","",[1]!s_stmnote_bank_18n(B274,$A274,1))</f>
        <v>0</v>
      </c>
      <c r="Z274" s="41">
        <f>IF([1]!s_stmnote_bank_58(B274,$A274,1)="0","",[1]!s_stmnote_bank_58(B274,$A274,1))</f>
        <v>0</v>
      </c>
      <c r="AA274" s="52">
        <f>IF([1]!s_stmnote_bank_60(B274,$A274,1)="0","",[1]!s_stmnote_bank_60(B274,$A274,1))</f>
        <v>0</v>
      </c>
      <c r="AB274" s="52">
        <f>[1]!s_stmnote_bank_5444(B274,$A274,1)</f>
        <v>0</v>
      </c>
      <c r="AC274" s="38">
        <f>[1]!s_stmnote_bank_129n($B274,$A274,1)</f>
        <v>0</v>
      </c>
      <c r="AD274" s="54">
        <f>[1]!s_stmnote_bank_30(B274,$A274,1)</f>
        <v>0</v>
      </c>
    </row>
    <row r="275" spans="1:30" ht="24">
      <c r="A275" s="1" t="s">
        <v>1110</v>
      </c>
      <c r="B275" s="87" t="s">
        <v>1383</v>
      </c>
      <c r="C275" s="8">
        <f>IF([1]!b_info_issuer(B275)="0","",IFERROR([1]!b_info_issuer(B275),""))</f>
        <v>0</v>
      </c>
      <c r="D275" s="11">
        <f>IF([1]!b_info_latestissurercreditrating(B275)="0","",IFERROR([1]!b_info_latestissurercreditrating(B275),""))</f>
        <v>0</v>
      </c>
      <c r="E275" s="27" t="str">
        <f>IFERROR(([1]!b_stm07_bs($B275,47,$A275,1,100000000))/[1]!b_stm07_bs($B275,109,$A275,1,100000000),"")</f>
        <v/>
      </c>
      <c r="F275" s="18" t="str">
        <f>IFERROR(([1]!s_stmnote_bank_26($B275,$A275,1,100000000)-[1]!s_stmnote_bank_26($B275,#REF!,1,100000000)+#REF!)/[1]!s_stmnote_bank_1n($B275,#REF!,1,100000000),"")</f>
        <v/>
      </c>
      <c r="G275" s="21" t="str">
        <f t="shared" si="8"/>
        <v/>
      </c>
      <c r="H275" s="18" t="str">
        <f>IFERROR([1]!s_stmnote_bank($B275,"34",$A275,100000000)/[1]!s_stmnote_bank_1n(B275,$A275,1,100000000),"")</f>
        <v/>
      </c>
      <c r="I275" s="25">
        <f>[1]!b_stm07_bs(B275,74,$A275,1,100000000)</f>
        <v>0</v>
      </c>
      <c r="J275" s="25">
        <f>[1]!b_stm07_bs(B275,109,$A275,1,100000000)</f>
        <v>0</v>
      </c>
      <c r="K275" s="10">
        <f>[1]!s_stmnote_bank_5n(B275,$A275,1)</f>
        <v>0</v>
      </c>
      <c r="L275" s="25">
        <f>[1]!s_stmnote_bank_23n(B275,$A275,1)</f>
        <v>0</v>
      </c>
      <c r="M275" s="25">
        <f>[1]!s_stmnote_bank_capadequacyratio(B275,$A275,1)</f>
        <v>0</v>
      </c>
      <c r="N275" s="25">
        <f>[1]!s_stmnote_bank_capadequacyratio_ct1(B275,$A275,1)</f>
        <v>0</v>
      </c>
      <c r="O275" s="6">
        <f>IF(OR([1]!s_fa_roe(B275,20201231)="0",[1]!s_fa_roe(B275,20211231)="0",[1]!s_fa_roe(B275,20221231)="0"),"",IFERROR(([1]!s_fa_roe(B275,20221231)+[1]!s_fa_roe(B275,20201231)+[1]!s_fa_roe(B275,20211231))/3,""))</f>
        <v>0</v>
      </c>
      <c r="P275" s="28" t="str">
        <f>IFERROR(([1]!s_stmnote_bank_65(B275,$A275,1,2,4,100000000)+[1]!s_stmnote_bank_65(B275,$A275,1,2,6,100000000))/[1]!s_stmnote_bank_1n(B275,$A275,1,100000000),"")</f>
        <v/>
      </c>
      <c r="Q275" s="28" t="str">
        <f>IFERROR([1]!s_stmnote_bank_614(B275,$A275,1,2,100000000)/[1]!s_stmnote_bank_647(B275,$A275,1,2,100000000),"")</f>
        <v/>
      </c>
      <c r="R275" s="28" t="str">
        <f>IFERROR(([1]!b_stm07_bs(B275,104,$A275,1,100000000)+[1]!b_stm07_bs(B275,106,$A275,1,100000000)+[1]!b_stm07_bs(B275,76,$A275,1,100000000)+[1]!b_stm07_bs(B275,108,$A275,1,100000000)+[1]!b_stm07_bs(B275,95,$A275,1,100000000))/[1]!b_stm07_bs(B275,128,$A275,1,100000000),"")</f>
        <v/>
      </c>
      <c r="S275" s="28" t="str">
        <f>IFERROR(([1]!s_stmnote_bank_614(B275,$A275,1,2,100000000)+[1]!b_stm07_bs(B275,104,$A275,1,100000000)+[1]!b_stm07_bs(B275,106,$A275,1,100000000)+[1]!b_stm07_bs(B275,76,$A275,1,100000000)+[1]!b_stm07_bs(B275,108,$A275,1,100000000)+[1]!b_stm07_bs(B275,95,$A275,1,100000000))/[1]!b_stm07_bs(B275,128,$A275,1,100000000),"")</f>
        <v/>
      </c>
      <c r="T275" s="11">
        <f>[1]!b_issuer_shareholder(B275,"",1)</f>
        <v>0</v>
      </c>
      <c r="U275" s="10">
        <f>[1]!b_issuer_propofshareholder(B275,"",1)</f>
        <v>0</v>
      </c>
      <c r="V275" s="33" t="str">
        <f t="shared" si="9"/>
        <v>0</v>
      </c>
      <c r="W275" s="33">
        <f>[1]!s_info_city(B275)</f>
        <v>0</v>
      </c>
      <c r="X275" s="10">
        <f>IF([1]!s_stmnote_bank_17n(B275,$A275,1)="0","",[1]!s_stmnote_bank_17n(B275,$A275,1))</f>
        <v>0</v>
      </c>
      <c r="Y275" s="10">
        <f>IF([1]!s_stmnote_bank_18n(B275,$A275,1)="0","",[1]!s_stmnote_bank_18n(B275,$A275,1))</f>
        <v>0</v>
      </c>
      <c r="Z275" s="41">
        <f>IF([1]!s_stmnote_bank_58(B275,$A275,1)="0","",[1]!s_stmnote_bank_58(B275,$A275,1))</f>
        <v>0</v>
      </c>
      <c r="AA275" s="52">
        <f>IF([1]!s_stmnote_bank_60(B275,$A275,1)="0","",[1]!s_stmnote_bank_60(B275,$A275,1))</f>
        <v>0</v>
      </c>
      <c r="AB275" s="52">
        <f>[1]!s_stmnote_bank_5444(B275,$A275,1)</f>
        <v>0</v>
      </c>
      <c r="AC275" s="38">
        <f>[1]!s_stmnote_bank_129n($B275,$A275,1)</f>
        <v>0</v>
      </c>
      <c r="AD275" s="54">
        <f>[1]!s_stmnote_bank_30(B275,$A275,1)</f>
        <v>0</v>
      </c>
    </row>
    <row r="276" spans="1:30" ht="24">
      <c r="A276" s="1" t="s">
        <v>1110</v>
      </c>
      <c r="B276" s="87" t="s">
        <v>1384</v>
      </c>
      <c r="C276" s="8">
        <f>IF([1]!b_info_issuer(B276)="0","",IFERROR([1]!b_info_issuer(B276),""))</f>
        <v>0</v>
      </c>
      <c r="D276" s="11">
        <f>IF([1]!b_info_latestissurercreditrating(B276)="0","",IFERROR([1]!b_info_latestissurercreditrating(B276),""))</f>
        <v>0</v>
      </c>
      <c r="E276" s="27" t="str">
        <f>IFERROR(([1]!b_stm07_bs($B276,47,$A276,1,100000000))/[1]!b_stm07_bs($B276,109,$A276,1,100000000),"")</f>
        <v/>
      </c>
      <c r="F276" s="18" t="str">
        <f>IFERROR(([1]!s_stmnote_bank_26($B276,$A276,1,100000000)-[1]!s_stmnote_bank_26($B276,#REF!,1,100000000)+#REF!)/[1]!s_stmnote_bank_1n($B276,#REF!,1,100000000),"")</f>
        <v/>
      </c>
      <c r="G276" s="21" t="str">
        <f t="shared" si="8"/>
        <v/>
      </c>
      <c r="H276" s="18" t="str">
        <f>IFERROR([1]!s_stmnote_bank($B276,"34",$A276,100000000)/[1]!s_stmnote_bank_1n(B276,$A276,1,100000000),"")</f>
        <v/>
      </c>
      <c r="I276" s="25">
        <f>[1]!b_stm07_bs(B276,74,$A276,1,100000000)</f>
        <v>0</v>
      </c>
      <c r="J276" s="25">
        <f>[1]!b_stm07_bs(B276,109,$A276,1,100000000)</f>
        <v>0</v>
      </c>
      <c r="K276" s="10">
        <f>[1]!s_stmnote_bank_5n(B276,$A276,1)</f>
        <v>0</v>
      </c>
      <c r="L276" s="25">
        <f>[1]!s_stmnote_bank_23n(B276,$A276,1)</f>
        <v>0</v>
      </c>
      <c r="M276" s="25">
        <f>[1]!s_stmnote_bank_capadequacyratio(B276,$A276,1)</f>
        <v>0</v>
      </c>
      <c r="N276" s="25">
        <f>[1]!s_stmnote_bank_capadequacyratio_ct1(B276,$A276,1)</f>
        <v>0</v>
      </c>
      <c r="O276" s="6">
        <f>IF(OR([1]!s_fa_roe(B276,20201231)="0",[1]!s_fa_roe(B276,20211231)="0",[1]!s_fa_roe(B276,20221231)="0"),"",IFERROR(([1]!s_fa_roe(B276,20221231)+[1]!s_fa_roe(B276,20201231)+[1]!s_fa_roe(B276,20211231))/3,""))</f>
        <v>0</v>
      </c>
      <c r="P276" s="28" t="str">
        <f>IFERROR(([1]!s_stmnote_bank_65(B276,$A276,1,2,4,100000000)+[1]!s_stmnote_bank_65(B276,$A276,1,2,6,100000000))/[1]!s_stmnote_bank_1n(B276,$A276,1,100000000),"")</f>
        <v/>
      </c>
      <c r="Q276" s="28" t="str">
        <f>IFERROR([1]!s_stmnote_bank_614(B276,$A276,1,2,100000000)/[1]!s_stmnote_bank_647(B276,$A276,1,2,100000000),"")</f>
        <v/>
      </c>
      <c r="R276" s="28" t="str">
        <f>IFERROR(([1]!b_stm07_bs(B276,104,$A276,1,100000000)+[1]!b_stm07_bs(B276,106,$A276,1,100000000)+[1]!b_stm07_bs(B276,76,$A276,1,100000000)+[1]!b_stm07_bs(B276,108,$A276,1,100000000)+[1]!b_stm07_bs(B276,95,$A276,1,100000000))/[1]!b_stm07_bs(B276,128,$A276,1,100000000),"")</f>
        <v/>
      </c>
      <c r="S276" s="28" t="str">
        <f>IFERROR(([1]!s_stmnote_bank_614(B276,$A276,1,2,100000000)+[1]!b_stm07_bs(B276,104,$A276,1,100000000)+[1]!b_stm07_bs(B276,106,$A276,1,100000000)+[1]!b_stm07_bs(B276,76,$A276,1,100000000)+[1]!b_stm07_bs(B276,108,$A276,1,100000000)+[1]!b_stm07_bs(B276,95,$A276,1,100000000))/[1]!b_stm07_bs(B276,128,$A276,1,100000000),"")</f>
        <v/>
      </c>
      <c r="T276" s="11">
        <f>[1]!b_issuer_shareholder(B276,"",1)</f>
        <v>0</v>
      </c>
      <c r="U276" s="10">
        <f>[1]!b_issuer_propofshareholder(B276,"",1)</f>
        <v>0</v>
      </c>
      <c r="V276" s="33" t="str">
        <f t="shared" si="9"/>
        <v>0</v>
      </c>
      <c r="W276" s="33">
        <f>[1]!s_info_city(B276)</f>
        <v>0</v>
      </c>
      <c r="X276" s="10">
        <f>IF([1]!s_stmnote_bank_17n(B276,$A276,1)="0","",[1]!s_stmnote_bank_17n(B276,$A276,1))</f>
        <v>0</v>
      </c>
      <c r="Y276" s="10">
        <f>IF([1]!s_stmnote_bank_18n(B276,$A276,1)="0","",[1]!s_stmnote_bank_18n(B276,$A276,1))</f>
        <v>0</v>
      </c>
      <c r="Z276" s="41">
        <f>IF([1]!s_stmnote_bank_58(B276,$A276,1)="0","",[1]!s_stmnote_bank_58(B276,$A276,1))</f>
        <v>0</v>
      </c>
      <c r="AA276" s="52">
        <f>IF([1]!s_stmnote_bank_60(B276,$A276,1)="0","",[1]!s_stmnote_bank_60(B276,$A276,1))</f>
        <v>0</v>
      </c>
      <c r="AB276" s="52">
        <f>[1]!s_stmnote_bank_5444(B276,$A276,1)</f>
        <v>0</v>
      </c>
      <c r="AC276" s="38">
        <f>[1]!s_stmnote_bank_129n($B276,$A276,1)</f>
        <v>0</v>
      </c>
      <c r="AD276" s="54">
        <f>[1]!s_stmnote_bank_30(B276,$A276,1)</f>
        <v>0</v>
      </c>
    </row>
    <row r="277" spans="1:30" ht="24">
      <c r="A277" s="1" t="s">
        <v>1110</v>
      </c>
      <c r="B277" s="87" t="s">
        <v>1385</v>
      </c>
      <c r="C277" s="8">
        <f>IF([1]!b_info_issuer(B277)="0","",IFERROR([1]!b_info_issuer(B277),""))</f>
        <v>0</v>
      </c>
      <c r="D277" s="11">
        <f>IF([1]!b_info_latestissurercreditrating(B277)="0","",IFERROR([1]!b_info_latestissurercreditrating(B277),""))</f>
        <v>0</v>
      </c>
      <c r="E277" s="27" t="str">
        <f>IFERROR(([1]!b_stm07_bs($B277,47,$A277,1,100000000))/[1]!b_stm07_bs($B277,109,$A277,1,100000000),"")</f>
        <v/>
      </c>
      <c r="F277" s="18" t="str">
        <f>IFERROR(([1]!s_stmnote_bank_26($B277,$A277,1,100000000)-[1]!s_stmnote_bank_26($B277,#REF!,1,100000000)+#REF!)/[1]!s_stmnote_bank_1n($B277,#REF!,1,100000000),"")</f>
        <v/>
      </c>
      <c r="G277" s="21" t="str">
        <f t="shared" si="8"/>
        <v/>
      </c>
      <c r="H277" s="18" t="str">
        <f>IFERROR([1]!s_stmnote_bank($B277,"34",$A277,100000000)/[1]!s_stmnote_bank_1n(B277,$A277,1,100000000),"")</f>
        <v/>
      </c>
      <c r="I277" s="25">
        <f>[1]!b_stm07_bs(B277,74,$A277,1,100000000)</f>
        <v>0</v>
      </c>
      <c r="J277" s="25">
        <f>[1]!b_stm07_bs(B277,109,$A277,1,100000000)</f>
        <v>0</v>
      </c>
      <c r="K277" s="10">
        <f>[1]!s_stmnote_bank_5n(B277,$A277,1)</f>
        <v>0</v>
      </c>
      <c r="L277" s="25">
        <f>[1]!s_stmnote_bank_23n(B277,$A277,1)</f>
        <v>0</v>
      </c>
      <c r="M277" s="25">
        <f>[1]!s_stmnote_bank_capadequacyratio(B277,$A277,1)</f>
        <v>0</v>
      </c>
      <c r="N277" s="25">
        <f>[1]!s_stmnote_bank_capadequacyratio_ct1(B277,$A277,1)</f>
        <v>0</v>
      </c>
      <c r="O277" s="6">
        <f>IF(OR([1]!s_fa_roe(B277,20201231)="0",[1]!s_fa_roe(B277,20211231)="0",[1]!s_fa_roe(B277,20221231)="0"),"",IFERROR(([1]!s_fa_roe(B277,20221231)+[1]!s_fa_roe(B277,20201231)+[1]!s_fa_roe(B277,20211231))/3,""))</f>
        <v>0</v>
      </c>
      <c r="P277" s="28" t="str">
        <f>IFERROR(([1]!s_stmnote_bank_65(B277,$A277,1,2,4,100000000)+[1]!s_stmnote_bank_65(B277,$A277,1,2,6,100000000))/[1]!s_stmnote_bank_1n(B277,$A277,1,100000000),"")</f>
        <v/>
      </c>
      <c r="Q277" s="28" t="str">
        <f>IFERROR([1]!s_stmnote_bank_614(B277,$A277,1,2,100000000)/[1]!s_stmnote_bank_647(B277,$A277,1,2,100000000),"")</f>
        <v/>
      </c>
      <c r="R277" s="28" t="str">
        <f>IFERROR(([1]!b_stm07_bs(B277,104,$A277,1,100000000)+[1]!b_stm07_bs(B277,106,$A277,1,100000000)+[1]!b_stm07_bs(B277,76,$A277,1,100000000)+[1]!b_stm07_bs(B277,108,$A277,1,100000000)+[1]!b_stm07_bs(B277,95,$A277,1,100000000))/[1]!b_stm07_bs(B277,128,$A277,1,100000000),"")</f>
        <v/>
      </c>
      <c r="S277" s="28" t="str">
        <f>IFERROR(([1]!s_stmnote_bank_614(B277,$A277,1,2,100000000)+[1]!b_stm07_bs(B277,104,$A277,1,100000000)+[1]!b_stm07_bs(B277,106,$A277,1,100000000)+[1]!b_stm07_bs(B277,76,$A277,1,100000000)+[1]!b_stm07_bs(B277,108,$A277,1,100000000)+[1]!b_stm07_bs(B277,95,$A277,1,100000000))/[1]!b_stm07_bs(B277,128,$A277,1,100000000),"")</f>
        <v/>
      </c>
      <c r="T277" s="11">
        <f>[1]!b_issuer_shareholder(B277,"",1)</f>
        <v>0</v>
      </c>
      <c r="U277" s="10">
        <f>[1]!b_issuer_propofshareholder(B277,"",1)</f>
        <v>0</v>
      </c>
      <c r="V277" s="33" t="str">
        <f t="shared" si="9"/>
        <v>0</v>
      </c>
      <c r="W277" s="33">
        <f>[1]!s_info_city(B277)</f>
        <v>0</v>
      </c>
      <c r="X277" s="10">
        <f>IF([1]!s_stmnote_bank_17n(B277,$A277,1)="0","",[1]!s_stmnote_bank_17n(B277,$A277,1))</f>
        <v>0</v>
      </c>
      <c r="Y277" s="10">
        <f>IF([1]!s_stmnote_bank_18n(B277,$A277,1)="0","",[1]!s_stmnote_bank_18n(B277,$A277,1))</f>
        <v>0</v>
      </c>
      <c r="Z277" s="41">
        <f>IF([1]!s_stmnote_bank_58(B277,$A277,1)="0","",[1]!s_stmnote_bank_58(B277,$A277,1))</f>
        <v>0</v>
      </c>
      <c r="AA277" s="52">
        <f>IF([1]!s_stmnote_bank_60(B277,$A277,1)="0","",[1]!s_stmnote_bank_60(B277,$A277,1))</f>
        <v>0</v>
      </c>
      <c r="AB277" s="52">
        <f>[1]!s_stmnote_bank_5444(B277,$A277,1)</f>
        <v>0</v>
      </c>
      <c r="AC277" s="38">
        <f>[1]!s_stmnote_bank_129n($B277,$A277,1)</f>
        <v>0</v>
      </c>
      <c r="AD277" s="54">
        <f>[1]!s_stmnote_bank_30(B277,$A277,1)</f>
        <v>0</v>
      </c>
    </row>
    <row r="278" spans="1:30" ht="24">
      <c r="A278" s="1" t="s">
        <v>1110</v>
      </c>
      <c r="B278" s="87" t="s">
        <v>1386</v>
      </c>
      <c r="C278" s="8">
        <f>IF([1]!b_info_issuer(B278)="0","",IFERROR([1]!b_info_issuer(B278),""))</f>
        <v>0</v>
      </c>
      <c r="D278" s="11">
        <f>IF([1]!b_info_latestissurercreditrating(B278)="0","",IFERROR([1]!b_info_latestissurercreditrating(B278),""))</f>
        <v>0</v>
      </c>
      <c r="E278" s="27" t="str">
        <f>IFERROR(([1]!b_stm07_bs($B278,47,$A278,1,100000000))/[1]!b_stm07_bs($B278,109,$A278,1,100000000),"")</f>
        <v/>
      </c>
      <c r="F278" s="18" t="str">
        <f>IFERROR(([1]!s_stmnote_bank_26($B278,$A278,1,100000000)-[1]!s_stmnote_bank_26($B278,#REF!,1,100000000)+#REF!)/[1]!s_stmnote_bank_1n($B278,#REF!,1,100000000),"")</f>
        <v/>
      </c>
      <c r="G278" s="21" t="str">
        <f t="shared" si="8"/>
        <v/>
      </c>
      <c r="H278" s="18" t="str">
        <f>IFERROR([1]!s_stmnote_bank($B278,"34",$A278,100000000)/[1]!s_stmnote_bank_1n(B278,$A278,1,100000000),"")</f>
        <v/>
      </c>
      <c r="I278" s="25">
        <f>[1]!b_stm07_bs(B278,74,$A278,1,100000000)</f>
        <v>0</v>
      </c>
      <c r="J278" s="25">
        <f>[1]!b_stm07_bs(B278,109,$A278,1,100000000)</f>
        <v>0</v>
      </c>
      <c r="K278" s="10">
        <f>[1]!s_stmnote_bank_5n(B278,$A278,1)</f>
        <v>0</v>
      </c>
      <c r="L278" s="25">
        <f>[1]!s_stmnote_bank_23n(B278,$A278,1)</f>
        <v>0</v>
      </c>
      <c r="M278" s="25">
        <f>[1]!s_stmnote_bank_capadequacyratio(B278,$A278,1)</f>
        <v>0</v>
      </c>
      <c r="N278" s="25">
        <f>[1]!s_stmnote_bank_capadequacyratio_ct1(B278,$A278,1)</f>
        <v>0</v>
      </c>
      <c r="O278" s="6">
        <f>IF(OR([1]!s_fa_roe(B278,20201231)="0",[1]!s_fa_roe(B278,20211231)="0",[1]!s_fa_roe(B278,20221231)="0"),"",IFERROR(([1]!s_fa_roe(B278,20221231)+[1]!s_fa_roe(B278,20201231)+[1]!s_fa_roe(B278,20211231))/3,""))</f>
        <v>0</v>
      </c>
      <c r="P278" s="28" t="str">
        <f>IFERROR(([1]!s_stmnote_bank_65(B278,$A278,1,2,4,100000000)+[1]!s_stmnote_bank_65(B278,$A278,1,2,6,100000000))/[1]!s_stmnote_bank_1n(B278,$A278,1,100000000),"")</f>
        <v/>
      </c>
      <c r="Q278" s="28" t="str">
        <f>IFERROR([1]!s_stmnote_bank_614(B278,$A278,1,2,100000000)/[1]!s_stmnote_bank_647(B278,$A278,1,2,100000000),"")</f>
        <v/>
      </c>
      <c r="R278" s="28" t="str">
        <f>IFERROR(([1]!b_stm07_bs(B278,104,$A278,1,100000000)+[1]!b_stm07_bs(B278,106,$A278,1,100000000)+[1]!b_stm07_bs(B278,76,$A278,1,100000000)+[1]!b_stm07_bs(B278,108,$A278,1,100000000)+[1]!b_stm07_bs(B278,95,$A278,1,100000000))/[1]!b_stm07_bs(B278,128,$A278,1,100000000),"")</f>
        <v/>
      </c>
      <c r="S278" s="28" t="str">
        <f>IFERROR(([1]!s_stmnote_bank_614(B278,$A278,1,2,100000000)+[1]!b_stm07_bs(B278,104,$A278,1,100000000)+[1]!b_stm07_bs(B278,106,$A278,1,100000000)+[1]!b_stm07_bs(B278,76,$A278,1,100000000)+[1]!b_stm07_bs(B278,108,$A278,1,100000000)+[1]!b_stm07_bs(B278,95,$A278,1,100000000))/[1]!b_stm07_bs(B278,128,$A278,1,100000000),"")</f>
        <v/>
      </c>
      <c r="T278" s="11">
        <f>[1]!b_issuer_shareholder(B278,"",1)</f>
        <v>0</v>
      </c>
      <c r="U278" s="10">
        <f>[1]!b_issuer_propofshareholder(B278,"",1)</f>
        <v>0</v>
      </c>
      <c r="V278" s="33" t="str">
        <f t="shared" si="9"/>
        <v>0</v>
      </c>
      <c r="W278" s="33">
        <f>[1]!s_info_city(B278)</f>
        <v>0</v>
      </c>
      <c r="X278" s="10">
        <f>IF([1]!s_stmnote_bank_17n(B278,$A278,1)="0","",[1]!s_stmnote_bank_17n(B278,$A278,1))</f>
        <v>0</v>
      </c>
      <c r="Y278" s="10">
        <f>IF([1]!s_stmnote_bank_18n(B278,$A278,1)="0","",[1]!s_stmnote_bank_18n(B278,$A278,1))</f>
        <v>0</v>
      </c>
      <c r="Z278" s="41">
        <f>IF([1]!s_stmnote_bank_58(B278,$A278,1)="0","",[1]!s_stmnote_bank_58(B278,$A278,1))</f>
        <v>0</v>
      </c>
      <c r="AA278" s="52">
        <f>IF([1]!s_stmnote_bank_60(B278,$A278,1)="0","",[1]!s_stmnote_bank_60(B278,$A278,1))</f>
        <v>0</v>
      </c>
      <c r="AB278" s="52">
        <f>[1]!s_stmnote_bank_5444(B278,$A278,1)</f>
        <v>0</v>
      </c>
      <c r="AC278" s="38">
        <f>[1]!s_stmnote_bank_129n($B278,$A278,1)</f>
        <v>0</v>
      </c>
      <c r="AD278" s="54">
        <f>[1]!s_stmnote_bank_30(B278,$A278,1)</f>
        <v>0</v>
      </c>
    </row>
    <row r="279" spans="1:30" ht="24">
      <c r="A279" s="1" t="s">
        <v>1110</v>
      </c>
      <c r="B279" s="87" t="s">
        <v>1387</v>
      </c>
      <c r="C279" s="8">
        <f>IF([1]!b_info_issuer(B279)="0","",IFERROR([1]!b_info_issuer(B279),""))</f>
        <v>0</v>
      </c>
      <c r="D279" s="11">
        <f>IF([1]!b_info_latestissurercreditrating(B279)="0","",IFERROR([1]!b_info_latestissurercreditrating(B279),""))</f>
        <v>0</v>
      </c>
      <c r="E279" s="27" t="str">
        <f>IFERROR(([1]!b_stm07_bs($B279,47,$A279,1,100000000))/[1]!b_stm07_bs($B279,109,$A279,1,100000000),"")</f>
        <v/>
      </c>
      <c r="F279" s="18" t="str">
        <f>IFERROR(([1]!s_stmnote_bank_26($B279,$A279,1,100000000)-[1]!s_stmnote_bank_26($B279,#REF!,1,100000000)+#REF!)/[1]!s_stmnote_bank_1n($B279,#REF!,1,100000000),"")</f>
        <v/>
      </c>
      <c r="G279" s="21" t="str">
        <f t="shared" si="8"/>
        <v/>
      </c>
      <c r="H279" s="18" t="str">
        <f>IFERROR([1]!s_stmnote_bank($B279,"34",$A279,100000000)/[1]!s_stmnote_bank_1n(B279,$A279,1,100000000),"")</f>
        <v/>
      </c>
      <c r="I279" s="25">
        <f>[1]!b_stm07_bs(B279,74,$A279,1,100000000)</f>
        <v>0</v>
      </c>
      <c r="J279" s="25">
        <f>[1]!b_stm07_bs(B279,109,$A279,1,100000000)</f>
        <v>0</v>
      </c>
      <c r="K279" s="10">
        <f>[1]!s_stmnote_bank_5n(B279,$A279,1)</f>
        <v>0</v>
      </c>
      <c r="L279" s="25">
        <f>[1]!s_stmnote_bank_23n(B279,$A279,1)</f>
        <v>0</v>
      </c>
      <c r="M279" s="25">
        <f>[1]!s_stmnote_bank_capadequacyratio(B279,$A279,1)</f>
        <v>0</v>
      </c>
      <c r="N279" s="25">
        <f>[1]!s_stmnote_bank_capadequacyratio_ct1(B279,$A279,1)</f>
        <v>0</v>
      </c>
      <c r="O279" s="6">
        <f>IF(OR([1]!s_fa_roe(B279,20201231)="0",[1]!s_fa_roe(B279,20211231)="0",[1]!s_fa_roe(B279,20221231)="0"),"",IFERROR(([1]!s_fa_roe(B279,20221231)+[1]!s_fa_roe(B279,20201231)+[1]!s_fa_roe(B279,20211231))/3,""))</f>
        <v>0</v>
      </c>
      <c r="P279" s="28" t="str">
        <f>IFERROR(([1]!s_stmnote_bank_65(B279,$A279,1,2,4,100000000)+[1]!s_stmnote_bank_65(B279,$A279,1,2,6,100000000))/[1]!s_stmnote_bank_1n(B279,$A279,1,100000000),"")</f>
        <v/>
      </c>
      <c r="Q279" s="28" t="str">
        <f>IFERROR([1]!s_stmnote_bank_614(B279,$A279,1,2,100000000)/[1]!s_stmnote_bank_647(B279,$A279,1,2,100000000),"")</f>
        <v/>
      </c>
      <c r="R279" s="28" t="str">
        <f>IFERROR(([1]!b_stm07_bs(B279,104,$A279,1,100000000)+[1]!b_stm07_bs(B279,106,$A279,1,100000000)+[1]!b_stm07_bs(B279,76,$A279,1,100000000)+[1]!b_stm07_bs(B279,108,$A279,1,100000000)+[1]!b_stm07_bs(B279,95,$A279,1,100000000))/[1]!b_stm07_bs(B279,128,$A279,1,100000000),"")</f>
        <v/>
      </c>
      <c r="S279" s="28" t="str">
        <f>IFERROR(([1]!s_stmnote_bank_614(B279,$A279,1,2,100000000)+[1]!b_stm07_bs(B279,104,$A279,1,100000000)+[1]!b_stm07_bs(B279,106,$A279,1,100000000)+[1]!b_stm07_bs(B279,76,$A279,1,100000000)+[1]!b_stm07_bs(B279,108,$A279,1,100000000)+[1]!b_stm07_bs(B279,95,$A279,1,100000000))/[1]!b_stm07_bs(B279,128,$A279,1,100000000),"")</f>
        <v/>
      </c>
      <c r="T279" s="11">
        <f>[1]!b_issuer_shareholder(B279,"",1)</f>
        <v>0</v>
      </c>
      <c r="U279" s="10">
        <f>[1]!b_issuer_propofshareholder(B279,"",1)</f>
        <v>0</v>
      </c>
      <c r="V279" s="33" t="str">
        <f t="shared" si="9"/>
        <v>0</v>
      </c>
      <c r="W279" s="33">
        <f>[1]!s_info_city(B279)</f>
        <v>0</v>
      </c>
      <c r="X279" s="10">
        <f>IF([1]!s_stmnote_bank_17n(B279,$A279,1)="0","",[1]!s_stmnote_bank_17n(B279,$A279,1))</f>
        <v>0</v>
      </c>
      <c r="Y279" s="10">
        <f>IF([1]!s_stmnote_bank_18n(B279,$A279,1)="0","",[1]!s_stmnote_bank_18n(B279,$A279,1))</f>
        <v>0</v>
      </c>
      <c r="Z279" s="41">
        <f>IF([1]!s_stmnote_bank_58(B279,$A279,1)="0","",[1]!s_stmnote_bank_58(B279,$A279,1))</f>
        <v>0</v>
      </c>
      <c r="AA279" s="52">
        <f>IF([1]!s_stmnote_bank_60(B279,$A279,1)="0","",[1]!s_stmnote_bank_60(B279,$A279,1))</f>
        <v>0</v>
      </c>
      <c r="AB279" s="52">
        <f>[1]!s_stmnote_bank_5444(B279,$A279,1)</f>
        <v>0</v>
      </c>
      <c r="AC279" s="38">
        <f>[1]!s_stmnote_bank_129n($B279,$A279,1)</f>
        <v>0</v>
      </c>
      <c r="AD279" s="54">
        <f>[1]!s_stmnote_bank_30(B279,$A279,1)</f>
        <v>0</v>
      </c>
    </row>
    <row r="280" spans="1:30" ht="24">
      <c r="A280" s="1" t="s">
        <v>1110</v>
      </c>
      <c r="B280" s="87" t="s">
        <v>1388</v>
      </c>
      <c r="C280" s="8">
        <f>IF([1]!b_info_issuer(B280)="0","",IFERROR([1]!b_info_issuer(B280),""))</f>
        <v>0</v>
      </c>
      <c r="D280" s="11">
        <f>IF([1]!b_info_latestissurercreditrating(B280)="0","",IFERROR([1]!b_info_latestissurercreditrating(B280),""))</f>
        <v>0</v>
      </c>
      <c r="E280" s="27" t="str">
        <f>IFERROR(([1]!b_stm07_bs($B280,47,$A280,1,100000000))/[1]!b_stm07_bs($B280,109,$A280,1,100000000),"")</f>
        <v/>
      </c>
      <c r="F280" s="18" t="str">
        <f>IFERROR(([1]!s_stmnote_bank_26($B280,$A280,1,100000000)-[1]!s_stmnote_bank_26($B280,#REF!,1,100000000)+#REF!)/[1]!s_stmnote_bank_1n($B280,#REF!,1,100000000),"")</f>
        <v/>
      </c>
      <c r="G280" s="21" t="str">
        <f t="shared" si="8"/>
        <v/>
      </c>
      <c r="H280" s="18" t="str">
        <f>IFERROR([1]!s_stmnote_bank($B280,"34",$A280,100000000)/[1]!s_stmnote_bank_1n(B280,$A280,1,100000000),"")</f>
        <v/>
      </c>
      <c r="I280" s="25">
        <f>[1]!b_stm07_bs(B280,74,$A280,1,100000000)</f>
        <v>0</v>
      </c>
      <c r="J280" s="25">
        <f>[1]!b_stm07_bs(B280,109,$A280,1,100000000)</f>
        <v>0</v>
      </c>
      <c r="K280" s="10">
        <f>[1]!s_stmnote_bank_5n(B280,$A280,1)</f>
        <v>0</v>
      </c>
      <c r="L280" s="25">
        <f>[1]!s_stmnote_bank_23n(B280,$A280,1)</f>
        <v>0</v>
      </c>
      <c r="M280" s="25">
        <f>[1]!s_stmnote_bank_capadequacyratio(B280,$A280,1)</f>
        <v>0</v>
      </c>
      <c r="N280" s="25">
        <f>[1]!s_stmnote_bank_capadequacyratio_ct1(B280,$A280,1)</f>
        <v>0</v>
      </c>
      <c r="O280" s="6">
        <f>IF(OR([1]!s_fa_roe(B280,20201231)="0",[1]!s_fa_roe(B280,20211231)="0",[1]!s_fa_roe(B280,20221231)="0"),"",IFERROR(([1]!s_fa_roe(B280,20221231)+[1]!s_fa_roe(B280,20201231)+[1]!s_fa_roe(B280,20211231))/3,""))</f>
        <v>0</v>
      </c>
      <c r="P280" s="28" t="str">
        <f>IFERROR(([1]!s_stmnote_bank_65(B280,$A280,1,2,4,100000000)+[1]!s_stmnote_bank_65(B280,$A280,1,2,6,100000000))/[1]!s_stmnote_bank_1n(B280,$A280,1,100000000),"")</f>
        <v/>
      </c>
      <c r="Q280" s="28" t="str">
        <f>IFERROR([1]!s_stmnote_bank_614(B280,$A280,1,2,100000000)/[1]!s_stmnote_bank_647(B280,$A280,1,2,100000000),"")</f>
        <v/>
      </c>
      <c r="R280" s="28" t="str">
        <f>IFERROR(([1]!b_stm07_bs(B280,104,$A280,1,100000000)+[1]!b_stm07_bs(B280,106,$A280,1,100000000)+[1]!b_stm07_bs(B280,76,$A280,1,100000000)+[1]!b_stm07_bs(B280,108,$A280,1,100000000)+[1]!b_stm07_bs(B280,95,$A280,1,100000000))/[1]!b_stm07_bs(B280,128,$A280,1,100000000),"")</f>
        <v/>
      </c>
      <c r="S280" s="28" t="str">
        <f>IFERROR(([1]!s_stmnote_bank_614(B280,$A280,1,2,100000000)+[1]!b_stm07_bs(B280,104,$A280,1,100000000)+[1]!b_stm07_bs(B280,106,$A280,1,100000000)+[1]!b_stm07_bs(B280,76,$A280,1,100000000)+[1]!b_stm07_bs(B280,108,$A280,1,100000000)+[1]!b_stm07_bs(B280,95,$A280,1,100000000))/[1]!b_stm07_bs(B280,128,$A280,1,100000000),"")</f>
        <v/>
      </c>
      <c r="T280" s="11">
        <f>[1]!b_issuer_shareholder(B280,"",1)</f>
        <v>0</v>
      </c>
      <c r="U280" s="10">
        <f>[1]!b_issuer_propofshareholder(B280,"",1)</f>
        <v>0</v>
      </c>
      <c r="V280" s="33" t="str">
        <f t="shared" si="9"/>
        <v>0</v>
      </c>
      <c r="W280" s="33">
        <f>[1]!s_info_city(B280)</f>
        <v>0</v>
      </c>
      <c r="X280" s="10">
        <f>IF([1]!s_stmnote_bank_17n(B280,$A280,1)="0","",[1]!s_stmnote_bank_17n(B280,$A280,1))</f>
        <v>0</v>
      </c>
      <c r="Y280" s="10">
        <f>IF([1]!s_stmnote_bank_18n(B280,$A280,1)="0","",[1]!s_stmnote_bank_18n(B280,$A280,1))</f>
        <v>0</v>
      </c>
      <c r="Z280" s="41">
        <f>IF([1]!s_stmnote_bank_58(B280,$A280,1)="0","",[1]!s_stmnote_bank_58(B280,$A280,1))</f>
        <v>0</v>
      </c>
      <c r="AA280" s="52">
        <f>IF([1]!s_stmnote_bank_60(B280,$A280,1)="0","",[1]!s_stmnote_bank_60(B280,$A280,1))</f>
        <v>0</v>
      </c>
      <c r="AB280" s="52">
        <f>[1]!s_stmnote_bank_5444(B280,$A280,1)</f>
        <v>0</v>
      </c>
      <c r="AC280" s="38">
        <f>[1]!s_stmnote_bank_129n($B280,$A280,1)</f>
        <v>0</v>
      </c>
      <c r="AD280" s="54">
        <f>[1]!s_stmnote_bank_30(B280,$A280,1)</f>
        <v>0</v>
      </c>
    </row>
    <row r="281" spans="1:30" ht="24">
      <c r="A281" s="1" t="s">
        <v>1110</v>
      </c>
      <c r="B281" s="87" t="s">
        <v>1389</v>
      </c>
      <c r="C281" s="8">
        <f>IF([1]!b_info_issuer(B281)="0","",IFERROR([1]!b_info_issuer(B281),""))</f>
        <v>0</v>
      </c>
      <c r="D281" s="11">
        <f>IF([1]!b_info_latestissurercreditrating(B281)="0","",IFERROR([1]!b_info_latestissurercreditrating(B281),""))</f>
        <v>0</v>
      </c>
      <c r="E281" s="27" t="str">
        <f>IFERROR(([1]!b_stm07_bs($B281,47,$A281,1,100000000))/[1]!b_stm07_bs($B281,109,$A281,1,100000000),"")</f>
        <v/>
      </c>
      <c r="F281" s="18" t="str">
        <f>IFERROR(([1]!s_stmnote_bank_26($B281,$A281,1,100000000)-[1]!s_stmnote_bank_26($B281,#REF!,1,100000000)+#REF!)/[1]!s_stmnote_bank_1n($B281,#REF!,1,100000000),"")</f>
        <v/>
      </c>
      <c r="G281" s="21" t="str">
        <f t="shared" si="8"/>
        <v/>
      </c>
      <c r="H281" s="18" t="str">
        <f>IFERROR([1]!s_stmnote_bank($B281,"34",$A281,100000000)/[1]!s_stmnote_bank_1n(B281,$A281,1,100000000),"")</f>
        <v/>
      </c>
      <c r="I281" s="25">
        <f>[1]!b_stm07_bs(B281,74,$A281,1,100000000)</f>
        <v>0</v>
      </c>
      <c r="J281" s="25">
        <f>[1]!b_stm07_bs(B281,109,$A281,1,100000000)</f>
        <v>0</v>
      </c>
      <c r="K281" s="10">
        <f>[1]!s_stmnote_bank_5n(B281,$A281,1)</f>
        <v>0</v>
      </c>
      <c r="L281" s="25">
        <f>[1]!s_stmnote_bank_23n(B281,$A281,1)</f>
        <v>0</v>
      </c>
      <c r="M281" s="25">
        <f>[1]!s_stmnote_bank_capadequacyratio(B281,$A281,1)</f>
        <v>0</v>
      </c>
      <c r="N281" s="25">
        <f>[1]!s_stmnote_bank_capadequacyratio_ct1(B281,$A281,1)</f>
        <v>0</v>
      </c>
      <c r="O281" s="6">
        <f>IF(OR([1]!s_fa_roe(B281,20201231)="0",[1]!s_fa_roe(B281,20211231)="0",[1]!s_fa_roe(B281,20221231)="0"),"",IFERROR(([1]!s_fa_roe(B281,20221231)+[1]!s_fa_roe(B281,20201231)+[1]!s_fa_roe(B281,20211231))/3,""))</f>
        <v>0</v>
      </c>
      <c r="P281" s="28" t="str">
        <f>IFERROR(([1]!s_stmnote_bank_65(B281,$A281,1,2,4,100000000)+[1]!s_stmnote_bank_65(B281,$A281,1,2,6,100000000))/[1]!s_stmnote_bank_1n(B281,$A281,1,100000000),"")</f>
        <v/>
      </c>
      <c r="Q281" s="28" t="str">
        <f>IFERROR([1]!s_stmnote_bank_614(B281,$A281,1,2,100000000)/[1]!s_stmnote_bank_647(B281,$A281,1,2,100000000),"")</f>
        <v/>
      </c>
      <c r="R281" s="28" t="str">
        <f>IFERROR(([1]!b_stm07_bs(B281,104,$A281,1,100000000)+[1]!b_stm07_bs(B281,106,$A281,1,100000000)+[1]!b_stm07_bs(B281,76,$A281,1,100000000)+[1]!b_stm07_bs(B281,108,$A281,1,100000000)+[1]!b_stm07_bs(B281,95,$A281,1,100000000))/[1]!b_stm07_bs(B281,128,$A281,1,100000000),"")</f>
        <v/>
      </c>
      <c r="S281" s="28" t="str">
        <f>IFERROR(([1]!s_stmnote_bank_614(B281,$A281,1,2,100000000)+[1]!b_stm07_bs(B281,104,$A281,1,100000000)+[1]!b_stm07_bs(B281,106,$A281,1,100000000)+[1]!b_stm07_bs(B281,76,$A281,1,100000000)+[1]!b_stm07_bs(B281,108,$A281,1,100000000)+[1]!b_stm07_bs(B281,95,$A281,1,100000000))/[1]!b_stm07_bs(B281,128,$A281,1,100000000),"")</f>
        <v/>
      </c>
      <c r="T281" s="11">
        <f>[1]!b_issuer_shareholder(B281,"",1)</f>
        <v>0</v>
      </c>
      <c r="U281" s="10">
        <f>[1]!b_issuer_propofshareholder(B281,"",1)</f>
        <v>0</v>
      </c>
      <c r="V281" s="33" t="str">
        <f t="shared" si="9"/>
        <v>0</v>
      </c>
      <c r="W281" s="33">
        <f>[1]!s_info_city(B281)</f>
        <v>0</v>
      </c>
      <c r="X281" s="10">
        <f>IF([1]!s_stmnote_bank_17n(B281,$A281,1)="0","",[1]!s_stmnote_bank_17n(B281,$A281,1))</f>
        <v>0</v>
      </c>
      <c r="Y281" s="10">
        <f>IF([1]!s_stmnote_bank_18n(B281,$A281,1)="0","",[1]!s_stmnote_bank_18n(B281,$A281,1))</f>
        <v>0</v>
      </c>
      <c r="Z281" s="41">
        <f>IF([1]!s_stmnote_bank_58(B281,$A281,1)="0","",[1]!s_stmnote_bank_58(B281,$A281,1))</f>
        <v>0</v>
      </c>
      <c r="AA281" s="52">
        <f>IF([1]!s_stmnote_bank_60(B281,$A281,1)="0","",[1]!s_stmnote_bank_60(B281,$A281,1))</f>
        <v>0</v>
      </c>
      <c r="AB281" s="52">
        <f>[1]!s_stmnote_bank_5444(B281,$A281,1)</f>
        <v>0</v>
      </c>
      <c r="AC281" s="38">
        <f>[1]!s_stmnote_bank_129n($B281,$A281,1)</f>
        <v>0</v>
      </c>
      <c r="AD281" s="54">
        <f>[1]!s_stmnote_bank_30(B281,$A281,1)</f>
        <v>0</v>
      </c>
    </row>
    <row r="282" spans="1:30" ht="24">
      <c r="A282" s="1" t="s">
        <v>1110</v>
      </c>
      <c r="B282" s="87" t="s">
        <v>1390</v>
      </c>
      <c r="C282" s="8">
        <f>IF([1]!b_info_issuer(B282)="0","",IFERROR([1]!b_info_issuer(B282),""))</f>
        <v>0</v>
      </c>
      <c r="D282" s="11">
        <f>IF([1]!b_info_latestissurercreditrating(B282)="0","",IFERROR([1]!b_info_latestissurercreditrating(B282),""))</f>
        <v>0</v>
      </c>
      <c r="E282" s="27" t="str">
        <f>IFERROR(([1]!b_stm07_bs($B282,47,$A282,1,100000000))/[1]!b_stm07_bs($B282,109,$A282,1,100000000),"")</f>
        <v/>
      </c>
      <c r="F282" s="18" t="str">
        <f>IFERROR(([1]!s_stmnote_bank_26($B282,$A282,1,100000000)-[1]!s_stmnote_bank_26($B282,#REF!,1,100000000)+#REF!)/[1]!s_stmnote_bank_1n($B282,#REF!,1,100000000),"")</f>
        <v/>
      </c>
      <c r="G282" s="21" t="str">
        <f t="shared" si="8"/>
        <v/>
      </c>
      <c r="H282" s="18" t="str">
        <f>IFERROR([1]!s_stmnote_bank($B282,"34",$A282,100000000)/[1]!s_stmnote_bank_1n(B282,$A282,1,100000000),"")</f>
        <v/>
      </c>
      <c r="I282" s="25">
        <f>[1]!b_stm07_bs(B282,74,$A282,1,100000000)</f>
        <v>0</v>
      </c>
      <c r="J282" s="25">
        <f>[1]!b_stm07_bs(B282,109,$A282,1,100000000)</f>
        <v>0</v>
      </c>
      <c r="K282" s="10">
        <f>[1]!s_stmnote_bank_5n(B282,$A282,1)</f>
        <v>0</v>
      </c>
      <c r="L282" s="25">
        <f>[1]!s_stmnote_bank_23n(B282,$A282,1)</f>
        <v>0</v>
      </c>
      <c r="M282" s="25">
        <f>[1]!s_stmnote_bank_capadequacyratio(B282,$A282,1)</f>
        <v>0</v>
      </c>
      <c r="N282" s="25">
        <f>[1]!s_stmnote_bank_capadequacyratio_ct1(B282,$A282,1)</f>
        <v>0</v>
      </c>
      <c r="O282" s="6">
        <f>IF(OR([1]!s_fa_roe(B282,20201231)="0",[1]!s_fa_roe(B282,20211231)="0",[1]!s_fa_roe(B282,20221231)="0"),"",IFERROR(([1]!s_fa_roe(B282,20221231)+[1]!s_fa_roe(B282,20201231)+[1]!s_fa_roe(B282,20211231))/3,""))</f>
        <v>0</v>
      </c>
      <c r="P282" s="28" t="str">
        <f>IFERROR(([1]!s_stmnote_bank_65(B282,$A282,1,2,4,100000000)+[1]!s_stmnote_bank_65(B282,$A282,1,2,6,100000000))/[1]!s_stmnote_bank_1n(B282,$A282,1,100000000),"")</f>
        <v/>
      </c>
      <c r="Q282" s="28" t="str">
        <f>IFERROR([1]!s_stmnote_bank_614(B282,$A282,1,2,100000000)/[1]!s_stmnote_bank_647(B282,$A282,1,2,100000000),"")</f>
        <v/>
      </c>
      <c r="R282" s="28" t="str">
        <f>IFERROR(([1]!b_stm07_bs(B282,104,$A282,1,100000000)+[1]!b_stm07_bs(B282,106,$A282,1,100000000)+[1]!b_stm07_bs(B282,76,$A282,1,100000000)+[1]!b_stm07_bs(B282,108,$A282,1,100000000)+[1]!b_stm07_bs(B282,95,$A282,1,100000000))/[1]!b_stm07_bs(B282,128,$A282,1,100000000),"")</f>
        <v/>
      </c>
      <c r="S282" s="28" t="str">
        <f>IFERROR(([1]!s_stmnote_bank_614(B282,$A282,1,2,100000000)+[1]!b_stm07_bs(B282,104,$A282,1,100000000)+[1]!b_stm07_bs(B282,106,$A282,1,100000000)+[1]!b_stm07_bs(B282,76,$A282,1,100000000)+[1]!b_stm07_bs(B282,108,$A282,1,100000000)+[1]!b_stm07_bs(B282,95,$A282,1,100000000))/[1]!b_stm07_bs(B282,128,$A282,1,100000000),"")</f>
        <v/>
      </c>
      <c r="T282" s="11">
        <f>[1]!b_issuer_shareholder(B282,"",1)</f>
        <v>0</v>
      </c>
      <c r="U282" s="10">
        <f>[1]!b_issuer_propofshareholder(B282,"",1)</f>
        <v>0</v>
      </c>
      <c r="V282" s="33" t="str">
        <f t="shared" si="9"/>
        <v>0</v>
      </c>
      <c r="W282" s="33">
        <f>[1]!s_info_city(B282)</f>
        <v>0</v>
      </c>
      <c r="X282" s="10">
        <f>IF([1]!s_stmnote_bank_17n(B282,$A282,1)="0","",[1]!s_stmnote_bank_17n(B282,$A282,1))</f>
        <v>0</v>
      </c>
      <c r="Y282" s="10">
        <f>IF([1]!s_stmnote_bank_18n(B282,$A282,1)="0","",[1]!s_stmnote_bank_18n(B282,$A282,1))</f>
        <v>0</v>
      </c>
      <c r="Z282" s="41">
        <f>IF([1]!s_stmnote_bank_58(B282,$A282,1)="0","",[1]!s_stmnote_bank_58(B282,$A282,1))</f>
        <v>0</v>
      </c>
      <c r="AA282" s="52">
        <f>IF([1]!s_stmnote_bank_60(B282,$A282,1)="0","",[1]!s_stmnote_bank_60(B282,$A282,1))</f>
        <v>0</v>
      </c>
      <c r="AB282" s="52">
        <f>[1]!s_stmnote_bank_5444(B282,$A282,1)</f>
        <v>0</v>
      </c>
      <c r="AC282" s="38">
        <f>[1]!s_stmnote_bank_129n($B282,$A282,1)</f>
        <v>0</v>
      </c>
      <c r="AD282" s="54">
        <f>[1]!s_stmnote_bank_30(B282,$A282,1)</f>
        <v>0</v>
      </c>
    </row>
    <row r="283" spans="1:30" ht="24">
      <c r="A283" s="1" t="s">
        <v>1110</v>
      </c>
      <c r="B283" s="87" t="s">
        <v>1391</v>
      </c>
      <c r="C283" s="8">
        <f>IF([1]!b_info_issuer(B283)="0","",IFERROR([1]!b_info_issuer(B283),""))</f>
        <v>0</v>
      </c>
      <c r="D283" s="11">
        <f>IF([1]!b_info_latestissurercreditrating(B283)="0","",IFERROR([1]!b_info_latestissurercreditrating(B283),""))</f>
        <v>0</v>
      </c>
      <c r="E283" s="27" t="str">
        <f>IFERROR(([1]!b_stm07_bs($B283,47,$A283,1,100000000))/[1]!b_stm07_bs($B283,109,$A283,1,100000000),"")</f>
        <v/>
      </c>
      <c r="F283" s="18" t="str">
        <f>IFERROR(([1]!s_stmnote_bank_26($B283,$A283,1,100000000)-[1]!s_stmnote_bank_26($B283,#REF!,1,100000000)+#REF!)/[1]!s_stmnote_bank_1n($B283,#REF!,1,100000000),"")</f>
        <v/>
      </c>
      <c r="G283" s="21" t="str">
        <f t="shared" si="8"/>
        <v/>
      </c>
      <c r="H283" s="18" t="str">
        <f>IFERROR([1]!s_stmnote_bank($B283,"34",$A283,100000000)/[1]!s_stmnote_bank_1n(B283,$A283,1,100000000),"")</f>
        <v/>
      </c>
      <c r="I283" s="25">
        <f>[1]!b_stm07_bs(B283,74,$A283,1,100000000)</f>
        <v>0</v>
      </c>
      <c r="J283" s="25">
        <f>[1]!b_stm07_bs(B283,109,$A283,1,100000000)</f>
        <v>0</v>
      </c>
      <c r="K283" s="10">
        <f>[1]!s_stmnote_bank_5n(B283,$A283,1)</f>
        <v>0</v>
      </c>
      <c r="L283" s="25">
        <f>[1]!s_stmnote_bank_23n(B283,$A283,1)</f>
        <v>0</v>
      </c>
      <c r="M283" s="25">
        <f>[1]!s_stmnote_bank_capadequacyratio(B283,$A283,1)</f>
        <v>0</v>
      </c>
      <c r="N283" s="25">
        <f>[1]!s_stmnote_bank_capadequacyratio_ct1(B283,$A283,1)</f>
        <v>0</v>
      </c>
      <c r="O283" s="6">
        <f>IF(OR([1]!s_fa_roe(B283,20201231)="0",[1]!s_fa_roe(B283,20211231)="0",[1]!s_fa_roe(B283,20221231)="0"),"",IFERROR(([1]!s_fa_roe(B283,20221231)+[1]!s_fa_roe(B283,20201231)+[1]!s_fa_roe(B283,20211231))/3,""))</f>
        <v>0</v>
      </c>
      <c r="P283" s="28" t="str">
        <f>IFERROR(([1]!s_stmnote_bank_65(B283,$A283,1,2,4,100000000)+[1]!s_stmnote_bank_65(B283,$A283,1,2,6,100000000))/[1]!s_stmnote_bank_1n(B283,$A283,1,100000000),"")</f>
        <v/>
      </c>
      <c r="Q283" s="28" t="str">
        <f>IFERROR([1]!s_stmnote_bank_614(B283,$A283,1,2,100000000)/[1]!s_stmnote_bank_647(B283,$A283,1,2,100000000),"")</f>
        <v/>
      </c>
      <c r="R283" s="28" t="str">
        <f>IFERROR(([1]!b_stm07_bs(B283,104,$A283,1,100000000)+[1]!b_stm07_bs(B283,106,$A283,1,100000000)+[1]!b_stm07_bs(B283,76,$A283,1,100000000)+[1]!b_stm07_bs(B283,108,$A283,1,100000000)+[1]!b_stm07_bs(B283,95,$A283,1,100000000))/[1]!b_stm07_bs(B283,128,$A283,1,100000000),"")</f>
        <v/>
      </c>
      <c r="S283" s="28" t="str">
        <f>IFERROR(([1]!s_stmnote_bank_614(B283,$A283,1,2,100000000)+[1]!b_stm07_bs(B283,104,$A283,1,100000000)+[1]!b_stm07_bs(B283,106,$A283,1,100000000)+[1]!b_stm07_bs(B283,76,$A283,1,100000000)+[1]!b_stm07_bs(B283,108,$A283,1,100000000)+[1]!b_stm07_bs(B283,95,$A283,1,100000000))/[1]!b_stm07_bs(B283,128,$A283,1,100000000),"")</f>
        <v/>
      </c>
      <c r="T283" s="11">
        <f>[1]!b_issuer_shareholder(B283,"",1)</f>
        <v>0</v>
      </c>
      <c r="U283" s="10">
        <f>[1]!b_issuer_propofshareholder(B283,"",1)</f>
        <v>0</v>
      </c>
      <c r="V283" s="33" t="str">
        <f t="shared" si="9"/>
        <v>0</v>
      </c>
      <c r="W283" s="33">
        <f>[1]!s_info_city(B283)</f>
        <v>0</v>
      </c>
      <c r="X283" s="10">
        <f>IF([1]!s_stmnote_bank_17n(B283,$A283,1)="0","",[1]!s_stmnote_bank_17n(B283,$A283,1))</f>
        <v>0</v>
      </c>
      <c r="Y283" s="10">
        <f>IF([1]!s_stmnote_bank_18n(B283,$A283,1)="0","",[1]!s_stmnote_bank_18n(B283,$A283,1))</f>
        <v>0</v>
      </c>
      <c r="Z283" s="41">
        <f>IF([1]!s_stmnote_bank_58(B283,$A283,1)="0","",[1]!s_stmnote_bank_58(B283,$A283,1))</f>
        <v>0</v>
      </c>
      <c r="AA283" s="52">
        <f>IF([1]!s_stmnote_bank_60(B283,$A283,1)="0","",[1]!s_stmnote_bank_60(B283,$A283,1))</f>
        <v>0</v>
      </c>
      <c r="AB283" s="52">
        <f>[1]!s_stmnote_bank_5444(B283,$A283,1)</f>
        <v>0</v>
      </c>
      <c r="AC283" s="38">
        <f>[1]!s_stmnote_bank_129n($B283,$A283,1)</f>
        <v>0</v>
      </c>
      <c r="AD283" s="54">
        <f>[1]!s_stmnote_bank_30(B283,$A283,1)</f>
        <v>0</v>
      </c>
    </row>
    <row r="284" spans="1:30" ht="24">
      <c r="A284" s="1" t="s">
        <v>1110</v>
      </c>
      <c r="B284" s="87" t="s">
        <v>1392</v>
      </c>
      <c r="C284" s="8">
        <f>IF([1]!b_info_issuer(B284)="0","",IFERROR([1]!b_info_issuer(B284),""))</f>
        <v>0</v>
      </c>
      <c r="D284" s="11">
        <f>IF([1]!b_info_latestissurercreditrating(B284)="0","",IFERROR([1]!b_info_latestissurercreditrating(B284),""))</f>
        <v>0</v>
      </c>
      <c r="E284" s="27" t="str">
        <f>IFERROR(([1]!b_stm07_bs($B284,47,$A284,1,100000000))/[1]!b_stm07_bs($B284,109,$A284,1,100000000),"")</f>
        <v/>
      </c>
      <c r="F284" s="18" t="str">
        <f>IFERROR(([1]!s_stmnote_bank_26($B284,$A284,1,100000000)-[1]!s_stmnote_bank_26($B284,#REF!,1,100000000)+#REF!)/[1]!s_stmnote_bank_1n($B284,#REF!,1,100000000),"")</f>
        <v/>
      </c>
      <c r="G284" s="21" t="str">
        <f t="shared" si="8"/>
        <v/>
      </c>
      <c r="H284" s="18" t="str">
        <f>IFERROR([1]!s_stmnote_bank($B284,"34",$A284,100000000)/[1]!s_stmnote_bank_1n(B284,$A284,1,100000000),"")</f>
        <v/>
      </c>
      <c r="I284" s="25">
        <f>[1]!b_stm07_bs(B284,74,$A284,1,100000000)</f>
        <v>0</v>
      </c>
      <c r="J284" s="25">
        <f>[1]!b_stm07_bs(B284,109,$A284,1,100000000)</f>
        <v>0</v>
      </c>
      <c r="K284" s="10">
        <f>[1]!s_stmnote_bank_5n(B284,$A284,1)</f>
        <v>0</v>
      </c>
      <c r="L284" s="25">
        <f>[1]!s_stmnote_bank_23n(B284,$A284,1)</f>
        <v>0</v>
      </c>
      <c r="M284" s="25">
        <f>[1]!s_stmnote_bank_capadequacyratio(B284,$A284,1)</f>
        <v>0</v>
      </c>
      <c r="N284" s="25">
        <f>[1]!s_stmnote_bank_capadequacyratio_ct1(B284,$A284,1)</f>
        <v>0</v>
      </c>
      <c r="O284" s="6">
        <f>IF(OR([1]!s_fa_roe(B284,20201231)="0",[1]!s_fa_roe(B284,20211231)="0",[1]!s_fa_roe(B284,20221231)="0"),"",IFERROR(([1]!s_fa_roe(B284,20221231)+[1]!s_fa_roe(B284,20201231)+[1]!s_fa_roe(B284,20211231))/3,""))</f>
        <v>0</v>
      </c>
      <c r="P284" s="28" t="str">
        <f>IFERROR(([1]!s_stmnote_bank_65(B284,$A284,1,2,4,100000000)+[1]!s_stmnote_bank_65(B284,$A284,1,2,6,100000000))/[1]!s_stmnote_bank_1n(B284,$A284,1,100000000),"")</f>
        <v/>
      </c>
      <c r="Q284" s="28" t="str">
        <f>IFERROR([1]!s_stmnote_bank_614(B284,$A284,1,2,100000000)/[1]!s_stmnote_bank_647(B284,$A284,1,2,100000000),"")</f>
        <v/>
      </c>
      <c r="R284" s="28" t="str">
        <f>IFERROR(([1]!b_stm07_bs(B284,104,$A284,1,100000000)+[1]!b_stm07_bs(B284,106,$A284,1,100000000)+[1]!b_stm07_bs(B284,76,$A284,1,100000000)+[1]!b_stm07_bs(B284,108,$A284,1,100000000)+[1]!b_stm07_bs(B284,95,$A284,1,100000000))/[1]!b_stm07_bs(B284,128,$A284,1,100000000),"")</f>
        <v/>
      </c>
      <c r="S284" s="28" t="str">
        <f>IFERROR(([1]!s_stmnote_bank_614(B284,$A284,1,2,100000000)+[1]!b_stm07_bs(B284,104,$A284,1,100000000)+[1]!b_stm07_bs(B284,106,$A284,1,100000000)+[1]!b_stm07_bs(B284,76,$A284,1,100000000)+[1]!b_stm07_bs(B284,108,$A284,1,100000000)+[1]!b_stm07_bs(B284,95,$A284,1,100000000))/[1]!b_stm07_bs(B284,128,$A284,1,100000000),"")</f>
        <v/>
      </c>
      <c r="T284" s="11">
        <f>[1]!b_issuer_shareholder(B284,"",1)</f>
        <v>0</v>
      </c>
      <c r="U284" s="10">
        <f>[1]!b_issuer_propofshareholder(B284,"",1)</f>
        <v>0</v>
      </c>
      <c r="V284" s="33" t="str">
        <f t="shared" si="9"/>
        <v>0</v>
      </c>
      <c r="W284" s="33">
        <f>[1]!s_info_city(B284)</f>
        <v>0</v>
      </c>
      <c r="X284" s="10">
        <f>IF([1]!s_stmnote_bank_17n(B284,$A284,1)="0","",[1]!s_stmnote_bank_17n(B284,$A284,1))</f>
        <v>0</v>
      </c>
      <c r="Y284" s="10">
        <f>IF([1]!s_stmnote_bank_18n(B284,$A284,1)="0","",[1]!s_stmnote_bank_18n(B284,$A284,1))</f>
        <v>0</v>
      </c>
      <c r="Z284" s="41">
        <f>IF([1]!s_stmnote_bank_58(B284,$A284,1)="0","",[1]!s_stmnote_bank_58(B284,$A284,1))</f>
        <v>0</v>
      </c>
      <c r="AA284" s="52">
        <f>IF([1]!s_stmnote_bank_60(B284,$A284,1)="0","",[1]!s_stmnote_bank_60(B284,$A284,1))</f>
        <v>0</v>
      </c>
      <c r="AB284" s="52">
        <f>[1]!s_stmnote_bank_5444(B284,$A284,1)</f>
        <v>0</v>
      </c>
      <c r="AC284" s="38">
        <f>[1]!s_stmnote_bank_129n($B284,$A284,1)</f>
        <v>0</v>
      </c>
      <c r="AD284" s="54">
        <f>[1]!s_stmnote_bank_30(B284,$A284,1)</f>
        <v>0</v>
      </c>
    </row>
    <row r="285" spans="1:30" ht="24">
      <c r="A285" s="1" t="s">
        <v>1110</v>
      </c>
      <c r="B285" s="87" t="s">
        <v>1393</v>
      </c>
      <c r="C285" s="8">
        <f>IF([1]!b_info_issuer(B285)="0","",IFERROR([1]!b_info_issuer(B285),""))</f>
        <v>0</v>
      </c>
      <c r="D285" s="11">
        <f>IF([1]!b_info_latestissurercreditrating(B285)="0","",IFERROR([1]!b_info_latestissurercreditrating(B285),""))</f>
        <v>0</v>
      </c>
      <c r="E285" s="27" t="str">
        <f>IFERROR(([1]!b_stm07_bs($B285,47,$A285,1,100000000))/[1]!b_stm07_bs($B285,109,$A285,1,100000000),"")</f>
        <v/>
      </c>
      <c r="F285" s="18" t="str">
        <f>IFERROR(([1]!s_stmnote_bank_26($B285,$A285,1,100000000)-[1]!s_stmnote_bank_26($B285,#REF!,1,100000000)+#REF!)/[1]!s_stmnote_bank_1n($B285,#REF!,1,100000000),"")</f>
        <v/>
      </c>
      <c r="G285" s="21" t="str">
        <f t="shared" si="8"/>
        <v/>
      </c>
      <c r="H285" s="18" t="str">
        <f>IFERROR([1]!s_stmnote_bank($B285,"34",$A285,100000000)/[1]!s_stmnote_bank_1n(B285,$A285,1,100000000),"")</f>
        <v/>
      </c>
      <c r="I285" s="25">
        <f>[1]!b_stm07_bs(B285,74,$A285,1,100000000)</f>
        <v>0</v>
      </c>
      <c r="J285" s="25">
        <f>[1]!b_stm07_bs(B285,109,$A285,1,100000000)</f>
        <v>0</v>
      </c>
      <c r="K285" s="10">
        <f>[1]!s_stmnote_bank_5n(B285,$A285,1)</f>
        <v>0</v>
      </c>
      <c r="L285" s="25">
        <f>[1]!s_stmnote_bank_23n(B285,$A285,1)</f>
        <v>0</v>
      </c>
      <c r="M285" s="25">
        <f>[1]!s_stmnote_bank_capadequacyratio(B285,$A285,1)</f>
        <v>0</v>
      </c>
      <c r="N285" s="25">
        <f>[1]!s_stmnote_bank_capadequacyratio_ct1(B285,$A285,1)</f>
        <v>0</v>
      </c>
      <c r="O285" s="6">
        <f>IF(OR([1]!s_fa_roe(B285,20201231)="0",[1]!s_fa_roe(B285,20211231)="0",[1]!s_fa_roe(B285,20221231)="0"),"",IFERROR(([1]!s_fa_roe(B285,20221231)+[1]!s_fa_roe(B285,20201231)+[1]!s_fa_roe(B285,20211231))/3,""))</f>
        <v>0</v>
      </c>
      <c r="P285" s="28" t="str">
        <f>IFERROR(([1]!s_stmnote_bank_65(B285,$A285,1,2,4,100000000)+[1]!s_stmnote_bank_65(B285,$A285,1,2,6,100000000))/[1]!s_stmnote_bank_1n(B285,$A285,1,100000000),"")</f>
        <v/>
      </c>
      <c r="Q285" s="28" t="str">
        <f>IFERROR([1]!s_stmnote_bank_614(B285,$A285,1,2,100000000)/[1]!s_stmnote_bank_647(B285,$A285,1,2,100000000),"")</f>
        <v/>
      </c>
      <c r="R285" s="28" t="str">
        <f>IFERROR(([1]!b_stm07_bs(B285,104,$A285,1,100000000)+[1]!b_stm07_bs(B285,106,$A285,1,100000000)+[1]!b_stm07_bs(B285,76,$A285,1,100000000)+[1]!b_stm07_bs(B285,108,$A285,1,100000000)+[1]!b_stm07_bs(B285,95,$A285,1,100000000))/[1]!b_stm07_bs(B285,128,$A285,1,100000000),"")</f>
        <v/>
      </c>
      <c r="S285" s="28" t="str">
        <f>IFERROR(([1]!s_stmnote_bank_614(B285,$A285,1,2,100000000)+[1]!b_stm07_bs(B285,104,$A285,1,100000000)+[1]!b_stm07_bs(B285,106,$A285,1,100000000)+[1]!b_stm07_bs(B285,76,$A285,1,100000000)+[1]!b_stm07_bs(B285,108,$A285,1,100000000)+[1]!b_stm07_bs(B285,95,$A285,1,100000000))/[1]!b_stm07_bs(B285,128,$A285,1,100000000),"")</f>
        <v/>
      </c>
      <c r="T285" s="11">
        <f>[1]!b_issuer_shareholder(B285,"",1)</f>
        <v>0</v>
      </c>
      <c r="U285" s="10">
        <f>[1]!b_issuer_propofshareholder(B285,"",1)</f>
        <v>0</v>
      </c>
      <c r="V285" s="33" t="str">
        <f t="shared" si="9"/>
        <v>0</v>
      </c>
      <c r="W285" s="33">
        <f>[1]!s_info_city(B285)</f>
        <v>0</v>
      </c>
      <c r="X285" s="10">
        <f>IF([1]!s_stmnote_bank_17n(B285,$A285,1)="0","",[1]!s_stmnote_bank_17n(B285,$A285,1))</f>
        <v>0</v>
      </c>
      <c r="Y285" s="10">
        <f>IF([1]!s_stmnote_bank_18n(B285,$A285,1)="0","",[1]!s_stmnote_bank_18n(B285,$A285,1))</f>
        <v>0</v>
      </c>
      <c r="Z285" s="41">
        <f>IF([1]!s_stmnote_bank_58(B285,$A285,1)="0","",[1]!s_stmnote_bank_58(B285,$A285,1))</f>
        <v>0</v>
      </c>
      <c r="AA285" s="52">
        <f>IF([1]!s_stmnote_bank_60(B285,$A285,1)="0","",[1]!s_stmnote_bank_60(B285,$A285,1))</f>
        <v>0</v>
      </c>
      <c r="AB285" s="52">
        <f>[1]!s_stmnote_bank_5444(B285,$A285,1)</f>
        <v>0</v>
      </c>
      <c r="AC285" s="38">
        <f>[1]!s_stmnote_bank_129n($B285,$A285,1)</f>
        <v>0</v>
      </c>
      <c r="AD285" s="54">
        <f>[1]!s_stmnote_bank_30(B285,$A285,1)</f>
        <v>0</v>
      </c>
    </row>
    <row r="286" spans="1:30" ht="24">
      <c r="A286" s="1" t="s">
        <v>1110</v>
      </c>
      <c r="B286" s="87" t="s">
        <v>1394</v>
      </c>
      <c r="C286" s="8">
        <f>IF([1]!b_info_issuer(B286)="0","",IFERROR([1]!b_info_issuer(B286),""))</f>
        <v>0</v>
      </c>
      <c r="D286" s="11">
        <f>IF([1]!b_info_latestissurercreditrating(B286)="0","",IFERROR([1]!b_info_latestissurercreditrating(B286),""))</f>
        <v>0</v>
      </c>
      <c r="E286" s="27" t="str">
        <f>IFERROR(([1]!b_stm07_bs($B286,47,$A286,1,100000000))/[1]!b_stm07_bs($B286,109,$A286,1,100000000),"")</f>
        <v/>
      </c>
      <c r="F286" s="18" t="str">
        <f>IFERROR(([1]!s_stmnote_bank_26($B286,$A286,1,100000000)-[1]!s_stmnote_bank_26($B286,#REF!,1,100000000)+#REF!)/[1]!s_stmnote_bank_1n($B286,#REF!,1,100000000),"")</f>
        <v/>
      </c>
      <c r="G286" s="21" t="str">
        <f t="shared" si="8"/>
        <v/>
      </c>
      <c r="H286" s="18" t="str">
        <f>IFERROR([1]!s_stmnote_bank($B286,"34",$A286,100000000)/[1]!s_stmnote_bank_1n(B286,$A286,1,100000000),"")</f>
        <v/>
      </c>
      <c r="I286" s="25">
        <f>[1]!b_stm07_bs(B286,74,$A286,1,100000000)</f>
        <v>0</v>
      </c>
      <c r="J286" s="25">
        <f>[1]!b_stm07_bs(B286,109,$A286,1,100000000)</f>
        <v>0</v>
      </c>
      <c r="K286" s="10">
        <f>[1]!s_stmnote_bank_5n(B286,$A286,1)</f>
        <v>0</v>
      </c>
      <c r="L286" s="25">
        <f>[1]!s_stmnote_bank_23n(B286,$A286,1)</f>
        <v>0</v>
      </c>
      <c r="M286" s="25">
        <f>[1]!s_stmnote_bank_capadequacyratio(B286,$A286,1)</f>
        <v>0</v>
      </c>
      <c r="N286" s="25">
        <f>[1]!s_stmnote_bank_capadequacyratio_ct1(B286,$A286,1)</f>
        <v>0</v>
      </c>
      <c r="O286" s="6">
        <f>IF(OR([1]!s_fa_roe(B286,20201231)="0",[1]!s_fa_roe(B286,20211231)="0",[1]!s_fa_roe(B286,20221231)="0"),"",IFERROR(([1]!s_fa_roe(B286,20221231)+[1]!s_fa_roe(B286,20201231)+[1]!s_fa_roe(B286,20211231))/3,""))</f>
        <v>0</v>
      </c>
      <c r="P286" s="28" t="str">
        <f>IFERROR(([1]!s_stmnote_bank_65(B286,$A286,1,2,4,100000000)+[1]!s_stmnote_bank_65(B286,$A286,1,2,6,100000000))/[1]!s_stmnote_bank_1n(B286,$A286,1,100000000),"")</f>
        <v/>
      </c>
      <c r="Q286" s="28" t="str">
        <f>IFERROR([1]!s_stmnote_bank_614(B286,$A286,1,2,100000000)/[1]!s_stmnote_bank_647(B286,$A286,1,2,100000000),"")</f>
        <v/>
      </c>
      <c r="R286" s="28" t="str">
        <f>IFERROR(([1]!b_stm07_bs(B286,104,$A286,1,100000000)+[1]!b_stm07_bs(B286,106,$A286,1,100000000)+[1]!b_stm07_bs(B286,76,$A286,1,100000000)+[1]!b_stm07_bs(B286,108,$A286,1,100000000)+[1]!b_stm07_bs(B286,95,$A286,1,100000000))/[1]!b_stm07_bs(B286,128,$A286,1,100000000),"")</f>
        <v/>
      </c>
      <c r="S286" s="28" t="str">
        <f>IFERROR(([1]!s_stmnote_bank_614(B286,$A286,1,2,100000000)+[1]!b_stm07_bs(B286,104,$A286,1,100000000)+[1]!b_stm07_bs(B286,106,$A286,1,100000000)+[1]!b_stm07_bs(B286,76,$A286,1,100000000)+[1]!b_stm07_bs(B286,108,$A286,1,100000000)+[1]!b_stm07_bs(B286,95,$A286,1,100000000))/[1]!b_stm07_bs(B286,128,$A286,1,100000000),"")</f>
        <v/>
      </c>
      <c r="T286" s="11">
        <f>[1]!b_issuer_shareholder(B286,"",1)</f>
        <v>0</v>
      </c>
      <c r="U286" s="10">
        <f>[1]!b_issuer_propofshareholder(B286,"",1)</f>
        <v>0</v>
      </c>
      <c r="V286" s="33" t="str">
        <f t="shared" si="9"/>
        <v>0</v>
      </c>
      <c r="W286" s="33">
        <f>[1]!s_info_city(B286)</f>
        <v>0</v>
      </c>
      <c r="X286" s="10">
        <f>IF([1]!s_stmnote_bank_17n(B286,$A286,1)="0","",[1]!s_stmnote_bank_17n(B286,$A286,1))</f>
        <v>0</v>
      </c>
      <c r="Y286" s="10">
        <f>IF([1]!s_stmnote_bank_18n(B286,$A286,1)="0","",[1]!s_stmnote_bank_18n(B286,$A286,1))</f>
        <v>0</v>
      </c>
      <c r="Z286" s="41">
        <f>IF([1]!s_stmnote_bank_58(B286,$A286,1)="0","",[1]!s_stmnote_bank_58(B286,$A286,1))</f>
        <v>0</v>
      </c>
      <c r="AA286" s="52">
        <f>IF([1]!s_stmnote_bank_60(B286,$A286,1)="0","",[1]!s_stmnote_bank_60(B286,$A286,1))</f>
        <v>0</v>
      </c>
      <c r="AB286" s="52">
        <f>[1]!s_stmnote_bank_5444(B286,$A286,1)</f>
        <v>0</v>
      </c>
      <c r="AC286" s="38">
        <f>[1]!s_stmnote_bank_129n($B286,$A286,1)</f>
        <v>0</v>
      </c>
      <c r="AD286" s="54">
        <f>[1]!s_stmnote_bank_30(B286,$A286,1)</f>
        <v>0</v>
      </c>
    </row>
    <row r="287" spans="1:30" ht="24">
      <c r="A287" s="1" t="s">
        <v>1110</v>
      </c>
      <c r="B287" s="87" t="s">
        <v>1395</v>
      </c>
      <c r="C287" s="8">
        <f>IF([1]!b_info_issuer(B287)="0","",IFERROR([1]!b_info_issuer(B287),""))</f>
        <v>0</v>
      </c>
      <c r="D287" s="11">
        <f>IF([1]!b_info_latestissurercreditrating(B287)="0","",IFERROR([1]!b_info_latestissurercreditrating(B287),""))</f>
        <v>0</v>
      </c>
      <c r="E287" s="27" t="str">
        <f>IFERROR(([1]!b_stm07_bs($B287,47,$A287,1,100000000))/[1]!b_stm07_bs($B287,109,$A287,1,100000000),"")</f>
        <v/>
      </c>
      <c r="F287" s="18" t="str">
        <f>IFERROR(([1]!s_stmnote_bank_26($B287,$A287,1,100000000)-[1]!s_stmnote_bank_26($B287,#REF!,1,100000000)+#REF!)/[1]!s_stmnote_bank_1n($B287,#REF!,1,100000000),"")</f>
        <v/>
      </c>
      <c r="G287" s="21" t="str">
        <f t="shared" si="8"/>
        <v/>
      </c>
      <c r="H287" s="18" t="str">
        <f>IFERROR([1]!s_stmnote_bank($B287,"34",$A287,100000000)/[1]!s_stmnote_bank_1n(B287,$A287,1,100000000),"")</f>
        <v/>
      </c>
      <c r="I287" s="25">
        <f>[1]!b_stm07_bs(B287,74,$A287,1,100000000)</f>
        <v>0</v>
      </c>
      <c r="J287" s="25">
        <f>[1]!b_stm07_bs(B287,109,$A287,1,100000000)</f>
        <v>0</v>
      </c>
      <c r="K287" s="10">
        <f>[1]!s_stmnote_bank_5n(B287,$A287,1)</f>
        <v>0</v>
      </c>
      <c r="L287" s="25">
        <f>[1]!s_stmnote_bank_23n(B287,$A287,1)</f>
        <v>0</v>
      </c>
      <c r="M287" s="25">
        <f>[1]!s_stmnote_bank_capadequacyratio(B287,$A287,1)</f>
        <v>0</v>
      </c>
      <c r="N287" s="25">
        <f>[1]!s_stmnote_bank_capadequacyratio_ct1(B287,$A287,1)</f>
        <v>0</v>
      </c>
      <c r="O287" s="6">
        <f>IF(OR([1]!s_fa_roe(B287,20201231)="0",[1]!s_fa_roe(B287,20211231)="0",[1]!s_fa_roe(B287,20221231)="0"),"",IFERROR(([1]!s_fa_roe(B287,20221231)+[1]!s_fa_roe(B287,20201231)+[1]!s_fa_roe(B287,20211231))/3,""))</f>
        <v>0</v>
      </c>
      <c r="P287" s="28" t="str">
        <f>IFERROR(([1]!s_stmnote_bank_65(B287,$A287,1,2,4,100000000)+[1]!s_stmnote_bank_65(B287,$A287,1,2,6,100000000))/[1]!s_stmnote_bank_1n(B287,$A287,1,100000000),"")</f>
        <v/>
      </c>
      <c r="Q287" s="28" t="str">
        <f>IFERROR([1]!s_stmnote_bank_614(B287,$A287,1,2,100000000)/[1]!s_stmnote_bank_647(B287,$A287,1,2,100000000),"")</f>
        <v/>
      </c>
      <c r="R287" s="28" t="str">
        <f>IFERROR(([1]!b_stm07_bs(B287,104,$A287,1,100000000)+[1]!b_stm07_bs(B287,106,$A287,1,100000000)+[1]!b_stm07_bs(B287,76,$A287,1,100000000)+[1]!b_stm07_bs(B287,108,$A287,1,100000000)+[1]!b_stm07_bs(B287,95,$A287,1,100000000))/[1]!b_stm07_bs(B287,128,$A287,1,100000000),"")</f>
        <v/>
      </c>
      <c r="S287" s="28" t="str">
        <f>IFERROR(([1]!s_stmnote_bank_614(B287,$A287,1,2,100000000)+[1]!b_stm07_bs(B287,104,$A287,1,100000000)+[1]!b_stm07_bs(B287,106,$A287,1,100000000)+[1]!b_stm07_bs(B287,76,$A287,1,100000000)+[1]!b_stm07_bs(B287,108,$A287,1,100000000)+[1]!b_stm07_bs(B287,95,$A287,1,100000000))/[1]!b_stm07_bs(B287,128,$A287,1,100000000),"")</f>
        <v/>
      </c>
      <c r="T287" s="11">
        <f>[1]!b_issuer_shareholder(B287,"",1)</f>
        <v>0</v>
      </c>
      <c r="U287" s="10">
        <f>[1]!b_issuer_propofshareholder(B287,"",1)</f>
        <v>0</v>
      </c>
      <c r="V287" s="33" t="str">
        <f t="shared" si="9"/>
        <v>0</v>
      </c>
      <c r="W287" s="33">
        <f>[1]!s_info_city(B287)</f>
        <v>0</v>
      </c>
      <c r="X287" s="10">
        <f>IF([1]!s_stmnote_bank_17n(B287,$A287,1)="0","",[1]!s_stmnote_bank_17n(B287,$A287,1))</f>
        <v>0</v>
      </c>
      <c r="Y287" s="10">
        <f>IF([1]!s_stmnote_bank_18n(B287,$A287,1)="0","",[1]!s_stmnote_bank_18n(B287,$A287,1))</f>
        <v>0</v>
      </c>
      <c r="Z287" s="41">
        <f>IF([1]!s_stmnote_bank_58(B287,$A287,1)="0","",[1]!s_stmnote_bank_58(B287,$A287,1))</f>
        <v>0</v>
      </c>
      <c r="AA287" s="52">
        <f>IF([1]!s_stmnote_bank_60(B287,$A287,1)="0","",[1]!s_stmnote_bank_60(B287,$A287,1))</f>
        <v>0</v>
      </c>
      <c r="AB287" s="52">
        <f>[1]!s_stmnote_bank_5444(B287,$A287,1)</f>
        <v>0</v>
      </c>
      <c r="AC287" s="38">
        <f>[1]!s_stmnote_bank_129n($B287,$A287,1)</f>
        <v>0</v>
      </c>
      <c r="AD287" s="54">
        <f>[1]!s_stmnote_bank_30(B287,$A287,1)</f>
        <v>0</v>
      </c>
    </row>
    <row r="288" spans="1:30" ht="24">
      <c r="A288" s="1" t="s">
        <v>1110</v>
      </c>
      <c r="B288" s="87" t="s">
        <v>1396</v>
      </c>
      <c r="C288" s="8">
        <f>IF([1]!b_info_issuer(B288)="0","",IFERROR([1]!b_info_issuer(B288),""))</f>
        <v>0</v>
      </c>
      <c r="D288" s="11">
        <f>IF([1]!b_info_latestissurercreditrating(B288)="0","",IFERROR([1]!b_info_latestissurercreditrating(B288),""))</f>
        <v>0</v>
      </c>
      <c r="E288" s="27" t="str">
        <f>IFERROR(([1]!b_stm07_bs($B288,47,$A288,1,100000000))/[1]!b_stm07_bs($B288,109,$A288,1,100000000),"")</f>
        <v/>
      </c>
      <c r="F288" s="18" t="str">
        <f>IFERROR(([1]!s_stmnote_bank_26($B288,$A288,1,100000000)-[1]!s_stmnote_bank_26($B288,#REF!,1,100000000)+#REF!)/[1]!s_stmnote_bank_1n($B288,#REF!,1,100000000),"")</f>
        <v/>
      </c>
      <c r="G288" s="21" t="str">
        <f t="shared" si="8"/>
        <v/>
      </c>
      <c r="H288" s="18" t="str">
        <f>IFERROR([1]!s_stmnote_bank($B288,"34",$A288,100000000)/[1]!s_stmnote_bank_1n(B288,$A288,1,100000000),"")</f>
        <v/>
      </c>
      <c r="I288" s="25">
        <f>[1]!b_stm07_bs(B288,74,$A288,1,100000000)</f>
        <v>0</v>
      </c>
      <c r="J288" s="25">
        <f>[1]!b_stm07_bs(B288,109,$A288,1,100000000)</f>
        <v>0</v>
      </c>
      <c r="K288" s="10">
        <f>[1]!s_stmnote_bank_5n(B288,$A288,1)</f>
        <v>0</v>
      </c>
      <c r="L288" s="25">
        <f>[1]!s_stmnote_bank_23n(B288,$A288,1)</f>
        <v>0</v>
      </c>
      <c r="M288" s="25">
        <f>[1]!s_stmnote_bank_capadequacyratio(B288,$A288,1)</f>
        <v>0</v>
      </c>
      <c r="N288" s="25">
        <f>[1]!s_stmnote_bank_capadequacyratio_ct1(B288,$A288,1)</f>
        <v>0</v>
      </c>
      <c r="O288" s="6">
        <f>IF(OR([1]!s_fa_roe(B288,20201231)="0",[1]!s_fa_roe(B288,20211231)="0",[1]!s_fa_roe(B288,20221231)="0"),"",IFERROR(([1]!s_fa_roe(B288,20221231)+[1]!s_fa_roe(B288,20201231)+[1]!s_fa_roe(B288,20211231))/3,""))</f>
        <v>0</v>
      </c>
      <c r="P288" s="28" t="str">
        <f>IFERROR(([1]!s_stmnote_bank_65(B288,$A288,1,2,4,100000000)+[1]!s_stmnote_bank_65(B288,$A288,1,2,6,100000000))/[1]!s_stmnote_bank_1n(B288,$A288,1,100000000),"")</f>
        <v/>
      </c>
      <c r="Q288" s="28" t="str">
        <f>IFERROR([1]!s_stmnote_bank_614(B288,$A288,1,2,100000000)/[1]!s_stmnote_bank_647(B288,$A288,1,2,100000000),"")</f>
        <v/>
      </c>
      <c r="R288" s="28" t="str">
        <f>IFERROR(([1]!b_stm07_bs(B288,104,$A288,1,100000000)+[1]!b_stm07_bs(B288,106,$A288,1,100000000)+[1]!b_stm07_bs(B288,76,$A288,1,100000000)+[1]!b_stm07_bs(B288,108,$A288,1,100000000)+[1]!b_stm07_bs(B288,95,$A288,1,100000000))/[1]!b_stm07_bs(B288,128,$A288,1,100000000),"")</f>
        <v/>
      </c>
      <c r="S288" s="28" t="str">
        <f>IFERROR(([1]!s_stmnote_bank_614(B288,$A288,1,2,100000000)+[1]!b_stm07_bs(B288,104,$A288,1,100000000)+[1]!b_stm07_bs(B288,106,$A288,1,100000000)+[1]!b_stm07_bs(B288,76,$A288,1,100000000)+[1]!b_stm07_bs(B288,108,$A288,1,100000000)+[1]!b_stm07_bs(B288,95,$A288,1,100000000))/[1]!b_stm07_bs(B288,128,$A288,1,100000000),"")</f>
        <v/>
      </c>
      <c r="T288" s="11">
        <f>[1]!b_issuer_shareholder(B288,"",1)</f>
        <v>0</v>
      </c>
      <c r="U288" s="10">
        <f>[1]!b_issuer_propofshareholder(B288,"",1)</f>
        <v>0</v>
      </c>
      <c r="V288" s="33" t="str">
        <f t="shared" si="9"/>
        <v>0</v>
      </c>
      <c r="W288" s="33">
        <f>[1]!s_info_city(B288)</f>
        <v>0</v>
      </c>
      <c r="X288" s="10">
        <f>IF([1]!s_stmnote_bank_17n(B288,$A288,1)="0","",[1]!s_stmnote_bank_17n(B288,$A288,1))</f>
        <v>0</v>
      </c>
      <c r="Y288" s="10">
        <f>IF([1]!s_stmnote_bank_18n(B288,$A288,1)="0","",[1]!s_stmnote_bank_18n(B288,$A288,1))</f>
        <v>0</v>
      </c>
      <c r="Z288" s="41">
        <f>IF([1]!s_stmnote_bank_58(B288,$A288,1)="0","",[1]!s_stmnote_bank_58(B288,$A288,1))</f>
        <v>0</v>
      </c>
      <c r="AA288" s="52">
        <f>IF([1]!s_stmnote_bank_60(B288,$A288,1)="0","",[1]!s_stmnote_bank_60(B288,$A288,1))</f>
        <v>0</v>
      </c>
      <c r="AB288" s="52">
        <f>[1]!s_stmnote_bank_5444(B288,$A288,1)</f>
        <v>0</v>
      </c>
      <c r="AC288" s="38">
        <f>[1]!s_stmnote_bank_129n($B288,$A288,1)</f>
        <v>0</v>
      </c>
      <c r="AD288" s="54">
        <f>[1]!s_stmnote_bank_30(B288,$A288,1)</f>
        <v>0</v>
      </c>
    </row>
    <row r="289" spans="1:30" ht="24">
      <c r="A289" s="1" t="s">
        <v>1110</v>
      </c>
      <c r="B289" s="87" t="s">
        <v>1397</v>
      </c>
      <c r="C289" s="8">
        <f>IF([1]!b_info_issuer(B289)="0","",IFERROR([1]!b_info_issuer(B289),""))</f>
        <v>0</v>
      </c>
      <c r="D289" s="11">
        <f>IF([1]!b_info_latestissurercreditrating(B289)="0","",IFERROR([1]!b_info_latestissurercreditrating(B289),""))</f>
        <v>0</v>
      </c>
      <c r="E289" s="27" t="str">
        <f>IFERROR(([1]!b_stm07_bs($B289,47,$A289,1,100000000))/[1]!b_stm07_bs($B289,109,$A289,1,100000000),"")</f>
        <v/>
      </c>
      <c r="F289" s="18" t="str">
        <f>IFERROR(([1]!s_stmnote_bank_26($B289,$A289,1,100000000)-[1]!s_stmnote_bank_26($B289,#REF!,1,100000000)+#REF!)/[1]!s_stmnote_bank_1n($B289,#REF!,1,100000000),"")</f>
        <v/>
      </c>
      <c r="G289" s="21" t="str">
        <f t="shared" si="8"/>
        <v/>
      </c>
      <c r="H289" s="18" t="str">
        <f>IFERROR([1]!s_stmnote_bank($B289,"34",$A289,100000000)/[1]!s_stmnote_bank_1n(B289,$A289,1,100000000),"")</f>
        <v/>
      </c>
      <c r="I289" s="25">
        <f>[1]!b_stm07_bs(B289,74,$A289,1,100000000)</f>
        <v>0</v>
      </c>
      <c r="J289" s="25">
        <f>[1]!b_stm07_bs(B289,109,$A289,1,100000000)</f>
        <v>0</v>
      </c>
      <c r="K289" s="10">
        <f>[1]!s_stmnote_bank_5n(B289,$A289,1)</f>
        <v>0</v>
      </c>
      <c r="L289" s="25">
        <f>[1]!s_stmnote_bank_23n(B289,$A289,1)</f>
        <v>0</v>
      </c>
      <c r="M289" s="25">
        <f>[1]!s_stmnote_bank_capadequacyratio(B289,$A289,1)</f>
        <v>0</v>
      </c>
      <c r="N289" s="25">
        <f>[1]!s_stmnote_bank_capadequacyratio_ct1(B289,$A289,1)</f>
        <v>0</v>
      </c>
      <c r="O289" s="6">
        <f>IF(OR([1]!s_fa_roe(B289,20201231)="0",[1]!s_fa_roe(B289,20211231)="0",[1]!s_fa_roe(B289,20221231)="0"),"",IFERROR(([1]!s_fa_roe(B289,20221231)+[1]!s_fa_roe(B289,20201231)+[1]!s_fa_roe(B289,20211231))/3,""))</f>
        <v>0</v>
      </c>
      <c r="P289" s="28" t="str">
        <f>IFERROR(([1]!s_stmnote_bank_65(B289,$A289,1,2,4,100000000)+[1]!s_stmnote_bank_65(B289,$A289,1,2,6,100000000))/[1]!s_stmnote_bank_1n(B289,$A289,1,100000000),"")</f>
        <v/>
      </c>
      <c r="Q289" s="28" t="str">
        <f>IFERROR([1]!s_stmnote_bank_614(B289,$A289,1,2,100000000)/[1]!s_stmnote_bank_647(B289,$A289,1,2,100000000),"")</f>
        <v/>
      </c>
      <c r="R289" s="28" t="str">
        <f>IFERROR(([1]!b_stm07_bs(B289,104,$A289,1,100000000)+[1]!b_stm07_bs(B289,106,$A289,1,100000000)+[1]!b_stm07_bs(B289,76,$A289,1,100000000)+[1]!b_stm07_bs(B289,108,$A289,1,100000000)+[1]!b_stm07_bs(B289,95,$A289,1,100000000))/[1]!b_stm07_bs(B289,128,$A289,1,100000000),"")</f>
        <v/>
      </c>
      <c r="S289" s="28" t="str">
        <f>IFERROR(([1]!s_stmnote_bank_614(B289,$A289,1,2,100000000)+[1]!b_stm07_bs(B289,104,$A289,1,100000000)+[1]!b_stm07_bs(B289,106,$A289,1,100000000)+[1]!b_stm07_bs(B289,76,$A289,1,100000000)+[1]!b_stm07_bs(B289,108,$A289,1,100000000)+[1]!b_stm07_bs(B289,95,$A289,1,100000000))/[1]!b_stm07_bs(B289,128,$A289,1,100000000),"")</f>
        <v/>
      </c>
      <c r="T289" s="11">
        <f>[1]!b_issuer_shareholder(B289,"",1)</f>
        <v>0</v>
      </c>
      <c r="U289" s="10">
        <f>[1]!b_issuer_propofshareholder(B289,"",1)</f>
        <v>0</v>
      </c>
      <c r="V289" s="33" t="str">
        <f t="shared" si="9"/>
        <v>0</v>
      </c>
      <c r="W289" s="33">
        <f>[1]!s_info_city(B289)</f>
        <v>0</v>
      </c>
      <c r="X289" s="10">
        <f>IF([1]!s_stmnote_bank_17n(B289,$A289,1)="0","",[1]!s_stmnote_bank_17n(B289,$A289,1))</f>
        <v>0</v>
      </c>
      <c r="Y289" s="10">
        <f>IF([1]!s_stmnote_bank_18n(B289,$A289,1)="0","",[1]!s_stmnote_bank_18n(B289,$A289,1))</f>
        <v>0</v>
      </c>
      <c r="Z289" s="41">
        <f>IF([1]!s_stmnote_bank_58(B289,$A289,1)="0","",[1]!s_stmnote_bank_58(B289,$A289,1))</f>
        <v>0</v>
      </c>
      <c r="AA289" s="52">
        <f>IF([1]!s_stmnote_bank_60(B289,$A289,1)="0","",[1]!s_stmnote_bank_60(B289,$A289,1))</f>
        <v>0</v>
      </c>
      <c r="AB289" s="52">
        <f>[1]!s_stmnote_bank_5444(B289,$A289,1)</f>
        <v>0</v>
      </c>
      <c r="AC289" s="38">
        <f>[1]!s_stmnote_bank_129n($B289,$A289,1)</f>
        <v>0</v>
      </c>
      <c r="AD289" s="54">
        <f>[1]!s_stmnote_bank_30(B289,$A289,1)</f>
        <v>0</v>
      </c>
    </row>
    <row r="290" spans="1:30" ht="24">
      <c r="A290" s="1" t="s">
        <v>1110</v>
      </c>
      <c r="B290" s="87" t="s">
        <v>1398</v>
      </c>
      <c r="C290" s="8">
        <f>IF([1]!b_info_issuer(B290)="0","",IFERROR([1]!b_info_issuer(B290),""))</f>
        <v>0</v>
      </c>
      <c r="D290" s="11">
        <f>IF([1]!b_info_latestissurercreditrating(B290)="0","",IFERROR([1]!b_info_latestissurercreditrating(B290),""))</f>
        <v>0</v>
      </c>
      <c r="E290" s="27" t="str">
        <f>IFERROR(([1]!b_stm07_bs($B290,47,$A290,1,100000000))/[1]!b_stm07_bs($B290,109,$A290,1,100000000),"")</f>
        <v/>
      </c>
      <c r="F290" s="18" t="str">
        <f>IFERROR(([1]!s_stmnote_bank_26($B290,$A290,1,100000000)-[1]!s_stmnote_bank_26($B290,#REF!,1,100000000)+#REF!)/[1]!s_stmnote_bank_1n($B290,#REF!,1,100000000),"")</f>
        <v/>
      </c>
      <c r="G290" s="21" t="str">
        <f t="shared" si="8"/>
        <v/>
      </c>
      <c r="H290" s="18" t="str">
        <f>IFERROR([1]!s_stmnote_bank($B290,"34",$A290,100000000)/[1]!s_stmnote_bank_1n(B290,$A290,1,100000000),"")</f>
        <v/>
      </c>
      <c r="I290" s="25">
        <f>[1]!b_stm07_bs(B290,74,$A290,1,100000000)</f>
        <v>0</v>
      </c>
      <c r="J290" s="25">
        <f>[1]!b_stm07_bs(B290,109,$A290,1,100000000)</f>
        <v>0</v>
      </c>
      <c r="K290" s="10">
        <f>[1]!s_stmnote_bank_5n(B290,$A290,1)</f>
        <v>0</v>
      </c>
      <c r="L290" s="25">
        <f>[1]!s_stmnote_bank_23n(B290,$A290,1)</f>
        <v>0</v>
      </c>
      <c r="M290" s="25">
        <f>[1]!s_stmnote_bank_capadequacyratio(B290,$A290,1)</f>
        <v>0</v>
      </c>
      <c r="N290" s="25">
        <f>[1]!s_stmnote_bank_capadequacyratio_ct1(B290,$A290,1)</f>
        <v>0</v>
      </c>
      <c r="O290" s="6">
        <f>IF(OR([1]!s_fa_roe(B290,20201231)="0",[1]!s_fa_roe(B290,20211231)="0",[1]!s_fa_roe(B290,20221231)="0"),"",IFERROR(([1]!s_fa_roe(B290,20221231)+[1]!s_fa_roe(B290,20201231)+[1]!s_fa_roe(B290,20211231))/3,""))</f>
        <v>0</v>
      </c>
      <c r="P290" s="28" t="str">
        <f>IFERROR(([1]!s_stmnote_bank_65(B290,$A290,1,2,4,100000000)+[1]!s_stmnote_bank_65(B290,$A290,1,2,6,100000000))/[1]!s_stmnote_bank_1n(B290,$A290,1,100000000),"")</f>
        <v/>
      </c>
      <c r="Q290" s="28" t="str">
        <f>IFERROR([1]!s_stmnote_bank_614(B290,$A290,1,2,100000000)/[1]!s_stmnote_bank_647(B290,$A290,1,2,100000000),"")</f>
        <v/>
      </c>
      <c r="R290" s="28" t="str">
        <f>IFERROR(([1]!b_stm07_bs(B290,104,$A290,1,100000000)+[1]!b_stm07_bs(B290,106,$A290,1,100000000)+[1]!b_stm07_bs(B290,76,$A290,1,100000000)+[1]!b_stm07_bs(B290,108,$A290,1,100000000)+[1]!b_stm07_bs(B290,95,$A290,1,100000000))/[1]!b_stm07_bs(B290,128,$A290,1,100000000),"")</f>
        <v/>
      </c>
      <c r="S290" s="28" t="str">
        <f>IFERROR(([1]!s_stmnote_bank_614(B290,$A290,1,2,100000000)+[1]!b_stm07_bs(B290,104,$A290,1,100000000)+[1]!b_stm07_bs(B290,106,$A290,1,100000000)+[1]!b_stm07_bs(B290,76,$A290,1,100000000)+[1]!b_stm07_bs(B290,108,$A290,1,100000000)+[1]!b_stm07_bs(B290,95,$A290,1,100000000))/[1]!b_stm07_bs(B290,128,$A290,1,100000000),"")</f>
        <v/>
      </c>
      <c r="T290" s="11">
        <f>[1]!b_issuer_shareholder(B290,"",1)</f>
        <v>0</v>
      </c>
      <c r="U290" s="10">
        <f>[1]!b_issuer_propofshareholder(B290,"",1)</f>
        <v>0</v>
      </c>
      <c r="V290" s="33" t="str">
        <f t="shared" si="9"/>
        <v>0</v>
      </c>
      <c r="W290" s="33">
        <f>[1]!s_info_city(B290)</f>
        <v>0</v>
      </c>
      <c r="X290" s="10">
        <f>IF([1]!s_stmnote_bank_17n(B290,$A290,1)="0","",[1]!s_stmnote_bank_17n(B290,$A290,1))</f>
        <v>0</v>
      </c>
      <c r="Y290" s="10">
        <f>IF([1]!s_stmnote_bank_18n(B290,$A290,1)="0","",[1]!s_stmnote_bank_18n(B290,$A290,1))</f>
        <v>0</v>
      </c>
      <c r="Z290" s="41">
        <f>IF([1]!s_stmnote_bank_58(B290,$A290,1)="0","",[1]!s_stmnote_bank_58(B290,$A290,1))</f>
        <v>0</v>
      </c>
      <c r="AA290" s="52">
        <f>IF([1]!s_stmnote_bank_60(B290,$A290,1)="0","",[1]!s_stmnote_bank_60(B290,$A290,1))</f>
        <v>0</v>
      </c>
      <c r="AB290" s="52">
        <f>[1]!s_stmnote_bank_5444(B290,$A290,1)</f>
        <v>0</v>
      </c>
      <c r="AC290" s="38">
        <f>[1]!s_stmnote_bank_129n($B290,$A290,1)</f>
        <v>0</v>
      </c>
      <c r="AD290" s="54">
        <f>[1]!s_stmnote_bank_30(B290,$A290,1)</f>
        <v>0</v>
      </c>
    </row>
    <row r="291" spans="1:30" ht="24">
      <c r="A291" s="1" t="s">
        <v>1110</v>
      </c>
      <c r="B291" s="87" t="s">
        <v>1399</v>
      </c>
      <c r="C291" s="8">
        <f>IF([1]!b_info_issuer(B291)="0","",IFERROR([1]!b_info_issuer(B291),""))</f>
        <v>0</v>
      </c>
      <c r="D291" s="11">
        <f>IF([1]!b_info_latestissurercreditrating(B291)="0","",IFERROR([1]!b_info_latestissurercreditrating(B291),""))</f>
        <v>0</v>
      </c>
      <c r="E291" s="27" t="str">
        <f>IFERROR(([1]!b_stm07_bs($B291,47,$A291,1,100000000))/[1]!b_stm07_bs($B291,109,$A291,1,100000000),"")</f>
        <v/>
      </c>
      <c r="F291" s="18" t="str">
        <f>IFERROR(([1]!s_stmnote_bank_26($B291,$A291,1,100000000)-[1]!s_stmnote_bank_26($B291,#REF!,1,100000000)+#REF!)/[1]!s_stmnote_bank_1n($B291,#REF!,1,100000000),"")</f>
        <v/>
      </c>
      <c r="G291" s="21" t="str">
        <f t="shared" si="8"/>
        <v/>
      </c>
      <c r="H291" s="18" t="str">
        <f>IFERROR([1]!s_stmnote_bank($B291,"34",$A291,100000000)/[1]!s_stmnote_bank_1n(B291,$A291,1,100000000),"")</f>
        <v/>
      </c>
      <c r="I291" s="25">
        <f>[1]!b_stm07_bs(B291,74,$A291,1,100000000)</f>
        <v>0</v>
      </c>
      <c r="J291" s="25">
        <f>[1]!b_stm07_bs(B291,109,$A291,1,100000000)</f>
        <v>0</v>
      </c>
      <c r="K291" s="10">
        <f>[1]!s_stmnote_bank_5n(B291,$A291,1)</f>
        <v>0</v>
      </c>
      <c r="L291" s="25">
        <f>[1]!s_stmnote_bank_23n(B291,$A291,1)</f>
        <v>0</v>
      </c>
      <c r="M291" s="25">
        <f>[1]!s_stmnote_bank_capadequacyratio(B291,$A291,1)</f>
        <v>0</v>
      </c>
      <c r="N291" s="25">
        <f>[1]!s_stmnote_bank_capadequacyratio_ct1(B291,$A291,1)</f>
        <v>0</v>
      </c>
      <c r="O291" s="6">
        <f>IF(OR([1]!s_fa_roe(B291,20201231)="0",[1]!s_fa_roe(B291,20211231)="0",[1]!s_fa_roe(B291,20221231)="0"),"",IFERROR(([1]!s_fa_roe(B291,20221231)+[1]!s_fa_roe(B291,20201231)+[1]!s_fa_roe(B291,20211231))/3,""))</f>
        <v>0</v>
      </c>
      <c r="P291" s="28" t="str">
        <f>IFERROR(([1]!s_stmnote_bank_65(B291,$A291,1,2,4,100000000)+[1]!s_stmnote_bank_65(B291,$A291,1,2,6,100000000))/[1]!s_stmnote_bank_1n(B291,$A291,1,100000000),"")</f>
        <v/>
      </c>
      <c r="Q291" s="28" t="str">
        <f>IFERROR([1]!s_stmnote_bank_614(B291,$A291,1,2,100000000)/[1]!s_stmnote_bank_647(B291,$A291,1,2,100000000),"")</f>
        <v/>
      </c>
      <c r="R291" s="28" t="str">
        <f>IFERROR(([1]!b_stm07_bs(B291,104,$A291,1,100000000)+[1]!b_stm07_bs(B291,106,$A291,1,100000000)+[1]!b_stm07_bs(B291,76,$A291,1,100000000)+[1]!b_stm07_bs(B291,108,$A291,1,100000000)+[1]!b_stm07_bs(B291,95,$A291,1,100000000))/[1]!b_stm07_bs(B291,128,$A291,1,100000000),"")</f>
        <v/>
      </c>
      <c r="S291" s="28" t="str">
        <f>IFERROR(([1]!s_stmnote_bank_614(B291,$A291,1,2,100000000)+[1]!b_stm07_bs(B291,104,$A291,1,100000000)+[1]!b_stm07_bs(B291,106,$A291,1,100000000)+[1]!b_stm07_bs(B291,76,$A291,1,100000000)+[1]!b_stm07_bs(B291,108,$A291,1,100000000)+[1]!b_stm07_bs(B291,95,$A291,1,100000000))/[1]!b_stm07_bs(B291,128,$A291,1,100000000),"")</f>
        <v/>
      </c>
      <c r="T291" s="11">
        <f>[1]!b_issuer_shareholder(B291,"",1)</f>
        <v>0</v>
      </c>
      <c r="U291" s="10">
        <f>[1]!b_issuer_propofshareholder(B291,"",1)</f>
        <v>0</v>
      </c>
      <c r="V291" s="33" t="str">
        <f t="shared" si="9"/>
        <v>0</v>
      </c>
      <c r="W291" s="33">
        <f>[1]!s_info_city(B291)</f>
        <v>0</v>
      </c>
      <c r="X291" s="10">
        <f>IF([1]!s_stmnote_bank_17n(B291,$A291,1)="0","",[1]!s_stmnote_bank_17n(B291,$A291,1))</f>
        <v>0</v>
      </c>
      <c r="Y291" s="10">
        <f>IF([1]!s_stmnote_bank_18n(B291,$A291,1)="0","",[1]!s_stmnote_bank_18n(B291,$A291,1))</f>
        <v>0</v>
      </c>
      <c r="Z291" s="41">
        <f>IF([1]!s_stmnote_bank_58(B291,$A291,1)="0","",[1]!s_stmnote_bank_58(B291,$A291,1))</f>
        <v>0</v>
      </c>
      <c r="AA291" s="52">
        <f>IF([1]!s_stmnote_bank_60(B291,$A291,1)="0","",[1]!s_stmnote_bank_60(B291,$A291,1))</f>
        <v>0</v>
      </c>
      <c r="AB291" s="52">
        <f>[1]!s_stmnote_bank_5444(B291,$A291,1)</f>
        <v>0</v>
      </c>
      <c r="AC291" s="38">
        <f>[1]!s_stmnote_bank_129n($B291,$A291,1)</f>
        <v>0</v>
      </c>
      <c r="AD291" s="54">
        <f>[1]!s_stmnote_bank_30(B291,$A291,1)</f>
        <v>0</v>
      </c>
    </row>
    <row r="292" spans="1:30" ht="24">
      <c r="A292" s="1" t="s">
        <v>1110</v>
      </c>
      <c r="B292" s="87" t="s">
        <v>1400</v>
      </c>
      <c r="C292" s="8">
        <f>IF([1]!b_info_issuer(B292)="0","",IFERROR([1]!b_info_issuer(B292),""))</f>
        <v>0</v>
      </c>
      <c r="D292" s="11">
        <f>IF([1]!b_info_latestissurercreditrating(B292)="0","",IFERROR([1]!b_info_latestissurercreditrating(B292),""))</f>
        <v>0</v>
      </c>
      <c r="E292" s="27" t="str">
        <f>IFERROR(([1]!b_stm07_bs($B292,47,$A292,1,100000000))/[1]!b_stm07_bs($B292,109,$A292,1,100000000),"")</f>
        <v/>
      </c>
      <c r="F292" s="18" t="str">
        <f>IFERROR(([1]!s_stmnote_bank_26($B292,$A292,1,100000000)-[1]!s_stmnote_bank_26($B292,#REF!,1,100000000)+#REF!)/[1]!s_stmnote_bank_1n($B292,#REF!,1,100000000),"")</f>
        <v/>
      </c>
      <c r="G292" s="21" t="str">
        <f t="shared" si="8"/>
        <v/>
      </c>
      <c r="H292" s="18" t="str">
        <f>IFERROR([1]!s_stmnote_bank($B292,"34",$A292,100000000)/[1]!s_stmnote_bank_1n(B292,$A292,1,100000000),"")</f>
        <v/>
      </c>
      <c r="I292" s="25">
        <f>[1]!b_stm07_bs(B292,74,$A292,1,100000000)</f>
        <v>0</v>
      </c>
      <c r="J292" s="25">
        <f>[1]!b_stm07_bs(B292,109,$A292,1,100000000)</f>
        <v>0</v>
      </c>
      <c r="K292" s="10">
        <f>[1]!s_stmnote_bank_5n(B292,$A292,1)</f>
        <v>0</v>
      </c>
      <c r="L292" s="25">
        <f>[1]!s_stmnote_bank_23n(B292,$A292,1)</f>
        <v>0</v>
      </c>
      <c r="M292" s="25">
        <f>[1]!s_stmnote_bank_capadequacyratio(B292,$A292,1)</f>
        <v>0</v>
      </c>
      <c r="N292" s="25">
        <f>[1]!s_stmnote_bank_capadequacyratio_ct1(B292,$A292,1)</f>
        <v>0</v>
      </c>
      <c r="O292" s="6">
        <f>IF(OR([1]!s_fa_roe(B292,20201231)="0",[1]!s_fa_roe(B292,20211231)="0",[1]!s_fa_roe(B292,20221231)="0"),"",IFERROR(([1]!s_fa_roe(B292,20221231)+[1]!s_fa_roe(B292,20201231)+[1]!s_fa_roe(B292,20211231))/3,""))</f>
        <v>0</v>
      </c>
      <c r="P292" s="28" t="str">
        <f>IFERROR(([1]!s_stmnote_bank_65(B292,$A292,1,2,4,100000000)+[1]!s_stmnote_bank_65(B292,$A292,1,2,6,100000000))/[1]!s_stmnote_bank_1n(B292,$A292,1,100000000),"")</f>
        <v/>
      </c>
      <c r="Q292" s="28" t="str">
        <f>IFERROR([1]!s_stmnote_bank_614(B292,$A292,1,2,100000000)/[1]!s_stmnote_bank_647(B292,$A292,1,2,100000000),"")</f>
        <v/>
      </c>
      <c r="R292" s="28" t="str">
        <f>IFERROR(([1]!b_stm07_bs(B292,104,$A292,1,100000000)+[1]!b_stm07_bs(B292,106,$A292,1,100000000)+[1]!b_stm07_bs(B292,76,$A292,1,100000000)+[1]!b_stm07_bs(B292,108,$A292,1,100000000)+[1]!b_stm07_bs(B292,95,$A292,1,100000000))/[1]!b_stm07_bs(B292,128,$A292,1,100000000),"")</f>
        <v/>
      </c>
      <c r="S292" s="28" t="str">
        <f>IFERROR(([1]!s_stmnote_bank_614(B292,$A292,1,2,100000000)+[1]!b_stm07_bs(B292,104,$A292,1,100000000)+[1]!b_stm07_bs(B292,106,$A292,1,100000000)+[1]!b_stm07_bs(B292,76,$A292,1,100000000)+[1]!b_stm07_bs(B292,108,$A292,1,100000000)+[1]!b_stm07_bs(B292,95,$A292,1,100000000))/[1]!b_stm07_bs(B292,128,$A292,1,100000000),"")</f>
        <v/>
      </c>
      <c r="T292" s="11">
        <f>[1]!b_issuer_shareholder(B292,"",1)</f>
        <v>0</v>
      </c>
      <c r="U292" s="10">
        <f>[1]!b_issuer_propofshareholder(B292,"",1)</f>
        <v>0</v>
      </c>
      <c r="V292" s="33" t="str">
        <f t="shared" si="9"/>
        <v>0</v>
      </c>
      <c r="W292" s="33">
        <f>[1]!s_info_city(B292)</f>
        <v>0</v>
      </c>
      <c r="X292" s="10">
        <f>IF([1]!s_stmnote_bank_17n(B292,$A292,1)="0","",[1]!s_stmnote_bank_17n(B292,$A292,1))</f>
        <v>0</v>
      </c>
      <c r="Y292" s="10">
        <f>IF([1]!s_stmnote_bank_18n(B292,$A292,1)="0","",[1]!s_stmnote_bank_18n(B292,$A292,1))</f>
        <v>0</v>
      </c>
      <c r="Z292" s="41">
        <f>IF([1]!s_stmnote_bank_58(B292,$A292,1)="0","",[1]!s_stmnote_bank_58(B292,$A292,1))</f>
        <v>0</v>
      </c>
      <c r="AA292" s="52">
        <f>IF([1]!s_stmnote_bank_60(B292,$A292,1)="0","",[1]!s_stmnote_bank_60(B292,$A292,1))</f>
        <v>0</v>
      </c>
      <c r="AB292" s="52">
        <f>[1]!s_stmnote_bank_5444(B292,$A292,1)</f>
        <v>0</v>
      </c>
      <c r="AC292" s="38">
        <f>[1]!s_stmnote_bank_129n($B292,$A292,1)</f>
        <v>0</v>
      </c>
      <c r="AD292" s="54">
        <f>[1]!s_stmnote_bank_30(B292,$A292,1)</f>
        <v>0</v>
      </c>
    </row>
    <row r="293" spans="1:30" ht="24">
      <c r="A293" s="1" t="s">
        <v>1110</v>
      </c>
      <c r="B293" s="87" t="s">
        <v>1401</v>
      </c>
      <c r="C293" s="8">
        <f>IF([1]!b_info_issuer(B293)="0","",IFERROR([1]!b_info_issuer(B293),""))</f>
        <v>0</v>
      </c>
      <c r="D293" s="11">
        <f>IF([1]!b_info_latestissurercreditrating(B293)="0","",IFERROR([1]!b_info_latestissurercreditrating(B293),""))</f>
        <v>0</v>
      </c>
      <c r="E293" s="27" t="str">
        <f>IFERROR(([1]!b_stm07_bs($B293,47,$A293,1,100000000))/[1]!b_stm07_bs($B293,109,$A293,1,100000000),"")</f>
        <v/>
      </c>
      <c r="F293" s="18" t="str">
        <f>IFERROR(([1]!s_stmnote_bank_26($B293,$A293,1,100000000)-[1]!s_stmnote_bank_26($B293,#REF!,1,100000000)+#REF!)/[1]!s_stmnote_bank_1n($B293,#REF!,1,100000000),"")</f>
        <v/>
      </c>
      <c r="G293" s="21" t="str">
        <f t="shared" si="8"/>
        <v/>
      </c>
      <c r="H293" s="18" t="str">
        <f>IFERROR([1]!s_stmnote_bank($B293,"34",$A293,100000000)/[1]!s_stmnote_bank_1n(B293,$A293,1,100000000),"")</f>
        <v/>
      </c>
      <c r="I293" s="25">
        <f>[1]!b_stm07_bs(B293,74,$A293,1,100000000)</f>
        <v>0</v>
      </c>
      <c r="J293" s="25">
        <f>[1]!b_stm07_bs(B293,109,$A293,1,100000000)</f>
        <v>0</v>
      </c>
      <c r="K293" s="10">
        <f>[1]!s_stmnote_bank_5n(B293,$A293,1)</f>
        <v>0</v>
      </c>
      <c r="L293" s="25">
        <f>[1]!s_stmnote_bank_23n(B293,$A293,1)</f>
        <v>0</v>
      </c>
      <c r="M293" s="25">
        <f>[1]!s_stmnote_bank_capadequacyratio(B293,$A293,1)</f>
        <v>0</v>
      </c>
      <c r="N293" s="25">
        <f>[1]!s_stmnote_bank_capadequacyratio_ct1(B293,$A293,1)</f>
        <v>0</v>
      </c>
      <c r="O293" s="6">
        <f>IF(OR([1]!s_fa_roe(B293,20201231)="0",[1]!s_fa_roe(B293,20211231)="0",[1]!s_fa_roe(B293,20221231)="0"),"",IFERROR(([1]!s_fa_roe(B293,20221231)+[1]!s_fa_roe(B293,20201231)+[1]!s_fa_roe(B293,20211231))/3,""))</f>
        <v>0</v>
      </c>
      <c r="P293" s="28" t="str">
        <f>IFERROR(([1]!s_stmnote_bank_65(B293,$A293,1,2,4,100000000)+[1]!s_stmnote_bank_65(B293,$A293,1,2,6,100000000))/[1]!s_stmnote_bank_1n(B293,$A293,1,100000000),"")</f>
        <v/>
      </c>
      <c r="Q293" s="28" t="str">
        <f>IFERROR([1]!s_stmnote_bank_614(B293,$A293,1,2,100000000)/[1]!s_stmnote_bank_647(B293,$A293,1,2,100000000),"")</f>
        <v/>
      </c>
      <c r="R293" s="28" t="str">
        <f>IFERROR(([1]!b_stm07_bs(B293,104,$A293,1,100000000)+[1]!b_stm07_bs(B293,106,$A293,1,100000000)+[1]!b_stm07_bs(B293,76,$A293,1,100000000)+[1]!b_stm07_bs(B293,108,$A293,1,100000000)+[1]!b_stm07_bs(B293,95,$A293,1,100000000))/[1]!b_stm07_bs(B293,128,$A293,1,100000000),"")</f>
        <v/>
      </c>
      <c r="S293" s="28" t="str">
        <f>IFERROR(([1]!s_stmnote_bank_614(B293,$A293,1,2,100000000)+[1]!b_stm07_bs(B293,104,$A293,1,100000000)+[1]!b_stm07_bs(B293,106,$A293,1,100000000)+[1]!b_stm07_bs(B293,76,$A293,1,100000000)+[1]!b_stm07_bs(B293,108,$A293,1,100000000)+[1]!b_stm07_bs(B293,95,$A293,1,100000000))/[1]!b_stm07_bs(B293,128,$A293,1,100000000),"")</f>
        <v/>
      </c>
      <c r="T293" s="11">
        <f>[1]!b_issuer_shareholder(B293,"",1)</f>
        <v>0</v>
      </c>
      <c r="U293" s="10">
        <f>[1]!b_issuer_propofshareholder(B293,"",1)</f>
        <v>0</v>
      </c>
      <c r="V293" s="33" t="str">
        <f t="shared" si="9"/>
        <v>0</v>
      </c>
      <c r="W293" s="33">
        <f>[1]!s_info_city(B293)</f>
        <v>0</v>
      </c>
      <c r="X293" s="10">
        <f>IF([1]!s_stmnote_bank_17n(B293,$A293,1)="0","",[1]!s_stmnote_bank_17n(B293,$A293,1))</f>
        <v>0</v>
      </c>
      <c r="Y293" s="10">
        <f>IF([1]!s_stmnote_bank_18n(B293,$A293,1)="0","",[1]!s_stmnote_bank_18n(B293,$A293,1))</f>
        <v>0</v>
      </c>
      <c r="Z293" s="41">
        <f>IF([1]!s_stmnote_bank_58(B293,$A293,1)="0","",[1]!s_stmnote_bank_58(B293,$A293,1))</f>
        <v>0</v>
      </c>
      <c r="AA293" s="52">
        <f>IF([1]!s_stmnote_bank_60(B293,$A293,1)="0","",[1]!s_stmnote_bank_60(B293,$A293,1))</f>
        <v>0</v>
      </c>
      <c r="AB293" s="52">
        <f>[1]!s_stmnote_bank_5444(B293,$A293,1)</f>
        <v>0</v>
      </c>
      <c r="AC293" s="38">
        <f>[1]!s_stmnote_bank_129n($B293,$A293,1)</f>
        <v>0</v>
      </c>
      <c r="AD293" s="54">
        <f>[1]!s_stmnote_bank_30(B293,$A293,1)</f>
        <v>0</v>
      </c>
    </row>
    <row r="294" spans="1:30" ht="24">
      <c r="A294" s="1" t="s">
        <v>1110</v>
      </c>
      <c r="B294" s="87" t="s">
        <v>1402</v>
      </c>
      <c r="C294" s="8">
        <f>IF([1]!b_info_issuer(B294)="0","",IFERROR([1]!b_info_issuer(B294),""))</f>
        <v>0</v>
      </c>
      <c r="D294" s="11">
        <f>IF([1]!b_info_latestissurercreditrating(B294)="0","",IFERROR([1]!b_info_latestissurercreditrating(B294),""))</f>
        <v>0</v>
      </c>
      <c r="E294" s="27" t="str">
        <f>IFERROR(([1]!b_stm07_bs($B294,47,$A294,1,100000000))/[1]!b_stm07_bs($B294,109,$A294,1,100000000),"")</f>
        <v/>
      </c>
      <c r="F294" s="18" t="str">
        <f>IFERROR(([1]!s_stmnote_bank_26($B294,$A294,1,100000000)-[1]!s_stmnote_bank_26($B294,#REF!,1,100000000)+#REF!)/[1]!s_stmnote_bank_1n($B294,#REF!,1,100000000),"")</f>
        <v/>
      </c>
      <c r="G294" s="21" t="str">
        <f t="shared" si="8"/>
        <v/>
      </c>
      <c r="H294" s="18" t="str">
        <f>IFERROR([1]!s_stmnote_bank($B294,"34",$A294,100000000)/[1]!s_stmnote_bank_1n(B294,$A294,1,100000000),"")</f>
        <v/>
      </c>
      <c r="I294" s="25">
        <f>[1]!b_stm07_bs(B294,74,$A294,1,100000000)</f>
        <v>0</v>
      </c>
      <c r="J294" s="25">
        <f>[1]!b_stm07_bs(B294,109,$A294,1,100000000)</f>
        <v>0</v>
      </c>
      <c r="K294" s="10">
        <f>[1]!s_stmnote_bank_5n(B294,$A294,1)</f>
        <v>0</v>
      </c>
      <c r="L294" s="25">
        <f>[1]!s_stmnote_bank_23n(B294,$A294,1)</f>
        <v>0</v>
      </c>
      <c r="M294" s="25">
        <f>[1]!s_stmnote_bank_capadequacyratio(B294,$A294,1)</f>
        <v>0</v>
      </c>
      <c r="N294" s="25">
        <f>[1]!s_stmnote_bank_capadequacyratio_ct1(B294,$A294,1)</f>
        <v>0</v>
      </c>
      <c r="O294" s="6">
        <f>IF(OR([1]!s_fa_roe(B294,20201231)="0",[1]!s_fa_roe(B294,20211231)="0",[1]!s_fa_roe(B294,20221231)="0"),"",IFERROR(([1]!s_fa_roe(B294,20221231)+[1]!s_fa_roe(B294,20201231)+[1]!s_fa_roe(B294,20211231))/3,""))</f>
        <v>0</v>
      </c>
      <c r="P294" s="28" t="str">
        <f>IFERROR(([1]!s_stmnote_bank_65(B294,$A294,1,2,4,100000000)+[1]!s_stmnote_bank_65(B294,$A294,1,2,6,100000000))/[1]!s_stmnote_bank_1n(B294,$A294,1,100000000),"")</f>
        <v/>
      </c>
      <c r="Q294" s="28" t="str">
        <f>IFERROR([1]!s_stmnote_bank_614(B294,$A294,1,2,100000000)/[1]!s_stmnote_bank_647(B294,$A294,1,2,100000000),"")</f>
        <v/>
      </c>
      <c r="R294" s="28" t="str">
        <f>IFERROR(([1]!b_stm07_bs(B294,104,$A294,1,100000000)+[1]!b_stm07_bs(B294,106,$A294,1,100000000)+[1]!b_stm07_bs(B294,76,$A294,1,100000000)+[1]!b_stm07_bs(B294,108,$A294,1,100000000)+[1]!b_stm07_bs(B294,95,$A294,1,100000000))/[1]!b_stm07_bs(B294,128,$A294,1,100000000),"")</f>
        <v/>
      </c>
      <c r="S294" s="28" t="str">
        <f>IFERROR(([1]!s_stmnote_bank_614(B294,$A294,1,2,100000000)+[1]!b_stm07_bs(B294,104,$A294,1,100000000)+[1]!b_stm07_bs(B294,106,$A294,1,100000000)+[1]!b_stm07_bs(B294,76,$A294,1,100000000)+[1]!b_stm07_bs(B294,108,$A294,1,100000000)+[1]!b_stm07_bs(B294,95,$A294,1,100000000))/[1]!b_stm07_bs(B294,128,$A294,1,100000000),"")</f>
        <v/>
      </c>
      <c r="T294" s="11">
        <f>[1]!b_issuer_shareholder(B294,"",1)</f>
        <v>0</v>
      </c>
      <c r="U294" s="10">
        <f>[1]!b_issuer_propofshareholder(B294,"",1)</f>
        <v>0</v>
      </c>
      <c r="V294" s="33" t="str">
        <f t="shared" si="9"/>
        <v>0</v>
      </c>
      <c r="W294" s="33">
        <f>[1]!s_info_city(B294)</f>
        <v>0</v>
      </c>
      <c r="X294" s="10">
        <f>IF([1]!s_stmnote_bank_17n(B294,$A294,1)="0","",[1]!s_stmnote_bank_17n(B294,$A294,1))</f>
        <v>0</v>
      </c>
      <c r="Y294" s="10">
        <f>IF([1]!s_stmnote_bank_18n(B294,$A294,1)="0","",[1]!s_stmnote_bank_18n(B294,$A294,1))</f>
        <v>0</v>
      </c>
      <c r="Z294" s="41">
        <f>IF([1]!s_stmnote_bank_58(B294,$A294,1)="0","",[1]!s_stmnote_bank_58(B294,$A294,1))</f>
        <v>0</v>
      </c>
      <c r="AA294" s="52">
        <f>IF([1]!s_stmnote_bank_60(B294,$A294,1)="0","",[1]!s_stmnote_bank_60(B294,$A294,1))</f>
        <v>0</v>
      </c>
      <c r="AB294" s="52">
        <f>[1]!s_stmnote_bank_5444(B294,$A294,1)</f>
        <v>0</v>
      </c>
      <c r="AC294" s="38">
        <f>[1]!s_stmnote_bank_129n($B294,$A294,1)</f>
        <v>0</v>
      </c>
      <c r="AD294" s="54">
        <f>[1]!s_stmnote_bank_30(B294,$A294,1)</f>
        <v>0</v>
      </c>
    </row>
    <row r="295" spans="1:30" ht="24">
      <c r="A295" s="1" t="s">
        <v>1110</v>
      </c>
      <c r="B295" s="87" t="s">
        <v>1403</v>
      </c>
      <c r="C295" s="8">
        <f>IF([1]!b_info_issuer(B295)="0","",IFERROR([1]!b_info_issuer(B295),""))</f>
        <v>0</v>
      </c>
      <c r="D295" s="11">
        <f>IF([1]!b_info_latestissurercreditrating(B295)="0","",IFERROR([1]!b_info_latestissurercreditrating(B295),""))</f>
        <v>0</v>
      </c>
      <c r="E295" s="27" t="str">
        <f>IFERROR(([1]!b_stm07_bs($B295,47,$A295,1,100000000))/[1]!b_stm07_bs($B295,109,$A295,1,100000000),"")</f>
        <v/>
      </c>
      <c r="F295" s="18" t="str">
        <f>IFERROR(([1]!s_stmnote_bank_26($B295,$A295,1,100000000)-[1]!s_stmnote_bank_26($B295,#REF!,1,100000000)+#REF!)/[1]!s_stmnote_bank_1n($B295,#REF!,1,100000000),"")</f>
        <v/>
      </c>
      <c r="G295" s="21" t="str">
        <f t="shared" si="8"/>
        <v/>
      </c>
      <c r="H295" s="18" t="str">
        <f>IFERROR([1]!s_stmnote_bank($B295,"34",$A295,100000000)/[1]!s_stmnote_bank_1n(B295,$A295,1,100000000),"")</f>
        <v/>
      </c>
      <c r="I295" s="25">
        <f>[1]!b_stm07_bs(B295,74,$A295,1,100000000)</f>
        <v>0</v>
      </c>
      <c r="J295" s="25">
        <f>[1]!b_stm07_bs(B295,109,$A295,1,100000000)</f>
        <v>0</v>
      </c>
      <c r="K295" s="10">
        <f>[1]!s_stmnote_bank_5n(B295,$A295,1)</f>
        <v>0</v>
      </c>
      <c r="L295" s="25">
        <f>[1]!s_stmnote_bank_23n(B295,$A295,1)</f>
        <v>0</v>
      </c>
      <c r="M295" s="25">
        <f>[1]!s_stmnote_bank_capadequacyratio(B295,$A295,1)</f>
        <v>0</v>
      </c>
      <c r="N295" s="25">
        <f>[1]!s_stmnote_bank_capadequacyratio_ct1(B295,$A295,1)</f>
        <v>0</v>
      </c>
      <c r="O295" s="6">
        <f>IF(OR([1]!s_fa_roe(B295,20201231)="0",[1]!s_fa_roe(B295,20211231)="0",[1]!s_fa_roe(B295,20221231)="0"),"",IFERROR(([1]!s_fa_roe(B295,20221231)+[1]!s_fa_roe(B295,20201231)+[1]!s_fa_roe(B295,20211231))/3,""))</f>
        <v>0</v>
      </c>
      <c r="P295" s="28" t="str">
        <f>IFERROR(([1]!s_stmnote_bank_65(B295,$A295,1,2,4,100000000)+[1]!s_stmnote_bank_65(B295,$A295,1,2,6,100000000))/[1]!s_stmnote_bank_1n(B295,$A295,1,100000000),"")</f>
        <v/>
      </c>
      <c r="Q295" s="28" t="str">
        <f>IFERROR([1]!s_stmnote_bank_614(B295,$A295,1,2,100000000)/[1]!s_stmnote_bank_647(B295,$A295,1,2,100000000),"")</f>
        <v/>
      </c>
      <c r="R295" s="28" t="str">
        <f>IFERROR(([1]!b_stm07_bs(B295,104,$A295,1,100000000)+[1]!b_stm07_bs(B295,106,$A295,1,100000000)+[1]!b_stm07_bs(B295,76,$A295,1,100000000)+[1]!b_stm07_bs(B295,108,$A295,1,100000000)+[1]!b_stm07_bs(B295,95,$A295,1,100000000))/[1]!b_stm07_bs(B295,128,$A295,1,100000000),"")</f>
        <v/>
      </c>
      <c r="S295" s="28" t="str">
        <f>IFERROR(([1]!s_stmnote_bank_614(B295,$A295,1,2,100000000)+[1]!b_stm07_bs(B295,104,$A295,1,100000000)+[1]!b_stm07_bs(B295,106,$A295,1,100000000)+[1]!b_stm07_bs(B295,76,$A295,1,100000000)+[1]!b_stm07_bs(B295,108,$A295,1,100000000)+[1]!b_stm07_bs(B295,95,$A295,1,100000000))/[1]!b_stm07_bs(B295,128,$A295,1,100000000),"")</f>
        <v/>
      </c>
      <c r="T295" s="11">
        <f>[1]!b_issuer_shareholder(B295,"",1)</f>
        <v>0</v>
      </c>
      <c r="U295" s="10">
        <f>[1]!b_issuer_propofshareholder(B295,"",1)</f>
        <v>0</v>
      </c>
      <c r="V295" s="33" t="str">
        <f t="shared" si="9"/>
        <v>0</v>
      </c>
      <c r="W295" s="33">
        <f>[1]!s_info_city(B295)</f>
        <v>0</v>
      </c>
      <c r="X295" s="10">
        <f>IF([1]!s_stmnote_bank_17n(B295,$A295,1)="0","",[1]!s_stmnote_bank_17n(B295,$A295,1))</f>
        <v>0</v>
      </c>
      <c r="Y295" s="10">
        <f>IF([1]!s_stmnote_bank_18n(B295,$A295,1)="0","",[1]!s_stmnote_bank_18n(B295,$A295,1))</f>
        <v>0</v>
      </c>
      <c r="Z295" s="41">
        <f>IF([1]!s_stmnote_bank_58(B295,$A295,1)="0","",[1]!s_stmnote_bank_58(B295,$A295,1))</f>
        <v>0</v>
      </c>
      <c r="AA295" s="52">
        <f>IF([1]!s_stmnote_bank_60(B295,$A295,1)="0","",[1]!s_stmnote_bank_60(B295,$A295,1))</f>
        <v>0</v>
      </c>
      <c r="AB295" s="52">
        <f>[1]!s_stmnote_bank_5444(B295,$A295,1)</f>
        <v>0</v>
      </c>
      <c r="AC295" s="38">
        <f>[1]!s_stmnote_bank_129n($B295,$A295,1)</f>
        <v>0</v>
      </c>
      <c r="AD295" s="54">
        <f>[1]!s_stmnote_bank_30(B295,$A295,1)</f>
        <v>0</v>
      </c>
    </row>
    <row r="296" spans="1:30" ht="24">
      <c r="A296" s="1" t="s">
        <v>1110</v>
      </c>
      <c r="B296" s="87" t="s">
        <v>1404</v>
      </c>
      <c r="C296" s="8">
        <f>IF([1]!b_info_issuer(B296)="0","",IFERROR([1]!b_info_issuer(B296),""))</f>
        <v>0</v>
      </c>
      <c r="D296" s="11">
        <f>IF([1]!b_info_latestissurercreditrating(B296)="0","",IFERROR([1]!b_info_latestissurercreditrating(B296),""))</f>
        <v>0</v>
      </c>
      <c r="E296" s="27" t="str">
        <f>IFERROR(([1]!b_stm07_bs($B296,47,$A296,1,100000000))/[1]!b_stm07_bs($B296,109,$A296,1,100000000),"")</f>
        <v/>
      </c>
      <c r="F296" s="18" t="str">
        <f>IFERROR(([1]!s_stmnote_bank_26($B296,$A296,1,100000000)-[1]!s_stmnote_bank_26($B296,#REF!,1,100000000)+#REF!)/[1]!s_stmnote_bank_1n($B296,#REF!,1,100000000),"")</f>
        <v/>
      </c>
      <c r="G296" s="21" t="str">
        <f t="shared" si="8"/>
        <v/>
      </c>
      <c r="H296" s="18" t="str">
        <f>IFERROR([1]!s_stmnote_bank($B296,"34",$A296,100000000)/[1]!s_stmnote_bank_1n(B296,$A296,1,100000000),"")</f>
        <v/>
      </c>
      <c r="I296" s="25">
        <f>[1]!b_stm07_bs(B296,74,$A296,1,100000000)</f>
        <v>0</v>
      </c>
      <c r="J296" s="25">
        <f>[1]!b_stm07_bs(B296,109,$A296,1,100000000)</f>
        <v>0</v>
      </c>
      <c r="K296" s="10">
        <f>[1]!s_stmnote_bank_5n(B296,$A296,1)</f>
        <v>0</v>
      </c>
      <c r="L296" s="25">
        <f>[1]!s_stmnote_bank_23n(B296,$A296,1)</f>
        <v>0</v>
      </c>
      <c r="M296" s="25">
        <f>[1]!s_stmnote_bank_capadequacyratio(B296,$A296,1)</f>
        <v>0</v>
      </c>
      <c r="N296" s="25">
        <f>[1]!s_stmnote_bank_capadequacyratio_ct1(B296,$A296,1)</f>
        <v>0</v>
      </c>
      <c r="O296" s="6">
        <f>IF(OR([1]!s_fa_roe(B296,20201231)="0",[1]!s_fa_roe(B296,20211231)="0",[1]!s_fa_roe(B296,20221231)="0"),"",IFERROR(([1]!s_fa_roe(B296,20221231)+[1]!s_fa_roe(B296,20201231)+[1]!s_fa_roe(B296,20211231))/3,""))</f>
        <v>0</v>
      </c>
      <c r="P296" s="28" t="str">
        <f>IFERROR(([1]!s_stmnote_bank_65(B296,$A296,1,2,4,100000000)+[1]!s_stmnote_bank_65(B296,$A296,1,2,6,100000000))/[1]!s_stmnote_bank_1n(B296,$A296,1,100000000),"")</f>
        <v/>
      </c>
      <c r="Q296" s="28" t="str">
        <f>IFERROR([1]!s_stmnote_bank_614(B296,$A296,1,2,100000000)/[1]!s_stmnote_bank_647(B296,$A296,1,2,100000000),"")</f>
        <v/>
      </c>
      <c r="R296" s="28" t="str">
        <f>IFERROR(([1]!b_stm07_bs(B296,104,$A296,1,100000000)+[1]!b_stm07_bs(B296,106,$A296,1,100000000)+[1]!b_stm07_bs(B296,76,$A296,1,100000000)+[1]!b_stm07_bs(B296,108,$A296,1,100000000)+[1]!b_stm07_bs(B296,95,$A296,1,100000000))/[1]!b_stm07_bs(B296,128,$A296,1,100000000),"")</f>
        <v/>
      </c>
      <c r="S296" s="28" t="str">
        <f>IFERROR(([1]!s_stmnote_bank_614(B296,$A296,1,2,100000000)+[1]!b_stm07_bs(B296,104,$A296,1,100000000)+[1]!b_stm07_bs(B296,106,$A296,1,100000000)+[1]!b_stm07_bs(B296,76,$A296,1,100000000)+[1]!b_stm07_bs(B296,108,$A296,1,100000000)+[1]!b_stm07_bs(B296,95,$A296,1,100000000))/[1]!b_stm07_bs(B296,128,$A296,1,100000000),"")</f>
        <v/>
      </c>
      <c r="T296" s="11">
        <f>[1]!b_issuer_shareholder(B296,"",1)</f>
        <v>0</v>
      </c>
      <c r="U296" s="10">
        <f>[1]!b_issuer_propofshareholder(B296,"",1)</f>
        <v>0</v>
      </c>
      <c r="V296" s="33" t="str">
        <f t="shared" si="9"/>
        <v>0</v>
      </c>
      <c r="W296" s="33">
        <f>[1]!s_info_city(B296)</f>
        <v>0</v>
      </c>
      <c r="X296" s="10">
        <f>IF([1]!s_stmnote_bank_17n(B296,$A296,1)="0","",[1]!s_stmnote_bank_17n(B296,$A296,1))</f>
        <v>0</v>
      </c>
      <c r="Y296" s="10">
        <f>IF([1]!s_stmnote_bank_18n(B296,$A296,1)="0","",[1]!s_stmnote_bank_18n(B296,$A296,1))</f>
        <v>0</v>
      </c>
      <c r="Z296" s="41">
        <f>IF([1]!s_stmnote_bank_58(B296,$A296,1)="0","",[1]!s_stmnote_bank_58(B296,$A296,1))</f>
        <v>0</v>
      </c>
      <c r="AA296" s="52">
        <f>IF([1]!s_stmnote_bank_60(B296,$A296,1)="0","",[1]!s_stmnote_bank_60(B296,$A296,1))</f>
        <v>0</v>
      </c>
      <c r="AB296" s="52">
        <f>[1]!s_stmnote_bank_5444(B296,$A296,1)</f>
        <v>0</v>
      </c>
      <c r="AC296" s="38">
        <f>[1]!s_stmnote_bank_129n($B296,$A296,1)</f>
        <v>0</v>
      </c>
      <c r="AD296" s="54">
        <f>[1]!s_stmnote_bank_30(B296,$A296,1)</f>
        <v>0</v>
      </c>
    </row>
    <row r="297" spans="1:30" ht="24">
      <c r="A297" s="1" t="s">
        <v>1110</v>
      </c>
      <c r="B297" s="87" t="s">
        <v>1405</v>
      </c>
      <c r="C297" s="8">
        <f>IF([1]!b_info_issuer(B297)="0","",IFERROR([1]!b_info_issuer(B297),""))</f>
        <v>0</v>
      </c>
      <c r="D297" s="11">
        <f>IF([1]!b_info_latestissurercreditrating(B297)="0","",IFERROR([1]!b_info_latestissurercreditrating(B297),""))</f>
        <v>0</v>
      </c>
      <c r="E297" s="27" t="str">
        <f>IFERROR(([1]!b_stm07_bs($B297,47,$A297,1,100000000))/[1]!b_stm07_bs($B297,109,$A297,1,100000000),"")</f>
        <v/>
      </c>
      <c r="F297" s="18" t="str">
        <f>IFERROR(([1]!s_stmnote_bank_26($B297,$A297,1,100000000)-[1]!s_stmnote_bank_26($B297,#REF!,1,100000000)+#REF!)/[1]!s_stmnote_bank_1n($B297,#REF!,1,100000000),"")</f>
        <v/>
      </c>
      <c r="G297" s="21" t="str">
        <f t="shared" si="8"/>
        <v/>
      </c>
      <c r="H297" s="18" t="str">
        <f>IFERROR([1]!s_stmnote_bank($B297,"34",$A297,100000000)/[1]!s_stmnote_bank_1n(B297,$A297,1,100000000),"")</f>
        <v/>
      </c>
      <c r="I297" s="25">
        <f>[1]!b_stm07_bs(B297,74,$A297,1,100000000)</f>
        <v>0</v>
      </c>
      <c r="J297" s="25">
        <f>[1]!b_stm07_bs(B297,109,$A297,1,100000000)</f>
        <v>0</v>
      </c>
      <c r="K297" s="10">
        <f>[1]!s_stmnote_bank_5n(B297,$A297,1)</f>
        <v>0</v>
      </c>
      <c r="L297" s="25">
        <f>[1]!s_stmnote_bank_23n(B297,$A297,1)</f>
        <v>0</v>
      </c>
      <c r="M297" s="25">
        <f>[1]!s_stmnote_bank_capadequacyratio(B297,$A297,1)</f>
        <v>0</v>
      </c>
      <c r="N297" s="25">
        <f>[1]!s_stmnote_bank_capadequacyratio_ct1(B297,$A297,1)</f>
        <v>0</v>
      </c>
      <c r="O297" s="6">
        <f>IF(OR([1]!s_fa_roe(B297,20201231)="0",[1]!s_fa_roe(B297,20211231)="0",[1]!s_fa_roe(B297,20221231)="0"),"",IFERROR(([1]!s_fa_roe(B297,20221231)+[1]!s_fa_roe(B297,20201231)+[1]!s_fa_roe(B297,20211231))/3,""))</f>
        <v>0</v>
      </c>
      <c r="P297" s="28" t="str">
        <f>IFERROR(([1]!s_stmnote_bank_65(B297,$A297,1,2,4,100000000)+[1]!s_stmnote_bank_65(B297,$A297,1,2,6,100000000))/[1]!s_stmnote_bank_1n(B297,$A297,1,100000000),"")</f>
        <v/>
      </c>
      <c r="Q297" s="28" t="str">
        <f>IFERROR([1]!s_stmnote_bank_614(B297,$A297,1,2,100000000)/[1]!s_stmnote_bank_647(B297,$A297,1,2,100000000),"")</f>
        <v/>
      </c>
      <c r="R297" s="28" t="str">
        <f>IFERROR(([1]!b_stm07_bs(B297,104,$A297,1,100000000)+[1]!b_stm07_bs(B297,106,$A297,1,100000000)+[1]!b_stm07_bs(B297,76,$A297,1,100000000)+[1]!b_stm07_bs(B297,108,$A297,1,100000000)+[1]!b_stm07_bs(B297,95,$A297,1,100000000))/[1]!b_stm07_bs(B297,128,$A297,1,100000000),"")</f>
        <v/>
      </c>
      <c r="S297" s="28" t="str">
        <f>IFERROR(([1]!s_stmnote_bank_614(B297,$A297,1,2,100000000)+[1]!b_stm07_bs(B297,104,$A297,1,100000000)+[1]!b_stm07_bs(B297,106,$A297,1,100000000)+[1]!b_stm07_bs(B297,76,$A297,1,100000000)+[1]!b_stm07_bs(B297,108,$A297,1,100000000)+[1]!b_stm07_bs(B297,95,$A297,1,100000000))/[1]!b_stm07_bs(B297,128,$A297,1,100000000),"")</f>
        <v/>
      </c>
      <c r="T297" s="11">
        <f>[1]!b_issuer_shareholder(B297,"",1)</f>
        <v>0</v>
      </c>
      <c r="U297" s="10">
        <f>[1]!b_issuer_propofshareholder(B297,"",1)</f>
        <v>0</v>
      </c>
      <c r="V297" s="33" t="str">
        <f t="shared" si="9"/>
        <v>0</v>
      </c>
      <c r="W297" s="33">
        <f>[1]!s_info_city(B297)</f>
        <v>0</v>
      </c>
      <c r="X297" s="10">
        <f>IF([1]!s_stmnote_bank_17n(B297,$A297,1)="0","",[1]!s_stmnote_bank_17n(B297,$A297,1))</f>
        <v>0</v>
      </c>
      <c r="Y297" s="10">
        <f>IF([1]!s_stmnote_bank_18n(B297,$A297,1)="0","",[1]!s_stmnote_bank_18n(B297,$A297,1))</f>
        <v>0</v>
      </c>
      <c r="Z297" s="41">
        <f>IF([1]!s_stmnote_bank_58(B297,$A297,1)="0","",[1]!s_stmnote_bank_58(B297,$A297,1))</f>
        <v>0</v>
      </c>
      <c r="AA297" s="52">
        <f>IF([1]!s_stmnote_bank_60(B297,$A297,1)="0","",[1]!s_stmnote_bank_60(B297,$A297,1))</f>
        <v>0</v>
      </c>
      <c r="AB297" s="52">
        <f>[1]!s_stmnote_bank_5444(B297,$A297,1)</f>
        <v>0</v>
      </c>
      <c r="AC297" s="38">
        <f>[1]!s_stmnote_bank_129n($B297,$A297,1)</f>
        <v>0</v>
      </c>
      <c r="AD297" s="54">
        <f>[1]!s_stmnote_bank_30(B297,$A297,1)</f>
        <v>0</v>
      </c>
    </row>
    <row r="298" spans="1:30" ht="24">
      <c r="A298" s="1" t="s">
        <v>1110</v>
      </c>
      <c r="B298" s="87" t="s">
        <v>1406</v>
      </c>
      <c r="C298" s="8">
        <f>IF([1]!b_info_issuer(B298)="0","",IFERROR([1]!b_info_issuer(B298),""))</f>
        <v>0</v>
      </c>
      <c r="D298" s="11">
        <f>IF([1]!b_info_latestissurercreditrating(B298)="0","",IFERROR([1]!b_info_latestissurercreditrating(B298),""))</f>
        <v>0</v>
      </c>
      <c r="E298" s="27" t="str">
        <f>IFERROR(([1]!b_stm07_bs($B298,47,$A298,1,100000000))/[1]!b_stm07_bs($B298,109,$A298,1,100000000),"")</f>
        <v/>
      </c>
      <c r="F298" s="18" t="str">
        <f>IFERROR(([1]!s_stmnote_bank_26($B298,$A298,1,100000000)-[1]!s_stmnote_bank_26($B298,#REF!,1,100000000)+#REF!)/[1]!s_stmnote_bank_1n($B298,#REF!,1,100000000),"")</f>
        <v/>
      </c>
      <c r="G298" s="21" t="str">
        <f t="shared" si="8"/>
        <v/>
      </c>
      <c r="H298" s="18" t="str">
        <f>IFERROR([1]!s_stmnote_bank($B298,"34",$A298,100000000)/[1]!s_stmnote_bank_1n(B298,$A298,1,100000000),"")</f>
        <v/>
      </c>
      <c r="I298" s="25">
        <f>[1]!b_stm07_bs(B298,74,$A298,1,100000000)</f>
        <v>0</v>
      </c>
      <c r="J298" s="25">
        <f>[1]!b_stm07_bs(B298,109,$A298,1,100000000)</f>
        <v>0</v>
      </c>
      <c r="K298" s="10">
        <f>[1]!s_stmnote_bank_5n(B298,$A298,1)</f>
        <v>0</v>
      </c>
      <c r="L298" s="25">
        <f>[1]!s_stmnote_bank_23n(B298,$A298,1)</f>
        <v>0</v>
      </c>
      <c r="M298" s="25">
        <f>[1]!s_stmnote_bank_capadequacyratio(B298,$A298,1)</f>
        <v>0</v>
      </c>
      <c r="N298" s="25">
        <f>[1]!s_stmnote_bank_capadequacyratio_ct1(B298,$A298,1)</f>
        <v>0</v>
      </c>
      <c r="O298" s="6">
        <f>IF(OR([1]!s_fa_roe(B298,20201231)="0",[1]!s_fa_roe(B298,20211231)="0",[1]!s_fa_roe(B298,20221231)="0"),"",IFERROR(([1]!s_fa_roe(B298,20221231)+[1]!s_fa_roe(B298,20201231)+[1]!s_fa_roe(B298,20211231))/3,""))</f>
        <v>0</v>
      </c>
      <c r="P298" s="28" t="str">
        <f>IFERROR(([1]!s_stmnote_bank_65(B298,$A298,1,2,4,100000000)+[1]!s_stmnote_bank_65(B298,$A298,1,2,6,100000000))/[1]!s_stmnote_bank_1n(B298,$A298,1,100000000),"")</f>
        <v/>
      </c>
      <c r="Q298" s="28" t="str">
        <f>IFERROR([1]!s_stmnote_bank_614(B298,$A298,1,2,100000000)/[1]!s_stmnote_bank_647(B298,$A298,1,2,100000000),"")</f>
        <v/>
      </c>
      <c r="R298" s="28" t="str">
        <f>IFERROR(([1]!b_stm07_bs(B298,104,$A298,1,100000000)+[1]!b_stm07_bs(B298,106,$A298,1,100000000)+[1]!b_stm07_bs(B298,76,$A298,1,100000000)+[1]!b_stm07_bs(B298,108,$A298,1,100000000)+[1]!b_stm07_bs(B298,95,$A298,1,100000000))/[1]!b_stm07_bs(B298,128,$A298,1,100000000),"")</f>
        <v/>
      </c>
      <c r="S298" s="28" t="str">
        <f>IFERROR(([1]!s_stmnote_bank_614(B298,$A298,1,2,100000000)+[1]!b_stm07_bs(B298,104,$A298,1,100000000)+[1]!b_stm07_bs(B298,106,$A298,1,100000000)+[1]!b_stm07_bs(B298,76,$A298,1,100000000)+[1]!b_stm07_bs(B298,108,$A298,1,100000000)+[1]!b_stm07_bs(B298,95,$A298,1,100000000))/[1]!b_stm07_bs(B298,128,$A298,1,100000000),"")</f>
        <v/>
      </c>
      <c r="T298" s="11">
        <f>[1]!b_issuer_shareholder(B298,"",1)</f>
        <v>0</v>
      </c>
      <c r="U298" s="10">
        <f>[1]!b_issuer_propofshareholder(B298,"",1)</f>
        <v>0</v>
      </c>
      <c r="V298" s="33" t="str">
        <f t="shared" si="9"/>
        <v>0</v>
      </c>
      <c r="W298" s="33">
        <f>[1]!s_info_city(B298)</f>
        <v>0</v>
      </c>
      <c r="X298" s="10">
        <f>IF([1]!s_stmnote_bank_17n(B298,$A298,1)="0","",[1]!s_stmnote_bank_17n(B298,$A298,1))</f>
        <v>0</v>
      </c>
      <c r="Y298" s="10">
        <f>IF([1]!s_stmnote_bank_18n(B298,$A298,1)="0","",[1]!s_stmnote_bank_18n(B298,$A298,1))</f>
        <v>0</v>
      </c>
      <c r="Z298" s="41">
        <f>IF([1]!s_stmnote_bank_58(B298,$A298,1)="0","",[1]!s_stmnote_bank_58(B298,$A298,1))</f>
        <v>0</v>
      </c>
      <c r="AA298" s="52">
        <f>IF([1]!s_stmnote_bank_60(B298,$A298,1)="0","",[1]!s_stmnote_bank_60(B298,$A298,1))</f>
        <v>0</v>
      </c>
      <c r="AB298" s="52">
        <f>[1]!s_stmnote_bank_5444(B298,$A298,1)</f>
        <v>0</v>
      </c>
      <c r="AC298" s="38">
        <f>[1]!s_stmnote_bank_129n($B298,$A298,1)</f>
        <v>0</v>
      </c>
      <c r="AD298" s="54">
        <f>[1]!s_stmnote_bank_30(B298,$A298,1)</f>
        <v>0</v>
      </c>
    </row>
    <row r="299" spans="1:30" ht="24">
      <c r="A299" s="1" t="s">
        <v>1110</v>
      </c>
      <c r="B299" s="87" t="s">
        <v>1407</v>
      </c>
      <c r="C299" s="8">
        <f>IF([1]!b_info_issuer(B299)="0","",IFERROR([1]!b_info_issuer(B299),""))</f>
        <v>0</v>
      </c>
      <c r="D299" s="11">
        <f>IF([1]!b_info_latestissurercreditrating(B299)="0","",IFERROR([1]!b_info_latestissurercreditrating(B299),""))</f>
        <v>0</v>
      </c>
      <c r="E299" s="27" t="str">
        <f>IFERROR(([1]!b_stm07_bs($B299,47,$A299,1,100000000))/[1]!b_stm07_bs($B299,109,$A299,1,100000000),"")</f>
        <v/>
      </c>
      <c r="F299" s="18" t="str">
        <f>IFERROR(([1]!s_stmnote_bank_26($B299,$A299,1,100000000)-[1]!s_stmnote_bank_26($B299,#REF!,1,100000000)+#REF!)/[1]!s_stmnote_bank_1n($B299,#REF!,1,100000000),"")</f>
        <v/>
      </c>
      <c r="G299" s="21" t="str">
        <f t="shared" si="8"/>
        <v/>
      </c>
      <c r="H299" s="18" t="str">
        <f>IFERROR([1]!s_stmnote_bank($B299,"34",$A299,100000000)/[1]!s_stmnote_bank_1n(B299,$A299,1,100000000),"")</f>
        <v/>
      </c>
      <c r="I299" s="25">
        <f>[1]!b_stm07_bs(B299,74,$A299,1,100000000)</f>
        <v>0</v>
      </c>
      <c r="J299" s="25">
        <f>[1]!b_stm07_bs(B299,109,$A299,1,100000000)</f>
        <v>0</v>
      </c>
      <c r="K299" s="10">
        <f>[1]!s_stmnote_bank_5n(B299,$A299,1)</f>
        <v>0</v>
      </c>
      <c r="L299" s="25">
        <f>[1]!s_stmnote_bank_23n(B299,$A299,1)</f>
        <v>0</v>
      </c>
      <c r="M299" s="25">
        <f>[1]!s_stmnote_bank_capadequacyratio(B299,$A299,1)</f>
        <v>0</v>
      </c>
      <c r="N299" s="25">
        <f>[1]!s_stmnote_bank_capadequacyratio_ct1(B299,$A299,1)</f>
        <v>0</v>
      </c>
      <c r="O299" s="6">
        <f>IF(OR([1]!s_fa_roe(B299,20201231)="0",[1]!s_fa_roe(B299,20211231)="0",[1]!s_fa_roe(B299,20221231)="0"),"",IFERROR(([1]!s_fa_roe(B299,20221231)+[1]!s_fa_roe(B299,20201231)+[1]!s_fa_roe(B299,20211231))/3,""))</f>
        <v>0</v>
      </c>
      <c r="P299" s="28" t="str">
        <f>IFERROR(([1]!s_stmnote_bank_65(B299,$A299,1,2,4,100000000)+[1]!s_stmnote_bank_65(B299,$A299,1,2,6,100000000))/[1]!s_stmnote_bank_1n(B299,$A299,1,100000000),"")</f>
        <v/>
      </c>
      <c r="Q299" s="28" t="str">
        <f>IFERROR([1]!s_stmnote_bank_614(B299,$A299,1,2,100000000)/[1]!s_stmnote_bank_647(B299,$A299,1,2,100000000),"")</f>
        <v/>
      </c>
      <c r="R299" s="28" t="str">
        <f>IFERROR(([1]!b_stm07_bs(B299,104,$A299,1,100000000)+[1]!b_stm07_bs(B299,106,$A299,1,100000000)+[1]!b_stm07_bs(B299,76,$A299,1,100000000)+[1]!b_stm07_bs(B299,108,$A299,1,100000000)+[1]!b_stm07_bs(B299,95,$A299,1,100000000))/[1]!b_stm07_bs(B299,128,$A299,1,100000000),"")</f>
        <v/>
      </c>
      <c r="S299" s="28" t="str">
        <f>IFERROR(([1]!s_stmnote_bank_614(B299,$A299,1,2,100000000)+[1]!b_stm07_bs(B299,104,$A299,1,100000000)+[1]!b_stm07_bs(B299,106,$A299,1,100000000)+[1]!b_stm07_bs(B299,76,$A299,1,100000000)+[1]!b_stm07_bs(B299,108,$A299,1,100000000)+[1]!b_stm07_bs(B299,95,$A299,1,100000000))/[1]!b_stm07_bs(B299,128,$A299,1,100000000),"")</f>
        <v/>
      </c>
      <c r="T299" s="11">
        <f>[1]!b_issuer_shareholder(B299,"",1)</f>
        <v>0</v>
      </c>
      <c r="U299" s="10">
        <f>[1]!b_issuer_propofshareholder(B299,"",1)</f>
        <v>0</v>
      </c>
      <c r="V299" s="33" t="str">
        <f t="shared" si="9"/>
        <v>0</v>
      </c>
      <c r="W299" s="33">
        <f>[1]!s_info_city(B299)</f>
        <v>0</v>
      </c>
      <c r="X299" s="10">
        <f>IF([1]!s_stmnote_bank_17n(B299,$A299,1)="0","",[1]!s_stmnote_bank_17n(B299,$A299,1))</f>
        <v>0</v>
      </c>
      <c r="Y299" s="10">
        <f>IF([1]!s_stmnote_bank_18n(B299,$A299,1)="0","",[1]!s_stmnote_bank_18n(B299,$A299,1))</f>
        <v>0</v>
      </c>
      <c r="Z299" s="41">
        <f>IF([1]!s_stmnote_bank_58(B299,$A299,1)="0","",[1]!s_stmnote_bank_58(B299,$A299,1))</f>
        <v>0</v>
      </c>
      <c r="AA299" s="52">
        <f>IF([1]!s_stmnote_bank_60(B299,$A299,1)="0","",[1]!s_stmnote_bank_60(B299,$A299,1))</f>
        <v>0</v>
      </c>
      <c r="AB299" s="52">
        <f>[1]!s_stmnote_bank_5444(B299,$A299,1)</f>
        <v>0</v>
      </c>
      <c r="AC299" s="38">
        <f>[1]!s_stmnote_bank_129n($B299,$A299,1)</f>
        <v>0</v>
      </c>
      <c r="AD299" s="54">
        <f>[1]!s_stmnote_bank_30(B299,$A299,1)</f>
        <v>0</v>
      </c>
    </row>
    <row r="300" spans="1:30" ht="24">
      <c r="A300" s="1" t="s">
        <v>1110</v>
      </c>
      <c r="B300" s="87" t="s">
        <v>1408</v>
      </c>
      <c r="C300" s="8">
        <f>IF([1]!b_info_issuer(B300)="0","",IFERROR([1]!b_info_issuer(B300),""))</f>
        <v>0</v>
      </c>
      <c r="D300" s="11">
        <f>IF([1]!b_info_latestissurercreditrating(B300)="0","",IFERROR([1]!b_info_latestissurercreditrating(B300),""))</f>
        <v>0</v>
      </c>
      <c r="E300" s="27" t="str">
        <f>IFERROR(([1]!b_stm07_bs($B300,47,$A300,1,100000000))/[1]!b_stm07_bs($B300,109,$A300,1,100000000),"")</f>
        <v/>
      </c>
      <c r="F300" s="18" t="str">
        <f>IFERROR(([1]!s_stmnote_bank_26($B300,$A300,1,100000000)-[1]!s_stmnote_bank_26($B300,#REF!,1,100000000)+#REF!)/[1]!s_stmnote_bank_1n($B300,#REF!,1,100000000),"")</f>
        <v/>
      </c>
      <c r="G300" s="21" t="str">
        <f t="shared" si="8"/>
        <v/>
      </c>
      <c r="H300" s="18" t="str">
        <f>IFERROR([1]!s_stmnote_bank($B300,"34",$A300,100000000)/[1]!s_stmnote_bank_1n(B300,$A300,1,100000000),"")</f>
        <v/>
      </c>
      <c r="I300" s="25">
        <f>[1]!b_stm07_bs(B300,74,$A300,1,100000000)</f>
        <v>0</v>
      </c>
      <c r="J300" s="25">
        <f>[1]!b_stm07_bs(B300,109,$A300,1,100000000)</f>
        <v>0</v>
      </c>
      <c r="K300" s="10">
        <f>[1]!s_stmnote_bank_5n(B300,$A300,1)</f>
        <v>0</v>
      </c>
      <c r="L300" s="25">
        <f>[1]!s_stmnote_bank_23n(B300,$A300,1)</f>
        <v>0</v>
      </c>
      <c r="M300" s="25">
        <f>[1]!s_stmnote_bank_capadequacyratio(B300,$A300,1)</f>
        <v>0</v>
      </c>
      <c r="N300" s="25">
        <f>[1]!s_stmnote_bank_capadequacyratio_ct1(B300,$A300,1)</f>
        <v>0</v>
      </c>
      <c r="O300" s="6">
        <f>IF(OR([1]!s_fa_roe(B300,20201231)="0",[1]!s_fa_roe(B300,20211231)="0",[1]!s_fa_roe(B300,20221231)="0"),"",IFERROR(([1]!s_fa_roe(B300,20221231)+[1]!s_fa_roe(B300,20201231)+[1]!s_fa_roe(B300,20211231))/3,""))</f>
        <v>0</v>
      </c>
      <c r="P300" s="28" t="str">
        <f>IFERROR(([1]!s_stmnote_bank_65(B300,$A300,1,2,4,100000000)+[1]!s_stmnote_bank_65(B300,$A300,1,2,6,100000000))/[1]!s_stmnote_bank_1n(B300,$A300,1,100000000),"")</f>
        <v/>
      </c>
      <c r="Q300" s="28" t="str">
        <f>IFERROR([1]!s_stmnote_bank_614(B300,$A300,1,2,100000000)/[1]!s_stmnote_bank_647(B300,$A300,1,2,100000000),"")</f>
        <v/>
      </c>
      <c r="R300" s="28" t="str">
        <f>IFERROR(([1]!b_stm07_bs(B300,104,$A300,1,100000000)+[1]!b_stm07_bs(B300,106,$A300,1,100000000)+[1]!b_stm07_bs(B300,76,$A300,1,100000000)+[1]!b_stm07_bs(B300,108,$A300,1,100000000)+[1]!b_stm07_bs(B300,95,$A300,1,100000000))/[1]!b_stm07_bs(B300,128,$A300,1,100000000),"")</f>
        <v/>
      </c>
      <c r="S300" s="28" t="str">
        <f>IFERROR(([1]!s_stmnote_bank_614(B300,$A300,1,2,100000000)+[1]!b_stm07_bs(B300,104,$A300,1,100000000)+[1]!b_stm07_bs(B300,106,$A300,1,100000000)+[1]!b_stm07_bs(B300,76,$A300,1,100000000)+[1]!b_stm07_bs(B300,108,$A300,1,100000000)+[1]!b_stm07_bs(B300,95,$A300,1,100000000))/[1]!b_stm07_bs(B300,128,$A300,1,100000000),"")</f>
        <v/>
      </c>
      <c r="T300" s="11">
        <f>[1]!b_issuer_shareholder(B300,"",1)</f>
        <v>0</v>
      </c>
      <c r="U300" s="10">
        <f>[1]!b_issuer_propofshareholder(B300,"",1)</f>
        <v>0</v>
      </c>
      <c r="V300" s="33" t="str">
        <f t="shared" si="9"/>
        <v>0</v>
      </c>
      <c r="W300" s="33">
        <f>[1]!s_info_city(B300)</f>
        <v>0</v>
      </c>
      <c r="X300" s="10">
        <f>IF([1]!s_stmnote_bank_17n(B300,$A300,1)="0","",[1]!s_stmnote_bank_17n(B300,$A300,1))</f>
        <v>0</v>
      </c>
      <c r="Y300" s="10">
        <f>IF([1]!s_stmnote_bank_18n(B300,$A300,1)="0","",[1]!s_stmnote_bank_18n(B300,$A300,1))</f>
        <v>0</v>
      </c>
      <c r="Z300" s="41">
        <f>IF([1]!s_stmnote_bank_58(B300,$A300,1)="0","",[1]!s_stmnote_bank_58(B300,$A300,1))</f>
        <v>0</v>
      </c>
      <c r="AA300" s="52">
        <f>IF([1]!s_stmnote_bank_60(B300,$A300,1)="0","",[1]!s_stmnote_bank_60(B300,$A300,1))</f>
        <v>0</v>
      </c>
      <c r="AB300" s="52">
        <f>[1]!s_stmnote_bank_5444(B300,$A300,1)</f>
        <v>0</v>
      </c>
      <c r="AC300" s="38">
        <f>[1]!s_stmnote_bank_129n($B300,$A300,1)</f>
        <v>0</v>
      </c>
      <c r="AD300" s="54">
        <f>[1]!s_stmnote_bank_30(B300,$A300,1)</f>
        <v>0</v>
      </c>
    </row>
    <row r="301" spans="1:30" ht="24">
      <c r="A301" s="1" t="s">
        <v>1110</v>
      </c>
      <c r="B301" s="87" t="s">
        <v>1409</v>
      </c>
      <c r="C301" s="8">
        <f>IF([1]!b_info_issuer(B301)="0","",IFERROR([1]!b_info_issuer(B301),""))</f>
        <v>0</v>
      </c>
      <c r="D301" s="11">
        <f>IF([1]!b_info_latestissurercreditrating(B301)="0","",IFERROR([1]!b_info_latestissurercreditrating(B301),""))</f>
        <v>0</v>
      </c>
      <c r="E301" s="27" t="str">
        <f>IFERROR(([1]!b_stm07_bs($B301,47,$A301,1,100000000))/[1]!b_stm07_bs($B301,109,$A301,1,100000000),"")</f>
        <v/>
      </c>
      <c r="F301" s="18" t="str">
        <f>IFERROR(([1]!s_stmnote_bank_26($B301,$A301,1,100000000)-[1]!s_stmnote_bank_26($B301,#REF!,1,100000000)+#REF!)/[1]!s_stmnote_bank_1n($B301,#REF!,1,100000000),"")</f>
        <v/>
      </c>
      <c r="G301" s="21" t="str">
        <f t="shared" si="8"/>
        <v/>
      </c>
      <c r="H301" s="18" t="str">
        <f>IFERROR([1]!s_stmnote_bank($B301,"34",$A301,100000000)/[1]!s_stmnote_bank_1n(B301,$A301,1,100000000),"")</f>
        <v/>
      </c>
      <c r="I301" s="25">
        <f>[1]!b_stm07_bs(B301,74,$A301,1,100000000)</f>
        <v>0</v>
      </c>
      <c r="J301" s="25">
        <f>[1]!b_stm07_bs(B301,109,$A301,1,100000000)</f>
        <v>0</v>
      </c>
      <c r="K301" s="10">
        <f>[1]!s_stmnote_bank_5n(B301,$A301,1)</f>
        <v>0</v>
      </c>
      <c r="L301" s="25">
        <f>[1]!s_stmnote_bank_23n(B301,$A301,1)</f>
        <v>0</v>
      </c>
      <c r="M301" s="25">
        <f>[1]!s_stmnote_bank_capadequacyratio(B301,$A301,1)</f>
        <v>0</v>
      </c>
      <c r="N301" s="25">
        <f>[1]!s_stmnote_bank_capadequacyratio_ct1(B301,$A301,1)</f>
        <v>0</v>
      </c>
      <c r="O301" s="6">
        <f>IF(OR([1]!s_fa_roe(B301,20201231)="0",[1]!s_fa_roe(B301,20211231)="0",[1]!s_fa_roe(B301,20221231)="0"),"",IFERROR(([1]!s_fa_roe(B301,20221231)+[1]!s_fa_roe(B301,20201231)+[1]!s_fa_roe(B301,20211231))/3,""))</f>
        <v>0</v>
      </c>
      <c r="P301" s="28" t="str">
        <f>IFERROR(([1]!s_stmnote_bank_65(B301,$A301,1,2,4,100000000)+[1]!s_stmnote_bank_65(B301,$A301,1,2,6,100000000))/[1]!s_stmnote_bank_1n(B301,$A301,1,100000000),"")</f>
        <v/>
      </c>
      <c r="Q301" s="28" t="str">
        <f>IFERROR([1]!s_stmnote_bank_614(B301,$A301,1,2,100000000)/[1]!s_stmnote_bank_647(B301,$A301,1,2,100000000),"")</f>
        <v/>
      </c>
      <c r="R301" s="28" t="str">
        <f>IFERROR(([1]!b_stm07_bs(B301,104,$A301,1,100000000)+[1]!b_stm07_bs(B301,106,$A301,1,100000000)+[1]!b_stm07_bs(B301,76,$A301,1,100000000)+[1]!b_stm07_bs(B301,108,$A301,1,100000000)+[1]!b_stm07_bs(B301,95,$A301,1,100000000))/[1]!b_stm07_bs(B301,128,$A301,1,100000000),"")</f>
        <v/>
      </c>
      <c r="S301" s="28" t="str">
        <f>IFERROR(([1]!s_stmnote_bank_614(B301,$A301,1,2,100000000)+[1]!b_stm07_bs(B301,104,$A301,1,100000000)+[1]!b_stm07_bs(B301,106,$A301,1,100000000)+[1]!b_stm07_bs(B301,76,$A301,1,100000000)+[1]!b_stm07_bs(B301,108,$A301,1,100000000)+[1]!b_stm07_bs(B301,95,$A301,1,100000000))/[1]!b_stm07_bs(B301,128,$A301,1,100000000),"")</f>
        <v/>
      </c>
      <c r="T301" s="11">
        <f>[1]!b_issuer_shareholder(B301,"",1)</f>
        <v>0</v>
      </c>
      <c r="U301" s="10">
        <f>[1]!b_issuer_propofshareholder(B301,"",1)</f>
        <v>0</v>
      </c>
      <c r="V301" s="33" t="str">
        <f t="shared" si="9"/>
        <v>0</v>
      </c>
      <c r="W301" s="33">
        <f>[1]!s_info_city(B301)</f>
        <v>0</v>
      </c>
      <c r="X301" s="10">
        <f>IF([1]!s_stmnote_bank_17n(B301,$A301,1)="0","",[1]!s_stmnote_bank_17n(B301,$A301,1))</f>
        <v>0</v>
      </c>
      <c r="Y301" s="10">
        <f>IF([1]!s_stmnote_bank_18n(B301,$A301,1)="0","",[1]!s_stmnote_bank_18n(B301,$A301,1))</f>
        <v>0</v>
      </c>
      <c r="Z301" s="41">
        <f>IF([1]!s_stmnote_bank_58(B301,$A301,1)="0","",[1]!s_stmnote_bank_58(B301,$A301,1))</f>
        <v>0</v>
      </c>
      <c r="AA301" s="52">
        <f>IF([1]!s_stmnote_bank_60(B301,$A301,1)="0","",[1]!s_stmnote_bank_60(B301,$A301,1))</f>
        <v>0</v>
      </c>
      <c r="AB301" s="52">
        <f>[1]!s_stmnote_bank_5444(B301,$A301,1)</f>
        <v>0</v>
      </c>
      <c r="AC301" s="38">
        <f>[1]!s_stmnote_bank_129n($B301,$A301,1)</f>
        <v>0</v>
      </c>
      <c r="AD301" s="54">
        <f>[1]!s_stmnote_bank_30(B301,$A301,1)</f>
        <v>0</v>
      </c>
    </row>
    <row r="302" spans="1:30" ht="24">
      <c r="A302" s="1" t="s">
        <v>1110</v>
      </c>
      <c r="B302" s="87" t="s">
        <v>1410</v>
      </c>
      <c r="C302" s="8">
        <f>IF([1]!b_info_issuer(B302)="0","",IFERROR([1]!b_info_issuer(B302),""))</f>
        <v>0</v>
      </c>
      <c r="D302" s="11">
        <f>IF([1]!b_info_latestissurercreditrating(B302)="0","",IFERROR([1]!b_info_latestissurercreditrating(B302),""))</f>
        <v>0</v>
      </c>
      <c r="E302" s="27" t="str">
        <f>IFERROR(([1]!b_stm07_bs($B302,47,$A302,1,100000000))/[1]!b_stm07_bs($B302,109,$A302,1,100000000),"")</f>
        <v/>
      </c>
      <c r="F302" s="18" t="str">
        <f>IFERROR(([1]!s_stmnote_bank_26($B302,$A302,1,100000000)-[1]!s_stmnote_bank_26($B302,#REF!,1,100000000)+#REF!)/[1]!s_stmnote_bank_1n($B302,#REF!,1,100000000),"")</f>
        <v/>
      </c>
      <c r="G302" s="21" t="str">
        <f t="shared" si="8"/>
        <v/>
      </c>
      <c r="H302" s="18" t="str">
        <f>IFERROR([1]!s_stmnote_bank($B302,"34",$A302,100000000)/[1]!s_stmnote_bank_1n(B302,$A302,1,100000000),"")</f>
        <v/>
      </c>
      <c r="I302" s="25">
        <f>[1]!b_stm07_bs(B302,74,$A302,1,100000000)</f>
        <v>0</v>
      </c>
      <c r="J302" s="25">
        <f>[1]!b_stm07_bs(B302,109,$A302,1,100000000)</f>
        <v>0</v>
      </c>
      <c r="K302" s="10">
        <f>[1]!s_stmnote_bank_5n(B302,$A302,1)</f>
        <v>0</v>
      </c>
      <c r="L302" s="25">
        <f>[1]!s_stmnote_bank_23n(B302,$A302,1)</f>
        <v>0</v>
      </c>
      <c r="M302" s="25">
        <f>[1]!s_stmnote_bank_capadequacyratio(B302,$A302,1)</f>
        <v>0</v>
      </c>
      <c r="N302" s="25">
        <f>[1]!s_stmnote_bank_capadequacyratio_ct1(B302,$A302,1)</f>
        <v>0</v>
      </c>
      <c r="O302" s="6">
        <f>IF(OR([1]!s_fa_roe(B302,20201231)="0",[1]!s_fa_roe(B302,20211231)="0",[1]!s_fa_roe(B302,20221231)="0"),"",IFERROR(([1]!s_fa_roe(B302,20221231)+[1]!s_fa_roe(B302,20201231)+[1]!s_fa_roe(B302,20211231))/3,""))</f>
        <v>0</v>
      </c>
      <c r="P302" s="28" t="str">
        <f>IFERROR(([1]!s_stmnote_bank_65(B302,$A302,1,2,4,100000000)+[1]!s_stmnote_bank_65(B302,$A302,1,2,6,100000000))/[1]!s_stmnote_bank_1n(B302,$A302,1,100000000),"")</f>
        <v/>
      </c>
      <c r="Q302" s="28" t="str">
        <f>IFERROR([1]!s_stmnote_bank_614(B302,$A302,1,2,100000000)/[1]!s_stmnote_bank_647(B302,$A302,1,2,100000000),"")</f>
        <v/>
      </c>
      <c r="R302" s="28" t="str">
        <f>IFERROR(([1]!b_stm07_bs(B302,104,$A302,1,100000000)+[1]!b_stm07_bs(B302,106,$A302,1,100000000)+[1]!b_stm07_bs(B302,76,$A302,1,100000000)+[1]!b_stm07_bs(B302,108,$A302,1,100000000)+[1]!b_stm07_bs(B302,95,$A302,1,100000000))/[1]!b_stm07_bs(B302,128,$A302,1,100000000),"")</f>
        <v/>
      </c>
      <c r="S302" s="28" t="str">
        <f>IFERROR(([1]!s_stmnote_bank_614(B302,$A302,1,2,100000000)+[1]!b_stm07_bs(B302,104,$A302,1,100000000)+[1]!b_stm07_bs(B302,106,$A302,1,100000000)+[1]!b_stm07_bs(B302,76,$A302,1,100000000)+[1]!b_stm07_bs(B302,108,$A302,1,100000000)+[1]!b_stm07_bs(B302,95,$A302,1,100000000))/[1]!b_stm07_bs(B302,128,$A302,1,100000000),"")</f>
        <v/>
      </c>
      <c r="T302" s="11">
        <f>[1]!b_issuer_shareholder(B302,"",1)</f>
        <v>0</v>
      </c>
      <c r="U302" s="10">
        <f>[1]!b_issuer_propofshareholder(B302,"",1)</f>
        <v>0</v>
      </c>
      <c r="V302" s="33" t="str">
        <f t="shared" si="9"/>
        <v>0</v>
      </c>
      <c r="W302" s="33">
        <f>[1]!s_info_city(B302)</f>
        <v>0</v>
      </c>
      <c r="X302" s="10">
        <f>IF([1]!s_stmnote_bank_17n(B302,$A302,1)="0","",[1]!s_stmnote_bank_17n(B302,$A302,1))</f>
        <v>0</v>
      </c>
      <c r="Y302" s="10">
        <f>IF([1]!s_stmnote_bank_18n(B302,$A302,1)="0","",[1]!s_stmnote_bank_18n(B302,$A302,1))</f>
        <v>0</v>
      </c>
      <c r="Z302" s="41">
        <f>IF([1]!s_stmnote_bank_58(B302,$A302,1)="0","",[1]!s_stmnote_bank_58(B302,$A302,1))</f>
        <v>0</v>
      </c>
      <c r="AA302" s="52">
        <f>IF([1]!s_stmnote_bank_60(B302,$A302,1)="0","",[1]!s_stmnote_bank_60(B302,$A302,1))</f>
        <v>0</v>
      </c>
      <c r="AB302" s="52">
        <f>[1]!s_stmnote_bank_5444(B302,$A302,1)</f>
        <v>0</v>
      </c>
      <c r="AC302" s="38">
        <f>[1]!s_stmnote_bank_129n($B302,$A302,1)</f>
        <v>0</v>
      </c>
      <c r="AD302" s="54">
        <f>[1]!s_stmnote_bank_30(B302,$A302,1)</f>
        <v>0</v>
      </c>
    </row>
    <row r="303" spans="1:30" ht="24">
      <c r="A303" s="1" t="s">
        <v>1110</v>
      </c>
      <c r="B303" s="87" t="s">
        <v>1411</v>
      </c>
      <c r="C303" s="8">
        <f>IF([1]!b_info_issuer(B303)="0","",IFERROR([1]!b_info_issuer(B303),""))</f>
        <v>0</v>
      </c>
      <c r="D303" s="11">
        <f>IF([1]!b_info_latestissurercreditrating(B303)="0","",IFERROR([1]!b_info_latestissurercreditrating(B303),""))</f>
        <v>0</v>
      </c>
      <c r="E303" s="27" t="str">
        <f>IFERROR(([1]!b_stm07_bs($B303,47,$A303,1,100000000))/[1]!b_stm07_bs($B303,109,$A303,1,100000000),"")</f>
        <v/>
      </c>
      <c r="F303" s="18" t="str">
        <f>IFERROR(([1]!s_stmnote_bank_26($B303,$A303,1,100000000)-[1]!s_stmnote_bank_26($B303,#REF!,1,100000000)+#REF!)/[1]!s_stmnote_bank_1n($B303,#REF!,1,100000000),"")</f>
        <v/>
      </c>
      <c r="G303" s="21" t="str">
        <f t="shared" si="8"/>
        <v/>
      </c>
      <c r="H303" s="18" t="str">
        <f>IFERROR([1]!s_stmnote_bank($B303,"34",$A303,100000000)/[1]!s_stmnote_bank_1n(B303,$A303,1,100000000),"")</f>
        <v/>
      </c>
      <c r="I303" s="25">
        <f>[1]!b_stm07_bs(B303,74,$A303,1,100000000)</f>
        <v>0</v>
      </c>
      <c r="J303" s="25">
        <f>[1]!b_stm07_bs(B303,109,$A303,1,100000000)</f>
        <v>0</v>
      </c>
      <c r="K303" s="10">
        <f>[1]!s_stmnote_bank_5n(B303,$A303,1)</f>
        <v>0</v>
      </c>
      <c r="L303" s="25">
        <f>[1]!s_stmnote_bank_23n(B303,$A303,1)</f>
        <v>0</v>
      </c>
      <c r="M303" s="25">
        <f>[1]!s_stmnote_bank_capadequacyratio(B303,$A303,1)</f>
        <v>0</v>
      </c>
      <c r="N303" s="25">
        <f>[1]!s_stmnote_bank_capadequacyratio_ct1(B303,$A303,1)</f>
        <v>0</v>
      </c>
      <c r="O303" s="6">
        <f>IF(OR([1]!s_fa_roe(B303,20201231)="0",[1]!s_fa_roe(B303,20211231)="0",[1]!s_fa_roe(B303,20221231)="0"),"",IFERROR(([1]!s_fa_roe(B303,20221231)+[1]!s_fa_roe(B303,20201231)+[1]!s_fa_roe(B303,20211231))/3,""))</f>
        <v>0</v>
      </c>
      <c r="P303" s="28" t="str">
        <f>IFERROR(([1]!s_stmnote_bank_65(B303,$A303,1,2,4,100000000)+[1]!s_stmnote_bank_65(B303,$A303,1,2,6,100000000))/[1]!s_stmnote_bank_1n(B303,$A303,1,100000000),"")</f>
        <v/>
      </c>
      <c r="Q303" s="28" t="str">
        <f>IFERROR([1]!s_stmnote_bank_614(B303,$A303,1,2,100000000)/[1]!s_stmnote_bank_647(B303,$A303,1,2,100000000),"")</f>
        <v/>
      </c>
      <c r="R303" s="28" t="str">
        <f>IFERROR(([1]!b_stm07_bs(B303,104,$A303,1,100000000)+[1]!b_stm07_bs(B303,106,$A303,1,100000000)+[1]!b_stm07_bs(B303,76,$A303,1,100000000)+[1]!b_stm07_bs(B303,108,$A303,1,100000000)+[1]!b_stm07_bs(B303,95,$A303,1,100000000))/[1]!b_stm07_bs(B303,128,$A303,1,100000000),"")</f>
        <v/>
      </c>
      <c r="S303" s="28" t="str">
        <f>IFERROR(([1]!s_stmnote_bank_614(B303,$A303,1,2,100000000)+[1]!b_stm07_bs(B303,104,$A303,1,100000000)+[1]!b_stm07_bs(B303,106,$A303,1,100000000)+[1]!b_stm07_bs(B303,76,$A303,1,100000000)+[1]!b_stm07_bs(B303,108,$A303,1,100000000)+[1]!b_stm07_bs(B303,95,$A303,1,100000000))/[1]!b_stm07_bs(B303,128,$A303,1,100000000),"")</f>
        <v/>
      </c>
      <c r="T303" s="11">
        <f>[1]!b_issuer_shareholder(B303,"",1)</f>
        <v>0</v>
      </c>
      <c r="U303" s="10">
        <f>[1]!b_issuer_propofshareholder(B303,"",1)</f>
        <v>0</v>
      </c>
      <c r="V303" s="33" t="str">
        <f t="shared" si="9"/>
        <v>0</v>
      </c>
      <c r="W303" s="33">
        <f>[1]!s_info_city(B303)</f>
        <v>0</v>
      </c>
      <c r="X303" s="10">
        <f>IF([1]!s_stmnote_bank_17n(B303,$A303,1)="0","",[1]!s_stmnote_bank_17n(B303,$A303,1))</f>
        <v>0</v>
      </c>
      <c r="Y303" s="10">
        <f>IF([1]!s_stmnote_bank_18n(B303,$A303,1)="0","",[1]!s_stmnote_bank_18n(B303,$A303,1))</f>
        <v>0</v>
      </c>
      <c r="Z303" s="41">
        <f>IF([1]!s_stmnote_bank_58(B303,$A303,1)="0","",[1]!s_stmnote_bank_58(B303,$A303,1))</f>
        <v>0</v>
      </c>
      <c r="AA303" s="52">
        <f>IF([1]!s_stmnote_bank_60(B303,$A303,1)="0","",[1]!s_stmnote_bank_60(B303,$A303,1))</f>
        <v>0</v>
      </c>
      <c r="AB303" s="52">
        <f>[1]!s_stmnote_bank_5444(B303,$A303,1)</f>
        <v>0</v>
      </c>
      <c r="AC303" s="38">
        <f>[1]!s_stmnote_bank_129n($B303,$A303,1)</f>
        <v>0</v>
      </c>
      <c r="AD303" s="54">
        <f>[1]!s_stmnote_bank_30(B303,$A303,1)</f>
        <v>0</v>
      </c>
    </row>
    <row r="304" spans="1:30" ht="24">
      <c r="A304" s="1" t="s">
        <v>1110</v>
      </c>
      <c r="B304" s="87" t="s">
        <v>1412</v>
      </c>
      <c r="C304" s="8">
        <f>IF([1]!b_info_issuer(B304)="0","",IFERROR([1]!b_info_issuer(B304),""))</f>
        <v>0</v>
      </c>
      <c r="D304" s="11">
        <f>IF([1]!b_info_latestissurercreditrating(B304)="0","",IFERROR([1]!b_info_latestissurercreditrating(B304),""))</f>
        <v>0</v>
      </c>
      <c r="E304" s="27" t="str">
        <f>IFERROR(([1]!b_stm07_bs($B304,47,$A304,1,100000000))/[1]!b_stm07_bs($B304,109,$A304,1,100000000),"")</f>
        <v/>
      </c>
      <c r="F304" s="18" t="str">
        <f>IFERROR(([1]!s_stmnote_bank_26($B304,$A304,1,100000000)-[1]!s_stmnote_bank_26($B304,#REF!,1,100000000)+#REF!)/[1]!s_stmnote_bank_1n($B304,#REF!,1,100000000),"")</f>
        <v/>
      </c>
      <c r="G304" s="21" t="str">
        <f t="shared" si="8"/>
        <v/>
      </c>
      <c r="H304" s="18" t="str">
        <f>IFERROR([1]!s_stmnote_bank($B304,"34",$A304,100000000)/[1]!s_stmnote_bank_1n(B304,$A304,1,100000000),"")</f>
        <v/>
      </c>
      <c r="I304" s="25">
        <f>[1]!b_stm07_bs(B304,74,$A304,1,100000000)</f>
        <v>0</v>
      </c>
      <c r="J304" s="25">
        <f>[1]!b_stm07_bs(B304,109,$A304,1,100000000)</f>
        <v>0</v>
      </c>
      <c r="K304" s="10">
        <f>[1]!s_stmnote_bank_5n(B304,$A304,1)</f>
        <v>0</v>
      </c>
      <c r="L304" s="25">
        <f>[1]!s_stmnote_bank_23n(B304,$A304,1)</f>
        <v>0</v>
      </c>
      <c r="M304" s="25">
        <f>[1]!s_stmnote_bank_capadequacyratio(B304,$A304,1)</f>
        <v>0</v>
      </c>
      <c r="N304" s="25">
        <f>[1]!s_stmnote_bank_capadequacyratio_ct1(B304,$A304,1)</f>
        <v>0</v>
      </c>
      <c r="O304" s="6">
        <f>IF(OR([1]!s_fa_roe(B304,20201231)="0",[1]!s_fa_roe(B304,20211231)="0",[1]!s_fa_roe(B304,20221231)="0"),"",IFERROR(([1]!s_fa_roe(B304,20221231)+[1]!s_fa_roe(B304,20201231)+[1]!s_fa_roe(B304,20211231))/3,""))</f>
        <v>0</v>
      </c>
      <c r="P304" s="28" t="str">
        <f>IFERROR(([1]!s_stmnote_bank_65(B304,$A304,1,2,4,100000000)+[1]!s_stmnote_bank_65(B304,$A304,1,2,6,100000000))/[1]!s_stmnote_bank_1n(B304,$A304,1,100000000),"")</f>
        <v/>
      </c>
      <c r="Q304" s="28" t="str">
        <f>IFERROR([1]!s_stmnote_bank_614(B304,$A304,1,2,100000000)/[1]!s_stmnote_bank_647(B304,$A304,1,2,100000000),"")</f>
        <v/>
      </c>
      <c r="R304" s="28" t="str">
        <f>IFERROR(([1]!b_stm07_bs(B304,104,$A304,1,100000000)+[1]!b_stm07_bs(B304,106,$A304,1,100000000)+[1]!b_stm07_bs(B304,76,$A304,1,100000000)+[1]!b_stm07_bs(B304,108,$A304,1,100000000)+[1]!b_stm07_bs(B304,95,$A304,1,100000000))/[1]!b_stm07_bs(B304,128,$A304,1,100000000),"")</f>
        <v/>
      </c>
      <c r="S304" s="28" t="str">
        <f>IFERROR(([1]!s_stmnote_bank_614(B304,$A304,1,2,100000000)+[1]!b_stm07_bs(B304,104,$A304,1,100000000)+[1]!b_stm07_bs(B304,106,$A304,1,100000000)+[1]!b_stm07_bs(B304,76,$A304,1,100000000)+[1]!b_stm07_bs(B304,108,$A304,1,100000000)+[1]!b_stm07_bs(B304,95,$A304,1,100000000))/[1]!b_stm07_bs(B304,128,$A304,1,100000000),"")</f>
        <v/>
      </c>
      <c r="T304" s="11">
        <f>[1]!b_issuer_shareholder(B304,"",1)</f>
        <v>0</v>
      </c>
      <c r="U304" s="10">
        <f>[1]!b_issuer_propofshareholder(B304,"",1)</f>
        <v>0</v>
      </c>
      <c r="V304" s="33" t="str">
        <f t="shared" si="9"/>
        <v>0</v>
      </c>
      <c r="W304" s="33">
        <f>[1]!s_info_city(B304)</f>
        <v>0</v>
      </c>
      <c r="X304" s="10">
        <f>IF([1]!s_stmnote_bank_17n(B304,$A304,1)="0","",[1]!s_stmnote_bank_17n(B304,$A304,1))</f>
        <v>0</v>
      </c>
      <c r="Y304" s="10">
        <f>IF([1]!s_stmnote_bank_18n(B304,$A304,1)="0","",[1]!s_stmnote_bank_18n(B304,$A304,1))</f>
        <v>0</v>
      </c>
      <c r="Z304" s="41">
        <f>IF([1]!s_stmnote_bank_58(B304,$A304,1)="0","",[1]!s_stmnote_bank_58(B304,$A304,1))</f>
        <v>0</v>
      </c>
      <c r="AA304" s="52">
        <f>IF([1]!s_stmnote_bank_60(B304,$A304,1)="0","",[1]!s_stmnote_bank_60(B304,$A304,1))</f>
        <v>0</v>
      </c>
      <c r="AB304" s="52">
        <f>[1]!s_stmnote_bank_5444(B304,$A304,1)</f>
        <v>0</v>
      </c>
      <c r="AC304" s="38">
        <f>[1]!s_stmnote_bank_129n($B304,$A304,1)</f>
        <v>0</v>
      </c>
      <c r="AD304" s="54">
        <f>[1]!s_stmnote_bank_30(B304,$A304,1)</f>
        <v>0</v>
      </c>
    </row>
    <row r="305" spans="1:30" ht="24">
      <c r="A305" s="1" t="s">
        <v>1110</v>
      </c>
      <c r="B305" s="87" t="s">
        <v>1413</v>
      </c>
      <c r="C305" s="8">
        <f>IF([1]!b_info_issuer(B305)="0","",IFERROR([1]!b_info_issuer(B305),""))</f>
        <v>0</v>
      </c>
      <c r="D305" s="11">
        <f>IF([1]!b_info_latestissurercreditrating(B305)="0","",IFERROR([1]!b_info_latestissurercreditrating(B305),""))</f>
        <v>0</v>
      </c>
      <c r="E305" s="27" t="str">
        <f>IFERROR(([1]!b_stm07_bs($B305,47,$A305,1,100000000))/[1]!b_stm07_bs($B305,109,$A305,1,100000000),"")</f>
        <v/>
      </c>
      <c r="F305" s="18" t="str">
        <f>IFERROR(([1]!s_stmnote_bank_26($B305,$A305,1,100000000)-[1]!s_stmnote_bank_26($B305,#REF!,1,100000000)+#REF!)/[1]!s_stmnote_bank_1n($B305,#REF!,1,100000000),"")</f>
        <v/>
      </c>
      <c r="G305" s="21" t="str">
        <f t="shared" si="8"/>
        <v/>
      </c>
      <c r="H305" s="18" t="str">
        <f>IFERROR([1]!s_stmnote_bank($B305,"34",$A305,100000000)/[1]!s_stmnote_bank_1n(B305,$A305,1,100000000),"")</f>
        <v/>
      </c>
      <c r="I305" s="25">
        <f>[1]!b_stm07_bs(B305,74,$A305,1,100000000)</f>
        <v>0</v>
      </c>
      <c r="J305" s="25">
        <f>[1]!b_stm07_bs(B305,109,$A305,1,100000000)</f>
        <v>0</v>
      </c>
      <c r="K305" s="10">
        <f>[1]!s_stmnote_bank_5n(B305,$A305,1)</f>
        <v>0</v>
      </c>
      <c r="L305" s="25">
        <f>[1]!s_stmnote_bank_23n(B305,$A305,1)</f>
        <v>0</v>
      </c>
      <c r="M305" s="25">
        <f>[1]!s_stmnote_bank_capadequacyratio(B305,$A305,1)</f>
        <v>0</v>
      </c>
      <c r="N305" s="25">
        <f>[1]!s_stmnote_bank_capadequacyratio_ct1(B305,$A305,1)</f>
        <v>0</v>
      </c>
      <c r="O305" s="6">
        <f>IF(OR([1]!s_fa_roe(B305,20201231)="0",[1]!s_fa_roe(B305,20211231)="0",[1]!s_fa_roe(B305,20221231)="0"),"",IFERROR(([1]!s_fa_roe(B305,20221231)+[1]!s_fa_roe(B305,20201231)+[1]!s_fa_roe(B305,20211231))/3,""))</f>
        <v>0</v>
      </c>
      <c r="P305" s="28" t="str">
        <f>IFERROR(([1]!s_stmnote_bank_65(B305,$A305,1,2,4,100000000)+[1]!s_stmnote_bank_65(B305,$A305,1,2,6,100000000))/[1]!s_stmnote_bank_1n(B305,$A305,1,100000000),"")</f>
        <v/>
      </c>
      <c r="Q305" s="28" t="str">
        <f>IFERROR([1]!s_stmnote_bank_614(B305,$A305,1,2,100000000)/[1]!s_stmnote_bank_647(B305,$A305,1,2,100000000),"")</f>
        <v/>
      </c>
      <c r="R305" s="28" t="str">
        <f>IFERROR(([1]!b_stm07_bs(B305,104,$A305,1,100000000)+[1]!b_stm07_bs(B305,106,$A305,1,100000000)+[1]!b_stm07_bs(B305,76,$A305,1,100000000)+[1]!b_stm07_bs(B305,108,$A305,1,100000000)+[1]!b_stm07_bs(B305,95,$A305,1,100000000))/[1]!b_stm07_bs(B305,128,$A305,1,100000000),"")</f>
        <v/>
      </c>
      <c r="S305" s="28" t="str">
        <f>IFERROR(([1]!s_stmnote_bank_614(B305,$A305,1,2,100000000)+[1]!b_stm07_bs(B305,104,$A305,1,100000000)+[1]!b_stm07_bs(B305,106,$A305,1,100000000)+[1]!b_stm07_bs(B305,76,$A305,1,100000000)+[1]!b_stm07_bs(B305,108,$A305,1,100000000)+[1]!b_stm07_bs(B305,95,$A305,1,100000000))/[1]!b_stm07_bs(B305,128,$A305,1,100000000),"")</f>
        <v/>
      </c>
      <c r="T305" s="11">
        <f>[1]!b_issuer_shareholder(B305,"",1)</f>
        <v>0</v>
      </c>
      <c r="U305" s="10">
        <f>[1]!b_issuer_propofshareholder(B305,"",1)</f>
        <v>0</v>
      </c>
      <c r="V305" s="33" t="str">
        <f t="shared" si="9"/>
        <v>0</v>
      </c>
      <c r="W305" s="33">
        <f>[1]!s_info_city(B305)</f>
        <v>0</v>
      </c>
      <c r="X305" s="10">
        <f>IF([1]!s_stmnote_bank_17n(B305,$A305,1)="0","",[1]!s_stmnote_bank_17n(B305,$A305,1))</f>
        <v>0</v>
      </c>
      <c r="Y305" s="10">
        <f>IF([1]!s_stmnote_bank_18n(B305,$A305,1)="0","",[1]!s_stmnote_bank_18n(B305,$A305,1))</f>
        <v>0</v>
      </c>
      <c r="Z305" s="41">
        <f>IF([1]!s_stmnote_bank_58(B305,$A305,1)="0","",[1]!s_stmnote_bank_58(B305,$A305,1))</f>
        <v>0</v>
      </c>
      <c r="AA305" s="52">
        <f>IF([1]!s_stmnote_bank_60(B305,$A305,1)="0","",[1]!s_stmnote_bank_60(B305,$A305,1))</f>
        <v>0</v>
      </c>
      <c r="AB305" s="52">
        <f>[1]!s_stmnote_bank_5444(B305,$A305,1)</f>
        <v>0</v>
      </c>
      <c r="AC305" s="38">
        <f>[1]!s_stmnote_bank_129n($B305,$A305,1)</f>
        <v>0</v>
      </c>
      <c r="AD305" s="54">
        <f>[1]!s_stmnote_bank_30(B305,$A305,1)</f>
        <v>0</v>
      </c>
    </row>
    <row r="306" spans="1:30" ht="24">
      <c r="A306" s="1" t="s">
        <v>1110</v>
      </c>
      <c r="B306" s="87" t="s">
        <v>1414</v>
      </c>
      <c r="C306" s="8">
        <f>IF([1]!b_info_issuer(B306)="0","",IFERROR([1]!b_info_issuer(B306),""))</f>
        <v>0</v>
      </c>
      <c r="D306" s="11">
        <f>IF([1]!b_info_latestissurercreditrating(B306)="0","",IFERROR([1]!b_info_latestissurercreditrating(B306),""))</f>
        <v>0</v>
      </c>
      <c r="E306" s="27" t="str">
        <f>IFERROR(([1]!b_stm07_bs($B306,47,$A306,1,100000000))/[1]!b_stm07_bs($B306,109,$A306,1,100000000),"")</f>
        <v/>
      </c>
      <c r="F306" s="18" t="str">
        <f>IFERROR(([1]!s_stmnote_bank_26($B306,$A306,1,100000000)-[1]!s_stmnote_bank_26($B306,#REF!,1,100000000)+#REF!)/[1]!s_stmnote_bank_1n($B306,#REF!,1,100000000),"")</f>
        <v/>
      </c>
      <c r="G306" s="21" t="str">
        <f t="shared" si="8"/>
        <v/>
      </c>
      <c r="H306" s="18" t="str">
        <f>IFERROR([1]!s_stmnote_bank($B306,"34",$A306,100000000)/[1]!s_stmnote_bank_1n(B306,$A306,1,100000000),"")</f>
        <v/>
      </c>
      <c r="I306" s="25">
        <f>[1]!b_stm07_bs(B306,74,$A306,1,100000000)</f>
        <v>0</v>
      </c>
      <c r="J306" s="25">
        <f>[1]!b_stm07_bs(B306,109,$A306,1,100000000)</f>
        <v>0</v>
      </c>
      <c r="K306" s="10">
        <f>[1]!s_stmnote_bank_5n(B306,$A306,1)</f>
        <v>0</v>
      </c>
      <c r="L306" s="25">
        <f>[1]!s_stmnote_bank_23n(B306,$A306,1)</f>
        <v>0</v>
      </c>
      <c r="M306" s="25">
        <f>[1]!s_stmnote_bank_capadequacyratio(B306,$A306,1)</f>
        <v>0</v>
      </c>
      <c r="N306" s="25">
        <f>[1]!s_stmnote_bank_capadequacyratio_ct1(B306,$A306,1)</f>
        <v>0</v>
      </c>
      <c r="O306" s="6">
        <f>IF(OR([1]!s_fa_roe(B306,20201231)="0",[1]!s_fa_roe(B306,20211231)="0",[1]!s_fa_roe(B306,20221231)="0"),"",IFERROR(([1]!s_fa_roe(B306,20221231)+[1]!s_fa_roe(B306,20201231)+[1]!s_fa_roe(B306,20211231))/3,""))</f>
        <v>0</v>
      </c>
      <c r="P306" s="28" t="str">
        <f>IFERROR(([1]!s_stmnote_bank_65(B306,$A306,1,2,4,100000000)+[1]!s_stmnote_bank_65(B306,$A306,1,2,6,100000000))/[1]!s_stmnote_bank_1n(B306,$A306,1,100000000),"")</f>
        <v/>
      </c>
      <c r="Q306" s="28" t="str">
        <f>IFERROR([1]!s_stmnote_bank_614(B306,$A306,1,2,100000000)/[1]!s_stmnote_bank_647(B306,$A306,1,2,100000000),"")</f>
        <v/>
      </c>
      <c r="R306" s="28" t="str">
        <f>IFERROR(([1]!b_stm07_bs(B306,104,$A306,1,100000000)+[1]!b_stm07_bs(B306,106,$A306,1,100000000)+[1]!b_stm07_bs(B306,76,$A306,1,100000000)+[1]!b_stm07_bs(B306,108,$A306,1,100000000)+[1]!b_stm07_bs(B306,95,$A306,1,100000000))/[1]!b_stm07_bs(B306,128,$A306,1,100000000),"")</f>
        <v/>
      </c>
      <c r="S306" s="28" t="str">
        <f>IFERROR(([1]!s_stmnote_bank_614(B306,$A306,1,2,100000000)+[1]!b_stm07_bs(B306,104,$A306,1,100000000)+[1]!b_stm07_bs(B306,106,$A306,1,100000000)+[1]!b_stm07_bs(B306,76,$A306,1,100000000)+[1]!b_stm07_bs(B306,108,$A306,1,100000000)+[1]!b_stm07_bs(B306,95,$A306,1,100000000))/[1]!b_stm07_bs(B306,128,$A306,1,100000000),"")</f>
        <v/>
      </c>
      <c r="T306" s="11">
        <f>[1]!b_issuer_shareholder(B306,"",1)</f>
        <v>0</v>
      </c>
      <c r="U306" s="10">
        <f>[1]!b_issuer_propofshareholder(B306,"",1)</f>
        <v>0</v>
      </c>
      <c r="V306" s="33" t="str">
        <f t="shared" si="9"/>
        <v>0</v>
      </c>
      <c r="W306" s="33">
        <f>[1]!s_info_city(B306)</f>
        <v>0</v>
      </c>
      <c r="X306" s="10">
        <f>IF([1]!s_stmnote_bank_17n(B306,$A306,1)="0","",[1]!s_stmnote_bank_17n(B306,$A306,1))</f>
        <v>0</v>
      </c>
      <c r="Y306" s="10">
        <f>IF([1]!s_stmnote_bank_18n(B306,$A306,1)="0","",[1]!s_stmnote_bank_18n(B306,$A306,1))</f>
        <v>0</v>
      </c>
      <c r="Z306" s="41">
        <f>IF([1]!s_stmnote_bank_58(B306,$A306,1)="0","",[1]!s_stmnote_bank_58(B306,$A306,1))</f>
        <v>0</v>
      </c>
      <c r="AA306" s="52">
        <f>IF([1]!s_stmnote_bank_60(B306,$A306,1)="0","",[1]!s_stmnote_bank_60(B306,$A306,1))</f>
        <v>0</v>
      </c>
      <c r="AB306" s="52">
        <f>[1]!s_stmnote_bank_5444(B306,$A306,1)</f>
        <v>0</v>
      </c>
      <c r="AC306" s="38">
        <f>[1]!s_stmnote_bank_129n($B306,$A306,1)</f>
        <v>0</v>
      </c>
      <c r="AD306" s="54">
        <f>[1]!s_stmnote_bank_30(B306,$A306,1)</f>
        <v>0</v>
      </c>
    </row>
    <row r="307" spans="1:30" ht="24">
      <c r="A307" s="1" t="s">
        <v>1110</v>
      </c>
      <c r="B307" s="87" t="s">
        <v>1415</v>
      </c>
      <c r="C307" s="8">
        <f>IF([1]!b_info_issuer(B307)="0","",IFERROR([1]!b_info_issuer(B307),""))</f>
        <v>0</v>
      </c>
      <c r="D307" s="11">
        <f>IF([1]!b_info_latestissurercreditrating(B307)="0","",IFERROR([1]!b_info_latestissurercreditrating(B307),""))</f>
        <v>0</v>
      </c>
      <c r="E307" s="27" t="str">
        <f>IFERROR(([1]!b_stm07_bs($B307,47,$A307,1,100000000))/[1]!b_stm07_bs($B307,109,$A307,1,100000000),"")</f>
        <v/>
      </c>
      <c r="F307" s="18" t="str">
        <f>IFERROR(([1]!s_stmnote_bank_26($B307,$A307,1,100000000)-[1]!s_stmnote_bank_26($B307,#REF!,1,100000000)+#REF!)/[1]!s_stmnote_bank_1n($B307,#REF!,1,100000000),"")</f>
        <v/>
      </c>
      <c r="G307" s="21" t="str">
        <f t="shared" si="8"/>
        <v/>
      </c>
      <c r="H307" s="18" t="str">
        <f>IFERROR([1]!s_stmnote_bank($B307,"34",$A307,100000000)/[1]!s_stmnote_bank_1n(B307,$A307,1,100000000),"")</f>
        <v/>
      </c>
      <c r="I307" s="25">
        <f>[1]!b_stm07_bs(B307,74,$A307,1,100000000)</f>
        <v>0</v>
      </c>
      <c r="J307" s="25">
        <f>[1]!b_stm07_bs(B307,109,$A307,1,100000000)</f>
        <v>0</v>
      </c>
      <c r="K307" s="10">
        <f>[1]!s_stmnote_bank_5n(B307,$A307,1)</f>
        <v>0</v>
      </c>
      <c r="L307" s="25">
        <f>[1]!s_stmnote_bank_23n(B307,$A307,1)</f>
        <v>0</v>
      </c>
      <c r="M307" s="25">
        <f>[1]!s_stmnote_bank_capadequacyratio(B307,$A307,1)</f>
        <v>0</v>
      </c>
      <c r="N307" s="25">
        <f>[1]!s_stmnote_bank_capadequacyratio_ct1(B307,$A307,1)</f>
        <v>0</v>
      </c>
      <c r="O307" s="6">
        <f>IF(OR([1]!s_fa_roe(B307,20201231)="0",[1]!s_fa_roe(B307,20211231)="0",[1]!s_fa_roe(B307,20221231)="0"),"",IFERROR(([1]!s_fa_roe(B307,20221231)+[1]!s_fa_roe(B307,20201231)+[1]!s_fa_roe(B307,20211231))/3,""))</f>
        <v>0</v>
      </c>
      <c r="P307" s="28" t="str">
        <f>IFERROR(([1]!s_stmnote_bank_65(B307,$A307,1,2,4,100000000)+[1]!s_stmnote_bank_65(B307,$A307,1,2,6,100000000))/[1]!s_stmnote_bank_1n(B307,$A307,1,100000000),"")</f>
        <v/>
      </c>
      <c r="Q307" s="28" t="str">
        <f>IFERROR([1]!s_stmnote_bank_614(B307,$A307,1,2,100000000)/[1]!s_stmnote_bank_647(B307,$A307,1,2,100000000),"")</f>
        <v/>
      </c>
      <c r="R307" s="28" t="str">
        <f>IFERROR(([1]!b_stm07_bs(B307,104,$A307,1,100000000)+[1]!b_stm07_bs(B307,106,$A307,1,100000000)+[1]!b_stm07_bs(B307,76,$A307,1,100000000)+[1]!b_stm07_bs(B307,108,$A307,1,100000000)+[1]!b_stm07_bs(B307,95,$A307,1,100000000))/[1]!b_stm07_bs(B307,128,$A307,1,100000000),"")</f>
        <v/>
      </c>
      <c r="S307" s="28" t="str">
        <f>IFERROR(([1]!s_stmnote_bank_614(B307,$A307,1,2,100000000)+[1]!b_stm07_bs(B307,104,$A307,1,100000000)+[1]!b_stm07_bs(B307,106,$A307,1,100000000)+[1]!b_stm07_bs(B307,76,$A307,1,100000000)+[1]!b_stm07_bs(B307,108,$A307,1,100000000)+[1]!b_stm07_bs(B307,95,$A307,1,100000000))/[1]!b_stm07_bs(B307,128,$A307,1,100000000),"")</f>
        <v/>
      </c>
      <c r="T307" s="11">
        <f>[1]!b_issuer_shareholder(B307,"",1)</f>
        <v>0</v>
      </c>
      <c r="U307" s="10">
        <f>[1]!b_issuer_propofshareholder(B307,"",1)</f>
        <v>0</v>
      </c>
      <c r="V307" s="33" t="str">
        <f t="shared" si="9"/>
        <v>0</v>
      </c>
      <c r="W307" s="33">
        <f>[1]!s_info_city(B307)</f>
        <v>0</v>
      </c>
      <c r="X307" s="10">
        <f>IF([1]!s_stmnote_bank_17n(B307,$A307,1)="0","",[1]!s_stmnote_bank_17n(B307,$A307,1))</f>
        <v>0</v>
      </c>
      <c r="Y307" s="10">
        <f>IF([1]!s_stmnote_bank_18n(B307,$A307,1)="0","",[1]!s_stmnote_bank_18n(B307,$A307,1))</f>
        <v>0</v>
      </c>
      <c r="Z307" s="41">
        <f>IF([1]!s_stmnote_bank_58(B307,$A307,1)="0","",[1]!s_stmnote_bank_58(B307,$A307,1))</f>
        <v>0</v>
      </c>
      <c r="AA307" s="52">
        <f>IF([1]!s_stmnote_bank_60(B307,$A307,1)="0","",[1]!s_stmnote_bank_60(B307,$A307,1))</f>
        <v>0</v>
      </c>
      <c r="AB307" s="52">
        <f>[1]!s_stmnote_bank_5444(B307,$A307,1)</f>
        <v>0</v>
      </c>
      <c r="AC307" s="38">
        <f>[1]!s_stmnote_bank_129n($B307,$A307,1)</f>
        <v>0</v>
      </c>
      <c r="AD307" s="54">
        <f>[1]!s_stmnote_bank_30(B307,$A307,1)</f>
        <v>0</v>
      </c>
    </row>
    <row r="308" spans="1:30" ht="24">
      <c r="A308" s="1" t="s">
        <v>1110</v>
      </c>
      <c r="B308" s="87" t="s">
        <v>1416</v>
      </c>
      <c r="C308" s="8">
        <f>IF([1]!b_info_issuer(B308)="0","",IFERROR([1]!b_info_issuer(B308),""))</f>
        <v>0</v>
      </c>
      <c r="D308" s="11">
        <f>IF([1]!b_info_latestissurercreditrating(B308)="0","",IFERROR([1]!b_info_latestissurercreditrating(B308),""))</f>
        <v>0</v>
      </c>
      <c r="E308" s="27" t="str">
        <f>IFERROR(([1]!b_stm07_bs($B308,47,$A308,1,100000000))/[1]!b_stm07_bs($B308,109,$A308,1,100000000),"")</f>
        <v/>
      </c>
      <c r="F308" s="18" t="str">
        <f>IFERROR(([1]!s_stmnote_bank_26($B308,$A308,1,100000000)-[1]!s_stmnote_bank_26($B308,#REF!,1,100000000)+#REF!)/[1]!s_stmnote_bank_1n($B308,#REF!,1,100000000),"")</f>
        <v/>
      </c>
      <c r="G308" s="21" t="str">
        <f t="shared" si="8"/>
        <v/>
      </c>
      <c r="H308" s="18" t="str">
        <f>IFERROR([1]!s_stmnote_bank($B308,"34",$A308,100000000)/[1]!s_stmnote_bank_1n(B308,$A308,1,100000000),"")</f>
        <v/>
      </c>
      <c r="I308" s="25">
        <f>[1]!b_stm07_bs(B308,74,$A308,1,100000000)</f>
        <v>0</v>
      </c>
      <c r="J308" s="25">
        <f>[1]!b_stm07_bs(B308,109,$A308,1,100000000)</f>
        <v>0</v>
      </c>
      <c r="K308" s="10">
        <f>[1]!s_stmnote_bank_5n(B308,$A308,1)</f>
        <v>0</v>
      </c>
      <c r="L308" s="25">
        <f>[1]!s_stmnote_bank_23n(B308,$A308,1)</f>
        <v>0</v>
      </c>
      <c r="M308" s="25">
        <f>[1]!s_stmnote_bank_capadequacyratio(B308,$A308,1)</f>
        <v>0</v>
      </c>
      <c r="N308" s="25">
        <f>[1]!s_stmnote_bank_capadequacyratio_ct1(B308,$A308,1)</f>
        <v>0</v>
      </c>
      <c r="O308" s="6">
        <f>IF(OR([1]!s_fa_roe(B308,20201231)="0",[1]!s_fa_roe(B308,20211231)="0",[1]!s_fa_roe(B308,20221231)="0"),"",IFERROR(([1]!s_fa_roe(B308,20221231)+[1]!s_fa_roe(B308,20201231)+[1]!s_fa_roe(B308,20211231))/3,""))</f>
        <v>0</v>
      </c>
      <c r="P308" s="28" t="str">
        <f>IFERROR(([1]!s_stmnote_bank_65(B308,$A308,1,2,4,100000000)+[1]!s_stmnote_bank_65(B308,$A308,1,2,6,100000000))/[1]!s_stmnote_bank_1n(B308,$A308,1,100000000),"")</f>
        <v/>
      </c>
      <c r="Q308" s="28" t="str">
        <f>IFERROR([1]!s_stmnote_bank_614(B308,$A308,1,2,100000000)/[1]!s_stmnote_bank_647(B308,$A308,1,2,100000000),"")</f>
        <v/>
      </c>
      <c r="R308" s="28" t="str">
        <f>IFERROR(([1]!b_stm07_bs(B308,104,$A308,1,100000000)+[1]!b_stm07_bs(B308,106,$A308,1,100000000)+[1]!b_stm07_bs(B308,76,$A308,1,100000000)+[1]!b_stm07_bs(B308,108,$A308,1,100000000)+[1]!b_stm07_bs(B308,95,$A308,1,100000000))/[1]!b_stm07_bs(B308,128,$A308,1,100000000),"")</f>
        <v/>
      </c>
      <c r="S308" s="28" t="str">
        <f>IFERROR(([1]!s_stmnote_bank_614(B308,$A308,1,2,100000000)+[1]!b_stm07_bs(B308,104,$A308,1,100000000)+[1]!b_stm07_bs(B308,106,$A308,1,100000000)+[1]!b_stm07_bs(B308,76,$A308,1,100000000)+[1]!b_stm07_bs(B308,108,$A308,1,100000000)+[1]!b_stm07_bs(B308,95,$A308,1,100000000))/[1]!b_stm07_bs(B308,128,$A308,1,100000000),"")</f>
        <v/>
      </c>
      <c r="T308" s="11">
        <f>[1]!b_issuer_shareholder(B308,"",1)</f>
        <v>0</v>
      </c>
      <c r="U308" s="10">
        <f>[1]!b_issuer_propofshareholder(B308,"",1)</f>
        <v>0</v>
      </c>
      <c r="V308" s="33" t="str">
        <f t="shared" si="9"/>
        <v>0</v>
      </c>
      <c r="W308" s="33">
        <f>[1]!s_info_city(B308)</f>
        <v>0</v>
      </c>
      <c r="X308" s="10">
        <f>IF([1]!s_stmnote_bank_17n(B308,$A308,1)="0","",[1]!s_stmnote_bank_17n(B308,$A308,1))</f>
        <v>0</v>
      </c>
      <c r="Y308" s="10">
        <f>IF([1]!s_stmnote_bank_18n(B308,$A308,1)="0","",[1]!s_stmnote_bank_18n(B308,$A308,1))</f>
        <v>0</v>
      </c>
      <c r="Z308" s="41">
        <f>IF([1]!s_stmnote_bank_58(B308,$A308,1)="0","",[1]!s_stmnote_bank_58(B308,$A308,1))</f>
        <v>0</v>
      </c>
      <c r="AA308" s="52">
        <f>IF([1]!s_stmnote_bank_60(B308,$A308,1)="0","",[1]!s_stmnote_bank_60(B308,$A308,1))</f>
        <v>0</v>
      </c>
      <c r="AB308" s="52">
        <f>[1]!s_stmnote_bank_5444(B308,$A308,1)</f>
        <v>0</v>
      </c>
      <c r="AC308" s="38">
        <f>[1]!s_stmnote_bank_129n($B308,$A308,1)</f>
        <v>0</v>
      </c>
      <c r="AD308" s="54">
        <f>[1]!s_stmnote_bank_30(B308,$A308,1)</f>
        <v>0</v>
      </c>
    </row>
    <row r="309" spans="1:30" ht="24">
      <c r="A309" s="1" t="s">
        <v>1110</v>
      </c>
      <c r="B309" s="87" t="s">
        <v>1417</v>
      </c>
      <c r="C309" s="8">
        <f>IF([1]!b_info_issuer(B309)="0","",IFERROR([1]!b_info_issuer(B309),""))</f>
        <v>0</v>
      </c>
      <c r="D309" s="11">
        <f>IF([1]!b_info_latestissurercreditrating(B309)="0","",IFERROR([1]!b_info_latestissurercreditrating(B309),""))</f>
        <v>0</v>
      </c>
      <c r="E309" s="27" t="str">
        <f>IFERROR(([1]!b_stm07_bs($B309,47,$A309,1,100000000))/[1]!b_stm07_bs($B309,109,$A309,1,100000000),"")</f>
        <v/>
      </c>
      <c r="F309" s="18" t="str">
        <f>IFERROR(([1]!s_stmnote_bank_26($B309,$A309,1,100000000)-[1]!s_stmnote_bank_26($B309,#REF!,1,100000000)+#REF!)/[1]!s_stmnote_bank_1n($B309,#REF!,1,100000000),"")</f>
        <v/>
      </c>
      <c r="G309" s="21" t="str">
        <f t="shared" si="8"/>
        <v/>
      </c>
      <c r="H309" s="18" t="str">
        <f>IFERROR([1]!s_stmnote_bank($B309,"34",$A309,100000000)/[1]!s_stmnote_bank_1n(B309,$A309,1,100000000),"")</f>
        <v/>
      </c>
      <c r="I309" s="25">
        <f>[1]!b_stm07_bs(B309,74,$A309,1,100000000)</f>
        <v>0</v>
      </c>
      <c r="J309" s="25">
        <f>[1]!b_stm07_bs(B309,109,$A309,1,100000000)</f>
        <v>0</v>
      </c>
      <c r="K309" s="10">
        <f>[1]!s_stmnote_bank_5n(B309,$A309,1)</f>
        <v>0</v>
      </c>
      <c r="L309" s="25">
        <f>[1]!s_stmnote_bank_23n(B309,$A309,1)</f>
        <v>0</v>
      </c>
      <c r="M309" s="25">
        <f>[1]!s_stmnote_bank_capadequacyratio(B309,$A309,1)</f>
        <v>0</v>
      </c>
      <c r="N309" s="25">
        <f>[1]!s_stmnote_bank_capadequacyratio_ct1(B309,$A309,1)</f>
        <v>0</v>
      </c>
      <c r="O309" s="6">
        <f>IF(OR([1]!s_fa_roe(B309,20201231)="0",[1]!s_fa_roe(B309,20211231)="0",[1]!s_fa_roe(B309,20221231)="0"),"",IFERROR(([1]!s_fa_roe(B309,20221231)+[1]!s_fa_roe(B309,20201231)+[1]!s_fa_roe(B309,20211231))/3,""))</f>
        <v>0</v>
      </c>
      <c r="P309" s="28" t="str">
        <f>IFERROR(([1]!s_stmnote_bank_65(B309,$A309,1,2,4,100000000)+[1]!s_stmnote_bank_65(B309,$A309,1,2,6,100000000))/[1]!s_stmnote_bank_1n(B309,$A309,1,100000000),"")</f>
        <v/>
      </c>
      <c r="Q309" s="28" t="str">
        <f>IFERROR([1]!s_stmnote_bank_614(B309,$A309,1,2,100000000)/[1]!s_stmnote_bank_647(B309,$A309,1,2,100000000),"")</f>
        <v/>
      </c>
      <c r="R309" s="28" t="str">
        <f>IFERROR(([1]!b_stm07_bs(B309,104,$A309,1,100000000)+[1]!b_stm07_bs(B309,106,$A309,1,100000000)+[1]!b_stm07_bs(B309,76,$A309,1,100000000)+[1]!b_stm07_bs(B309,108,$A309,1,100000000)+[1]!b_stm07_bs(B309,95,$A309,1,100000000))/[1]!b_stm07_bs(B309,128,$A309,1,100000000),"")</f>
        <v/>
      </c>
      <c r="S309" s="28" t="str">
        <f>IFERROR(([1]!s_stmnote_bank_614(B309,$A309,1,2,100000000)+[1]!b_stm07_bs(B309,104,$A309,1,100000000)+[1]!b_stm07_bs(B309,106,$A309,1,100000000)+[1]!b_stm07_bs(B309,76,$A309,1,100000000)+[1]!b_stm07_bs(B309,108,$A309,1,100000000)+[1]!b_stm07_bs(B309,95,$A309,1,100000000))/[1]!b_stm07_bs(B309,128,$A309,1,100000000),"")</f>
        <v/>
      </c>
      <c r="T309" s="11">
        <f>[1]!b_issuer_shareholder(B309,"",1)</f>
        <v>0</v>
      </c>
      <c r="U309" s="10">
        <f>[1]!b_issuer_propofshareholder(B309,"",1)</f>
        <v>0</v>
      </c>
      <c r="V309" s="33" t="str">
        <f t="shared" si="9"/>
        <v>0</v>
      </c>
      <c r="W309" s="33">
        <f>[1]!s_info_city(B309)</f>
        <v>0</v>
      </c>
      <c r="X309" s="10">
        <f>IF([1]!s_stmnote_bank_17n(B309,$A309,1)="0","",[1]!s_stmnote_bank_17n(B309,$A309,1))</f>
        <v>0</v>
      </c>
      <c r="Y309" s="10">
        <f>IF([1]!s_stmnote_bank_18n(B309,$A309,1)="0","",[1]!s_stmnote_bank_18n(B309,$A309,1))</f>
        <v>0</v>
      </c>
      <c r="Z309" s="41">
        <f>IF([1]!s_stmnote_bank_58(B309,$A309,1)="0","",[1]!s_stmnote_bank_58(B309,$A309,1))</f>
        <v>0</v>
      </c>
      <c r="AA309" s="52">
        <f>IF([1]!s_stmnote_bank_60(B309,$A309,1)="0","",[1]!s_stmnote_bank_60(B309,$A309,1))</f>
        <v>0</v>
      </c>
      <c r="AB309" s="52">
        <f>[1]!s_stmnote_bank_5444(B309,$A309,1)</f>
        <v>0</v>
      </c>
      <c r="AC309" s="38">
        <f>[1]!s_stmnote_bank_129n($B309,$A309,1)</f>
        <v>0</v>
      </c>
      <c r="AD309" s="54">
        <f>[1]!s_stmnote_bank_30(B309,$A309,1)</f>
        <v>0</v>
      </c>
    </row>
    <row r="310" spans="1:30" ht="24">
      <c r="A310" s="1" t="s">
        <v>1110</v>
      </c>
      <c r="B310" s="87" t="s">
        <v>1418</v>
      </c>
      <c r="C310" s="8">
        <f>IF([1]!b_info_issuer(B310)="0","",IFERROR([1]!b_info_issuer(B310),""))</f>
        <v>0</v>
      </c>
      <c r="D310" s="11">
        <f>IF([1]!b_info_latestissurercreditrating(B310)="0","",IFERROR([1]!b_info_latestissurercreditrating(B310),""))</f>
        <v>0</v>
      </c>
      <c r="E310" s="27" t="str">
        <f>IFERROR(([1]!b_stm07_bs($B310,47,$A310,1,100000000))/[1]!b_stm07_bs($B310,109,$A310,1,100000000),"")</f>
        <v/>
      </c>
      <c r="F310" s="18" t="str">
        <f>IFERROR(([1]!s_stmnote_bank_26($B310,$A310,1,100000000)-[1]!s_stmnote_bank_26($B310,#REF!,1,100000000)+#REF!)/[1]!s_stmnote_bank_1n($B310,#REF!,1,100000000),"")</f>
        <v/>
      </c>
      <c r="G310" s="21" t="str">
        <f t="shared" si="8"/>
        <v/>
      </c>
      <c r="H310" s="18" t="str">
        <f>IFERROR([1]!s_stmnote_bank($B310,"34",$A310,100000000)/[1]!s_stmnote_bank_1n(B310,$A310,1,100000000),"")</f>
        <v/>
      </c>
      <c r="I310" s="25">
        <f>[1]!b_stm07_bs(B310,74,$A310,1,100000000)</f>
        <v>0</v>
      </c>
      <c r="J310" s="25">
        <f>[1]!b_stm07_bs(B310,109,$A310,1,100000000)</f>
        <v>0</v>
      </c>
      <c r="K310" s="10">
        <f>[1]!s_stmnote_bank_5n(B310,$A310,1)</f>
        <v>0</v>
      </c>
      <c r="L310" s="25">
        <f>[1]!s_stmnote_bank_23n(B310,$A310,1)</f>
        <v>0</v>
      </c>
      <c r="M310" s="25">
        <f>[1]!s_stmnote_bank_capadequacyratio(B310,$A310,1)</f>
        <v>0</v>
      </c>
      <c r="N310" s="25">
        <f>[1]!s_stmnote_bank_capadequacyratio_ct1(B310,$A310,1)</f>
        <v>0</v>
      </c>
      <c r="O310" s="6">
        <f>IF(OR([1]!s_fa_roe(B310,20201231)="0",[1]!s_fa_roe(B310,20211231)="0",[1]!s_fa_roe(B310,20221231)="0"),"",IFERROR(([1]!s_fa_roe(B310,20221231)+[1]!s_fa_roe(B310,20201231)+[1]!s_fa_roe(B310,20211231))/3,""))</f>
        <v>0</v>
      </c>
      <c r="P310" s="28" t="str">
        <f>IFERROR(([1]!s_stmnote_bank_65(B310,$A310,1,2,4,100000000)+[1]!s_stmnote_bank_65(B310,$A310,1,2,6,100000000))/[1]!s_stmnote_bank_1n(B310,$A310,1,100000000),"")</f>
        <v/>
      </c>
      <c r="Q310" s="28" t="str">
        <f>IFERROR([1]!s_stmnote_bank_614(B310,$A310,1,2,100000000)/[1]!s_stmnote_bank_647(B310,$A310,1,2,100000000),"")</f>
        <v/>
      </c>
      <c r="R310" s="28" t="str">
        <f>IFERROR(([1]!b_stm07_bs(B310,104,$A310,1,100000000)+[1]!b_stm07_bs(B310,106,$A310,1,100000000)+[1]!b_stm07_bs(B310,76,$A310,1,100000000)+[1]!b_stm07_bs(B310,108,$A310,1,100000000)+[1]!b_stm07_bs(B310,95,$A310,1,100000000))/[1]!b_stm07_bs(B310,128,$A310,1,100000000),"")</f>
        <v/>
      </c>
      <c r="S310" s="28" t="str">
        <f>IFERROR(([1]!s_stmnote_bank_614(B310,$A310,1,2,100000000)+[1]!b_stm07_bs(B310,104,$A310,1,100000000)+[1]!b_stm07_bs(B310,106,$A310,1,100000000)+[1]!b_stm07_bs(B310,76,$A310,1,100000000)+[1]!b_stm07_bs(B310,108,$A310,1,100000000)+[1]!b_stm07_bs(B310,95,$A310,1,100000000))/[1]!b_stm07_bs(B310,128,$A310,1,100000000),"")</f>
        <v/>
      </c>
      <c r="T310" s="11">
        <f>[1]!b_issuer_shareholder(B310,"",1)</f>
        <v>0</v>
      </c>
      <c r="U310" s="10">
        <f>[1]!b_issuer_propofshareholder(B310,"",1)</f>
        <v>0</v>
      </c>
      <c r="V310" s="33" t="str">
        <f t="shared" si="9"/>
        <v>0</v>
      </c>
      <c r="W310" s="33">
        <f>[1]!s_info_city(B310)</f>
        <v>0</v>
      </c>
      <c r="X310" s="10">
        <f>IF([1]!s_stmnote_bank_17n(B310,$A310,1)="0","",[1]!s_stmnote_bank_17n(B310,$A310,1))</f>
        <v>0</v>
      </c>
      <c r="Y310" s="10">
        <f>IF([1]!s_stmnote_bank_18n(B310,$A310,1)="0","",[1]!s_stmnote_bank_18n(B310,$A310,1))</f>
        <v>0</v>
      </c>
      <c r="Z310" s="41">
        <f>IF([1]!s_stmnote_bank_58(B310,$A310,1)="0","",[1]!s_stmnote_bank_58(B310,$A310,1))</f>
        <v>0</v>
      </c>
      <c r="AA310" s="52">
        <f>IF([1]!s_stmnote_bank_60(B310,$A310,1)="0","",[1]!s_stmnote_bank_60(B310,$A310,1))</f>
        <v>0</v>
      </c>
      <c r="AB310" s="52">
        <f>[1]!s_stmnote_bank_5444(B310,$A310,1)</f>
        <v>0</v>
      </c>
      <c r="AC310" s="38">
        <f>[1]!s_stmnote_bank_129n($B310,$A310,1)</f>
        <v>0</v>
      </c>
      <c r="AD310" s="54">
        <f>[1]!s_stmnote_bank_30(B310,$A310,1)</f>
        <v>0</v>
      </c>
    </row>
    <row r="311" spans="1:30" ht="24">
      <c r="A311" s="1" t="s">
        <v>1110</v>
      </c>
      <c r="B311" s="87" t="s">
        <v>1419</v>
      </c>
      <c r="C311" s="8">
        <f>IF([1]!b_info_issuer(B311)="0","",IFERROR([1]!b_info_issuer(B311),""))</f>
        <v>0</v>
      </c>
      <c r="D311" s="11">
        <f>IF([1]!b_info_latestissurercreditrating(B311)="0","",IFERROR([1]!b_info_latestissurercreditrating(B311),""))</f>
        <v>0</v>
      </c>
      <c r="E311" s="27" t="str">
        <f>IFERROR(([1]!b_stm07_bs($B311,47,$A311,1,100000000))/[1]!b_stm07_bs($B311,109,$A311,1,100000000),"")</f>
        <v/>
      </c>
      <c r="F311" s="18" t="str">
        <f>IFERROR(([1]!s_stmnote_bank_26($B311,$A311,1,100000000)-[1]!s_stmnote_bank_26($B311,#REF!,1,100000000)+#REF!)/[1]!s_stmnote_bank_1n($B311,#REF!,1,100000000),"")</f>
        <v/>
      </c>
      <c r="G311" s="21" t="str">
        <f t="shared" si="8"/>
        <v/>
      </c>
      <c r="H311" s="18" t="str">
        <f>IFERROR([1]!s_stmnote_bank($B311,"34",$A311,100000000)/[1]!s_stmnote_bank_1n(B311,$A311,1,100000000),"")</f>
        <v/>
      </c>
      <c r="I311" s="25">
        <f>[1]!b_stm07_bs(B311,74,$A311,1,100000000)</f>
        <v>0</v>
      </c>
      <c r="J311" s="25">
        <f>[1]!b_stm07_bs(B311,109,$A311,1,100000000)</f>
        <v>0</v>
      </c>
      <c r="K311" s="10">
        <f>[1]!s_stmnote_bank_5n(B311,$A311,1)</f>
        <v>0</v>
      </c>
      <c r="L311" s="25">
        <f>[1]!s_stmnote_bank_23n(B311,$A311,1)</f>
        <v>0</v>
      </c>
      <c r="M311" s="25">
        <f>[1]!s_stmnote_bank_capadequacyratio(B311,$A311,1)</f>
        <v>0</v>
      </c>
      <c r="N311" s="25">
        <f>[1]!s_stmnote_bank_capadequacyratio_ct1(B311,$A311,1)</f>
        <v>0</v>
      </c>
      <c r="O311" s="6">
        <f>IF(OR([1]!s_fa_roe(B311,20201231)="0",[1]!s_fa_roe(B311,20211231)="0",[1]!s_fa_roe(B311,20221231)="0"),"",IFERROR(([1]!s_fa_roe(B311,20221231)+[1]!s_fa_roe(B311,20201231)+[1]!s_fa_roe(B311,20211231))/3,""))</f>
        <v>0</v>
      </c>
      <c r="P311" s="28" t="str">
        <f>IFERROR(([1]!s_stmnote_bank_65(B311,$A311,1,2,4,100000000)+[1]!s_stmnote_bank_65(B311,$A311,1,2,6,100000000))/[1]!s_stmnote_bank_1n(B311,$A311,1,100000000),"")</f>
        <v/>
      </c>
      <c r="Q311" s="28" t="str">
        <f>IFERROR([1]!s_stmnote_bank_614(B311,$A311,1,2,100000000)/[1]!s_stmnote_bank_647(B311,$A311,1,2,100000000),"")</f>
        <v/>
      </c>
      <c r="R311" s="28" t="str">
        <f>IFERROR(([1]!b_stm07_bs(B311,104,$A311,1,100000000)+[1]!b_stm07_bs(B311,106,$A311,1,100000000)+[1]!b_stm07_bs(B311,76,$A311,1,100000000)+[1]!b_stm07_bs(B311,108,$A311,1,100000000)+[1]!b_stm07_bs(B311,95,$A311,1,100000000))/[1]!b_stm07_bs(B311,128,$A311,1,100000000),"")</f>
        <v/>
      </c>
      <c r="S311" s="28" t="str">
        <f>IFERROR(([1]!s_stmnote_bank_614(B311,$A311,1,2,100000000)+[1]!b_stm07_bs(B311,104,$A311,1,100000000)+[1]!b_stm07_bs(B311,106,$A311,1,100000000)+[1]!b_stm07_bs(B311,76,$A311,1,100000000)+[1]!b_stm07_bs(B311,108,$A311,1,100000000)+[1]!b_stm07_bs(B311,95,$A311,1,100000000))/[1]!b_stm07_bs(B311,128,$A311,1,100000000),"")</f>
        <v/>
      </c>
      <c r="T311" s="11">
        <f>[1]!b_issuer_shareholder(B311,"",1)</f>
        <v>0</v>
      </c>
      <c r="U311" s="10">
        <f>[1]!b_issuer_propofshareholder(B311,"",1)</f>
        <v>0</v>
      </c>
      <c r="V311" s="33" t="str">
        <f t="shared" si="9"/>
        <v>0</v>
      </c>
      <c r="W311" s="33">
        <f>[1]!s_info_city(B311)</f>
        <v>0</v>
      </c>
      <c r="X311" s="10">
        <f>IF([1]!s_stmnote_bank_17n(B311,$A311,1)="0","",[1]!s_stmnote_bank_17n(B311,$A311,1))</f>
        <v>0</v>
      </c>
      <c r="Y311" s="10">
        <f>IF([1]!s_stmnote_bank_18n(B311,$A311,1)="0","",[1]!s_stmnote_bank_18n(B311,$A311,1))</f>
        <v>0</v>
      </c>
      <c r="Z311" s="41">
        <f>IF([1]!s_stmnote_bank_58(B311,$A311,1)="0","",[1]!s_stmnote_bank_58(B311,$A311,1))</f>
        <v>0</v>
      </c>
      <c r="AA311" s="52">
        <f>IF([1]!s_stmnote_bank_60(B311,$A311,1)="0","",[1]!s_stmnote_bank_60(B311,$A311,1))</f>
        <v>0</v>
      </c>
      <c r="AB311" s="52">
        <f>[1]!s_stmnote_bank_5444(B311,$A311,1)</f>
        <v>0</v>
      </c>
      <c r="AC311" s="38">
        <f>[1]!s_stmnote_bank_129n($B311,$A311,1)</f>
        <v>0</v>
      </c>
      <c r="AD311" s="54">
        <f>[1]!s_stmnote_bank_30(B311,$A311,1)</f>
        <v>0</v>
      </c>
    </row>
    <row r="312" spans="1:30" ht="24">
      <c r="A312" s="1" t="s">
        <v>1110</v>
      </c>
      <c r="B312" s="87" t="s">
        <v>1420</v>
      </c>
      <c r="C312" s="8">
        <f>IF([1]!b_info_issuer(B312)="0","",IFERROR([1]!b_info_issuer(B312),""))</f>
        <v>0</v>
      </c>
      <c r="D312" s="11">
        <f>IF([1]!b_info_latestissurercreditrating(B312)="0","",IFERROR([1]!b_info_latestissurercreditrating(B312),""))</f>
        <v>0</v>
      </c>
      <c r="E312" s="27" t="str">
        <f>IFERROR(([1]!b_stm07_bs($B312,47,$A312,1,100000000))/[1]!b_stm07_bs($B312,109,$A312,1,100000000),"")</f>
        <v/>
      </c>
      <c r="F312" s="18" t="str">
        <f>IFERROR(([1]!s_stmnote_bank_26($B312,$A312,1,100000000)-[1]!s_stmnote_bank_26($B312,#REF!,1,100000000)+#REF!)/[1]!s_stmnote_bank_1n($B312,#REF!,1,100000000),"")</f>
        <v/>
      </c>
      <c r="G312" s="21" t="str">
        <f t="shared" si="8"/>
        <v/>
      </c>
      <c r="H312" s="18" t="str">
        <f>IFERROR([1]!s_stmnote_bank($B312,"34",$A312,100000000)/[1]!s_stmnote_bank_1n(B312,$A312,1,100000000),"")</f>
        <v/>
      </c>
      <c r="I312" s="25">
        <f>[1]!b_stm07_bs(B312,74,$A312,1,100000000)</f>
        <v>0</v>
      </c>
      <c r="J312" s="25">
        <f>[1]!b_stm07_bs(B312,109,$A312,1,100000000)</f>
        <v>0</v>
      </c>
      <c r="K312" s="10">
        <f>[1]!s_stmnote_bank_5n(B312,$A312,1)</f>
        <v>0</v>
      </c>
      <c r="L312" s="25">
        <f>[1]!s_stmnote_bank_23n(B312,$A312,1)</f>
        <v>0</v>
      </c>
      <c r="M312" s="25">
        <f>[1]!s_stmnote_bank_capadequacyratio(B312,$A312,1)</f>
        <v>0</v>
      </c>
      <c r="N312" s="25">
        <f>[1]!s_stmnote_bank_capadequacyratio_ct1(B312,$A312,1)</f>
        <v>0</v>
      </c>
      <c r="O312" s="6">
        <f>IF(OR([1]!s_fa_roe(B312,20201231)="0",[1]!s_fa_roe(B312,20211231)="0",[1]!s_fa_roe(B312,20221231)="0"),"",IFERROR(([1]!s_fa_roe(B312,20221231)+[1]!s_fa_roe(B312,20201231)+[1]!s_fa_roe(B312,20211231))/3,""))</f>
        <v>0</v>
      </c>
      <c r="P312" s="28" t="str">
        <f>IFERROR(([1]!s_stmnote_bank_65(B312,$A312,1,2,4,100000000)+[1]!s_stmnote_bank_65(B312,$A312,1,2,6,100000000))/[1]!s_stmnote_bank_1n(B312,$A312,1,100000000),"")</f>
        <v/>
      </c>
      <c r="Q312" s="28" t="str">
        <f>IFERROR([1]!s_stmnote_bank_614(B312,$A312,1,2,100000000)/[1]!s_stmnote_bank_647(B312,$A312,1,2,100000000),"")</f>
        <v/>
      </c>
      <c r="R312" s="28" t="str">
        <f>IFERROR(([1]!b_stm07_bs(B312,104,$A312,1,100000000)+[1]!b_stm07_bs(B312,106,$A312,1,100000000)+[1]!b_stm07_bs(B312,76,$A312,1,100000000)+[1]!b_stm07_bs(B312,108,$A312,1,100000000)+[1]!b_stm07_bs(B312,95,$A312,1,100000000))/[1]!b_stm07_bs(B312,128,$A312,1,100000000),"")</f>
        <v/>
      </c>
      <c r="S312" s="28" t="str">
        <f>IFERROR(([1]!s_stmnote_bank_614(B312,$A312,1,2,100000000)+[1]!b_stm07_bs(B312,104,$A312,1,100000000)+[1]!b_stm07_bs(B312,106,$A312,1,100000000)+[1]!b_stm07_bs(B312,76,$A312,1,100000000)+[1]!b_stm07_bs(B312,108,$A312,1,100000000)+[1]!b_stm07_bs(B312,95,$A312,1,100000000))/[1]!b_stm07_bs(B312,128,$A312,1,100000000),"")</f>
        <v/>
      </c>
      <c r="T312" s="11">
        <f>[1]!b_issuer_shareholder(B312,"",1)</f>
        <v>0</v>
      </c>
      <c r="U312" s="10">
        <f>[1]!b_issuer_propofshareholder(B312,"",1)</f>
        <v>0</v>
      </c>
      <c r="V312" s="33" t="str">
        <f t="shared" si="9"/>
        <v>0</v>
      </c>
      <c r="W312" s="33">
        <f>[1]!s_info_city(B312)</f>
        <v>0</v>
      </c>
      <c r="X312" s="10">
        <f>IF([1]!s_stmnote_bank_17n(B312,$A312,1)="0","",[1]!s_stmnote_bank_17n(B312,$A312,1))</f>
        <v>0</v>
      </c>
      <c r="Y312" s="10">
        <f>IF([1]!s_stmnote_bank_18n(B312,$A312,1)="0","",[1]!s_stmnote_bank_18n(B312,$A312,1))</f>
        <v>0</v>
      </c>
      <c r="Z312" s="41">
        <f>IF([1]!s_stmnote_bank_58(B312,$A312,1)="0","",[1]!s_stmnote_bank_58(B312,$A312,1))</f>
        <v>0</v>
      </c>
      <c r="AA312" s="52">
        <f>IF([1]!s_stmnote_bank_60(B312,$A312,1)="0","",[1]!s_stmnote_bank_60(B312,$A312,1))</f>
        <v>0</v>
      </c>
      <c r="AB312" s="52">
        <f>[1]!s_stmnote_bank_5444(B312,$A312,1)</f>
        <v>0</v>
      </c>
      <c r="AC312" s="38">
        <f>[1]!s_stmnote_bank_129n($B312,$A312,1)</f>
        <v>0</v>
      </c>
      <c r="AD312" s="54">
        <f>[1]!s_stmnote_bank_30(B312,$A312,1)</f>
        <v>0</v>
      </c>
    </row>
    <row r="313" spans="1:30" ht="24">
      <c r="A313" s="1" t="s">
        <v>1110</v>
      </c>
      <c r="B313" s="87" t="s">
        <v>1421</v>
      </c>
      <c r="C313" s="8">
        <f>IF([1]!b_info_issuer(B313)="0","",IFERROR([1]!b_info_issuer(B313),""))</f>
        <v>0</v>
      </c>
      <c r="D313" s="11">
        <f>IF([1]!b_info_latestissurercreditrating(B313)="0","",IFERROR([1]!b_info_latestissurercreditrating(B313),""))</f>
        <v>0</v>
      </c>
      <c r="E313" s="27" t="str">
        <f>IFERROR(([1]!b_stm07_bs($B313,47,$A313,1,100000000))/[1]!b_stm07_bs($B313,109,$A313,1,100000000),"")</f>
        <v/>
      </c>
      <c r="F313" s="18" t="str">
        <f>IFERROR(([1]!s_stmnote_bank_26($B313,$A313,1,100000000)-[1]!s_stmnote_bank_26($B313,#REF!,1,100000000)+#REF!)/[1]!s_stmnote_bank_1n($B313,#REF!,1,100000000),"")</f>
        <v/>
      </c>
      <c r="G313" s="21" t="str">
        <f t="shared" si="8"/>
        <v/>
      </c>
      <c r="H313" s="18" t="str">
        <f>IFERROR([1]!s_stmnote_bank($B313,"34",$A313,100000000)/[1]!s_stmnote_bank_1n(B313,$A313,1,100000000),"")</f>
        <v/>
      </c>
      <c r="I313" s="25">
        <f>[1]!b_stm07_bs(B313,74,$A313,1,100000000)</f>
        <v>0</v>
      </c>
      <c r="J313" s="25">
        <f>[1]!b_stm07_bs(B313,109,$A313,1,100000000)</f>
        <v>0</v>
      </c>
      <c r="K313" s="10">
        <f>[1]!s_stmnote_bank_5n(B313,$A313,1)</f>
        <v>0</v>
      </c>
      <c r="L313" s="25">
        <f>[1]!s_stmnote_bank_23n(B313,$A313,1)</f>
        <v>0</v>
      </c>
      <c r="M313" s="25">
        <f>[1]!s_stmnote_bank_capadequacyratio(B313,$A313,1)</f>
        <v>0</v>
      </c>
      <c r="N313" s="25">
        <f>[1]!s_stmnote_bank_capadequacyratio_ct1(B313,$A313,1)</f>
        <v>0</v>
      </c>
      <c r="O313" s="6">
        <f>IF(OR([1]!s_fa_roe(B313,20201231)="0",[1]!s_fa_roe(B313,20211231)="0",[1]!s_fa_roe(B313,20221231)="0"),"",IFERROR(([1]!s_fa_roe(B313,20221231)+[1]!s_fa_roe(B313,20201231)+[1]!s_fa_roe(B313,20211231))/3,""))</f>
        <v>0</v>
      </c>
      <c r="P313" s="28" t="str">
        <f>IFERROR(([1]!s_stmnote_bank_65(B313,$A313,1,2,4,100000000)+[1]!s_stmnote_bank_65(B313,$A313,1,2,6,100000000))/[1]!s_stmnote_bank_1n(B313,$A313,1,100000000),"")</f>
        <v/>
      </c>
      <c r="Q313" s="28" t="str">
        <f>IFERROR([1]!s_stmnote_bank_614(B313,$A313,1,2,100000000)/[1]!s_stmnote_bank_647(B313,$A313,1,2,100000000),"")</f>
        <v/>
      </c>
      <c r="R313" s="28" t="str">
        <f>IFERROR(([1]!b_stm07_bs(B313,104,$A313,1,100000000)+[1]!b_stm07_bs(B313,106,$A313,1,100000000)+[1]!b_stm07_bs(B313,76,$A313,1,100000000)+[1]!b_stm07_bs(B313,108,$A313,1,100000000)+[1]!b_stm07_bs(B313,95,$A313,1,100000000))/[1]!b_stm07_bs(B313,128,$A313,1,100000000),"")</f>
        <v/>
      </c>
      <c r="S313" s="28" t="str">
        <f>IFERROR(([1]!s_stmnote_bank_614(B313,$A313,1,2,100000000)+[1]!b_stm07_bs(B313,104,$A313,1,100000000)+[1]!b_stm07_bs(B313,106,$A313,1,100000000)+[1]!b_stm07_bs(B313,76,$A313,1,100000000)+[1]!b_stm07_bs(B313,108,$A313,1,100000000)+[1]!b_stm07_bs(B313,95,$A313,1,100000000))/[1]!b_stm07_bs(B313,128,$A313,1,100000000),"")</f>
        <v/>
      </c>
      <c r="T313" s="11">
        <f>[1]!b_issuer_shareholder(B313,"",1)</f>
        <v>0</v>
      </c>
      <c r="U313" s="10">
        <f>[1]!b_issuer_propofshareholder(B313,"",1)</f>
        <v>0</v>
      </c>
      <c r="V313" s="33" t="str">
        <f t="shared" si="9"/>
        <v>0</v>
      </c>
      <c r="W313" s="33">
        <f>[1]!s_info_city(B313)</f>
        <v>0</v>
      </c>
      <c r="X313" s="10">
        <f>IF([1]!s_stmnote_bank_17n(B313,$A313,1)="0","",[1]!s_stmnote_bank_17n(B313,$A313,1))</f>
        <v>0</v>
      </c>
      <c r="Y313" s="10">
        <f>IF([1]!s_stmnote_bank_18n(B313,$A313,1)="0","",[1]!s_stmnote_bank_18n(B313,$A313,1))</f>
        <v>0</v>
      </c>
      <c r="Z313" s="41">
        <f>IF([1]!s_stmnote_bank_58(B313,$A313,1)="0","",[1]!s_stmnote_bank_58(B313,$A313,1))</f>
        <v>0</v>
      </c>
      <c r="AA313" s="52">
        <f>IF([1]!s_stmnote_bank_60(B313,$A313,1)="0","",[1]!s_stmnote_bank_60(B313,$A313,1))</f>
        <v>0</v>
      </c>
      <c r="AB313" s="52">
        <f>[1]!s_stmnote_bank_5444(B313,$A313,1)</f>
        <v>0</v>
      </c>
      <c r="AC313" s="38">
        <f>[1]!s_stmnote_bank_129n($B313,$A313,1)</f>
        <v>0</v>
      </c>
      <c r="AD313" s="54">
        <f>[1]!s_stmnote_bank_30(B313,$A313,1)</f>
        <v>0</v>
      </c>
    </row>
    <row r="314" spans="1:30" ht="24">
      <c r="A314" s="1" t="s">
        <v>1110</v>
      </c>
      <c r="B314" s="87" t="s">
        <v>1422</v>
      </c>
      <c r="C314" s="8">
        <f>IF([1]!b_info_issuer(B314)="0","",IFERROR([1]!b_info_issuer(B314),""))</f>
        <v>0</v>
      </c>
      <c r="D314" s="11">
        <f>IF([1]!b_info_latestissurercreditrating(B314)="0","",IFERROR([1]!b_info_latestissurercreditrating(B314),""))</f>
        <v>0</v>
      </c>
      <c r="E314" s="27" t="str">
        <f>IFERROR(([1]!b_stm07_bs($B314,47,$A314,1,100000000))/[1]!b_stm07_bs($B314,109,$A314,1,100000000),"")</f>
        <v/>
      </c>
      <c r="F314" s="18" t="str">
        <f>IFERROR(([1]!s_stmnote_bank_26($B314,$A314,1,100000000)-[1]!s_stmnote_bank_26($B314,#REF!,1,100000000)+#REF!)/[1]!s_stmnote_bank_1n($B314,#REF!,1,100000000),"")</f>
        <v/>
      </c>
      <c r="G314" s="21" t="str">
        <f t="shared" si="8"/>
        <v/>
      </c>
      <c r="H314" s="18" t="str">
        <f>IFERROR([1]!s_stmnote_bank($B314,"34",$A314,100000000)/[1]!s_stmnote_bank_1n(B314,$A314,1,100000000),"")</f>
        <v/>
      </c>
      <c r="I314" s="25">
        <f>[1]!b_stm07_bs(B314,74,$A314,1,100000000)</f>
        <v>0</v>
      </c>
      <c r="J314" s="25">
        <f>[1]!b_stm07_bs(B314,109,$A314,1,100000000)</f>
        <v>0</v>
      </c>
      <c r="K314" s="10">
        <f>[1]!s_stmnote_bank_5n(B314,$A314,1)</f>
        <v>0</v>
      </c>
      <c r="L314" s="25">
        <f>[1]!s_stmnote_bank_23n(B314,$A314,1)</f>
        <v>0</v>
      </c>
      <c r="M314" s="25">
        <f>[1]!s_stmnote_bank_capadequacyratio(B314,$A314,1)</f>
        <v>0</v>
      </c>
      <c r="N314" s="25">
        <f>[1]!s_stmnote_bank_capadequacyratio_ct1(B314,$A314,1)</f>
        <v>0</v>
      </c>
      <c r="O314" s="6">
        <f>IF(OR([1]!s_fa_roe(B314,20201231)="0",[1]!s_fa_roe(B314,20211231)="0",[1]!s_fa_roe(B314,20221231)="0"),"",IFERROR(([1]!s_fa_roe(B314,20221231)+[1]!s_fa_roe(B314,20201231)+[1]!s_fa_roe(B314,20211231))/3,""))</f>
        <v>0</v>
      </c>
      <c r="P314" s="28" t="str">
        <f>IFERROR(([1]!s_stmnote_bank_65(B314,$A314,1,2,4,100000000)+[1]!s_stmnote_bank_65(B314,$A314,1,2,6,100000000))/[1]!s_stmnote_bank_1n(B314,$A314,1,100000000),"")</f>
        <v/>
      </c>
      <c r="Q314" s="28" t="str">
        <f>IFERROR([1]!s_stmnote_bank_614(B314,$A314,1,2,100000000)/[1]!s_stmnote_bank_647(B314,$A314,1,2,100000000),"")</f>
        <v/>
      </c>
      <c r="R314" s="28" t="str">
        <f>IFERROR(([1]!b_stm07_bs(B314,104,$A314,1,100000000)+[1]!b_stm07_bs(B314,106,$A314,1,100000000)+[1]!b_stm07_bs(B314,76,$A314,1,100000000)+[1]!b_stm07_bs(B314,108,$A314,1,100000000)+[1]!b_stm07_bs(B314,95,$A314,1,100000000))/[1]!b_stm07_bs(B314,128,$A314,1,100000000),"")</f>
        <v/>
      </c>
      <c r="S314" s="28" t="str">
        <f>IFERROR(([1]!s_stmnote_bank_614(B314,$A314,1,2,100000000)+[1]!b_stm07_bs(B314,104,$A314,1,100000000)+[1]!b_stm07_bs(B314,106,$A314,1,100000000)+[1]!b_stm07_bs(B314,76,$A314,1,100000000)+[1]!b_stm07_bs(B314,108,$A314,1,100000000)+[1]!b_stm07_bs(B314,95,$A314,1,100000000))/[1]!b_stm07_bs(B314,128,$A314,1,100000000),"")</f>
        <v/>
      </c>
      <c r="T314" s="11">
        <f>[1]!b_issuer_shareholder(B314,"",1)</f>
        <v>0</v>
      </c>
      <c r="U314" s="10">
        <f>[1]!b_issuer_propofshareholder(B314,"",1)</f>
        <v>0</v>
      </c>
      <c r="V314" s="33" t="str">
        <f t="shared" si="9"/>
        <v>0</v>
      </c>
      <c r="W314" s="33">
        <f>[1]!s_info_city(B314)</f>
        <v>0</v>
      </c>
      <c r="X314" s="10">
        <f>IF([1]!s_stmnote_bank_17n(B314,$A314,1)="0","",[1]!s_stmnote_bank_17n(B314,$A314,1))</f>
        <v>0</v>
      </c>
      <c r="Y314" s="10">
        <f>IF([1]!s_stmnote_bank_18n(B314,$A314,1)="0","",[1]!s_stmnote_bank_18n(B314,$A314,1))</f>
        <v>0</v>
      </c>
      <c r="Z314" s="41">
        <f>IF([1]!s_stmnote_bank_58(B314,$A314,1)="0","",[1]!s_stmnote_bank_58(B314,$A314,1))</f>
        <v>0</v>
      </c>
      <c r="AA314" s="52">
        <f>IF([1]!s_stmnote_bank_60(B314,$A314,1)="0","",[1]!s_stmnote_bank_60(B314,$A314,1))</f>
        <v>0</v>
      </c>
      <c r="AB314" s="52">
        <f>[1]!s_stmnote_bank_5444(B314,$A314,1)</f>
        <v>0</v>
      </c>
      <c r="AC314" s="38">
        <f>[1]!s_stmnote_bank_129n($B314,$A314,1)</f>
        <v>0</v>
      </c>
      <c r="AD314" s="54">
        <f>[1]!s_stmnote_bank_30(B314,$A314,1)</f>
        <v>0</v>
      </c>
    </row>
    <row r="315" spans="1:30" ht="24">
      <c r="A315" s="1" t="s">
        <v>1110</v>
      </c>
      <c r="B315" s="87" t="s">
        <v>1423</v>
      </c>
      <c r="C315" s="8">
        <f>IF([1]!b_info_issuer(B315)="0","",IFERROR([1]!b_info_issuer(B315),""))</f>
        <v>0</v>
      </c>
      <c r="D315" s="11">
        <f>IF([1]!b_info_latestissurercreditrating(B315)="0","",IFERROR([1]!b_info_latestissurercreditrating(B315),""))</f>
        <v>0</v>
      </c>
      <c r="E315" s="27" t="str">
        <f>IFERROR(([1]!b_stm07_bs($B315,47,$A315,1,100000000))/[1]!b_stm07_bs($B315,109,$A315,1,100000000),"")</f>
        <v/>
      </c>
      <c r="F315" s="18" t="str">
        <f>IFERROR(([1]!s_stmnote_bank_26($B315,$A315,1,100000000)-[1]!s_stmnote_bank_26($B315,#REF!,1,100000000)+#REF!)/[1]!s_stmnote_bank_1n($B315,#REF!,1,100000000),"")</f>
        <v/>
      </c>
      <c r="G315" s="21" t="str">
        <f t="shared" si="8"/>
        <v/>
      </c>
      <c r="H315" s="18" t="str">
        <f>IFERROR([1]!s_stmnote_bank($B315,"34",$A315,100000000)/[1]!s_stmnote_bank_1n(B315,$A315,1,100000000),"")</f>
        <v/>
      </c>
      <c r="I315" s="25">
        <f>[1]!b_stm07_bs(B315,74,$A315,1,100000000)</f>
        <v>0</v>
      </c>
      <c r="J315" s="25">
        <f>[1]!b_stm07_bs(B315,109,$A315,1,100000000)</f>
        <v>0</v>
      </c>
      <c r="K315" s="10">
        <f>[1]!s_stmnote_bank_5n(B315,$A315,1)</f>
        <v>0</v>
      </c>
      <c r="L315" s="25">
        <f>[1]!s_stmnote_bank_23n(B315,$A315,1)</f>
        <v>0</v>
      </c>
      <c r="M315" s="25">
        <f>[1]!s_stmnote_bank_capadequacyratio(B315,$A315,1)</f>
        <v>0</v>
      </c>
      <c r="N315" s="25">
        <f>[1]!s_stmnote_bank_capadequacyratio_ct1(B315,$A315,1)</f>
        <v>0</v>
      </c>
      <c r="O315" s="6">
        <f>IF(OR([1]!s_fa_roe(B315,20201231)="0",[1]!s_fa_roe(B315,20211231)="0",[1]!s_fa_roe(B315,20221231)="0"),"",IFERROR(([1]!s_fa_roe(B315,20221231)+[1]!s_fa_roe(B315,20201231)+[1]!s_fa_roe(B315,20211231))/3,""))</f>
        <v>0</v>
      </c>
      <c r="P315" s="28" t="str">
        <f>IFERROR(([1]!s_stmnote_bank_65(B315,$A315,1,2,4,100000000)+[1]!s_stmnote_bank_65(B315,$A315,1,2,6,100000000))/[1]!s_stmnote_bank_1n(B315,$A315,1,100000000),"")</f>
        <v/>
      </c>
      <c r="Q315" s="28" t="str">
        <f>IFERROR([1]!s_stmnote_bank_614(B315,$A315,1,2,100000000)/[1]!s_stmnote_bank_647(B315,$A315,1,2,100000000),"")</f>
        <v/>
      </c>
      <c r="R315" s="28" t="str">
        <f>IFERROR(([1]!b_stm07_bs(B315,104,$A315,1,100000000)+[1]!b_stm07_bs(B315,106,$A315,1,100000000)+[1]!b_stm07_bs(B315,76,$A315,1,100000000)+[1]!b_stm07_bs(B315,108,$A315,1,100000000)+[1]!b_stm07_bs(B315,95,$A315,1,100000000))/[1]!b_stm07_bs(B315,128,$A315,1,100000000),"")</f>
        <v/>
      </c>
      <c r="S315" s="28" t="str">
        <f>IFERROR(([1]!s_stmnote_bank_614(B315,$A315,1,2,100000000)+[1]!b_stm07_bs(B315,104,$A315,1,100000000)+[1]!b_stm07_bs(B315,106,$A315,1,100000000)+[1]!b_stm07_bs(B315,76,$A315,1,100000000)+[1]!b_stm07_bs(B315,108,$A315,1,100000000)+[1]!b_stm07_bs(B315,95,$A315,1,100000000))/[1]!b_stm07_bs(B315,128,$A315,1,100000000),"")</f>
        <v/>
      </c>
      <c r="T315" s="11">
        <f>[1]!b_issuer_shareholder(B315,"",1)</f>
        <v>0</v>
      </c>
      <c r="U315" s="10">
        <f>[1]!b_issuer_propofshareholder(B315,"",1)</f>
        <v>0</v>
      </c>
      <c r="V315" s="33" t="str">
        <f t="shared" si="9"/>
        <v>0</v>
      </c>
      <c r="W315" s="33">
        <f>[1]!s_info_city(B315)</f>
        <v>0</v>
      </c>
      <c r="X315" s="10">
        <f>IF([1]!s_stmnote_bank_17n(B315,$A315,1)="0","",[1]!s_stmnote_bank_17n(B315,$A315,1))</f>
        <v>0</v>
      </c>
      <c r="Y315" s="10">
        <f>IF([1]!s_stmnote_bank_18n(B315,$A315,1)="0","",[1]!s_stmnote_bank_18n(B315,$A315,1))</f>
        <v>0</v>
      </c>
      <c r="Z315" s="41">
        <f>IF([1]!s_stmnote_bank_58(B315,$A315,1)="0","",[1]!s_stmnote_bank_58(B315,$A315,1))</f>
        <v>0</v>
      </c>
      <c r="AA315" s="52">
        <f>IF([1]!s_stmnote_bank_60(B315,$A315,1)="0","",[1]!s_stmnote_bank_60(B315,$A315,1))</f>
        <v>0</v>
      </c>
      <c r="AB315" s="52">
        <f>[1]!s_stmnote_bank_5444(B315,$A315,1)</f>
        <v>0</v>
      </c>
      <c r="AC315" s="38">
        <f>[1]!s_stmnote_bank_129n($B315,$A315,1)</f>
        <v>0</v>
      </c>
      <c r="AD315" s="54">
        <f>[1]!s_stmnote_bank_30(B315,$A315,1)</f>
        <v>0</v>
      </c>
    </row>
    <row r="316" spans="1:30" ht="24">
      <c r="A316" s="1" t="s">
        <v>1110</v>
      </c>
      <c r="B316" s="87" t="s">
        <v>1424</v>
      </c>
      <c r="C316" s="8">
        <f>IF([1]!b_info_issuer(B316)="0","",IFERROR([1]!b_info_issuer(B316),""))</f>
        <v>0</v>
      </c>
      <c r="D316" s="11">
        <f>IF([1]!b_info_latestissurercreditrating(B316)="0","",IFERROR([1]!b_info_latestissurercreditrating(B316),""))</f>
        <v>0</v>
      </c>
      <c r="E316" s="27" t="str">
        <f>IFERROR(([1]!b_stm07_bs($B316,47,$A316,1,100000000))/[1]!b_stm07_bs($B316,109,$A316,1,100000000),"")</f>
        <v/>
      </c>
      <c r="F316" s="18" t="str">
        <f>IFERROR(([1]!s_stmnote_bank_26($B316,$A316,1,100000000)-[1]!s_stmnote_bank_26($B316,#REF!,1,100000000)+#REF!)/[1]!s_stmnote_bank_1n($B316,#REF!,1,100000000),"")</f>
        <v/>
      </c>
      <c r="G316" s="21" t="str">
        <f t="shared" si="8"/>
        <v/>
      </c>
      <c r="H316" s="18" t="str">
        <f>IFERROR([1]!s_stmnote_bank($B316,"34",$A316,100000000)/[1]!s_stmnote_bank_1n(B316,$A316,1,100000000),"")</f>
        <v/>
      </c>
      <c r="I316" s="25">
        <f>[1]!b_stm07_bs(B316,74,$A316,1,100000000)</f>
        <v>0</v>
      </c>
      <c r="J316" s="25">
        <f>[1]!b_stm07_bs(B316,109,$A316,1,100000000)</f>
        <v>0</v>
      </c>
      <c r="K316" s="10">
        <f>[1]!s_stmnote_bank_5n(B316,$A316,1)</f>
        <v>0</v>
      </c>
      <c r="L316" s="25">
        <f>[1]!s_stmnote_bank_23n(B316,$A316,1)</f>
        <v>0</v>
      </c>
      <c r="M316" s="25">
        <f>[1]!s_stmnote_bank_capadequacyratio(B316,$A316,1)</f>
        <v>0</v>
      </c>
      <c r="N316" s="25">
        <f>[1]!s_stmnote_bank_capadequacyratio_ct1(B316,$A316,1)</f>
        <v>0</v>
      </c>
      <c r="O316" s="6">
        <f>IF(OR([1]!s_fa_roe(B316,20201231)="0",[1]!s_fa_roe(B316,20211231)="0",[1]!s_fa_roe(B316,20221231)="0"),"",IFERROR(([1]!s_fa_roe(B316,20221231)+[1]!s_fa_roe(B316,20201231)+[1]!s_fa_roe(B316,20211231))/3,""))</f>
        <v>0</v>
      </c>
      <c r="P316" s="28" t="str">
        <f>IFERROR(([1]!s_stmnote_bank_65(B316,$A316,1,2,4,100000000)+[1]!s_stmnote_bank_65(B316,$A316,1,2,6,100000000))/[1]!s_stmnote_bank_1n(B316,$A316,1,100000000),"")</f>
        <v/>
      </c>
      <c r="Q316" s="28" t="str">
        <f>IFERROR([1]!s_stmnote_bank_614(B316,$A316,1,2,100000000)/[1]!s_stmnote_bank_647(B316,$A316,1,2,100000000),"")</f>
        <v/>
      </c>
      <c r="R316" s="28" t="str">
        <f>IFERROR(([1]!b_stm07_bs(B316,104,$A316,1,100000000)+[1]!b_stm07_bs(B316,106,$A316,1,100000000)+[1]!b_stm07_bs(B316,76,$A316,1,100000000)+[1]!b_stm07_bs(B316,108,$A316,1,100000000)+[1]!b_stm07_bs(B316,95,$A316,1,100000000))/[1]!b_stm07_bs(B316,128,$A316,1,100000000),"")</f>
        <v/>
      </c>
      <c r="S316" s="28" t="str">
        <f>IFERROR(([1]!s_stmnote_bank_614(B316,$A316,1,2,100000000)+[1]!b_stm07_bs(B316,104,$A316,1,100000000)+[1]!b_stm07_bs(B316,106,$A316,1,100000000)+[1]!b_stm07_bs(B316,76,$A316,1,100000000)+[1]!b_stm07_bs(B316,108,$A316,1,100000000)+[1]!b_stm07_bs(B316,95,$A316,1,100000000))/[1]!b_stm07_bs(B316,128,$A316,1,100000000),"")</f>
        <v/>
      </c>
      <c r="T316" s="11">
        <f>[1]!b_issuer_shareholder(B316,"",1)</f>
        <v>0</v>
      </c>
      <c r="U316" s="10">
        <f>[1]!b_issuer_propofshareholder(B316,"",1)</f>
        <v>0</v>
      </c>
      <c r="V316" s="33" t="str">
        <f t="shared" si="9"/>
        <v>0</v>
      </c>
      <c r="W316" s="33">
        <f>[1]!s_info_city(B316)</f>
        <v>0</v>
      </c>
      <c r="X316" s="10">
        <f>IF([1]!s_stmnote_bank_17n(B316,$A316,1)="0","",[1]!s_stmnote_bank_17n(B316,$A316,1))</f>
        <v>0</v>
      </c>
      <c r="Y316" s="10">
        <f>IF([1]!s_stmnote_bank_18n(B316,$A316,1)="0","",[1]!s_stmnote_bank_18n(B316,$A316,1))</f>
        <v>0</v>
      </c>
      <c r="Z316" s="41">
        <f>IF([1]!s_stmnote_bank_58(B316,$A316,1)="0","",[1]!s_stmnote_bank_58(B316,$A316,1))</f>
        <v>0</v>
      </c>
      <c r="AA316" s="52">
        <f>IF([1]!s_stmnote_bank_60(B316,$A316,1)="0","",[1]!s_stmnote_bank_60(B316,$A316,1))</f>
        <v>0</v>
      </c>
      <c r="AB316" s="52">
        <f>[1]!s_stmnote_bank_5444(B316,$A316,1)</f>
        <v>0</v>
      </c>
      <c r="AC316" s="38">
        <f>[1]!s_stmnote_bank_129n($B316,$A316,1)</f>
        <v>0</v>
      </c>
      <c r="AD316" s="54">
        <f>[1]!s_stmnote_bank_30(B316,$A316,1)</f>
        <v>0</v>
      </c>
    </row>
    <row r="317" spans="1:30" ht="24">
      <c r="A317" s="1" t="s">
        <v>1110</v>
      </c>
      <c r="B317" s="87" t="s">
        <v>1425</v>
      </c>
      <c r="C317" s="8">
        <f>IF([1]!b_info_issuer(B317)="0","",IFERROR([1]!b_info_issuer(B317),""))</f>
        <v>0</v>
      </c>
      <c r="D317" s="11">
        <f>IF([1]!b_info_latestissurercreditrating(B317)="0","",IFERROR([1]!b_info_latestissurercreditrating(B317),""))</f>
        <v>0</v>
      </c>
      <c r="E317" s="27" t="str">
        <f>IFERROR(([1]!b_stm07_bs($B317,47,$A317,1,100000000))/[1]!b_stm07_bs($B317,109,$A317,1,100000000),"")</f>
        <v/>
      </c>
      <c r="F317" s="18" t="str">
        <f>IFERROR(([1]!s_stmnote_bank_26($B317,$A317,1,100000000)-[1]!s_stmnote_bank_26($B317,#REF!,1,100000000)+#REF!)/[1]!s_stmnote_bank_1n($B317,#REF!,1,100000000),"")</f>
        <v/>
      </c>
      <c r="G317" s="21" t="str">
        <f t="shared" si="8"/>
        <v/>
      </c>
      <c r="H317" s="18" t="str">
        <f>IFERROR([1]!s_stmnote_bank($B317,"34",$A317,100000000)/[1]!s_stmnote_bank_1n(B317,$A317,1,100000000),"")</f>
        <v/>
      </c>
      <c r="I317" s="25">
        <f>[1]!b_stm07_bs(B317,74,$A317,1,100000000)</f>
        <v>0</v>
      </c>
      <c r="J317" s="25">
        <f>[1]!b_stm07_bs(B317,109,$A317,1,100000000)</f>
        <v>0</v>
      </c>
      <c r="K317" s="10">
        <f>[1]!s_stmnote_bank_5n(B317,$A317,1)</f>
        <v>0</v>
      </c>
      <c r="L317" s="25">
        <f>[1]!s_stmnote_bank_23n(B317,$A317,1)</f>
        <v>0</v>
      </c>
      <c r="M317" s="25">
        <f>[1]!s_stmnote_bank_capadequacyratio(B317,$A317,1)</f>
        <v>0</v>
      </c>
      <c r="N317" s="25">
        <f>[1]!s_stmnote_bank_capadequacyratio_ct1(B317,$A317,1)</f>
        <v>0</v>
      </c>
      <c r="O317" s="6">
        <f>IF(OR([1]!s_fa_roe(B317,20201231)="0",[1]!s_fa_roe(B317,20211231)="0",[1]!s_fa_roe(B317,20221231)="0"),"",IFERROR(([1]!s_fa_roe(B317,20221231)+[1]!s_fa_roe(B317,20201231)+[1]!s_fa_roe(B317,20211231))/3,""))</f>
        <v>0</v>
      </c>
      <c r="P317" s="28" t="str">
        <f>IFERROR(([1]!s_stmnote_bank_65(B317,$A317,1,2,4,100000000)+[1]!s_stmnote_bank_65(B317,$A317,1,2,6,100000000))/[1]!s_stmnote_bank_1n(B317,$A317,1,100000000),"")</f>
        <v/>
      </c>
      <c r="Q317" s="28" t="str">
        <f>IFERROR([1]!s_stmnote_bank_614(B317,$A317,1,2,100000000)/[1]!s_stmnote_bank_647(B317,$A317,1,2,100000000),"")</f>
        <v/>
      </c>
      <c r="R317" s="28" t="str">
        <f>IFERROR(([1]!b_stm07_bs(B317,104,$A317,1,100000000)+[1]!b_stm07_bs(B317,106,$A317,1,100000000)+[1]!b_stm07_bs(B317,76,$A317,1,100000000)+[1]!b_stm07_bs(B317,108,$A317,1,100000000)+[1]!b_stm07_bs(B317,95,$A317,1,100000000))/[1]!b_stm07_bs(B317,128,$A317,1,100000000),"")</f>
        <v/>
      </c>
      <c r="S317" s="28" t="str">
        <f>IFERROR(([1]!s_stmnote_bank_614(B317,$A317,1,2,100000000)+[1]!b_stm07_bs(B317,104,$A317,1,100000000)+[1]!b_stm07_bs(B317,106,$A317,1,100000000)+[1]!b_stm07_bs(B317,76,$A317,1,100000000)+[1]!b_stm07_bs(B317,108,$A317,1,100000000)+[1]!b_stm07_bs(B317,95,$A317,1,100000000))/[1]!b_stm07_bs(B317,128,$A317,1,100000000),"")</f>
        <v/>
      </c>
      <c r="T317" s="11">
        <f>[1]!b_issuer_shareholder(B317,"",1)</f>
        <v>0</v>
      </c>
      <c r="U317" s="10">
        <f>[1]!b_issuer_propofshareholder(B317,"",1)</f>
        <v>0</v>
      </c>
      <c r="V317" s="33" t="str">
        <f t="shared" si="9"/>
        <v>0</v>
      </c>
      <c r="W317" s="33">
        <f>[1]!s_info_city(B317)</f>
        <v>0</v>
      </c>
      <c r="X317" s="10">
        <f>IF([1]!s_stmnote_bank_17n(B317,$A317,1)="0","",[1]!s_stmnote_bank_17n(B317,$A317,1))</f>
        <v>0</v>
      </c>
      <c r="Y317" s="10">
        <f>IF([1]!s_stmnote_bank_18n(B317,$A317,1)="0","",[1]!s_stmnote_bank_18n(B317,$A317,1))</f>
        <v>0</v>
      </c>
      <c r="Z317" s="41">
        <f>IF([1]!s_stmnote_bank_58(B317,$A317,1)="0","",[1]!s_stmnote_bank_58(B317,$A317,1))</f>
        <v>0</v>
      </c>
      <c r="AA317" s="52">
        <f>IF([1]!s_stmnote_bank_60(B317,$A317,1)="0","",[1]!s_stmnote_bank_60(B317,$A317,1))</f>
        <v>0</v>
      </c>
      <c r="AB317" s="52">
        <f>[1]!s_stmnote_bank_5444(B317,$A317,1)</f>
        <v>0</v>
      </c>
      <c r="AC317" s="38">
        <f>[1]!s_stmnote_bank_129n($B317,$A317,1)</f>
        <v>0</v>
      </c>
      <c r="AD317" s="54">
        <f>[1]!s_stmnote_bank_30(B317,$A317,1)</f>
        <v>0</v>
      </c>
    </row>
    <row r="318" spans="1:30" ht="24">
      <c r="A318" s="1" t="s">
        <v>1110</v>
      </c>
      <c r="B318" s="87" t="s">
        <v>1426</v>
      </c>
      <c r="C318" s="8">
        <f>IF([1]!b_info_issuer(B318)="0","",IFERROR([1]!b_info_issuer(B318),""))</f>
        <v>0</v>
      </c>
      <c r="D318" s="11">
        <f>IF([1]!b_info_latestissurercreditrating(B318)="0","",IFERROR([1]!b_info_latestissurercreditrating(B318),""))</f>
        <v>0</v>
      </c>
      <c r="E318" s="27" t="str">
        <f>IFERROR(([1]!b_stm07_bs($B318,47,$A318,1,100000000))/[1]!b_stm07_bs($B318,109,$A318,1,100000000),"")</f>
        <v/>
      </c>
      <c r="F318" s="18" t="str">
        <f>IFERROR(([1]!s_stmnote_bank_26($B318,$A318,1,100000000)-[1]!s_stmnote_bank_26($B318,#REF!,1,100000000)+#REF!)/[1]!s_stmnote_bank_1n($B318,#REF!,1,100000000),"")</f>
        <v/>
      </c>
      <c r="G318" s="21" t="str">
        <f t="shared" si="8"/>
        <v/>
      </c>
      <c r="H318" s="18" t="str">
        <f>IFERROR([1]!s_stmnote_bank($B318,"34",$A318,100000000)/[1]!s_stmnote_bank_1n(B318,$A318,1,100000000),"")</f>
        <v/>
      </c>
      <c r="I318" s="25">
        <f>[1]!b_stm07_bs(B318,74,$A318,1,100000000)</f>
        <v>0</v>
      </c>
      <c r="J318" s="25">
        <f>[1]!b_stm07_bs(B318,109,$A318,1,100000000)</f>
        <v>0</v>
      </c>
      <c r="K318" s="10">
        <f>[1]!s_stmnote_bank_5n(B318,$A318,1)</f>
        <v>0</v>
      </c>
      <c r="L318" s="25">
        <f>[1]!s_stmnote_bank_23n(B318,$A318,1)</f>
        <v>0</v>
      </c>
      <c r="M318" s="25">
        <f>[1]!s_stmnote_bank_capadequacyratio(B318,$A318,1)</f>
        <v>0</v>
      </c>
      <c r="N318" s="25">
        <f>[1]!s_stmnote_bank_capadequacyratio_ct1(B318,$A318,1)</f>
        <v>0</v>
      </c>
      <c r="O318" s="6">
        <f>IF(OR([1]!s_fa_roe(B318,20201231)="0",[1]!s_fa_roe(B318,20211231)="0",[1]!s_fa_roe(B318,20221231)="0"),"",IFERROR(([1]!s_fa_roe(B318,20221231)+[1]!s_fa_roe(B318,20201231)+[1]!s_fa_roe(B318,20211231))/3,""))</f>
        <v>0</v>
      </c>
      <c r="P318" s="28" t="str">
        <f>IFERROR(([1]!s_stmnote_bank_65(B318,$A318,1,2,4,100000000)+[1]!s_stmnote_bank_65(B318,$A318,1,2,6,100000000))/[1]!s_stmnote_bank_1n(B318,$A318,1,100000000),"")</f>
        <v/>
      </c>
      <c r="Q318" s="28" t="str">
        <f>IFERROR([1]!s_stmnote_bank_614(B318,$A318,1,2,100000000)/[1]!s_stmnote_bank_647(B318,$A318,1,2,100000000),"")</f>
        <v/>
      </c>
      <c r="R318" s="28" t="str">
        <f>IFERROR(([1]!b_stm07_bs(B318,104,$A318,1,100000000)+[1]!b_stm07_bs(B318,106,$A318,1,100000000)+[1]!b_stm07_bs(B318,76,$A318,1,100000000)+[1]!b_stm07_bs(B318,108,$A318,1,100000000)+[1]!b_stm07_bs(B318,95,$A318,1,100000000))/[1]!b_stm07_bs(B318,128,$A318,1,100000000),"")</f>
        <v/>
      </c>
      <c r="S318" s="28" t="str">
        <f>IFERROR(([1]!s_stmnote_bank_614(B318,$A318,1,2,100000000)+[1]!b_stm07_bs(B318,104,$A318,1,100000000)+[1]!b_stm07_bs(B318,106,$A318,1,100000000)+[1]!b_stm07_bs(B318,76,$A318,1,100000000)+[1]!b_stm07_bs(B318,108,$A318,1,100000000)+[1]!b_stm07_bs(B318,95,$A318,1,100000000))/[1]!b_stm07_bs(B318,128,$A318,1,100000000),"")</f>
        <v/>
      </c>
      <c r="T318" s="11">
        <f>[1]!b_issuer_shareholder(B318,"",1)</f>
        <v>0</v>
      </c>
      <c r="U318" s="10">
        <f>[1]!b_issuer_propofshareholder(B318,"",1)</f>
        <v>0</v>
      </c>
      <c r="V318" s="33" t="str">
        <f t="shared" si="9"/>
        <v>0</v>
      </c>
      <c r="W318" s="33">
        <f>[1]!s_info_city(B318)</f>
        <v>0</v>
      </c>
      <c r="X318" s="10">
        <f>IF([1]!s_stmnote_bank_17n(B318,$A318,1)="0","",[1]!s_stmnote_bank_17n(B318,$A318,1))</f>
        <v>0</v>
      </c>
      <c r="Y318" s="10">
        <f>IF([1]!s_stmnote_bank_18n(B318,$A318,1)="0","",[1]!s_stmnote_bank_18n(B318,$A318,1))</f>
        <v>0</v>
      </c>
      <c r="Z318" s="41">
        <f>IF([1]!s_stmnote_bank_58(B318,$A318,1)="0","",[1]!s_stmnote_bank_58(B318,$A318,1))</f>
        <v>0</v>
      </c>
      <c r="AA318" s="52">
        <f>IF([1]!s_stmnote_bank_60(B318,$A318,1)="0","",[1]!s_stmnote_bank_60(B318,$A318,1))</f>
        <v>0</v>
      </c>
      <c r="AB318" s="52">
        <f>[1]!s_stmnote_bank_5444(B318,$A318,1)</f>
        <v>0</v>
      </c>
      <c r="AC318" s="38">
        <f>[1]!s_stmnote_bank_129n($B318,$A318,1)</f>
        <v>0</v>
      </c>
      <c r="AD318" s="54">
        <f>[1]!s_stmnote_bank_30(B318,$A318,1)</f>
        <v>0</v>
      </c>
    </row>
    <row r="319" spans="1:30" ht="24">
      <c r="A319" s="1" t="s">
        <v>1110</v>
      </c>
      <c r="B319" s="87" t="s">
        <v>1427</v>
      </c>
      <c r="C319" s="8">
        <f>IF([1]!b_info_issuer(B319)="0","",IFERROR([1]!b_info_issuer(B319),""))</f>
        <v>0</v>
      </c>
      <c r="D319" s="11">
        <f>IF([1]!b_info_latestissurercreditrating(B319)="0","",IFERROR([1]!b_info_latestissurercreditrating(B319),""))</f>
        <v>0</v>
      </c>
      <c r="E319" s="27" t="str">
        <f>IFERROR(([1]!b_stm07_bs($B319,47,$A319,1,100000000))/[1]!b_stm07_bs($B319,109,$A319,1,100000000),"")</f>
        <v/>
      </c>
      <c r="F319" s="18" t="str">
        <f>IFERROR(([1]!s_stmnote_bank_26($B319,$A319,1,100000000)-[1]!s_stmnote_bank_26($B319,#REF!,1,100000000)+#REF!)/[1]!s_stmnote_bank_1n($B319,#REF!,1,100000000),"")</f>
        <v/>
      </c>
      <c r="G319" s="21" t="str">
        <f t="shared" si="8"/>
        <v/>
      </c>
      <c r="H319" s="18" t="str">
        <f>IFERROR([1]!s_stmnote_bank($B319,"34",$A319,100000000)/[1]!s_stmnote_bank_1n(B319,$A319,1,100000000),"")</f>
        <v/>
      </c>
      <c r="I319" s="25">
        <f>[1]!b_stm07_bs(B319,74,$A319,1,100000000)</f>
        <v>0</v>
      </c>
      <c r="J319" s="25">
        <f>[1]!b_stm07_bs(B319,109,$A319,1,100000000)</f>
        <v>0</v>
      </c>
      <c r="K319" s="10">
        <f>[1]!s_stmnote_bank_5n(B319,$A319,1)</f>
        <v>0</v>
      </c>
      <c r="L319" s="25">
        <f>[1]!s_stmnote_bank_23n(B319,$A319,1)</f>
        <v>0</v>
      </c>
      <c r="M319" s="25">
        <f>[1]!s_stmnote_bank_capadequacyratio(B319,$A319,1)</f>
        <v>0</v>
      </c>
      <c r="N319" s="25">
        <f>[1]!s_stmnote_bank_capadequacyratio_ct1(B319,$A319,1)</f>
        <v>0</v>
      </c>
      <c r="O319" s="6">
        <f>IF(OR([1]!s_fa_roe(B319,20201231)="0",[1]!s_fa_roe(B319,20211231)="0",[1]!s_fa_roe(B319,20221231)="0"),"",IFERROR(([1]!s_fa_roe(B319,20221231)+[1]!s_fa_roe(B319,20201231)+[1]!s_fa_roe(B319,20211231))/3,""))</f>
        <v>0</v>
      </c>
      <c r="P319" s="28" t="str">
        <f>IFERROR(([1]!s_stmnote_bank_65(B319,$A319,1,2,4,100000000)+[1]!s_stmnote_bank_65(B319,$A319,1,2,6,100000000))/[1]!s_stmnote_bank_1n(B319,$A319,1,100000000),"")</f>
        <v/>
      </c>
      <c r="Q319" s="28" t="str">
        <f>IFERROR([1]!s_stmnote_bank_614(B319,$A319,1,2,100000000)/[1]!s_stmnote_bank_647(B319,$A319,1,2,100000000),"")</f>
        <v/>
      </c>
      <c r="R319" s="28" t="str">
        <f>IFERROR(([1]!b_stm07_bs(B319,104,$A319,1,100000000)+[1]!b_stm07_bs(B319,106,$A319,1,100000000)+[1]!b_stm07_bs(B319,76,$A319,1,100000000)+[1]!b_stm07_bs(B319,108,$A319,1,100000000)+[1]!b_stm07_bs(B319,95,$A319,1,100000000))/[1]!b_stm07_bs(B319,128,$A319,1,100000000),"")</f>
        <v/>
      </c>
      <c r="S319" s="28" t="str">
        <f>IFERROR(([1]!s_stmnote_bank_614(B319,$A319,1,2,100000000)+[1]!b_stm07_bs(B319,104,$A319,1,100000000)+[1]!b_stm07_bs(B319,106,$A319,1,100000000)+[1]!b_stm07_bs(B319,76,$A319,1,100000000)+[1]!b_stm07_bs(B319,108,$A319,1,100000000)+[1]!b_stm07_bs(B319,95,$A319,1,100000000))/[1]!b_stm07_bs(B319,128,$A319,1,100000000),"")</f>
        <v/>
      </c>
      <c r="T319" s="11">
        <f>[1]!b_issuer_shareholder(B319,"",1)</f>
        <v>0</v>
      </c>
      <c r="U319" s="10">
        <f>[1]!b_issuer_propofshareholder(B319,"",1)</f>
        <v>0</v>
      </c>
      <c r="V319" s="33" t="str">
        <f t="shared" si="9"/>
        <v>0</v>
      </c>
      <c r="W319" s="33">
        <f>[1]!s_info_city(B319)</f>
        <v>0</v>
      </c>
      <c r="X319" s="10">
        <f>IF([1]!s_stmnote_bank_17n(B319,$A319,1)="0","",[1]!s_stmnote_bank_17n(B319,$A319,1))</f>
        <v>0</v>
      </c>
      <c r="Y319" s="10">
        <f>IF([1]!s_stmnote_bank_18n(B319,$A319,1)="0","",[1]!s_stmnote_bank_18n(B319,$A319,1))</f>
        <v>0</v>
      </c>
      <c r="Z319" s="41">
        <f>IF([1]!s_stmnote_bank_58(B319,$A319,1)="0","",[1]!s_stmnote_bank_58(B319,$A319,1))</f>
        <v>0</v>
      </c>
      <c r="AA319" s="52">
        <f>IF([1]!s_stmnote_bank_60(B319,$A319,1)="0","",[1]!s_stmnote_bank_60(B319,$A319,1))</f>
        <v>0</v>
      </c>
      <c r="AB319" s="52">
        <f>[1]!s_stmnote_bank_5444(B319,$A319,1)</f>
        <v>0</v>
      </c>
      <c r="AC319" s="38">
        <f>[1]!s_stmnote_bank_129n($B319,$A319,1)</f>
        <v>0</v>
      </c>
      <c r="AD319" s="54">
        <f>[1]!s_stmnote_bank_30(B319,$A319,1)</f>
        <v>0</v>
      </c>
    </row>
    <row r="320" spans="1:30" ht="24">
      <c r="A320" s="1" t="s">
        <v>1110</v>
      </c>
      <c r="B320" s="87" t="s">
        <v>1428</v>
      </c>
      <c r="C320" s="8">
        <f>IF([1]!b_info_issuer(B320)="0","",IFERROR([1]!b_info_issuer(B320),""))</f>
        <v>0</v>
      </c>
      <c r="D320" s="11">
        <f>IF([1]!b_info_latestissurercreditrating(B320)="0","",IFERROR([1]!b_info_latestissurercreditrating(B320),""))</f>
        <v>0</v>
      </c>
      <c r="E320" s="27" t="str">
        <f>IFERROR(([1]!b_stm07_bs($B320,47,$A320,1,100000000))/[1]!b_stm07_bs($B320,109,$A320,1,100000000),"")</f>
        <v/>
      </c>
      <c r="F320" s="18" t="str">
        <f>IFERROR(([1]!s_stmnote_bank_26($B320,$A320,1,100000000)-[1]!s_stmnote_bank_26($B320,#REF!,1,100000000)+#REF!)/[1]!s_stmnote_bank_1n($B320,#REF!,1,100000000),"")</f>
        <v/>
      </c>
      <c r="G320" s="21" t="str">
        <f t="shared" si="8"/>
        <v/>
      </c>
      <c r="H320" s="18" t="str">
        <f>IFERROR([1]!s_stmnote_bank($B320,"34",$A320,100000000)/[1]!s_stmnote_bank_1n(B320,$A320,1,100000000),"")</f>
        <v/>
      </c>
      <c r="I320" s="25">
        <f>[1]!b_stm07_bs(B320,74,$A320,1,100000000)</f>
        <v>0</v>
      </c>
      <c r="J320" s="25">
        <f>[1]!b_stm07_bs(B320,109,$A320,1,100000000)</f>
        <v>0</v>
      </c>
      <c r="K320" s="10">
        <f>[1]!s_stmnote_bank_5n(B320,$A320,1)</f>
        <v>0</v>
      </c>
      <c r="L320" s="25">
        <f>[1]!s_stmnote_bank_23n(B320,$A320,1)</f>
        <v>0</v>
      </c>
      <c r="M320" s="25">
        <f>[1]!s_stmnote_bank_capadequacyratio(B320,$A320,1)</f>
        <v>0</v>
      </c>
      <c r="N320" s="25">
        <f>[1]!s_stmnote_bank_capadequacyratio_ct1(B320,$A320,1)</f>
        <v>0</v>
      </c>
      <c r="O320" s="6">
        <f>IF(OR([1]!s_fa_roe(B320,20201231)="0",[1]!s_fa_roe(B320,20211231)="0",[1]!s_fa_roe(B320,20221231)="0"),"",IFERROR(([1]!s_fa_roe(B320,20221231)+[1]!s_fa_roe(B320,20201231)+[1]!s_fa_roe(B320,20211231))/3,""))</f>
        <v>0</v>
      </c>
      <c r="P320" s="28" t="str">
        <f>IFERROR(([1]!s_stmnote_bank_65(B320,$A320,1,2,4,100000000)+[1]!s_stmnote_bank_65(B320,$A320,1,2,6,100000000))/[1]!s_stmnote_bank_1n(B320,$A320,1,100000000),"")</f>
        <v/>
      </c>
      <c r="Q320" s="28" t="str">
        <f>IFERROR([1]!s_stmnote_bank_614(B320,$A320,1,2,100000000)/[1]!s_stmnote_bank_647(B320,$A320,1,2,100000000),"")</f>
        <v/>
      </c>
      <c r="R320" s="28" t="str">
        <f>IFERROR(([1]!b_stm07_bs(B320,104,$A320,1,100000000)+[1]!b_stm07_bs(B320,106,$A320,1,100000000)+[1]!b_stm07_bs(B320,76,$A320,1,100000000)+[1]!b_stm07_bs(B320,108,$A320,1,100000000)+[1]!b_stm07_bs(B320,95,$A320,1,100000000))/[1]!b_stm07_bs(B320,128,$A320,1,100000000),"")</f>
        <v/>
      </c>
      <c r="S320" s="28" t="str">
        <f>IFERROR(([1]!s_stmnote_bank_614(B320,$A320,1,2,100000000)+[1]!b_stm07_bs(B320,104,$A320,1,100000000)+[1]!b_stm07_bs(B320,106,$A320,1,100000000)+[1]!b_stm07_bs(B320,76,$A320,1,100000000)+[1]!b_stm07_bs(B320,108,$A320,1,100000000)+[1]!b_stm07_bs(B320,95,$A320,1,100000000))/[1]!b_stm07_bs(B320,128,$A320,1,100000000),"")</f>
        <v/>
      </c>
      <c r="T320" s="11">
        <f>[1]!b_issuer_shareholder(B320,"",1)</f>
        <v>0</v>
      </c>
      <c r="U320" s="10">
        <f>[1]!b_issuer_propofshareholder(B320,"",1)</f>
        <v>0</v>
      </c>
      <c r="V320" s="33" t="str">
        <f t="shared" si="9"/>
        <v>0</v>
      </c>
      <c r="W320" s="33">
        <f>[1]!s_info_city(B320)</f>
        <v>0</v>
      </c>
      <c r="X320" s="10">
        <f>IF([1]!s_stmnote_bank_17n(B320,$A320,1)="0","",[1]!s_stmnote_bank_17n(B320,$A320,1))</f>
        <v>0</v>
      </c>
      <c r="Y320" s="10">
        <f>IF([1]!s_stmnote_bank_18n(B320,$A320,1)="0","",[1]!s_stmnote_bank_18n(B320,$A320,1))</f>
        <v>0</v>
      </c>
      <c r="Z320" s="41">
        <f>IF([1]!s_stmnote_bank_58(B320,$A320,1)="0","",[1]!s_stmnote_bank_58(B320,$A320,1))</f>
        <v>0</v>
      </c>
      <c r="AA320" s="52">
        <f>IF([1]!s_stmnote_bank_60(B320,$A320,1)="0","",[1]!s_stmnote_bank_60(B320,$A320,1))</f>
        <v>0</v>
      </c>
      <c r="AB320" s="52">
        <f>[1]!s_stmnote_bank_5444(B320,$A320,1)</f>
        <v>0</v>
      </c>
      <c r="AC320" s="38">
        <f>[1]!s_stmnote_bank_129n($B320,$A320,1)</f>
        <v>0</v>
      </c>
      <c r="AD320" s="54">
        <f>[1]!s_stmnote_bank_30(B320,$A320,1)</f>
        <v>0</v>
      </c>
    </row>
    <row r="321" spans="1:30" ht="24">
      <c r="A321" s="1" t="s">
        <v>1110</v>
      </c>
      <c r="B321" s="87" t="s">
        <v>1429</v>
      </c>
      <c r="C321" s="8">
        <f>IF([1]!b_info_issuer(B321)="0","",IFERROR([1]!b_info_issuer(B321),""))</f>
        <v>0</v>
      </c>
      <c r="D321" s="11">
        <f>IF([1]!b_info_latestissurercreditrating(B321)="0","",IFERROR([1]!b_info_latestissurercreditrating(B321),""))</f>
        <v>0</v>
      </c>
      <c r="E321" s="27" t="str">
        <f>IFERROR(([1]!b_stm07_bs($B321,47,$A321,1,100000000))/[1]!b_stm07_bs($B321,109,$A321,1,100000000),"")</f>
        <v/>
      </c>
      <c r="F321" s="18" t="str">
        <f>IFERROR(([1]!s_stmnote_bank_26($B321,$A321,1,100000000)-[1]!s_stmnote_bank_26($B321,#REF!,1,100000000)+#REF!)/[1]!s_stmnote_bank_1n($B321,#REF!,1,100000000),"")</f>
        <v/>
      </c>
      <c r="G321" s="21" t="str">
        <f t="shared" si="8"/>
        <v/>
      </c>
      <c r="H321" s="18" t="str">
        <f>IFERROR([1]!s_stmnote_bank($B321,"34",$A321,100000000)/[1]!s_stmnote_bank_1n(B321,$A321,1,100000000),"")</f>
        <v/>
      </c>
      <c r="I321" s="25">
        <f>[1]!b_stm07_bs(B321,74,$A321,1,100000000)</f>
        <v>0</v>
      </c>
      <c r="J321" s="25">
        <f>[1]!b_stm07_bs(B321,109,$A321,1,100000000)</f>
        <v>0</v>
      </c>
      <c r="K321" s="10">
        <f>[1]!s_stmnote_bank_5n(B321,$A321,1)</f>
        <v>0</v>
      </c>
      <c r="L321" s="25">
        <f>[1]!s_stmnote_bank_23n(B321,$A321,1)</f>
        <v>0</v>
      </c>
      <c r="M321" s="25">
        <f>[1]!s_stmnote_bank_capadequacyratio(B321,$A321,1)</f>
        <v>0</v>
      </c>
      <c r="N321" s="25">
        <f>[1]!s_stmnote_bank_capadequacyratio_ct1(B321,$A321,1)</f>
        <v>0</v>
      </c>
      <c r="O321" s="6">
        <f>IF(OR([1]!s_fa_roe(B321,20201231)="0",[1]!s_fa_roe(B321,20211231)="0",[1]!s_fa_roe(B321,20221231)="0"),"",IFERROR(([1]!s_fa_roe(B321,20221231)+[1]!s_fa_roe(B321,20201231)+[1]!s_fa_roe(B321,20211231))/3,""))</f>
        <v>0</v>
      </c>
      <c r="P321" s="28" t="str">
        <f>IFERROR(([1]!s_stmnote_bank_65(B321,$A321,1,2,4,100000000)+[1]!s_stmnote_bank_65(B321,$A321,1,2,6,100000000))/[1]!s_stmnote_bank_1n(B321,$A321,1,100000000),"")</f>
        <v/>
      </c>
      <c r="Q321" s="28" t="str">
        <f>IFERROR([1]!s_stmnote_bank_614(B321,$A321,1,2,100000000)/[1]!s_stmnote_bank_647(B321,$A321,1,2,100000000),"")</f>
        <v/>
      </c>
      <c r="R321" s="28" t="str">
        <f>IFERROR(([1]!b_stm07_bs(B321,104,$A321,1,100000000)+[1]!b_stm07_bs(B321,106,$A321,1,100000000)+[1]!b_stm07_bs(B321,76,$A321,1,100000000)+[1]!b_stm07_bs(B321,108,$A321,1,100000000)+[1]!b_stm07_bs(B321,95,$A321,1,100000000))/[1]!b_stm07_bs(B321,128,$A321,1,100000000),"")</f>
        <v/>
      </c>
      <c r="S321" s="28" t="str">
        <f>IFERROR(([1]!s_stmnote_bank_614(B321,$A321,1,2,100000000)+[1]!b_stm07_bs(B321,104,$A321,1,100000000)+[1]!b_stm07_bs(B321,106,$A321,1,100000000)+[1]!b_stm07_bs(B321,76,$A321,1,100000000)+[1]!b_stm07_bs(B321,108,$A321,1,100000000)+[1]!b_stm07_bs(B321,95,$A321,1,100000000))/[1]!b_stm07_bs(B321,128,$A321,1,100000000),"")</f>
        <v/>
      </c>
      <c r="T321" s="11">
        <f>[1]!b_issuer_shareholder(B321,"",1)</f>
        <v>0</v>
      </c>
      <c r="U321" s="10">
        <f>[1]!b_issuer_propofshareholder(B321,"",1)</f>
        <v>0</v>
      </c>
      <c r="V321" s="33" t="str">
        <f t="shared" si="9"/>
        <v>0</v>
      </c>
      <c r="W321" s="33">
        <f>[1]!s_info_city(B321)</f>
        <v>0</v>
      </c>
      <c r="X321" s="10">
        <f>IF([1]!s_stmnote_bank_17n(B321,$A321,1)="0","",[1]!s_stmnote_bank_17n(B321,$A321,1))</f>
        <v>0</v>
      </c>
      <c r="Y321" s="10">
        <f>IF([1]!s_stmnote_bank_18n(B321,$A321,1)="0","",[1]!s_stmnote_bank_18n(B321,$A321,1))</f>
        <v>0</v>
      </c>
      <c r="Z321" s="41">
        <f>IF([1]!s_stmnote_bank_58(B321,$A321,1)="0","",[1]!s_stmnote_bank_58(B321,$A321,1))</f>
        <v>0</v>
      </c>
      <c r="AA321" s="52">
        <f>IF([1]!s_stmnote_bank_60(B321,$A321,1)="0","",[1]!s_stmnote_bank_60(B321,$A321,1))</f>
        <v>0</v>
      </c>
      <c r="AB321" s="52">
        <f>[1]!s_stmnote_bank_5444(B321,$A321,1)</f>
        <v>0</v>
      </c>
      <c r="AC321" s="38">
        <f>[1]!s_stmnote_bank_129n($B321,$A321,1)</f>
        <v>0</v>
      </c>
      <c r="AD321" s="54">
        <f>[1]!s_stmnote_bank_30(B321,$A321,1)</f>
        <v>0</v>
      </c>
    </row>
    <row r="322" spans="1:30" ht="24">
      <c r="A322" s="1" t="s">
        <v>1110</v>
      </c>
      <c r="B322" s="87" t="s">
        <v>1430</v>
      </c>
      <c r="C322" s="8">
        <f>IF([1]!b_info_issuer(B322)="0","",IFERROR([1]!b_info_issuer(B322),""))</f>
        <v>0</v>
      </c>
      <c r="D322" s="11">
        <f>IF([1]!b_info_latestissurercreditrating(B322)="0","",IFERROR([1]!b_info_latestissurercreditrating(B322),""))</f>
        <v>0</v>
      </c>
      <c r="E322" s="27" t="str">
        <f>IFERROR(([1]!b_stm07_bs($B322,47,$A322,1,100000000))/[1]!b_stm07_bs($B322,109,$A322,1,100000000),"")</f>
        <v/>
      </c>
      <c r="F322" s="18" t="str">
        <f>IFERROR(([1]!s_stmnote_bank_26($B322,$A322,1,100000000)-[1]!s_stmnote_bank_26($B322,#REF!,1,100000000)+#REF!)/[1]!s_stmnote_bank_1n($B322,#REF!,1,100000000),"")</f>
        <v/>
      </c>
      <c r="G322" s="21" t="str">
        <f t="shared" si="8"/>
        <v/>
      </c>
      <c r="H322" s="18" t="str">
        <f>IFERROR([1]!s_stmnote_bank($B322,"34",$A322,100000000)/[1]!s_stmnote_bank_1n(B322,$A322,1,100000000),"")</f>
        <v/>
      </c>
      <c r="I322" s="25">
        <f>[1]!b_stm07_bs(B322,74,$A322,1,100000000)</f>
        <v>0</v>
      </c>
      <c r="J322" s="25">
        <f>[1]!b_stm07_bs(B322,109,$A322,1,100000000)</f>
        <v>0</v>
      </c>
      <c r="K322" s="10">
        <f>[1]!s_stmnote_bank_5n(B322,$A322,1)</f>
        <v>0</v>
      </c>
      <c r="L322" s="25">
        <f>[1]!s_stmnote_bank_23n(B322,$A322,1)</f>
        <v>0</v>
      </c>
      <c r="M322" s="25">
        <f>[1]!s_stmnote_bank_capadequacyratio(B322,$A322,1)</f>
        <v>0</v>
      </c>
      <c r="N322" s="25">
        <f>[1]!s_stmnote_bank_capadequacyratio_ct1(B322,$A322,1)</f>
        <v>0</v>
      </c>
      <c r="O322" s="6">
        <f>IF(OR([1]!s_fa_roe(B322,20201231)="0",[1]!s_fa_roe(B322,20211231)="0",[1]!s_fa_roe(B322,20221231)="0"),"",IFERROR(([1]!s_fa_roe(B322,20221231)+[1]!s_fa_roe(B322,20201231)+[1]!s_fa_roe(B322,20211231))/3,""))</f>
        <v>0</v>
      </c>
      <c r="P322" s="28" t="str">
        <f>IFERROR(([1]!s_stmnote_bank_65(B322,$A322,1,2,4,100000000)+[1]!s_stmnote_bank_65(B322,$A322,1,2,6,100000000))/[1]!s_stmnote_bank_1n(B322,$A322,1,100000000),"")</f>
        <v/>
      </c>
      <c r="Q322" s="28" t="str">
        <f>IFERROR([1]!s_stmnote_bank_614(B322,$A322,1,2,100000000)/[1]!s_stmnote_bank_647(B322,$A322,1,2,100000000),"")</f>
        <v/>
      </c>
      <c r="R322" s="28" t="str">
        <f>IFERROR(([1]!b_stm07_bs(B322,104,$A322,1,100000000)+[1]!b_stm07_bs(B322,106,$A322,1,100000000)+[1]!b_stm07_bs(B322,76,$A322,1,100000000)+[1]!b_stm07_bs(B322,108,$A322,1,100000000)+[1]!b_stm07_bs(B322,95,$A322,1,100000000))/[1]!b_stm07_bs(B322,128,$A322,1,100000000),"")</f>
        <v/>
      </c>
      <c r="S322" s="28" t="str">
        <f>IFERROR(([1]!s_stmnote_bank_614(B322,$A322,1,2,100000000)+[1]!b_stm07_bs(B322,104,$A322,1,100000000)+[1]!b_stm07_bs(B322,106,$A322,1,100000000)+[1]!b_stm07_bs(B322,76,$A322,1,100000000)+[1]!b_stm07_bs(B322,108,$A322,1,100000000)+[1]!b_stm07_bs(B322,95,$A322,1,100000000))/[1]!b_stm07_bs(B322,128,$A322,1,100000000),"")</f>
        <v/>
      </c>
      <c r="T322" s="11">
        <f>[1]!b_issuer_shareholder(B322,"",1)</f>
        <v>0</v>
      </c>
      <c r="U322" s="10">
        <f>[1]!b_issuer_propofshareholder(B322,"",1)</f>
        <v>0</v>
      </c>
      <c r="V322" s="33" t="str">
        <f t="shared" si="9"/>
        <v>0</v>
      </c>
      <c r="W322" s="33">
        <f>[1]!s_info_city(B322)</f>
        <v>0</v>
      </c>
      <c r="X322" s="10">
        <f>IF([1]!s_stmnote_bank_17n(B322,$A322,1)="0","",[1]!s_stmnote_bank_17n(B322,$A322,1))</f>
        <v>0</v>
      </c>
      <c r="Y322" s="10">
        <f>IF([1]!s_stmnote_bank_18n(B322,$A322,1)="0","",[1]!s_stmnote_bank_18n(B322,$A322,1))</f>
        <v>0</v>
      </c>
      <c r="Z322" s="41">
        <f>IF([1]!s_stmnote_bank_58(B322,$A322,1)="0","",[1]!s_stmnote_bank_58(B322,$A322,1))</f>
        <v>0</v>
      </c>
      <c r="AA322" s="52">
        <f>IF([1]!s_stmnote_bank_60(B322,$A322,1)="0","",[1]!s_stmnote_bank_60(B322,$A322,1))</f>
        <v>0</v>
      </c>
      <c r="AB322" s="52">
        <f>[1]!s_stmnote_bank_5444(B322,$A322,1)</f>
        <v>0</v>
      </c>
      <c r="AC322" s="38">
        <f>[1]!s_stmnote_bank_129n($B322,$A322,1)</f>
        <v>0</v>
      </c>
      <c r="AD322" s="54">
        <f>[1]!s_stmnote_bank_30(B322,$A322,1)</f>
        <v>0</v>
      </c>
    </row>
    <row r="323" spans="1:30" ht="24">
      <c r="A323" s="1" t="s">
        <v>1110</v>
      </c>
      <c r="B323" s="87" t="s">
        <v>1431</v>
      </c>
      <c r="C323" s="8">
        <f>IF([1]!b_info_issuer(B323)="0","",IFERROR([1]!b_info_issuer(B323),""))</f>
        <v>0</v>
      </c>
      <c r="D323" s="11">
        <f>IF([1]!b_info_latestissurercreditrating(B323)="0","",IFERROR([1]!b_info_latestissurercreditrating(B323),""))</f>
        <v>0</v>
      </c>
      <c r="E323" s="27" t="str">
        <f>IFERROR(([1]!b_stm07_bs($B323,47,$A323,1,100000000))/[1]!b_stm07_bs($B323,109,$A323,1,100000000),"")</f>
        <v/>
      </c>
      <c r="F323" s="18" t="str">
        <f>IFERROR(([1]!s_stmnote_bank_26($B323,$A323,1,100000000)-[1]!s_stmnote_bank_26($B323,#REF!,1,100000000)+#REF!)/[1]!s_stmnote_bank_1n($B323,#REF!,1,100000000),"")</f>
        <v/>
      </c>
      <c r="G323" s="21" t="str">
        <f t="shared" ref="G323:G386" si="10">IFERROR(H323+K323/100,"")</f>
        <v/>
      </c>
      <c r="H323" s="18" t="str">
        <f>IFERROR([1]!s_stmnote_bank($B323,"34",$A323,100000000)/[1]!s_stmnote_bank_1n(B323,$A323,1,100000000),"")</f>
        <v/>
      </c>
      <c r="I323" s="25">
        <f>[1]!b_stm07_bs(B323,74,$A323,1,100000000)</f>
        <v>0</v>
      </c>
      <c r="J323" s="25">
        <f>[1]!b_stm07_bs(B323,109,$A323,1,100000000)</f>
        <v>0</v>
      </c>
      <c r="K323" s="10">
        <f>[1]!s_stmnote_bank_5n(B323,$A323,1)</f>
        <v>0</v>
      </c>
      <c r="L323" s="25">
        <f>[1]!s_stmnote_bank_23n(B323,$A323,1)</f>
        <v>0</v>
      </c>
      <c r="M323" s="25">
        <f>[1]!s_stmnote_bank_capadequacyratio(B323,$A323,1)</f>
        <v>0</v>
      </c>
      <c r="N323" s="25">
        <f>[1]!s_stmnote_bank_capadequacyratio_ct1(B323,$A323,1)</f>
        <v>0</v>
      </c>
      <c r="O323" s="6">
        <f>IF(OR([1]!s_fa_roe(B323,20201231)="0",[1]!s_fa_roe(B323,20211231)="0",[1]!s_fa_roe(B323,20221231)="0"),"",IFERROR(([1]!s_fa_roe(B323,20221231)+[1]!s_fa_roe(B323,20201231)+[1]!s_fa_roe(B323,20211231))/3,""))</f>
        <v>0</v>
      </c>
      <c r="P323" s="28" t="str">
        <f>IFERROR(([1]!s_stmnote_bank_65(B323,$A323,1,2,4,100000000)+[1]!s_stmnote_bank_65(B323,$A323,1,2,6,100000000))/[1]!s_stmnote_bank_1n(B323,$A323,1,100000000),"")</f>
        <v/>
      </c>
      <c r="Q323" s="28" t="str">
        <f>IFERROR([1]!s_stmnote_bank_614(B323,$A323,1,2,100000000)/[1]!s_stmnote_bank_647(B323,$A323,1,2,100000000),"")</f>
        <v/>
      </c>
      <c r="R323" s="28" t="str">
        <f>IFERROR(([1]!b_stm07_bs(B323,104,$A323,1,100000000)+[1]!b_stm07_bs(B323,106,$A323,1,100000000)+[1]!b_stm07_bs(B323,76,$A323,1,100000000)+[1]!b_stm07_bs(B323,108,$A323,1,100000000)+[1]!b_stm07_bs(B323,95,$A323,1,100000000))/[1]!b_stm07_bs(B323,128,$A323,1,100000000),"")</f>
        <v/>
      </c>
      <c r="S323" s="28" t="str">
        <f>IFERROR(([1]!s_stmnote_bank_614(B323,$A323,1,2,100000000)+[1]!b_stm07_bs(B323,104,$A323,1,100000000)+[1]!b_stm07_bs(B323,106,$A323,1,100000000)+[1]!b_stm07_bs(B323,76,$A323,1,100000000)+[1]!b_stm07_bs(B323,108,$A323,1,100000000)+[1]!b_stm07_bs(B323,95,$A323,1,100000000))/[1]!b_stm07_bs(B323,128,$A323,1,100000000),"")</f>
        <v/>
      </c>
      <c r="T323" s="11">
        <f>[1]!b_issuer_shareholder(B323,"",1)</f>
        <v>0</v>
      </c>
      <c r="U323" s="10">
        <f>[1]!b_issuer_propofshareholder(B323,"",1)</f>
        <v>0</v>
      </c>
      <c r="V323" s="33" t="str">
        <f t="shared" ref="V323:V386" si="11">LEFT(C323,2)</f>
        <v>0</v>
      </c>
      <c r="W323" s="33">
        <f>[1]!s_info_city(B323)</f>
        <v>0</v>
      </c>
      <c r="X323" s="10">
        <f>IF([1]!s_stmnote_bank_17n(B323,$A323,1)="0","",[1]!s_stmnote_bank_17n(B323,$A323,1))</f>
        <v>0</v>
      </c>
      <c r="Y323" s="10">
        <f>IF([1]!s_stmnote_bank_18n(B323,$A323,1)="0","",[1]!s_stmnote_bank_18n(B323,$A323,1))</f>
        <v>0</v>
      </c>
      <c r="Z323" s="41">
        <f>IF([1]!s_stmnote_bank_58(B323,$A323,1)="0","",[1]!s_stmnote_bank_58(B323,$A323,1))</f>
        <v>0</v>
      </c>
      <c r="AA323" s="52">
        <f>IF([1]!s_stmnote_bank_60(B323,$A323,1)="0","",[1]!s_stmnote_bank_60(B323,$A323,1))</f>
        <v>0</v>
      </c>
      <c r="AB323" s="52">
        <f>[1]!s_stmnote_bank_5444(B323,$A323,1)</f>
        <v>0</v>
      </c>
      <c r="AC323" s="38">
        <f>[1]!s_stmnote_bank_129n($B323,$A323,1)</f>
        <v>0</v>
      </c>
      <c r="AD323" s="54">
        <f>[1]!s_stmnote_bank_30(B323,$A323,1)</f>
        <v>0</v>
      </c>
    </row>
    <row r="324" spans="1:30" ht="24">
      <c r="A324" s="1" t="s">
        <v>1110</v>
      </c>
      <c r="B324" s="87" t="s">
        <v>1432</v>
      </c>
      <c r="C324" s="8">
        <f>IF([1]!b_info_issuer(B324)="0","",IFERROR([1]!b_info_issuer(B324),""))</f>
        <v>0</v>
      </c>
      <c r="D324" s="11">
        <f>IF([1]!b_info_latestissurercreditrating(B324)="0","",IFERROR([1]!b_info_latestissurercreditrating(B324),""))</f>
        <v>0</v>
      </c>
      <c r="E324" s="27" t="str">
        <f>IFERROR(([1]!b_stm07_bs($B324,47,$A324,1,100000000))/[1]!b_stm07_bs($B324,109,$A324,1,100000000),"")</f>
        <v/>
      </c>
      <c r="F324" s="18" t="str">
        <f>IFERROR(([1]!s_stmnote_bank_26($B324,$A324,1,100000000)-[1]!s_stmnote_bank_26($B324,#REF!,1,100000000)+#REF!)/[1]!s_stmnote_bank_1n($B324,#REF!,1,100000000),"")</f>
        <v/>
      </c>
      <c r="G324" s="21" t="str">
        <f t="shared" si="10"/>
        <v/>
      </c>
      <c r="H324" s="18" t="str">
        <f>IFERROR([1]!s_stmnote_bank($B324,"34",$A324,100000000)/[1]!s_stmnote_bank_1n(B324,$A324,1,100000000),"")</f>
        <v/>
      </c>
      <c r="I324" s="25">
        <f>[1]!b_stm07_bs(B324,74,$A324,1,100000000)</f>
        <v>0</v>
      </c>
      <c r="J324" s="25">
        <f>[1]!b_stm07_bs(B324,109,$A324,1,100000000)</f>
        <v>0</v>
      </c>
      <c r="K324" s="10">
        <f>[1]!s_stmnote_bank_5n(B324,$A324,1)</f>
        <v>0</v>
      </c>
      <c r="L324" s="25">
        <f>[1]!s_stmnote_bank_23n(B324,$A324,1)</f>
        <v>0</v>
      </c>
      <c r="M324" s="25">
        <f>[1]!s_stmnote_bank_capadequacyratio(B324,$A324,1)</f>
        <v>0</v>
      </c>
      <c r="N324" s="25">
        <f>[1]!s_stmnote_bank_capadequacyratio_ct1(B324,$A324,1)</f>
        <v>0</v>
      </c>
      <c r="O324" s="6">
        <f>IF(OR([1]!s_fa_roe(B324,20201231)="0",[1]!s_fa_roe(B324,20211231)="0",[1]!s_fa_roe(B324,20221231)="0"),"",IFERROR(([1]!s_fa_roe(B324,20221231)+[1]!s_fa_roe(B324,20201231)+[1]!s_fa_roe(B324,20211231))/3,""))</f>
        <v>0</v>
      </c>
      <c r="P324" s="28" t="str">
        <f>IFERROR(([1]!s_stmnote_bank_65(B324,$A324,1,2,4,100000000)+[1]!s_stmnote_bank_65(B324,$A324,1,2,6,100000000))/[1]!s_stmnote_bank_1n(B324,$A324,1,100000000),"")</f>
        <v/>
      </c>
      <c r="Q324" s="28" t="str">
        <f>IFERROR([1]!s_stmnote_bank_614(B324,$A324,1,2,100000000)/[1]!s_stmnote_bank_647(B324,$A324,1,2,100000000),"")</f>
        <v/>
      </c>
      <c r="R324" s="28" t="str">
        <f>IFERROR(([1]!b_stm07_bs(B324,104,$A324,1,100000000)+[1]!b_stm07_bs(B324,106,$A324,1,100000000)+[1]!b_stm07_bs(B324,76,$A324,1,100000000)+[1]!b_stm07_bs(B324,108,$A324,1,100000000)+[1]!b_stm07_bs(B324,95,$A324,1,100000000))/[1]!b_stm07_bs(B324,128,$A324,1,100000000),"")</f>
        <v/>
      </c>
      <c r="S324" s="28" t="str">
        <f>IFERROR(([1]!s_stmnote_bank_614(B324,$A324,1,2,100000000)+[1]!b_stm07_bs(B324,104,$A324,1,100000000)+[1]!b_stm07_bs(B324,106,$A324,1,100000000)+[1]!b_stm07_bs(B324,76,$A324,1,100000000)+[1]!b_stm07_bs(B324,108,$A324,1,100000000)+[1]!b_stm07_bs(B324,95,$A324,1,100000000))/[1]!b_stm07_bs(B324,128,$A324,1,100000000),"")</f>
        <v/>
      </c>
      <c r="T324" s="11">
        <f>[1]!b_issuer_shareholder(B324,"",1)</f>
        <v>0</v>
      </c>
      <c r="U324" s="10">
        <f>[1]!b_issuer_propofshareholder(B324,"",1)</f>
        <v>0</v>
      </c>
      <c r="V324" s="33" t="str">
        <f t="shared" si="11"/>
        <v>0</v>
      </c>
      <c r="W324" s="33">
        <f>[1]!s_info_city(B324)</f>
        <v>0</v>
      </c>
      <c r="X324" s="10">
        <f>IF([1]!s_stmnote_bank_17n(B324,$A324,1)="0","",[1]!s_stmnote_bank_17n(B324,$A324,1))</f>
        <v>0</v>
      </c>
      <c r="Y324" s="10">
        <f>IF([1]!s_stmnote_bank_18n(B324,$A324,1)="0","",[1]!s_stmnote_bank_18n(B324,$A324,1))</f>
        <v>0</v>
      </c>
      <c r="Z324" s="41">
        <f>IF([1]!s_stmnote_bank_58(B324,$A324,1)="0","",[1]!s_stmnote_bank_58(B324,$A324,1))</f>
        <v>0</v>
      </c>
      <c r="AA324" s="52">
        <f>IF([1]!s_stmnote_bank_60(B324,$A324,1)="0","",[1]!s_stmnote_bank_60(B324,$A324,1))</f>
        <v>0</v>
      </c>
      <c r="AB324" s="52">
        <f>[1]!s_stmnote_bank_5444(B324,$A324,1)</f>
        <v>0</v>
      </c>
      <c r="AC324" s="38">
        <f>[1]!s_stmnote_bank_129n($B324,$A324,1)</f>
        <v>0</v>
      </c>
      <c r="AD324" s="54">
        <f>[1]!s_stmnote_bank_30(B324,$A324,1)</f>
        <v>0</v>
      </c>
    </row>
    <row r="325" spans="1:30" ht="24">
      <c r="A325" s="1" t="s">
        <v>1110</v>
      </c>
      <c r="B325" s="87" t="s">
        <v>1433</v>
      </c>
      <c r="C325" s="8">
        <f>IF([1]!b_info_issuer(B325)="0","",IFERROR([1]!b_info_issuer(B325),""))</f>
        <v>0</v>
      </c>
      <c r="D325" s="11">
        <f>IF([1]!b_info_latestissurercreditrating(B325)="0","",IFERROR([1]!b_info_latestissurercreditrating(B325),""))</f>
        <v>0</v>
      </c>
      <c r="E325" s="27" t="str">
        <f>IFERROR(([1]!b_stm07_bs($B325,47,$A325,1,100000000))/[1]!b_stm07_bs($B325,109,$A325,1,100000000),"")</f>
        <v/>
      </c>
      <c r="F325" s="18" t="str">
        <f>IFERROR(([1]!s_stmnote_bank_26($B325,$A325,1,100000000)-[1]!s_stmnote_bank_26($B325,#REF!,1,100000000)+#REF!)/[1]!s_stmnote_bank_1n($B325,#REF!,1,100000000),"")</f>
        <v/>
      </c>
      <c r="G325" s="21" t="str">
        <f t="shared" si="10"/>
        <v/>
      </c>
      <c r="H325" s="18" t="str">
        <f>IFERROR([1]!s_stmnote_bank($B325,"34",$A325,100000000)/[1]!s_stmnote_bank_1n(B325,$A325,1,100000000),"")</f>
        <v/>
      </c>
      <c r="I325" s="25">
        <f>[1]!b_stm07_bs(B325,74,$A325,1,100000000)</f>
        <v>0</v>
      </c>
      <c r="J325" s="25">
        <f>[1]!b_stm07_bs(B325,109,$A325,1,100000000)</f>
        <v>0</v>
      </c>
      <c r="K325" s="10">
        <f>[1]!s_stmnote_bank_5n(B325,$A325,1)</f>
        <v>0</v>
      </c>
      <c r="L325" s="25">
        <f>[1]!s_stmnote_bank_23n(B325,$A325,1)</f>
        <v>0</v>
      </c>
      <c r="M325" s="25">
        <f>[1]!s_stmnote_bank_capadequacyratio(B325,$A325,1)</f>
        <v>0</v>
      </c>
      <c r="N325" s="25">
        <f>[1]!s_stmnote_bank_capadequacyratio_ct1(B325,$A325,1)</f>
        <v>0</v>
      </c>
      <c r="O325" s="6">
        <f>IF(OR([1]!s_fa_roe(B325,20201231)="0",[1]!s_fa_roe(B325,20211231)="0",[1]!s_fa_roe(B325,20221231)="0"),"",IFERROR(([1]!s_fa_roe(B325,20221231)+[1]!s_fa_roe(B325,20201231)+[1]!s_fa_roe(B325,20211231))/3,""))</f>
        <v>0</v>
      </c>
      <c r="P325" s="28" t="str">
        <f>IFERROR(([1]!s_stmnote_bank_65(B325,$A325,1,2,4,100000000)+[1]!s_stmnote_bank_65(B325,$A325,1,2,6,100000000))/[1]!s_stmnote_bank_1n(B325,$A325,1,100000000),"")</f>
        <v/>
      </c>
      <c r="Q325" s="28" t="str">
        <f>IFERROR([1]!s_stmnote_bank_614(B325,$A325,1,2,100000000)/[1]!s_stmnote_bank_647(B325,$A325,1,2,100000000),"")</f>
        <v/>
      </c>
      <c r="R325" s="28" t="str">
        <f>IFERROR(([1]!b_stm07_bs(B325,104,$A325,1,100000000)+[1]!b_stm07_bs(B325,106,$A325,1,100000000)+[1]!b_stm07_bs(B325,76,$A325,1,100000000)+[1]!b_stm07_bs(B325,108,$A325,1,100000000)+[1]!b_stm07_bs(B325,95,$A325,1,100000000))/[1]!b_stm07_bs(B325,128,$A325,1,100000000),"")</f>
        <v/>
      </c>
      <c r="S325" s="28" t="str">
        <f>IFERROR(([1]!s_stmnote_bank_614(B325,$A325,1,2,100000000)+[1]!b_stm07_bs(B325,104,$A325,1,100000000)+[1]!b_stm07_bs(B325,106,$A325,1,100000000)+[1]!b_stm07_bs(B325,76,$A325,1,100000000)+[1]!b_stm07_bs(B325,108,$A325,1,100000000)+[1]!b_stm07_bs(B325,95,$A325,1,100000000))/[1]!b_stm07_bs(B325,128,$A325,1,100000000),"")</f>
        <v/>
      </c>
      <c r="T325" s="11">
        <f>[1]!b_issuer_shareholder(B325,"",1)</f>
        <v>0</v>
      </c>
      <c r="U325" s="10">
        <f>[1]!b_issuer_propofshareholder(B325,"",1)</f>
        <v>0</v>
      </c>
      <c r="V325" s="33" t="str">
        <f t="shared" si="11"/>
        <v>0</v>
      </c>
      <c r="W325" s="33">
        <f>[1]!s_info_city(B325)</f>
        <v>0</v>
      </c>
      <c r="X325" s="10">
        <f>IF([1]!s_stmnote_bank_17n(B325,$A325,1)="0","",[1]!s_stmnote_bank_17n(B325,$A325,1))</f>
        <v>0</v>
      </c>
      <c r="Y325" s="10">
        <f>IF([1]!s_stmnote_bank_18n(B325,$A325,1)="0","",[1]!s_stmnote_bank_18n(B325,$A325,1))</f>
        <v>0</v>
      </c>
      <c r="Z325" s="41">
        <f>IF([1]!s_stmnote_bank_58(B325,$A325,1)="0","",[1]!s_stmnote_bank_58(B325,$A325,1))</f>
        <v>0</v>
      </c>
      <c r="AA325" s="52">
        <f>IF([1]!s_stmnote_bank_60(B325,$A325,1)="0","",[1]!s_stmnote_bank_60(B325,$A325,1))</f>
        <v>0</v>
      </c>
      <c r="AB325" s="52">
        <f>[1]!s_stmnote_bank_5444(B325,$A325,1)</f>
        <v>0</v>
      </c>
      <c r="AC325" s="38">
        <f>[1]!s_stmnote_bank_129n($B325,$A325,1)</f>
        <v>0</v>
      </c>
      <c r="AD325" s="54">
        <f>[1]!s_stmnote_bank_30(B325,$A325,1)</f>
        <v>0</v>
      </c>
    </row>
    <row r="326" spans="1:30" ht="24">
      <c r="A326" s="1" t="s">
        <v>1110</v>
      </c>
      <c r="B326" s="87" t="s">
        <v>1434</v>
      </c>
      <c r="C326" s="8">
        <f>IF([1]!b_info_issuer(B326)="0","",IFERROR([1]!b_info_issuer(B326),""))</f>
        <v>0</v>
      </c>
      <c r="D326" s="11">
        <f>IF([1]!b_info_latestissurercreditrating(B326)="0","",IFERROR([1]!b_info_latestissurercreditrating(B326),""))</f>
        <v>0</v>
      </c>
      <c r="E326" s="27" t="str">
        <f>IFERROR(([1]!b_stm07_bs($B326,47,$A326,1,100000000))/[1]!b_stm07_bs($B326,109,$A326,1,100000000),"")</f>
        <v/>
      </c>
      <c r="F326" s="18" t="str">
        <f>IFERROR(([1]!s_stmnote_bank_26($B326,$A326,1,100000000)-[1]!s_stmnote_bank_26($B326,#REF!,1,100000000)+#REF!)/[1]!s_stmnote_bank_1n($B326,#REF!,1,100000000),"")</f>
        <v/>
      </c>
      <c r="G326" s="21" t="str">
        <f t="shared" si="10"/>
        <v/>
      </c>
      <c r="H326" s="18" t="str">
        <f>IFERROR([1]!s_stmnote_bank($B326,"34",$A326,100000000)/[1]!s_stmnote_bank_1n(B326,$A326,1,100000000),"")</f>
        <v/>
      </c>
      <c r="I326" s="25">
        <f>[1]!b_stm07_bs(B326,74,$A326,1,100000000)</f>
        <v>0</v>
      </c>
      <c r="J326" s="25">
        <f>[1]!b_stm07_bs(B326,109,$A326,1,100000000)</f>
        <v>0</v>
      </c>
      <c r="K326" s="10">
        <f>[1]!s_stmnote_bank_5n(B326,$A326,1)</f>
        <v>0</v>
      </c>
      <c r="L326" s="25">
        <f>[1]!s_stmnote_bank_23n(B326,$A326,1)</f>
        <v>0</v>
      </c>
      <c r="M326" s="25">
        <f>[1]!s_stmnote_bank_capadequacyratio(B326,$A326,1)</f>
        <v>0</v>
      </c>
      <c r="N326" s="25">
        <f>[1]!s_stmnote_bank_capadequacyratio_ct1(B326,$A326,1)</f>
        <v>0</v>
      </c>
      <c r="O326" s="6">
        <f>IF(OR([1]!s_fa_roe(B326,20201231)="0",[1]!s_fa_roe(B326,20211231)="0",[1]!s_fa_roe(B326,20221231)="0"),"",IFERROR(([1]!s_fa_roe(B326,20221231)+[1]!s_fa_roe(B326,20201231)+[1]!s_fa_roe(B326,20211231))/3,""))</f>
        <v>0</v>
      </c>
      <c r="P326" s="28" t="str">
        <f>IFERROR(([1]!s_stmnote_bank_65(B326,$A326,1,2,4,100000000)+[1]!s_stmnote_bank_65(B326,$A326,1,2,6,100000000))/[1]!s_stmnote_bank_1n(B326,$A326,1,100000000),"")</f>
        <v/>
      </c>
      <c r="Q326" s="28" t="str">
        <f>IFERROR([1]!s_stmnote_bank_614(B326,$A326,1,2,100000000)/[1]!s_stmnote_bank_647(B326,$A326,1,2,100000000),"")</f>
        <v/>
      </c>
      <c r="R326" s="28" t="str">
        <f>IFERROR(([1]!b_stm07_bs(B326,104,$A326,1,100000000)+[1]!b_stm07_bs(B326,106,$A326,1,100000000)+[1]!b_stm07_bs(B326,76,$A326,1,100000000)+[1]!b_stm07_bs(B326,108,$A326,1,100000000)+[1]!b_stm07_bs(B326,95,$A326,1,100000000))/[1]!b_stm07_bs(B326,128,$A326,1,100000000),"")</f>
        <v/>
      </c>
      <c r="S326" s="28" t="str">
        <f>IFERROR(([1]!s_stmnote_bank_614(B326,$A326,1,2,100000000)+[1]!b_stm07_bs(B326,104,$A326,1,100000000)+[1]!b_stm07_bs(B326,106,$A326,1,100000000)+[1]!b_stm07_bs(B326,76,$A326,1,100000000)+[1]!b_stm07_bs(B326,108,$A326,1,100000000)+[1]!b_stm07_bs(B326,95,$A326,1,100000000))/[1]!b_stm07_bs(B326,128,$A326,1,100000000),"")</f>
        <v/>
      </c>
      <c r="T326" s="11">
        <f>[1]!b_issuer_shareholder(B326,"",1)</f>
        <v>0</v>
      </c>
      <c r="U326" s="10">
        <f>[1]!b_issuer_propofshareholder(B326,"",1)</f>
        <v>0</v>
      </c>
      <c r="V326" s="33" t="str">
        <f t="shared" si="11"/>
        <v>0</v>
      </c>
      <c r="W326" s="33">
        <f>[1]!s_info_city(B326)</f>
        <v>0</v>
      </c>
      <c r="X326" s="10">
        <f>IF([1]!s_stmnote_bank_17n(B326,$A326,1)="0","",[1]!s_stmnote_bank_17n(B326,$A326,1))</f>
        <v>0</v>
      </c>
      <c r="Y326" s="10">
        <f>IF([1]!s_stmnote_bank_18n(B326,$A326,1)="0","",[1]!s_stmnote_bank_18n(B326,$A326,1))</f>
        <v>0</v>
      </c>
      <c r="Z326" s="41">
        <f>IF([1]!s_stmnote_bank_58(B326,$A326,1)="0","",[1]!s_stmnote_bank_58(B326,$A326,1))</f>
        <v>0</v>
      </c>
      <c r="AA326" s="52">
        <f>IF([1]!s_stmnote_bank_60(B326,$A326,1)="0","",[1]!s_stmnote_bank_60(B326,$A326,1))</f>
        <v>0</v>
      </c>
      <c r="AB326" s="52">
        <f>[1]!s_stmnote_bank_5444(B326,$A326,1)</f>
        <v>0</v>
      </c>
      <c r="AC326" s="38">
        <f>[1]!s_stmnote_bank_129n($B326,$A326,1)</f>
        <v>0</v>
      </c>
      <c r="AD326" s="54">
        <f>[1]!s_stmnote_bank_30(B326,$A326,1)</f>
        <v>0</v>
      </c>
    </row>
    <row r="327" spans="1:30" ht="24">
      <c r="A327" s="1" t="s">
        <v>1110</v>
      </c>
      <c r="B327" s="87" t="s">
        <v>1435</v>
      </c>
      <c r="C327" s="8">
        <f>IF([1]!b_info_issuer(B327)="0","",IFERROR([1]!b_info_issuer(B327),""))</f>
        <v>0</v>
      </c>
      <c r="D327" s="11">
        <f>IF([1]!b_info_latestissurercreditrating(B327)="0","",IFERROR([1]!b_info_latestissurercreditrating(B327),""))</f>
        <v>0</v>
      </c>
      <c r="E327" s="27" t="str">
        <f>IFERROR(([1]!b_stm07_bs($B327,47,$A327,1,100000000))/[1]!b_stm07_bs($B327,109,$A327,1,100000000),"")</f>
        <v/>
      </c>
      <c r="F327" s="18" t="str">
        <f>IFERROR(([1]!s_stmnote_bank_26($B327,$A327,1,100000000)-[1]!s_stmnote_bank_26($B327,#REF!,1,100000000)+#REF!)/[1]!s_stmnote_bank_1n($B327,#REF!,1,100000000),"")</f>
        <v/>
      </c>
      <c r="G327" s="21" t="str">
        <f t="shared" si="10"/>
        <v/>
      </c>
      <c r="H327" s="18" t="str">
        <f>IFERROR([1]!s_stmnote_bank($B327,"34",$A327,100000000)/[1]!s_stmnote_bank_1n(B327,$A327,1,100000000),"")</f>
        <v/>
      </c>
      <c r="I327" s="25">
        <f>[1]!b_stm07_bs(B327,74,$A327,1,100000000)</f>
        <v>0</v>
      </c>
      <c r="J327" s="25">
        <f>[1]!b_stm07_bs(B327,109,$A327,1,100000000)</f>
        <v>0</v>
      </c>
      <c r="K327" s="10">
        <f>[1]!s_stmnote_bank_5n(B327,$A327,1)</f>
        <v>0</v>
      </c>
      <c r="L327" s="25">
        <f>[1]!s_stmnote_bank_23n(B327,$A327,1)</f>
        <v>0</v>
      </c>
      <c r="M327" s="25">
        <f>[1]!s_stmnote_bank_capadequacyratio(B327,$A327,1)</f>
        <v>0</v>
      </c>
      <c r="N327" s="25">
        <f>[1]!s_stmnote_bank_capadequacyratio_ct1(B327,$A327,1)</f>
        <v>0</v>
      </c>
      <c r="O327" s="6">
        <f>IF(OR([1]!s_fa_roe(B327,20201231)="0",[1]!s_fa_roe(B327,20211231)="0",[1]!s_fa_roe(B327,20221231)="0"),"",IFERROR(([1]!s_fa_roe(B327,20221231)+[1]!s_fa_roe(B327,20201231)+[1]!s_fa_roe(B327,20211231))/3,""))</f>
        <v>0</v>
      </c>
      <c r="P327" s="28" t="str">
        <f>IFERROR(([1]!s_stmnote_bank_65(B327,$A327,1,2,4,100000000)+[1]!s_stmnote_bank_65(B327,$A327,1,2,6,100000000))/[1]!s_stmnote_bank_1n(B327,$A327,1,100000000),"")</f>
        <v/>
      </c>
      <c r="Q327" s="28" t="str">
        <f>IFERROR([1]!s_stmnote_bank_614(B327,$A327,1,2,100000000)/[1]!s_stmnote_bank_647(B327,$A327,1,2,100000000),"")</f>
        <v/>
      </c>
      <c r="R327" s="28" t="str">
        <f>IFERROR(([1]!b_stm07_bs(B327,104,$A327,1,100000000)+[1]!b_stm07_bs(B327,106,$A327,1,100000000)+[1]!b_stm07_bs(B327,76,$A327,1,100000000)+[1]!b_stm07_bs(B327,108,$A327,1,100000000)+[1]!b_stm07_bs(B327,95,$A327,1,100000000))/[1]!b_stm07_bs(B327,128,$A327,1,100000000),"")</f>
        <v/>
      </c>
      <c r="S327" s="28" t="str">
        <f>IFERROR(([1]!s_stmnote_bank_614(B327,$A327,1,2,100000000)+[1]!b_stm07_bs(B327,104,$A327,1,100000000)+[1]!b_stm07_bs(B327,106,$A327,1,100000000)+[1]!b_stm07_bs(B327,76,$A327,1,100000000)+[1]!b_stm07_bs(B327,108,$A327,1,100000000)+[1]!b_stm07_bs(B327,95,$A327,1,100000000))/[1]!b_stm07_bs(B327,128,$A327,1,100000000),"")</f>
        <v/>
      </c>
      <c r="T327" s="11">
        <f>[1]!b_issuer_shareholder(B327,"",1)</f>
        <v>0</v>
      </c>
      <c r="U327" s="10">
        <f>[1]!b_issuer_propofshareholder(B327,"",1)</f>
        <v>0</v>
      </c>
      <c r="V327" s="33" t="str">
        <f t="shared" si="11"/>
        <v>0</v>
      </c>
      <c r="W327" s="33">
        <f>[1]!s_info_city(B327)</f>
        <v>0</v>
      </c>
      <c r="X327" s="10">
        <f>IF([1]!s_stmnote_bank_17n(B327,$A327,1)="0","",[1]!s_stmnote_bank_17n(B327,$A327,1))</f>
        <v>0</v>
      </c>
      <c r="Y327" s="10">
        <f>IF([1]!s_stmnote_bank_18n(B327,$A327,1)="0","",[1]!s_stmnote_bank_18n(B327,$A327,1))</f>
        <v>0</v>
      </c>
      <c r="Z327" s="41">
        <f>IF([1]!s_stmnote_bank_58(B327,$A327,1)="0","",[1]!s_stmnote_bank_58(B327,$A327,1))</f>
        <v>0</v>
      </c>
      <c r="AA327" s="52">
        <f>IF([1]!s_stmnote_bank_60(B327,$A327,1)="0","",[1]!s_stmnote_bank_60(B327,$A327,1))</f>
        <v>0</v>
      </c>
      <c r="AB327" s="52">
        <f>[1]!s_stmnote_bank_5444(B327,$A327,1)</f>
        <v>0</v>
      </c>
      <c r="AC327" s="38">
        <f>[1]!s_stmnote_bank_129n($B327,$A327,1)</f>
        <v>0</v>
      </c>
      <c r="AD327" s="54">
        <f>[1]!s_stmnote_bank_30(B327,$A327,1)</f>
        <v>0</v>
      </c>
    </row>
    <row r="328" spans="1:30" ht="24">
      <c r="A328" s="1" t="s">
        <v>1110</v>
      </c>
      <c r="B328" s="87" t="s">
        <v>1436</v>
      </c>
      <c r="C328" s="8">
        <f>IF([1]!b_info_issuer(B328)="0","",IFERROR([1]!b_info_issuer(B328),""))</f>
        <v>0</v>
      </c>
      <c r="D328" s="11">
        <f>IF([1]!b_info_latestissurercreditrating(B328)="0","",IFERROR([1]!b_info_latestissurercreditrating(B328),""))</f>
        <v>0</v>
      </c>
      <c r="E328" s="27" t="str">
        <f>IFERROR(([1]!b_stm07_bs($B328,47,$A328,1,100000000))/[1]!b_stm07_bs($B328,109,$A328,1,100000000),"")</f>
        <v/>
      </c>
      <c r="F328" s="18" t="str">
        <f>IFERROR(([1]!s_stmnote_bank_26($B328,$A328,1,100000000)-[1]!s_stmnote_bank_26($B328,#REF!,1,100000000)+#REF!)/[1]!s_stmnote_bank_1n($B328,#REF!,1,100000000),"")</f>
        <v/>
      </c>
      <c r="G328" s="21" t="str">
        <f t="shared" si="10"/>
        <v/>
      </c>
      <c r="H328" s="18" t="str">
        <f>IFERROR([1]!s_stmnote_bank($B328,"34",$A328,100000000)/[1]!s_stmnote_bank_1n(B328,$A328,1,100000000),"")</f>
        <v/>
      </c>
      <c r="I328" s="25">
        <f>[1]!b_stm07_bs(B328,74,$A328,1,100000000)</f>
        <v>0</v>
      </c>
      <c r="J328" s="25">
        <f>[1]!b_stm07_bs(B328,109,$A328,1,100000000)</f>
        <v>0</v>
      </c>
      <c r="K328" s="10">
        <f>[1]!s_stmnote_bank_5n(B328,$A328,1)</f>
        <v>0</v>
      </c>
      <c r="L328" s="25">
        <f>[1]!s_stmnote_bank_23n(B328,$A328,1)</f>
        <v>0</v>
      </c>
      <c r="M328" s="25">
        <f>[1]!s_stmnote_bank_capadequacyratio(B328,$A328,1)</f>
        <v>0</v>
      </c>
      <c r="N328" s="25">
        <f>[1]!s_stmnote_bank_capadequacyratio_ct1(B328,$A328,1)</f>
        <v>0</v>
      </c>
      <c r="O328" s="6">
        <f>IF(OR([1]!s_fa_roe(B328,20201231)="0",[1]!s_fa_roe(B328,20211231)="0",[1]!s_fa_roe(B328,20221231)="0"),"",IFERROR(([1]!s_fa_roe(B328,20221231)+[1]!s_fa_roe(B328,20201231)+[1]!s_fa_roe(B328,20211231))/3,""))</f>
        <v>0</v>
      </c>
      <c r="P328" s="28" t="str">
        <f>IFERROR(([1]!s_stmnote_bank_65(B328,$A328,1,2,4,100000000)+[1]!s_stmnote_bank_65(B328,$A328,1,2,6,100000000))/[1]!s_stmnote_bank_1n(B328,$A328,1,100000000),"")</f>
        <v/>
      </c>
      <c r="Q328" s="28" t="str">
        <f>IFERROR([1]!s_stmnote_bank_614(B328,$A328,1,2,100000000)/[1]!s_stmnote_bank_647(B328,$A328,1,2,100000000),"")</f>
        <v/>
      </c>
      <c r="R328" s="28" t="str">
        <f>IFERROR(([1]!b_stm07_bs(B328,104,$A328,1,100000000)+[1]!b_stm07_bs(B328,106,$A328,1,100000000)+[1]!b_stm07_bs(B328,76,$A328,1,100000000)+[1]!b_stm07_bs(B328,108,$A328,1,100000000)+[1]!b_stm07_bs(B328,95,$A328,1,100000000))/[1]!b_stm07_bs(B328,128,$A328,1,100000000),"")</f>
        <v/>
      </c>
      <c r="S328" s="28" t="str">
        <f>IFERROR(([1]!s_stmnote_bank_614(B328,$A328,1,2,100000000)+[1]!b_stm07_bs(B328,104,$A328,1,100000000)+[1]!b_stm07_bs(B328,106,$A328,1,100000000)+[1]!b_stm07_bs(B328,76,$A328,1,100000000)+[1]!b_stm07_bs(B328,108,$A328,1,100000000)+[1]!b_stm07_bs(B328,95,$A328,1,100000000))/[1]!b_stm07_bs(B328,128,$A328,1,100000000),"")</f>
        <v/>
      </c>
      <c r="T328" s="11">
        <f>[1]!b_issuer_shareholder(B328,"",1)</f>
        <v>0</v>
      </c>
      <c r="U328" s="10">
        <f>[1]!b_issuer_propofshareholder(B328,"",1)</f>
        <v>0</v>
      </c>
      <c r="V328" s="33" t="str">
        <f t="shared" si="11"/>
        <v>0</v>
      </c>
      <c r="W328" s="33">
        <f>[1]!s_info_city(B328)</f>
        <v>0</v>
      </c>
      <c r="X328" s="10">
        <f>IF([1]!s_stmnote_bank_17n(B328,$A328,1)="0","",[1]!s_stmnote_bank_17n(B328,$A328,1))</f>
        <v>0</v>
      </c>
      <c r="Y328" s="10">
        <f>IF([1]!s_stmnote_bank_18n(B328,$A328,1)="0","",[1]!s_stmnote_bank_18n(B328,$A328,1))</f>
        <v>0</v>
      </c>
      <c r="Z328" s="41">
        <f>IF([1]!s_stmnote_bank_58(B328,$A328,1)="0","",[1]!s_stmnote_bank_58(B328,$A328,1))</f>
        <v>0</v>
      </c>
      <c r="AA328" s="52">
        <f>IF([1]!s_stmnote_bank_60(B328,$A328,1)="0","",[1]!s_stmnote_bank_60(B328,$A328,1))</f>
        <v>0</v>
      </c>
      <c r="AB328" s="52">
        <f>[1]!s_stmnote_bank_5444(B328,$A328,1)</f>
        <v>0</v>
      </c>
      <c r="AC328" s="38">
        <f>[1]!s_stmnote_bank_129n($B328,$A328,1)</f>
        <v>0</v>
      </c>
      <c r="AD328" s="54">
        <f>[1]!s_stmnote_bank_30(B328,$A328,1)</f>
        <v>0</v>
      </c>
    </row>
    <row r="329" spans="1:30" ht="24">
      <c r="A329" s="1" t="s">
        <v>1110</v>
      </c>
      <c r="B329" s="87" t="s">
        <v>1437</v>
      </c>
      <c r="C329" s="8">
        <f>IF([1]!b_info_issuer(B329)="0","",IFERROR([1]!b_info_issuer(B329),""))</f>
        <v>0</v>
      </c>
      <c r="D329" s="11">
        <f>IF([1]!b_info_latestissurercreditrating(B329)="0","",IFERROR([1]!b_info_latestissurercreditrating(B329),""))</f>
        <v>0</v>
      </c>
      <c r="E329" s="27" t="str">
        <f>IFERROR(([1]!b_stm07_bs($B329,47,$A329,1,100000000))/[1]!b_stm07_bs($B329,109,$A329,1,100000000),"")</f>
        <v/>
      </c>
      <c r="F329" s="18" t="str">
        <f>IFERROR(([1]!s_stmnote_bank_26($B329,$A329,1,100000000)-[1]!s_stmnote_bank_26($B329,#REF!,1,100000000)+#REF!)/[1]!s_stmnote_bank_1n($B329,#REF!,1,100000000),"")</f>
        <v/>
      </c>
      <c r="G329" s="21" t="str">
        <f t="shared" si="10"/>
        <v/>
      </c>
      <c r="H329" s="18" t="str">
        <f>IFERROR([1]!s_stmnote_bank($B329,"34",$A329,100000000)/[1]!s_stmnote_bank_1n(B329,$A329,1,100000000),"")</f>
        <v/>
      </c>
      <c r="I329" s="25">
        <f>[1]!b_stm07_bs(B329,74,$A329,1,100000000)</f>
        <v>0</v>
      </c>
      <c r="J329" s="25">
        <f>[1]!b_stm07_bs(B329,109,$A329,1,100000000)</f>
        <v>0</v>
      </c>
      <c r="K329" s="10">
        <f>[1]!s_stmnote_bank_5n(B329,$A329,1)</f>
        <v>0</v>
      </c>
      <c r="L329" s="25">
        <f>[1]!s_stmnote_bank_23n(B329,$A329,1)</f>
        <v>0</v>
      </c>
      <c r="M329" s="25">
        <f>[1]!s_stmnote_bank_capadequacyratio(B329,$A329,1)</f>
        <v>0</v>
      </c>
      <c r="N329" s="25">
        <f>[1]!s_stmnote_bank_capadequacyratio_ct1(B329,$A329,1)</f>
        <v>0</v>
      </c>
      <c r="O329" s="6">
        <f>IF(OR([1]!s_fa_roe(B329,20201231)="0",[1]!s_fa_roe(B329,20211231)="0",[1]!s_fa_roe(B329,20221231)="0"),"",IFERROR(([1]!s_fa_roe(B329,20221231)+[1]!s_fa_roe(B329,20201231)+[1]!s_fa_roe(B329,20211231))/3,""))</f>
        <v>0</v>
      </c>
      <c r="P329" s="28" t="str">
        <f>IFERROR(([1]!s_stmnote_bank_65(B329,$A329,1,2,4,100000000)+[1]!s_stmnote_bank_65(B329,$A329,1,2,6,100000000))/[1]!s_stmnote_bank_1n(B329,$A329,1,100000000),"")</f>
        <v/>
      </c>
      <c r="Q329" s="28" t="str">
        <f>IFERROR([1]!s_stmnote_bank_614(B329,$A329,1,2,100000000)/[1]!s_stmnote_bank_647(B329,$A329,1,2,100000000),"")</f>
        <v/>
      </c>
      <c r="R329" s="28" t="str">
        <f>IFERROR(([1]!b_stm07_bs(B329,104,$A329,1,100000000)+[1]!b_stm07_bs(B329,106,$A329,1,100000000)+[1]!b_stm07_bs(B329,76,$A329,1,100000000)+[1]!b_stm07_bs(B329,108,$A329,1,100000000)+[1]!b_stm07_bs(B329,95,$A329,1,100000000))/[1]!b_stm07_bs(B329,128,$A329,1,100000000),"")</f>
        <v/>
      </c>
      <c r="S329" s="28" t="str">
        <f>IFERROR(([1]!s_stmnote_bank_614(B329,$A329,1,2,100000000)+[1]!b_stm07_bs(B329,104,$A329,1,100000000)+[1]!b_stm07_bs(B329,106,$A329,1,100000000)+[1]!b_stm07_bs(B329,76,$A329,1,100000000)+[1]!b_stm07_bs(B329,108,$A329,1,100000000)+[1]!b_stm07_bs(B329,95,$A329,1,100000000))/[1]!b_stm07_bs(B329,128,$A329,1,100000000),"")</f>
        <v/>
      </c>
      <c r="T329" s="11">
        <f>[1]!b_issuer_shareholder(B329,"",1)</f>
        <v>0</v>
      </c>
      <c r="U329" s="10">
        <f>[1]!b_issuer_propofshareholder(B329,"",1)</f>
        <v>0</v>
      </c>
      <c r="V329" s="33" t="str">
        <f t="shared" si="11"/>
        <v>0</v>
      </c>
      <c r="W329" s="33">
        <f>[1]!s_info_city(B329)</f>
        <v>0</v>
      </c>
      <c r="X329" s="10">
        <f>IF([1]!s_stmnote_bank_17n(B329,$A329,1)="0","",[1]!s_stmnote_bank_17n(B329,$A329,1))</f>
        <v>0</v>
      </c>
      <c r="Y329" s="10">
        <f>IF([1]!s_stmnote_bank_18n(B329,$A329,1)="0","",[1]!s_stmnote_bank_18n(B329,$A329,1))</f>
        <v>0</v>
      </c>
      <c r="Z329" s="41">
        <f>IF([1]!s_stmnote_bank_58(B329,$A329,1)="0","",[1]!s_stmnote_bank_58(B329,$A329,1))</f>
        <v>0</v>
      </c>
      <c r="AA329" s="52">
        <f>IF([1]!s_stmnote_bank_60(B329,$A329,1)="0","",[1]!s_stmnote_bank_60(B329,$A329,1))</f>
        <v>0</v>
      </c>
      <c r="AB329" s="52">
        <f>[1]!s_stmnote_bank_5444(B329,$A329,1)</f>
        <v>0</v>
      </c>
      <c r="AC329" s="38">
        <f>[1]!s_stmnote_bank_129n($B329,$A329,1)</f>
        <v>0</v>
      </c>
      <c r="AD329" s="54">
        <f>[1]!s_stmnote_bank_30(B329,$A329,1)</f>
        <v>0</v>
      </c>
    </row>
    <row r="330" spans="1:30" ht="24">
      <c r="A330" s="1" t="s">
        <v>1110</v>
      </c>
      <c r="B330" s="87" t="s">
        <v>1438</v>
      </c>
      <c r="C330" s="8">
        <f>IF([1]!b_info_issuer(B330)="0","",IFERROR([1]!b_info_issuer(B330),""))</f>
        <v>0</v>
      </c>
      <c r="D330" s="11">
        <f>IF([1]!b_info_latestissurercreditrating(B330)="0","",IFERROR([1]!b_info_latestissurercreditrating(B330),""))</f>
        <v>0</v>
      </c>
      <c r="E330" s="27" t="str">
        <f>IFERROR(([1]!b_stm07_bs($B330,47,$A330,1,100000000))/[1]!b_stm07_bs($B330,109,$A330,1,100000000),"")</f>
        <v/>
      </c>
      <c r="F330" s="18" t="str">
        <f>IFERROR(([1]!s_stmnote_bank_26($B330,$A330,1,100000000)-[1]!s_stmnote_bank_26($B330,#REF!,1,100000000)+#REF!)/[1]!s_stmnote_bank_1n($B330,#REF!,1,100000000),"")</f>
        <v/>
      </c>
      <c r="G330" s="21" t="str">
        <f t="shared" si="10"/>
        <v/>
      </c>
      <c r="H330" s="18" t="str">
        <f>IFERROR([1]!s_stmnote_bank($B330,"34",$A330,100000000)/[1]!s_stmnote_bank_1n(B330,$A330,1,100000000),"")</f>
        <v/>
      </c>
      <c r="I330" s="25">
        <f>[1]!b_stm07_bs(B330,74,$A330,1,100000000)</f>
        <v>0</v>
      </c>
      <c r="J330" s="25">
        <f>[1]!b_stm07_bs(B330,109,$A330,1,100000000)</f>
        <v>0</v>
      </c>
      <c r="K330" s="10">
        <f>[1]!s_stmnote_bank_5n(B330,$A330,1)</f>
        <v>0</v>
      </c>
      <c r="L330" s="25">
        <f>[1]!s_stmnote_bank_23n(B330,$A330,1)</f>
        <v>0</v>
      </c>
      <c r="M330" s="25">
        <f>[1]!s_stmnote_bank_capadequacyratio(B330,$A330,1)</f>
        <v>0</v>
      </c>
      <c r="N330" s="25">
        <f>[1]!s_stmnote_bank_capadequacyratio_ct1(B330,$A330,1)</f>
        <v>0</v>
      </c>
      <c r="O330" s="6">
        <f>IF(OR([1]!s_fa_roe(B330,20201231)="0",[1]!s_fa_roe(B330,20211231)="0",[1]!s_fa_roe(B330,20221231)="0"),"",IFERROR(([1]!s_fa_roe(B330,20221231)+[1]!s_fa_roe(B330,20201231)+[1]!s_fa_roe(B330,20211231))/3,""))</f>
        <v>0</v>
      </c>
      <c r="P330" s="28" t="str">
        <f>IFERROR(([1]!s_stmnote_bank_65(B330,$A330,1,2,4,100000000)+[1]!s_stmnote_bank_65(B330,$A330,1,2,6,100000000))/[1]!s_stmnote_bank_1n(B330,$A330,1,100000000),"")</f>
        <v/>
      </c>
      <c r="Q330" s="28" t="str">
        <f>IFERROR([1]!s_stmnote_bank_614(B330,$A330,1,2,100000000)/[1]!s_stmnote_bank_647(B330,$A330,1,2,100000000),"")</f>
        <v/>
      </c>
      <c r="R330" s="28" t="str">
        <f>IFERROR(([1]!b_stm07_bs(B330,104,$A330,1,100000000)+[1]!b_stm07_bs(B330,106,$A330,1,100000000)+[1]!b_stm07_bs(B330,76,$A330,1,100000000)+[1]!b_stm07_bs(B330,108,$A330,1,100000000)+[1]!b_stm07_bs(B330,95,$A330,1,100000000))/[1]!b_stm07_bs(B330,128,$A330,1,100000000),"")</f>
        <v/>
      </c>
      <c r="S330" s="28" t="str">
        <f>IFERROR(([1]!s_stmnote_bank_614(B330,$A330,1,2,100000000)+[1]!b_stm07_bs(B330,104,$A330,1,100000000)+[1]!b_stm07_bs(B330,106,$A330,1,100000000)+[1]!b_stm07_bs(B330,76,$A330,1,100000000)+[1]!b_stm07_bs(B330,108,$A330,1,100000000)+[1]!b_stm07_bs(B330,95,$A330,1,100000000))/[1]!b_stm07_bs(B330,128,$A330,1,100000000),"")</f>
        <v/>
      </c>
      <c r="T330" s="11">
        <f>[1]!b_issuer_shareholder(B330,"",1)</f>
        <v>0</v>
      </c>
      <c r="U330" s="10">
        <f>[1]!b_issuer_propofshareholder(B330,"",1)</f>
        <v>0</v>
      </c>
      <c r="V330" s="33" t="str">
        <f t="shared" si="11"/>
        <v>0</v>
      </c>
      <c r="W330" s="33">
        <f>[1]!s_info_city(B330)</f>
        <v>0</v>
      </c>
      <c r="X330" s="10">
        <f>IF([1]!s_stmnote_bank_17n(B330,$A330,1)="0","",[1]!s_stmnote_bank_17n(B330,$A330,1))</f>
        <v>0</v>
      </c>
      <c r="Y330" s="10">
        <f>IF([1]!s_stmnote_bank_18n(B330,$A330,1)="0","",[1]!s_stmnote_bank_18n(B330,$A330,1))</f>
        <v>0</v>
      </c>
      <c r="Z330" s="41">
        <f>IF([1]!s_stmnote_bank_58(B330,$A330,1)="0","",[1]!s_stmnote_bank_58(B330,$A330,1))</f>
        <v>0</v>
      </c>
      <c r="AA330" s="52">
        <f>IF([1]!s_stmnote_bank_60(B330,$A330,1)="0","",[1]!s_stmnote_bank_60(B330,$A330,1))</f>
        <v>0</v>
      </c>
      <c r="AB330" s="52">
        <f>[1]!s_stmnote_bank_5444(B330,$A330,1)</f>
        <v>0</v>
      </c>
      <c r="AC330" s="38">
        <f>[1]!s_stmnote_bank_129n($B330,$A330,1)</f>
        <v>0</v>
      </c>
      <c r="AD330" s="54">
        <f>[1]!s_stmnote_bank_30(B330,$A330,1)</f>
        <v>0</v>
      </c>
    </row>
    <row r="331" spans="1:30" ht="24">
      <c r="A331" s="1" t="s">
        <v>1110</v>
      </c>
      <c r="B331" s="87" t="s">
        <v>1439</v>
      </c>
      <c r="C331" s="8">
        <f>IF([1]!b_info_issuer(B331)="0","",IFERROR([1]!b_info_issuer(B331),""))</f>
        <v>0</v>
      </c>
      <c r="D331" s="11">
        <f>IF([1]!b_info_latestissurercreditrating(B331)="0","",IFERROR([1]!b_info_latestissurercreditrating(B331),""))</f>
        <v>0</v>
      </c>
      <c r="E331" s="27" t="str">
        <f>IFERROR(([1]!b_stm07_bs($B331,47,$A331,1,100000000))/[1]!b_stm07_bs($B331,109,$A331,1,100000000),"")</f>
        <v/>
      </c>
      <c r="F331" s="18" t="str">
        <f>IFERROR(([1]!s_stmnote_bank_26($B331,$A331,1,100000000)-[1]!s_stmnote_bank_26($B331,#REF!,1,100000000)+#REF!)/[1]!s_stmnote_bank_1n($B331,#REF!,1,100000000),"")</f>
        <v/>
      </c>
      <c r="G331" s="21" t="str">
        <f t="shared" si="10"/>
        <v/>
      </c>
      <c r="H331" s="18" t="str">
        <f>IFERROR([1]!s_stmnote_bank($B331,"34",$A331,100000000)/[1]!s_stmnote_bank_1n(B331,$A331,1,100000000),"")</f>
        <v/>
      </c>
      <c r="I331" s="25">
        <f>[1]!b_stm07_bs(B331,74,$A331,1,100000000)</f>
        <v>0</v>
      </c>
      <c r="J331" s="25">
        <f>[1]!b_stm07_bs(B331,109,$A331,1,100000000)</f>
        <v>0</v>
      </c>
      <c r="K331" s="10">
        <f>[1]!s_stmnote_bank_5n(B331,$A331,1)</f>
        <v>0</v>
      </c>
      <c r="L331" s="25">
        <f>[1]!s_stmnote_bank_23n(B331,$A331,1)</f>
        <v>0</v>
      </c>
      <c r="M331" s="25">
        <f>[1]!s_stmnote_bank_capadequacyratio(B331,$A331,1)</f>
        <v>0</v>
      </c>
      <c r="N331" s="25">
        <f>[1]!s_stmnote_bank_capadequacyratio_ct1(B331,$A331,1)</f>
        <v>0</v>
      </c>
      <c r="O331" s="6">
        <f>IF(OR([1]!s_fa_roe(B331,20201231)="0",[1]!s_fa_roe(B331,20211231)="0",[1]!s_fa_roe(B331,20221231)="0"),"",IFERROR(([1]!s_fa_roe(B331,20221231)+[1]!s_fa_roe(B331,20201231)+[1]!s_fa_roe(B331,20211231))/3,""))</f>
        <v>0</v>
      </c>
      <c r="P331" s="28" t="str">
        <f>IFERROR(([1]!s_stmnote_bank_65(B331,$A331,1,2,4,100000000)+[1]!s_stmnote_bank_65(B331,$A331,1,2,6,100000000))/[1]!s_stmnote_bank_1n(B331,$A331,1,100000000),"")</f>
        <v/>
      </c>
      <c r="Q331" s="28" t="str">
        <f>IFERROR([1]!s_stmnote_bank_614(B331,$A331,1,2,100000000)/[1]!s_stmnote_bank_647(B331,$A331,1,2,100000000),"")</f>
        <v/>
      </c>
      <c r="R331" s="28" t="str">
        <f>IFERROR(([1]!b_stm07_bs(B331,104,$A331,1,100000000)+[1]!b_stm07_bs(B331,106,$A331,1,100000000)+[1]!b_stm07_bs(B331,76,$A331,1,100000000)+[1]!b_stm07_bs(B331,108,$A331,1,100000000)+[1]!b_stm07_bs(B331,95,$A331,1,100000000))/[1]!b_stm07_bs(B331,128,$A331,1,100000000),"")</f>
        <v/>
      </c>
      <c r="S331" s="28" t="str">
        <f>IFERROR(([1]!s_stmnote_bank_614(B331,$A331,1,2,100000000)+[1]!b_stm07_bs(B331,104,$A331,1,100000000)+[1]!b_stm07_bs(B331,106,$A331,1,100000000)+[1]!b_stm07_bs(B331,76,$A331,1,100000000)+[1]!b_stm07_bs(B331,108,$A331,1,100000000)+[1]!b_stm07_bs(B331,95,$A331,1,100000000))/[1]!b_stm07_bs(B331,128,$A331,1,100000000),"")</f>
        <v/>
      </c>
      <c r="T331" s="11">
        <f>[1]!b_issuer_shareholder(B331,"",1)</f>
        <v>0</v>
      </c>
      <c r="U331" s="10">
        <f>[1]!b_issuer_propofshareholder(B331,"",1)</f>
        <v>0</v>
      </c>
      <c r="V331" s="33" t="str">
        <f t="shared" si="11"/>
        <v>0</v>
      </c>
      <c r="W331" s="33">
        <f>[1]!s_info_city(B331)</f>
        <v>0</v>
      </c>
      <c r="X331" s="10">
        <f>IF([1]!s_stmnote_bank_17n(B331,$A331,1)="0","",[1]!s_stmnote_bank_17n(B331,$A331,1))</f>
        <v>0</v>
      </c>
      <c r="Y331" s="10">
        <f>IF([1]!s_stmnote_bank_18n(B331,$A331,1)="0","",[1]!s_stmnote_bank_18n(B331,$A331,1))</f>
        <v>0</v>
      </c>
      <c r="Z331" s="41">
        <f>IF([1]!s_stmnote_bank_58(B331,$A331,1)="0","",[1]!s_stmnote_bank_58(B331,$A331,1))</f>
        <v>0</v>
      </c>
      <c r="AA331" s="52">
        <f>IF([1]!s_stmnote_bank_60(B331,$A331,1)="0","",[1]!s_stmnote_bank_60(B331,$A331,1))</f>
        <v>0</v>
      </c>
      <c r="AB331" s="52">
        <f>[1]!s_stmnote_bank_5444(B331,$A331,1)</f>
        <v>0</v>
      </c>
      <c r="AC331" s="38">
        <f>[1]!s_stmnote_bank_129n($B331,$A331,1)</f>
        <v>0</v>
      </c>
      <c r="AD331" s="54">
        <f>[1]!s_stmnote_bank_30(B331,$A331,1)</f>
        <v>0</v>
      </c>
    </row>
    <row r="332" spans="1:30" ht="24">
      <c r="A332" s="1" t="s">
        <v>1110</v>
      </c>
      <c r="B332" s="87" t="s">
        <v>1440</v>
      </c>
      <c r="C332" s="8">
        <f>IF([1]!b_info_issuer(B332)="0","",IFERROR([1]!b_info_issuer(B332),""))</f>
        <v>0</v>
      </c>
      <c r="D332" s="11">
        <f>IF([1]!b_info_latestissurercreditrating(B332)="0","",IFERROR([1]!b_info_latestissurercreditrating(B332),""))</f>
        <v>0</v>
      </c>
      <c r="E332" s="27" t="str">
        <f>IFERROR(([1]!b_stm07_bs($B332,47,$A332,1,100000000))/[1]!b_stm07_bs($B332,109,$A332,1,100000000),"")</f>
        <v/>
      </c>
      <c r="F332" s="18" t="str">
        <f>IFERROR(([1]!s_stmnote_bank_26($B332,$A332,1,100000000)-[1]!s_stmnote_bank_26($B332,#REF!,1,100000000)+#REF!)/[1]!s_stmnote_bank_1n($B332,#REF!,1,100000000),"")</f>
        <v/>
      </c>
      <c r="G332" s="21" t="str">
        <f t="shared" si="10"/>
        <v/>
      </c>
      <c r="H332" s="18" t="str">
        <f>IFERROR([1]!s_stmnote_bank($B332,"34",$A332,100000000)/[1]!s_stmnote_bank_1n(B332,$A332,1,100000000),"")</f>
        <v/>
      </c>
      <c r="I332" s="25">
        <f>[1]!b_stm07_bs(B332,74,$A332,1,100000000)</f>
        <v>0</v>
      </c>
      <c r="J332" s="25">
        <f>[1]!b_stm07_bs(B332,109,$A332,1,100000000)</f>
        <v>0</v>
      </c>
      <c r="K332" s="10">
        <f>[1]!s_stmnote_bank_5n(B332,$A332,1)</f>
        <v>0</v>
      </c>
      <c r="L332" s="25">
        <f>[1]!s_stmnote_bank_23n(B332,$A332,1)</f>
        <v>0</v>
      </c>
      <c r="M332" s="25">
        <f>[1]!s_stmnote_bank_capadequacyratio(B332,$A332,1)</f>
        <v>0</v>
      </c>
      <c r="N332" s="25">
        <f>[1]!s_stmnote_bank_capadequacyratio_ct1(B332,$A332,1)</f>
        <v>0</v>
      </c>
      <c r="O332" s="6">
        <f>IF(OR([1]!s_fa_roe(B332,20201231)="0",[1]!s_fa_roe(B332,20211231)="0",[1]!s_fa_roe(B332,20221231)="0"),"",IFERROR(([1]!s_fa_roe(B332,20221231)+[1]!s_fa_roe(B332,20201231)+[1]!s_fa_roe(B332,20211231))/3,""))</f>
        <v>0</v>
      </c>
      <c r="P332" s="28" t="str">
        <f>IFERROR(([1]!s_stmnote_bank_65(B332,$A332,1,2,4,100000000)+[1]!s_stmnote_bank_65(B332,$A332,1,2,6,100000000))/[1]!s_stmnote_bank_1n(B332,$A332,1,100000000),"")</f>
        <v/>
      </c>
      <c r="Q332" s="28" t="str">
        <f>IFERROR([1]!s_stmnote_bank_614(B332,$A332,1,2,100000000)/[1]!s_stmnote_bank_647(B332,$A332,1,2,100000000),"")</f>
        <v/>
      </c>
      <c r="R332" s="28" t="str">
        <f>IFERROR(([1]!b_stm07_bs(B332,104,$A332,1,100000000)+[1]!b_stm07_bs(B332,106,$A332,1,100000000)+[1]!b_stm07_bs(B332,76,$A332,1,100000000)+[1]!b_stm07_bs(B332,108,$A332,1,100000000)+[1]!b_stm07_bs(B332,95,$A332,1,100000000))/[1]!b_stm07_bs(B332,128,$A332,1,100000000),"")</f>
        <v/>
      </c>
      <c r="S332" s="28" t="str">
        <f>IFERROR(([1]!s_stmnote_bank_614(B332,$A332,1,2,100000000)+[1]!b_stm07_bs(B332,104,$A332,1,100000000)+[1]!b_stm07_bs(B332,106,$A332,1,100000000)+[1]!b_stm07_bs(B332,76,$A332,1,100000000)+[1]!b_stm07_bs(B332,108,$A332,1,100000000)+[1]!b_stm07_bs(B332,95,$A332,1,100000000))/[1]!b_stm07_bs(B332,128,$A332,1,100000000),"")</f>
        <v/>
      </c>
      <c r="T332" s="11">
        <f>[1]!b_issuer_shareholder(B332,"",1)</f>
        <v>0</v>
      </c>
      <c r="U332" s="10">
        <f>[1]!b_issuer_propofshareholder(B332,"",1)</f>
        <v>0</v>
      </c>
      <c r="V332" s="33" t="str">
        <f t="shared" si="11"/>
        <v>0</v>
      </c>
      <c r="W332" s="33">
        <f>[1]!s_info_city(B332)</f>
        <v>0</v>
      </c>
      <c r="X332" s="10">
        <f>IF([1]!s_stmnote_bank_17n(B332,$A332,1)="0","",[1]!s_stmnote_bank_17n(B332,$A332,1))</f>
        <v>0</v>
      </c>
      <c r="Y332" s="10">
        <f>IF([1]!s_stmnote_bank_18n(B332,$A332,1)="0","",[1]!s_stmnote_bank_18n(B332,$A332,1))</f>
        <v>0</v>
      </c>
      <c r="Z332" s="41">
        <f>IF([1]!s_stmnote_bank_58(B332,$A332,1)="0","",[1]!s_stmnote_bank_58(B332,$A332,1))</f>
        <v>0</v>
      </c>
      <c r="AA332" s="52">
        <f>IF([1]!s_stmnote_bank_60(B332,$A332,1)="0","",[1]!s_stmnote_bank_60(B332,$A332,1))</f>
        <v>0</v>
      </c>
      <c r="AB332" s="52">
        <f>[1]!s_stmnote_bank_5444(B332,$A332,1)</f>
        <v>0</v>
      </c>
      <c r="AC332" s="38">
        <f>[1]!s_stmnote_bank_129n($B332,$A332,1)</f>
        <v>0</v>
      </c>
      <c r="AD332" s="54">
        <f>[1]!s_stmnote_bank_30(B332,$A332,1)</f>
        <v>0</v>
      </c>
    </row>
    <row r="333" spans="1:30" ht="24">
      <c r="A333" s="1" t="s">
        <v>1110</v>
      </c>
      <c r="B333" s="87" t="s">
        <v>1441</v>
      </c>
      <c r="C333" s="8">
        <f>IF([1]!b_info_issuer(B333)="0","",IFERROR([1]!b_info_issuer(B333),""))</f>
        <v>0</v>
      </c>
      <c r="D333" s="11">
        <f>IF([1]!b_info_latestissurercreditrating(B333)="0","",IFERROR([1]!b_info_latestissurercreditrating(B333),""))</f>
        <v>0</v>
      </c>
      <c r="E333" s="27" t="str">
        <f>IFERROR(([1]!b_stm07_bs($B333,47,$A333,1,100000000))/[1]!b_stm07_bs($B333,109,$A333,1,100000000),"")</f>
        <v/>
      </c>
      <c r="F333" s="18" t="str">
        <f>IFERROR(([1]!s_stmnote_bank_26($B333,$A333,1,100000000)-[1]!s_stmnote_bank_26($B333,#REF!,1,100000000)+#REF!)/[1]!s_stmnote_bank_1n($B333,#REF!,1,100000000),"")</f>
        <v/>
      </c>
      <c r="G333" s="21" t="str">
        <f t="shared" si="10"/>
        <v/>
      </c>
      <c r="H333" s="18" t="str">
        <f>IFERROR([1]!s_stmnote_bank($B333,"34",$A333,100000000)/[1]!s_stmnote_bank_1n(B333,$A333,1,100000000),"")</f>
        <v/>
      </c>
      <c r="I333" s="25">
        <f>[1]!b_stm07_bs(B333,74,$A333,1,100000000)</f>
        <v>0</v>
      </c>
      <c r="J333" s="25">
        <f>[1]!b_stm07_bs(B333,109,$A333,1,100000000)</f>
        <v>0</v>
      </c>
      <c r="K333" s="10">
        <f>[1]!s_stmnote_bank_5n(B333,$A333,1)</f>
        <v>0</v>
      </c>
      <c r="L333" s="25">
        <f>[1]!s_stmnote_bank_23n(B333,$A333,1)</f>
        <v>0</v>
      </c>
      <c r="M333" s="25">
        <f>[1]!s_stmnote_bank_capadequacyratio(B333,$A333,1)</f>
        <v>0</v>
      </c>
      <c r="N333" s="25">
        <f>[1]!s_stmnote_bank_capadequacyratio_ct1(B333,$A333,1)</f>
        <v>0</v>
      </c>
      <c r="O333" s="6">
        <f>IF(OR([1]!s_fa_roe(B333,20201231)="0",[1]!s_fa_roe(B333,20211231)="0",[1]!s_fa_roe(B333,20221231)="0"),"",IFERROR(([1]!s_fa_roe(B333,20221231)+[1]!s_fa_roe(B333,20201231)+[1]!s_fa_roe(B333,20211231))/3,""))</f>
        <v>0</v>
      </c>
      <c r="P333" s="28" t="str">
        <f>IFERROR(([1]!s_stmnote_bank_65(B333,$A333,1,2,4,100000000)+[1]!s_stmnote_bank_65(B333,$A333,1,2,6,100000000))/[1]!s_stmnote_bank_1n(B333,$A333,1,100000000),"")</f>
        <v/>
      </c>
      <c r="Q333" s="28" t="str">
        <f>IFERROR([1]!s_stmnote_bank_614(B333,$A333,1,2,100000000)/[1]!s_stmnote_bank_647(B333,$A333,1,2,100000000),"")</f>
        <v/>
      </c>
      <c r="R333" s="28" t="str">
        <f>IFERROR(([1]!b_stm07_bs(B333,104,$A333,1,100000000)+[1]!b_stm07_bs(B333,106,$A333,1,100000000)+[1]!b_stm07_bs(B333,76,$A333,1,100000000)+[1]!b_stm07_bs(B333,108,$A333,1,100000000)+[1]!b_stm07_bs(B333,95,$A333,1,100000000))/[1]!b_stm07_bs(B333,128,$A333,1,100000000),"")</f>
        <v/>
      </c>
      <c r="S333" s="28" t="str">
        <f>IFERROR(([1]!s_stmnote_bank_614(B333,$A333,1,2,100000000)+[1]!b_stm07_bs(B333,104,$A333,1,100000000)+[1]!b_stm07_bs(B333,106,$A333,1,100000000)+[1]!b_stm07_bs(B333,76,$A333,1,100000000)+[1]!b_stm07_bs(B333,108,$A333,1,100000000)+[1]!b_stm07_bs(B333,95,$A333,1,100000000))/[1]!b_stm07_bs(B333,128,$A333,1,100000000),"")</f>
        <v/>
      </c>
      <c r="T333" s="11">
        <f>[1]!b_issuer_shareholder(B333,"",1)</f>
        <v>0</v>
      </c>
      <c r="U333" s="10">
        <f>[1]!b_issuer_propofshareholder(B333,"",1)</f>
        <v>0</v>
      </c>
      <c r="V333" s="33" t="str">
        <f t="shared" si="11"/>
        <v>0</v>
      </c>
      <c r="W333" s="33">
        <f>[1]!s_info_city(B333)</f>
        <v>0</v>
      </c>
      <c r="X333" s="10">
        <f>IF([1]!s_stmnote_bank_17n(B333,$A333,1)="0","",[1]!s_stmnote_bank_17n(B333,$A333,1))</f>
        <v>0</v>
      </c>
      <c r="Y333" s="10">
        <f>IF([1]!s_stmnote_bank_18n(B333,$A333,1)="0","",[1]!s_stmnote_bank_18n(B333,$A333,1))</f>
        <v>0</v>
      </c>
      <c r="Z333" s="41">
        <f>IF([1]!s_stmnote_bank_58(B333,$A333,1)="0","",[1]!s_stmnote_bank_58(B333,$A333,1))</f>
        <v>0</v>
      </c>
      <c r="AA333" s="52">
        <f>IF([1]!s_stmnote_bank_60(B333,$A333,1)="0","",[1]!s_stmnote_bank_60(B333,$A333,1))</f>
        <v>0</v>
      </c>
      <c r="AB333" s="52">
        <f>[1]!s_stmnote_bank_5444(B333,$A333,1)</f>
        <v>0</v>
      </c>
      <c r="AC333" s="38">
        <f>[1]!s_stmnote_bank_129n($B333,$A333,1)</f>
        <v>0</v>
      </c>
      <c r="AD333" s="54">
        <f>[1]!s_stmnote_bank_30(B333,$A333,1)</f>
        <v>0</v>
      </c>
    </row>
    <row r="334" spans="1:30" ht="24">
      <c r="A334" s="1" t="s">
        <v>1110</v>
      </c>
      <c r="B334" s="87" t="s">
        <v>1442</v>
      </c>
      <c r="C334" s="8">
        <f>IF([1]!b_info_issuer(B334)="0","",IFERROR([1]!b_info_issuer(B334),""))</f>
        <v>0</v>
      </c>
      <c r="D334" s="11">
        <f>IF([1]!b_info_latestissurercreditrating(B334)="0","",IFERROR([1]!b_info_latestissurercreditrating(B334),""))</f>
        <v>0</v>
      </c>
      <c r="E334" s="27" t="str">
        <f>IFERROR(([1]!b_stm07_bs($B334,47,$A334,1,100000000))/[1]!b_stm07_bs($B334,109,$A334,1,100000000),"")</f>
        <v/>
      </c>
      <c r="F334" s="18" t="str">
        <f>IFERROR(([1]!s_stmnote_bank_26($B334,$A334,1,100000000)-[1]!s_stmnote_bank_26($B334,#REF!,1,100000000)+#REF!)/[1]!s_stmnote_bank_1n($B334,#REF!,1,100000000),"")</f>
        <v/>
      </c>
      <c r="G334" s="21" t="str">
        <f t="shared" si="10"/>
        <v/>
      </c>
      <c r="H334" s="18" t="str">
        <f>IFERROR([1]!s_stmnote_bank($B334,"34",$A334,100000000)/[1]!s_stmnote_bank_1n(B334,$A334,1,100000000),"")</f>
        <v/>
      </c>
      <c r="I334" s="25">
        <f>[1]!b_stm07_bs(B334,74,$A334,1,100000000)</f>
        <v>0</v>
      </c>
      <c r="J334" s="25">
        <f>[1]!b_stm07_bs(B334,109,$A334,1,100000000)</f>
        <v>0</v>
      </c>
      <c r="K334" s="10">
        <f>[1]!s_stmnote_bank_5n(B334,$A334,1)</f>
        <v>0</v>
      </c>
      <c r="L334" s="25">
        <f>[1]!s_stmnote_bank_23n(B334,$A334,1)</f>
        <v>0</v>
      </c>
      <c r="M334" s="25">
        <f>[1]!s_stmnote_bank_capadequacyratio(B334,$A334,1)</f>
        <v>0</v>
      </c>
      <c r="N334" s="25">
        <f>[1]!s_stmnote_bank_capadequacyratio_ct1(B334,$A334,1)</f>
        <v>0</v>
      </c>
      <c r="O334" s="6">
        <f>IF(OR([1]!s_fa_roe(B334,20201231)="0",[1]!s_fa_roe(B334,20211231)="0",[1]!s_fa_roe(B334,20221231)="0"),"",IFERROR(([1]!s_fa_roe(B334,20221231)+[1]!s_fa_roe(B334,20201231)+[1]!s_fa_roe(B334,20211231))/3,""))</f>
        <v>0</v>
      </c>
      <c r="P334" s="28" t="str">
        <f>IFERROR(([1]!s_stmnote_bank_65(B334,$A334,1,2,4,100000000)+[1]!s_stmnote_bank_65(B334,$A334,1,2,6,100000000))/[1]!s_stmnote_bank_1n(B334,$A334,1,100000000),"")</f>
        <v/>
      </c>
      <c r="Q334" s="28" t="str">
        <f>IFERROR([1]!s_stmnote_bank_614(B334,$A334,1,2,100000000)/[1]!s_stmnote_bank_647(B334,$A334,1,2,100000000),"")</f>
        <v/>
      </c>
      <c r="R334" s="28" t="str">
        <f>IFERROR(([1]!b_stm07_bs(B334,104,$A334,1,100000000)+[1]!b_stm07_bs(B334,106,$A334,1,100000000)+[1]!b_stm07_bs(B334,76,$A334,1,100000000)+[1]!b_stm07_bs(B334,108,$A334,1,100000000)+[1]!b_stm07_bs(B334,95,$A334,1,100000000))/[1]!b_stm07_bs(B334,128,$A334,1,100000000),"")</f>
        <v/>
      </c>
      <c r="S334" s="28" t="str">
        <f>IFERROR(([1]!s_stmnote_bank_614(B334,$A334,1,2,100000000)+[1]!b_stm07_bs(B334,104,$A334,1,100000000)+[1]!b_stm07_bs(B334,106,$A334,1,100000000)+[1]!b_stm07_bs(B334,76,$A334,1,100000000)+[1]!b_stm07_bs(B334,108,$A334,1,100000000)+[1]!b_stm07_bs(B334,95,$A334,1,100000000))/[1]!b_stm07_bs(B334,128,$A334,1,100000000),"")</f>
        <v/>
      </c>
      <c r="T334" s="11">
        <f>[1]!b_issuer_shareholder(B334,"",1)</f>
        <v>0</v>
      </c>
      <c r="U334" s="10">
        <f>[1]!b_issuer_propofshareholder(B334,"",1)</f>
        <v>0</v>
      </c>
      <c r="V334" s="33" t="str">
        <f t="shared" si="11"/>
        <v>0</v>
      </c>
      <c r="W334" s="33">
        <f>[1]!s_info_city(B334)</f>
        <v>0</v>
      </c>
      <c r="X334" s="10">
        <f>IF([1]!s_stmnote_bank_17n(B334,$A334,1)="0","",[1]!s_stmnote_bank_17n(B334,$A334,1))</f>
        <v>0</v>
      </c>
      <c r="Y334" s="10">
        <f>IF([1]!s_stmnote_bank_18n(B334,$A334,1)="0","",[1]!s_stmnote_bank_18n(B334,$A334,1))</f>
        <v>0</v>
      </c>
      <c r="Z334" s="41">
        <f>IF([1]!s_stmnote_bank_58(B334,$A334,1)="0","",[1]!s_stmnote_bank_58(B334,$A334,1))</f>
        <v>0</v>
      </c>
      <c r="AA334" s="52">
        <f>IF([1]!s_stmnote_bank_60(B334,$A334,1)="0","",[1]!s_stmnote_bank_60(B334,$A334,1))</f>
        <v>0</v>
      </c>
      <c r="AB334" s="52">
        <f>[1]!s_stmnote_bank_5444(B334,$A334,1)</f>
        <v>0</v>
      </c>
      <c r="AC334" s="38">
        <f>[1]!s_stmnote_bank_129n($B334,$A334,1)</f>
        <v>0</v>
      </c>
      <c r="AD334" s="54">
        <f>[1]!s_stmnote_bank_30(B334,$A334,1)</f>
        <v>0</v>
      </c>
    </row>
    <row r="335" spans="1:30" ht="24">
      <c r="A335" s="1" t="s">
        <v>1110</v>
      </c>
      <c r="B335" s="87" t="s">
        <v>1443</v>
      </c>
      <c r="C335" s="8">
        <f>IF([1]!b_info_issuer(B335)="0","",IFERROR([1]!b_info_issuer(B335),""))</f>
        <v>0</v>
      </c>
      <c r="D335" s="11">
        <f>IF([1]!b_info_latestissurercreditrating(B335)="0","",IFERROR([1]!b_info_latestissurercreditrating(B335),""))</f>
        <v>0</v>
      </c>
      <c r="E335" s="27" t="str">
        <f>IFERROR(([1]!b_stm07_bs($B335,47,$A335,1,100000000))/[1]!b_stm07_bs($B335,109,$A335,1,100000000),"")</f>
        <v/>
      </c>
      <c r="F335" s="18" t="str">
        <f>IFERROR(([1]!s_stmnote_bank_26($B335,$A335,1,100000000)-[1]!s_stmnote_bank_26($B335,#REF!,1,100000000)+#REF!)/[1]!s_stmnote_bank_1n($B335,#REF!,1,100000000),"")</f>
        <v/>
      </c>
      <c r="G335" s="21" t="str">
        <f t="shared" si="10"/>
        <v/>
      </c>
      <c r="H335" s="18" t="str">
        <f>IFERROR([1]!s_stmnote_bank($B335,"34",$A335,100000000)/[1]!s_stmnote_bank_1n(B335,$A335,1,100000000),"")</f>
        <v/>
      </c>
      <c r="I335" s="25">
        <f>[1]!b_stm07_bs(B335,74,$A335,1,100000000)</f>
        <v>0</v>
      </c>
      <c r="J335" s="25">
        <f>[1]!b_stm07_bs(B335,109,$A335,1,100000000)</f>
        <v>0</v>
      </c>
      <c r="K335" s="10">
        <f>[1]!s_stmnote_bank_5n(B335,$A335,1)</f>
        <v>0</v>
      </c>
      <c r="L335" s="25">
        <f>[1]!s_stmnote_bank_23n(B335,$A335,1)</f>
        <v>0</v>
      </c>
      <c r="M335" s="25">
        <f>[1]!s_stmnote_bank_capadequacyratio(B335,$A335,1)</f>
        <v>0</v>
      </c>
      <c r="N335" s="25">
        <f>[1]!s_stmnote_bank_capadequacyratio_ct1(B335,$A335,1)</f>
        <v>0</v>
      </c>
      <c r="O335" s="6">
        <f>IF(OR([1]!s_fa_roe(B335,20201231)="0",[1]!s_fa_roe(B335,20211231)="0",[1]!s_fa_roe(B335,20221231)="0"),"",IFERROR(([1]!s_fa_roe(B335,20221231)+[1]!s_fa_roe(B335,20201231)+[1]!s_fa_roe(B335,20211231))/3,""))</f>
        <v>0</v>
      </c>
      <c r="P335" s="28" t="str">
        <f>IFERROR(([1]!s_stmnote_bank_65(B335,$A335,1,2,4,100000000)+[1]!s_stmnote_bank_65(B335,$A335,1,2,6,100000000))/[1]!s_stmnote_bank_1n(B335,$A335,1,100000000),"")</f>
        <v/>
      </c>
      <c r="Q335" s="28" t="str">
        <f>IFERROR([1]!s_stmnote_bank_614(B335,$A335,1,2,100000000)/[1]!s_stmnote_bank_647(B335,$A335,1,2,100000000),"")</f>
        <v/>
      </c>
      <c r="R335" s="28" t="str">
        <f>IFERROR(([1]!b_stm07_bs(B335,104,$A335,1,100000000)+[1]!b_stm07_bs(B335,106,$A335,1,100000000)+[1]!b_stm07_bs(B335,76,$A335,1,100000000)+[1]!b_stm07_bs(B335,108,$A335,1,100000000)+[1]!b_stm07_bs(B335,95,$A335,1,100000000))/[1]!b_stm07_bs(B335,128,$A335,1,100000000),"")</f>
        <v/>
      </c>
      <c r="S335" s="28" t="str">
        <f>IFERROR(([1]!s_stmnote_bank_614(B335,$A335,1,2,100000000)+[1]!b_stm07_bs(B335,104,$A335,1,100000000)+[1]!b_stm07_bs(B335,106,$A335,1,100000000)+[1]!b_stm07_bs(B335,76,$A335,1,100000000)+[1]!b_stm07_bs(B335,108,$A335,1,100000000)+[1]!b_stm07_bs(B335,95,$A335,1,100000000))/[1]!b_stm07_bs(B335,128,$A335,1,100000000),"")</f>
        <v/>
      </c>
      <c r="T335" s="11">
        <f>[1]!b_issuer_shareholder(B335,"",1)</f>
        <v>0</v>
      </c>
      <c r="U335" s="10">
        <f>[1]!b_issuer_propofshareholder(B335,"",1)</f>
        <v>0</v>
      </c>
      <c r="V335" s="33" t="str">
        <f t="shared" si="11"/>
        <v>0</v>
      </c>
      <c r="W335" s="33">
        <f>[1]!s_info_city(B335)</f>
        <v>0</v>
      </c>
      <c r="X335" s="10">
        <f>IF([1]!s_stmnote_bank_17n(B335,$A335,1)="0","",[1]!s_stmnote_bank_17n(B335,$A335,1))</f>
        <v>0</v>
      </c>
      <c r="Y335" s="10">
        <f>IF([1]!s_stmnote_bank_18n(B335,$A335,1)="0","",[1]!s_stmnote_bank_18n(B335,$A335,1))</f>
        <v>0</v>
      </c>
      <c r="Z335" s="41">
        <f>IF([1]!s_stmnote_bank_58(B335,$A335,1)="0","",[1]!s_stmnote_bank_58(B335,$A335,1))</f>
        <v>0</v>
      </c>
      <c r="AA335" s="52">
        <f>IF([1]!s_stmnote_bank_60(B335,$A335,1)="0","",[1]!s_stmnote_bank_60(B335,$A335,1))</f>
        <v>0</v>
      </c>
      <c r="AB335" s="52">
        <f>[1]!s_stmnote_bank_5444(B335,$A335,1)</f>
        <v>0</v>
      </c>
      <c r="AC335" s="38">
        <f>[1]!s_stmnote_bank_129n($B335,$A335,1)</f>
        <v>0</v>
      </c>
      <c r="AD335" s="54">
        <f>[1]!s_stmnote_bank_30(B335,$A335,1)</f>
        <v>0</v>
      </c>
    </row>
    <row r="336" spans="1:30" ht="24">
      <c r="A336" s="1" t="s">
        <v>1110</v>
      </c>
      <c r="B336" s="87" t="s">
        <v>1444</v>
      </c>
      <c r="C336" s="8">
        <f>IF([1]!b_info_issuer(B336)="0","",IFERROR([1]!b_info_issuer(B336),""))</f>
        <v>0</v>
      </c>
      <c r="D336" s="11">
        <f>IF([1]!b_info_latestissurercreditrating(B336)="0","",IFERROR([1]!b_info_latestissurercreditrating(B336),""))</f>
        <v>0</v>
      </c>
      <c r="E336" s="27" t="str">
        <f>IFERROR(([1]!b_stm07_bs($B336,47,$A336,1,100000000))/[1]!b_stm07_bs($B336,109,$A336,1,100000000),"")</f>
        <v/>
      </c>
      <c r="F336" s="18" t="str">
        <f>IFERROR(([1]!s_stmnote_bank_26($B336,$A336,1,100000000)-[1]!s_stmnote_bank_26($B336,#REF!,1,100000000)+#REF!)/[1]!s_stmnote_bank_1n($B336,#REF!,1,100000000),"")</f>
        <v/>
      </c>
      <c r="G336" s="21" t="str">
        <f t="shared" si="10"/>
        <v/>
      </c>
      <c r="H336" s="18" t="str">
        <f>IFERROR([1]!s_stmnote_bank($B336,"34",$A336,100000000)/[1]!s_stmnote_bank_1n(B336,$A336,1,100000000),"")</f>
        <v/>
      </c>
      <c r="I336" s="25">
        <f>[1]!b_stm07_bs(B336,74,$A336,1,100000000)</f>
        <v>0</v>
      </c>
      <c r="J336" s="25">
        <f>[1]!b_stm07_bs(B336,109,$A336,1,100000000)</f>
        <v>0</v>
      </c>
      <c r="K336" s="10">
        <f>[1]!s_stmnote_bank_5n(B336,$A336,1)</f>
        <v>0</v>
      </c>
      <c r="L336" s="25">
        <f>[1]!s_stmnote_bank_23n(B336,$A336,1)</f>
        <v>0</v>
      </c>
      <c r="M336" s="25">
        <f>[1]!s_stmnote_bank_capadequacyratio(B336,$A336,1)</f>
        <v>0</v>
      </c>
      <c r="N336" s="25">
        <f>[1]!s_stmnote_bank_capadequacyratio_ct1(B336,$A336,1)</f>
        <v>0</v>
      </c>
      <c r="O336" s="6">
        <f>IF(OR([1]!s_fa_roe(B336,20201231)="0",[1]!s_fa_roe(B336,20211231)="0",[1]!s_fa_roe(B336,20221231)="0"),"",IFERROR(([1]!s_fa_roe(B336,20221231)+[1]!s_fa_roe(B336,20201231)+[1]!s_fa_roe(B336,20211231))/3,""))</f>
        <v>0</v>
      </c>
      <c r="P336" s="28" t="str">
        <f>IFERROR(([1]!s_stmnote_bank_65(B336,$A336,1,2,4,100000000)+[1]!s_stmnote_bank_65(B336,$A336,1,2,6,100000000))/[1]!s_stmnote_bank_1n(B336,$A336,1,100000000),"")</f>
        <v/>
      </c>
      <c r="Q336" s="28" t="str">
        <f>IFERROR([1]!s_stmnote_bank_614(B336,$A336,1,2,100000000)/[1]!s_stmnote_bank_647(B336,$A336,1,2,100000000),"")</f>
        <v/>
      </c>
      <c r="R336" s="28" t="str">
        <f>IFERROR(([1]!b_stm07_bs(B336,104,$A336,1,100000000)+[1]!b_stm07_bs(B336,106,$A336,1,100000000)+[1]!b_stm07_bs(B336,76,$A336,1,100000000)+[1]!b_stm07_bs(B336,108,$A336,1,100000000)+[1]!b_stm07_bs(B336,95,$A336,1,100000000))/[1]!b_stm07_bs(B336,128,$A336,1,100000000),"")</f>
        <v/>
      </c>
      <c r="S336" s="28" t="str">
        <f>IFERROR(([1]!s_stmnote_bank_614(B336,$A336,1,2,100000000)+[1]!b_stm07_bs(B336,104,$A336,1,100000000)+[1]!b_stm07_bs(B336,106,$A336,1,100000000)+[1]!b_stm07_bs(B336,76,$A336,1,100000000)+[1]!b_stm07_bs(B336,108,$A336,1,100000000)+[1]!b_stm07_bs(B336,95,$A336,1,100000000))/[1]!b_stm07_bs(B336,128,$A336,1,100000000),"")</f>
        <v/>
      </c>
      <c r="T336" s="11">
        <f>[1]!b_issuer_shareholder(B336,"",1)</f>
        <v>0</v>
      </c>
      <c r="U336" s="10">
        <f>[1]!b_issuer_propofshareholder(B336,"",1)</f>
        <v>0</v>
      </c>
      <c r="V336" s="33" t="str">
        <f t="shared" si="11"/>
        <v>0</v>
      </c>
      <c r="W336" s="33">
        <f>[1]!s_info_city(B336)</f>
        <v>0</v>
      </c>
      <c r="X336" s="10">
        <f>IF([1]!s_stmnote_bank_17n(B336,$A336,1)="0","",[1]!s_stmnote_bank_17n(B336,$A336,1))</f>
        <v>0</v>
      </c>
      <c r="Y336" s="10">
        <f>IF([1]!s_stmnote_bank_18n(B336,$A336,1)="0","",[1]!s_stmnote_bank_18n(B336,$A336,1))</f>
        <v>0</v>
      </c>
      <c r="Z336" s="41">
        <f>IF([1]!s_stmnote_bank_58(B336,$A336,1)="0","",[1]!s_stmnote_bank_58(B336,$A336,1))</f>
        <v>0</v>
      </c>
      <c r="AA336" s="52">
        <f>IF([1]!s_stmnote_bank_60(B336,$A336,1)="0","",[1]!s_stmnote_bank_60(B336,$A336,1))</f>
        <v>0</v>
      </c>
      <c r="AB336" s="52">
        <f>[1]!s_stmnote_bank_5444(B336,$A336,1)</f>
        <v>0</v>
      </c>
      <c r="AC336" s="38">
        <f>[1]!s_stmnote_bank_129n($B336,$A336,1)</f>
        <v>0</v>
      </c>
      <c r="AD336" s="54">
        <f>[1]!s_stmnote_bank_30(B336,$A336,1)</f>
        <v>0</v>
      </c>
    </row>
    <row r="337" spans="1:30" ht="24">
      <c r="A337" s="1" t="s">
        <v>1110</v>
      </c>
      <c r="B337" s="87" t="s">
        <v>1445</v>
      </c>
      <c r="C337" s="8">
        <f>IF([1]!b_info_issuer(B337)="0","",IFERROR([1]!b_info_issuer(B337),""))</f>
        <v>0</v>
      </c>
      <c r="D337" s="11">
        <f>IF([1]!b_info_latestissurercreditrating(B337)="0","",IFERROR([1]!b_info_latestissurercreditrating(B337),""))</f>
        <v>0</v>
      </c>
      <c r="E337" s="27" t="str">
        <f>IFERROR(([1]!b_stm07_bs($B337,47,$A337,1,100000000))/[1]!b_stm07_bs($B337,109,$A337,1,100000000),"")</f>
        <v/>
      </c>
      <c r="F337" s="18" t="str">
        <f>IFERROR(([1]!s_stmnote_bank_26($B337,$A337,1,100000000)-[1]!s_stmnote_bank_26($B337,#REF!,1,100000000)+#REF!)/[1]!s_stmnote_bank_1n($B337,#REF!,1,100000000),"")</f>
        <v/>
      </c>
      <c r="G337" s="21" t="str">
        <f t="shared" si="10"/>
        <v/>
      </c>
      <c r="H337" s="18" t="str">
        <f>IFERROR([1]!s_stmnote_bank($B337,"34",$A337,100000000)/[1]!s_stmnote_bank_1n(B337,$A337,1,100000000),"")</f>
        <v/>
      </c>
      <c r="I337" s="25">
        <f>[1]!b_stm07_bs(B337,74,$A337,1,100000000)</f>
        <v>0</v>
      </c>
      <c r="J337" s="25">
        <f>[1]!b_stm07_bs(B337,109,$A337,1,100000000)</f>
        <v>0</v>
      </c>
      <c r="K337" s="10">
        <f>[1]!s_stmnote_bank_5n(B337,$A337,1)</f>
        <v>0</v>
      </c>
      <c r="L337" s="25">
        <f>[1]!s_stmnote_bank_23n(B337,$A337,1)</f>
        <v>0</v>
      </c>
      <c r="M337" s="25">
        <f>[1]!s_stmnote_bank_capadequacyratio(B337,$A337,1)</f>
        <v>0</v>
      </c>
      <c r="N337" s="25">
        <f>[1]!s_stmnote_bank_capadequacyratio_ct1(B337,$A337,1)</f>
        <v>0</v>
      </c>
      <c r="O337" s="6">
        <f>IF(OR([1]!s_fa_roe(B337,20201231)="0",[1]!s_fa_roe(B337,20211231)="0",[1]!s_fa_roe(B337,20221231)="0"),"",IFERROR(([1]!s_fa_roe(B337,20221231)+[1]!s_fa_roe(B337,20201231)+[1]!s_fa_roe(B337,20211231))/3,""))</f>
        <v>0</v>
      </c>
      <c r="P337" s="28" t="str">
        <f>IFERROR(([1]!s_stmnote_bank_65(B337,$A337,1,2,4,100000000)+[1]!s_stmnote_bank_65(B337,$A337,1,2,6,100000000))/[1]!s_stmnote_bank_1n(B337,$A337,1,100000000),"")</f>
        <v/>
      </c>
      <c r="Q337" s="28" t="str">
        <f>IFERROR([1]!s_stmnote_bank_614(B337,$A337,1,2,100000000)/[1]!s_stmnote_bank_647(B337,$A337,1,2,100000000),"")</f>
        <v/>
      </c>
      <c r="R337" s="28" t="str">
        <f>IFERROR(([1]!b_stm07_bs(B337,104,$A337,1,100000000)+[1]!b_stm07_bs(B337,106,$A337,1,100000000)+[1]!b_stm07_bs(B337,76,$A337,1,100000000)+[1]!b_stm07_bs(B337,108,$A337,1,100000000)+[1]!b_stm07_bs(B337,95,$A337,1,100000000))/[1]!b_stm07_bs(B337,128,$A337,1,100000000),"")</f>
        <v/>
      </c>
      <c r="S337" s="28" t="str">
        <f>IFERROR(([1]!s_stmnote_bank_614(B337,$A337,1,2,100000000)+[1]!b_stm07_bs(B337,104,$A337,1,100000000)+[1]!b_stm07_bs(B337,106,$A337,1,100000000)+[1]!b_stm07_bs(B337,76,$A337,1,100000000)+[1]!b_stm07_bs(B337,108,$A337,1,100000000)+[1]!b_stm07_bs(B337,95,$A337,1,100000000))/[1]!b_stm07_bs(B337,128,$A337,1,100000000),"")</f>
        <v/>
      </c>
      <c r="T337" s="11">
        <f>[1]!b_issuer_shareholder(B337,"",1)</f>
        <v>0</v>
      </c>
      <c r="U337" s="10">
        <f>[1]!b_issuer_propofshareholder(B337,"",1)</f>
        <v>0</v>
      </c>
      <c r="V337" s="33" t="str">
        <f t="shared" si="11"/>
        <v>0</v>
      </c>
      <c r="W337" s="33">
        <f>[1]!s_info_city(B337)</f>
        <v>0</v>
      </c>
      <c r="X337" s="10">
        <f>IF([1]!s_stmnote_bank_17n(B337,$A337,1)="0","",[1]!s_stmnote_bank_17n(B337,$A337,1))</f>
        <v>0</v>
      </c>
      <c r="Y337" s="10">
        <f>IF([1]!s_stmnote_bank_18n(B337,$A337,1)="0","",[1]!s_stmnote_bank_18n(B337,$A337,1))</f>
        <v>0</v>
      </c>
      <c r="Z337" s="41">
        <f>IF([1]!s_stmnote_bank_58(B337,$A337,1)="0","",[1]!s_stmnote_bank_58(B337,$A337,1))</f>
        <v>0</v>
      </c>
      <c r="AA337" s="52">
        <f>IF([1]!s_stmnote_bank_60(B337,$A337,1)="0","",[1]!s_stmnote_bank_60(B337,$A337,1))</f>
        <v>0</v>
      </c>
      <c r="AB337" s="52">
        <f>[1]!s_stmnote_bank_5444(B337,$A337,1)</f>
        <v>0</v>
      </c>
      <c r="AC337" s="38">
        <f>[1]!s_stmnote_bank_129n($B337,$A337,1)</f>
        <v>0</v>
      </c>
      <c r="AD337" s="54">
        <f>[1]!s_stmnote_bank_30(B337,$A337,1)</f>
        <v>0</v>
      </c>
    </row>
    <row r="338" spans="1:30" ht="24">
      <c r="A338" s="1" t="s">
        <v>1110</v>
      </c>
      <c r="B338" s="87" t="s">
        <v>1446</v>
      </c>
      <c r="C338" s="8">
        <f>IF([1]!b_info_issuer(B338)="0","",IFERROR([1]!b_info_issuer(B338),""))</f>
        <v>0</v>
      </c>
      <c r="D338" s="11">
        <f>IF([1]!b_info_latestissurercreditrating(B338)="0","",IFERROR([1]!b_info_latestissurercreditrating(B338),""))</f>
        <v>0</v>
      </c>
      <c r="E338" s="27" t="str">
        <f>IFERROR(([1]!b_stm07_bs($B338,47,$A338,1,100000000))/[1]!b_stm07_bs($B338,109,$A338,1,100000000),"")</f>
        <v/>
      </c>
      <c r="F338" s="18" t="str">
        <f>IFERROR(([1]!s_stmnote_bank_26($B338,$A338,1,100000000)-[1]!s_stmnote_bank_26($B338,#REF!,1,100000000)+#REF!)/[1]!s_stmnote_bank_1n($B338,#REF!,1,100000000),"")</f>
        <v/>
      </c>
      <c r="G338" s="21" t="str">
        <f t="shared" si="10"/>
        <v/>
      </c>
      <c r="H338" s="18" t="str">
        <f>IFERROR([1]!s_stmnote_bank($B338,"34",$A338,100000000)/[1]!s_stmnote_bank_1n(B338,$A338,1,100000000),"")</f>
        <v/>
      </c>
      <c r="I338" s="25">
        <f>[1]!b_stm07_bs(B338,74,$A338,1,100000000)</f>
        <v>0</v>
      </c>
      <c r="J338" s="25">
        <f>[1]!b_stm07_bs(B338,109,$A338,1,100000000)</f>
        <v>0</v>
      </c>
      <c r="K338" s="10">
        <f>[1]!s_stmnote_bank_5n(B338,$A338,1)</f>
        <v>0</v>
      </c>
      <c r="L338" s="25">
        <f>[1]!s_stmnote_bank_23n(B338,$A338,1)</f>
        <v>0</v>
      </c>
      <c r="M338" s="25">
        <f>[1]!s_stmnote_bank_capadequacyratio(B338,$A338,1)</f>
        <v>0</v>
      </c>
      <c r="N338" s="25">
        <f>[1]!s_stmnote_bank_capadequacyratio_ct1(B338,$A338,1)</f>
        <v>0</v>
      </c>
      <c r="O338" s="6">
        <f>IF(OR([1]!s_fa_roe(B338,20201231)="0",[1]!s_fa_roe(B338,20211231)="0",[1]!s_fa_roe(B338,20221231)="0"),"",IFERROR(([1]!s_fa_roe(B338,20221231)+[1]!s_fa_roe(B338,20201231)+[1]!s_fa_roe(B338,20211231))/3,""))</f>
        <v>0</v>
      </c>
      <c r="P338" s="28" t="str">
        <f>IFERROR(([1]!s_stmnote_bank_65(B338,$A338,1,2,4,100000000)+[1]!s_stmnote_bank_65(B338,$A338,1,2,6,100000000))/[1]!s_stmnote_bank_1n(B338,$A338,1,100000000),"")</f>
        <v/>
      </c>
      <c r="Q338" s="28" t="str">
        <f>IFERROR([1]!s_stmnote_bank_614(B338,$A338,1,2,100000000)/[1]!s_stmnote_bank_647(B338,$A338,1,2,100000000),"")</f>
        <v/>
      </c>
      <c r="R338" s="28" t="str">
        <f>IFERROR(([1]!b_stm07_bs(B338,104,$A338,1,100000000)+[1]!b_stm07_bs(B338,106,$A338,1,100000000)+[1]!b_stm07_bs(B338,76,$A338,1,100000000)+[1]!b_stm07_bs(B338,108,$A338,1,100000000)+[1]!b_stm07_bs(B338,95,$A338,1,100000000))/[1]!b_stm07_bs(B338,128,$A338,1,100000000),"")</f>
        <v/>
      </c>
      <c r="S338" s="28" t="str">
        <f>IFERROR(([1]!s_stmnote_bank_614(B338,$A338,1,2,100000000)+[1]!b_stm07_bs(B338,104,$A338,1,100000000)+[1]!b_stm07_bs(B338,106,$A338,1,100000000)+[1]!b_stm07_bs(B338,76,$A338,1,100000000)+[1]!b_stm07_bs(B338,108,$A338,1,100000000)+[1]!b_stm07_bs(B338,95,$A338,1,100000000))/[1]!b_stm07_bs(B338,128,$A338,1,100000000),"")</f>
        <v/>
      </c>
      <c r="T338" s="11">
        <f>[1]!b_issuer_shareholder(B338,"",1)</f>
        <v>0</v>
      </c>
      <c r="U338" s="10">
        <f>[1]!b_issuer_propofshareholder(B338,"",1)</f>
        <v>0</v>
      </c>
      <c r="V338" s="33" t="str">
        <f t="shared" si="11"/>
        <v>0</v>
      </c>
      <c r="W338" s="33">
        <f>[1]!s_info_city(B338)</f>
        <v>0</v>
      </c>
      <c r="X338" s="10">
        <f>IF([1]!s_stmnote_bank_17n(B338,$A338,1)="0","",[1]!s_stmnote_bank_17n(B338,$A338,1))</f>
        <v>0</v>
      </c>
      <c r="Y338" s="10">
        <f>IF([1]!s_stmnote_bank_18n(B338,$A338,1)="0","",[1]!s_stmnote_bank_18n(B338,$A338,1))</f>
        <v>0</v>
      </c>
      <c r="Z338" s="41">
        <f>IF([1]!s_stmnote_bank_58(B338,$A338,1)="0","",[1]!s_stmnote_bank_58(B338,$A338,1))</f>
        <v>0</v>
      </c>
      <c r="AA338" s="52">
        <f>IF([1]!s_stmnote_bank_60(B338,$A338,1)="0","",[1]!s_stmnote_bank_60(B338,$A338,1))</f>
        <v>0</v>
      </c>
      <c r="AB338" s="52">
        <f>[1]!s_stmnote_bank_5444(B338,$A338,1)</f>
        <v>0</v>
      </c>
      <c r="AC338" s="38">
        <f>[1]!s_stmnote_bank_129n($B338,$A338,1)</f>
        <v>0</v>
      </c>
      <c r="AD338" s="54">
        <f>[1]!s_stmnote_bank_30(B338,$A338,1)</f>
        <v>0</v>
      </c>
    </row>
    <row r="339" spans="1:30" ht="24">
      <c r="A339" s="1" t="s">
        <v>1110</v>
      </c>
      <c r="B339" s="87" t="s">
        <v>1447</v>
      </c>
      <c r="C339" s="8">
        <f>IF([1]!b_info_issuer(B339)="0","",IFERROR([1]!b_info_issuer(B339),""))</f>
        <v>0</v>
      </c>
      <c r="D339" s="11">
        <f>IF([1]!b_info_latestissurercreditrating(B339)="0","",IFERROR([1]!b_info_latestissurercreditrating(B339),""))</f>
        <v>0</v>
      </c>
      <c r="E339" s="27" t="str">
        <f>IFERROR(([1]!b_stm07_bs($B339,47,$A339,1,100000000))/[1]!b_stm07_bs($B339,109,$A339,1,100000000),"")</f>
        <v/>
      </c>
      <c r="F339" s="18" t="str">
        <f>IFERROR(([1]!s_stmnote_bank_26($B339,$A339,1,100000000)-[1]!s_stmnote_bank_26($B339,#REF!,1,100000000)+#REF!)/[1]!s_stmnote_bank_1n($B339,#REF!,1,100000000),"")</f>
        <v/>
      </c>
      <c r="G339" s="21" t="str">
        <f t="shared" si="10"/>
        <v/>
      </c>
      <c r="H339" s="18" t="str">
        <f>IFERROR([1]!s_stmnote_bank($B339,"34",$A339,100000000)/[1]!s_stmnote_bank_1n(B339,$A339,1,100000000),"")</f>
        <v/>
      </c>
      <c r="I339" s="25">
        <f>[1]!b_stm07_bs(B339,74,$A339,1,100000000)</f>
        <v>0</v>
      </c>
      <c r="J339" s="25">
        <f>[1]!b_stm07_bs(B339,109,$A339,1,100000000)</f>
        <v>0</v>
      </c>
      <c r="K339" s="10">
        <f>[1]!s_stmnote_bank_5n(B339,$A339,1)</f>
        <v>0</v>
      </c>
      <c r="L339" s="25">
        <f>[1]!s_stmnote_bank_23n(B339,$A339,1)</f>
        <v>0</v>
      </c>
      <c r="M339" s="25">
        <f>[1]!s_stmnote_bank_capadequacyratio(B339,$A339,1)</f>
        <v>0</v>
      </c>
      <c r="N339" s="25">
        <f>[1]!s_stmnote_bank_capadequacyratio_ct1(B339,$A339,1)</f>
        <v>0</v>
      </c>
      <c r="O339" s="6">
        <f>IF(OR([1]!s_fa_roe(B339,20201231)="0",[1]!s_fa_roe(B339,20211231)="0",[1]!s_fa_roe(B339,20221231)="0"),"",IFERROR(([1]!s_fa_roe(B339,20221231)+[1]!s_fa_roe(B339,20201231)+[1]!s_fa_roe(B339,20211231))/3,""))</f>
        <v>0</v>
      </c>
      <c r="P339" s="28" t="str">
        <f>IFERROR(([1]!s_stmnote_bank_65(B339,$A339,1,2,4,100000000)+[1]!s_stmnote_bank_65(B339,$A339,1,2,6,100000000))/[1]!s_stmnote_bank_1n(B339,$A339,1,100000000),"")</f>
        <v/>
      </c>
      <c r="Q339" s="28" t="str">
        <f>IFERROR([1]!s_stmnote_bank_614(B339,$A339,1,2,100000000)/[1]!s_stmnote_bank_647(B339,$A339,1,2,100000000),"")</f>
        <v/>
      </c>
      <c r="R339" s="28" t="str">
        <f>IFERROR(([1]!b_stm07_bs(B339,104,$A339,1,100000000)+[1]!b_stm07_bs(B339,106,$A339,1,100000000)+[1]!b_stm07_bs(B339,76,$A339,1,100000000)+[1]!b_stm07_bs(B339,108,$A339,1,100000000)+[1]!b_stm07_bs(B339,95,$A339,1,100000000))/[1]!b_stm07_bs(B339,128,$A339,1,100000000),"")</f>
        <v/>
      </c>
      <c r="S339" s="28" t="str">
        <f>IFERROR(([1]!s_stmnote_bank_614(B339,$A339,1,2,100000000)+[1]!b_stm07_bs(B339,104,$A339,1,100000000)+[1]!b_stm07_bs(B339,106,$A339,1,100000000)+[1]!b_stm07_bs(B339,76,$A339,1,100000000)+[1]!b_stm07_bs(B339,108,$A339,1,100000000)+[1]!b_stm07_bs(B339,95,$A339,1,100000000))/[1]!b_stm07_bs(B339,128,$A339,1,100000000),"")</f>
        <v/>
      </c>
      <c r="T339" s="11">
        <f>[1]!b_issuer_shareholder(B339,"",1)</f>
        <v>0</v>
      </c>
      <c r="U339" s="10">
        <f>[1]!b_issuer_propofshareholder(B339,"",1)</f>
        <v>0</v>
      </c>
      <c r="V339" s="33" t="str">
        <f t="shared" si="11"/>
        <v>0</v>
      </c>
      <c r="W339" s="33">
        <f>[1]!s_info_city(B339)</f>
        <v>0</v>
      </c>
      <c r="X339" s="10">
        <f>IF([1]!s_stmnote_bank_17n(B339,$A339,1)="0","",[1]!s_stmnote_bank_17n(B339,$A339,1))</f>
        <v>0</v>
      </c>
      <c r="Y339" s="10">
        <f>IF([1]!s_stmnote_bank_18n(B339,$A339,1)="0","",[1]!s_stmnote_bank_18n(B339,$A339,1))</f>
        <v>0</v>
      </c>
      <c r="Z339" s="41">
        <f>IF([1]!s_stmnote_bank_58(B339,$A339,1)="0","",[1]!s_stmnote_bank_58(B339,$A339,1))</f>
        <v>0</v>
      </c>
      <c r="AA339" s="52">
        <f>IF([1]!s_stmnote_bank_60(B339,$A339,1)="0","",[1]!s_stmnote_bank_60(B339,$A339,1))</f>
        <v>0</v>
      </c>
      <c r="AB339" s="52">
        <f>[1]!s_stmnote_bank_5444(B339,$A339,1)</f>
        <v>0</v>
      </c>
      <c r="AC339" s="38">
        <f>[1]!s_stmnote_bank_129n($B339,$A339,1)</f>
        <v>0</v>
      </c>
      <c r="AD339" s="54">
        <f>[1]!s_stmnote_bank_30(B339,$A339,1)</f>
        <v>0</v>
      </c>
    </row>
    <row r="340" spans="1:30" ht="24">
      <c r="A340" s="1" t="s">
        <v>1110</v>
      </c>
      <c r="B340" s="87" t="s">
        <v>1448</v>
      </c>
      <c r="C340" s="8">
        <f>IF([1]!b_info_issuer(B340)="0","",IFERROR([1]!b_info_issuer(B340),""))</f>
        <v>0</v>
      </c>
      <c r="D340" s="11">
        <f>IF([1]!b_info_latestissurercreditrating(B340)="0","",IFERROR([1]!b_info_latestissurercreditrating(B340),""))</f>
        <v>0</v>
      </c>
      <c r="E340" s="27" t="str">
        <f>IFERROR(([1]!b_stm07_bs($B340,47,$A340,1,100000000))/[1]!b_stm07_bs($B340,109,$A340,1,100000000),"")</f>
        <v/>
      </c>
      <c r="F340" s="18" t="str">
        <f>IFERROR(([1]!s_stmnote_bank_26($B340,$A340,1,100000000)-[1]!s_stmnote_bank_26($B340,#REF!,1,100000000)+#REF!)/[1]!s_stmnote_bank_1n($B340,#REF!,1,100000000),"")</f>
        <v/>
      </c>
      <c r="G340" s="21" t="str">
        <f t="shared" si="10"/>
        <v/>
      </c>
      <c r="H340" s="18" t="str">
        <f>IFERROR([1]!s_stmnote_bank($B340,"34",$A340,100000000)/[1]!s_stmnote_bank_1n(B340,$A340,1,100000000),"")</f>
        <v/>
      </c>
      <c r="I340" s="25">
        <f>[1]!b_stm07_bs(B340,74,$A340,1,100000000)</f>
        <v>0</v>
      </c>
      <c r="J340" s="25">
        <f>[1]!b_stm07_bs(B340,109,$A340,1,100000000)</f>
        <v>0</v>
      </c>
      <c r="K340" s="10">
        <f>[1]!s_stmnote_bank_5n(B340,$A340,1)</f>
        <v>0</v>
      </c>
      <c r="L340" s="25">
        <f>[1]!s_stmnote_bank_23n(B340,$A340,1)</f>
        <v>0</v>
      </c>
      <c r="M340" s="25">
        <f>[1]!s_stmnote_bank_capadequacyratio(B340,$A340,1)</f>
        <v>0</v>
      </c>
      <c r="N340" s="25">
        <f>[1]!s_stmnote_bank_capadequacyratio_ct1(B340,$A340,1)</f>
        <v>0</v>
      </c>
      <c r="O340" s="6">
        <f>IF(OR([1]!s_fa_roe(B340,20201231)="0",[1]!s_fa_roe(B340,20211231)="0",[1]!s_fa_roe(B340,20221231)="0"),"",IFERROR(([1]!s_fa_roe(B340,20221231)+[1]!s_fa_roe(B340,20201231)+[1]!s_fa_roe(B340,20211231))/3,""))</f>
        <v>0</v>
      </c>
      <c r="P340" s="28" t="str">
        <f>IFERROR(([1]!s_stmnote_bank_65(B340,$A340,1,2,4,100000000)+[1]!s_stmnote_bank_65(B340,$A340,1,2,6,100000000))/[1]!s_stmnote_bank_1n(B340,$A340,1,100000000),"")</f>
        <v/>
      </c>
      <c r="Q340" s="28" t="str">
        <f>IFERROR([1]!s_stmnote_bank_614(B340,$A340,1,2,100000000)/[1]!s_stmnote_bank_647(B340,$A340,1,2,100000000),"")</f>
        <v/>
      </c>
      <c r="R340" s="28" t="str">
        <f>IFERROR(([1]!b_stm07_bs(B340,104,$A340,1,100000000)+[1]!b_stm07_bs(B340,106,$A340,1,100000000)+[1]!b_stm07_bs(B340,76,$A340,1,100000000)+[1]!b_stm07_bs(B340,108,$A340,1,100000000)+[1]!b_stm07_bs(B340,95,$A340,1,100000000))/[1]!b_stm07_bs(B340,128,$A340,1,100000000),"")</f>
        <v/>
      </c>
      <c r="S340" s="28" t="str">
        <f>IFERROR(([1]!s_stmnote_bank_614(B340,$A340,1,2,100000000)+[1]!b_stm07_bs(B340,104,$A340,1,100000000)+[1]!b_stm07_bs(B340,106,$A340,1,100000000)+[1]!b_stm07_bs(B340,76,$A340,1,100000000)+[1]!b_stm07_bs(B340,108,$A340,1,100000000)+[1]!b_stm07_bs(B340,95,$A340,1,100000000))/[1]!b_stm07_bs(B340,128,$A340,1,100000000),"")</f>
        <v/>
      </c>
      <c r="T340" s="11">
        <f>[1]!b_issuer_shareholder(B340,"",1)</f>
        <v>0</v>
      </c>
      <c r="U340" s="10">
        <f>[1]!b_issuer_propofshareholder(B340,"",1)</f>
        <v>0</v>
      </c>
      <c r="V340" s="33" t="str">
        <f t="shared" si="11"/>
        <v>0</v>
      </c>
      <c r="W340" s="33">
        <f>[1]!s_info_city(B340)</f>
        <v>0</v>
      </c>
      <c r="X340" s="10">
        <f>IF([1]!s_stmnote_bank_17n(B340,$A340,1)="0","",[1]!s_stmnote_bank_17n(B340,$A340,1))</f>
        <v>0</v>
      </c>
      <c r="Y340" s="10">
        <f>IF([1]!s_stmnote_bank_18n(B340,$A340,1)="0","",[1]!s_stmnote_bank_18n(B340,$A340,1))</f>
        <v>0</v>
      </c>
      <c r="Z340" s="41">
        <f>IF([1]!s_stmnote_bank_58(B340,$A340,1)="0","",[1]!s_stmnote_bank_58(B340,$A340,1))</f>
        <v>0</v>
      </c>
      <c r="AA340" s="52">
        <f>IF([1]!s_stmnote_bank_60(B340,$A340,1)="0","",[1]!s_stmnote_bank_60(B340,$A340,1))</f>
        <v>0</v>
      </c>
      <c r="AB340" s="52">
        <f>[1]!s_stmnote_bank_5444(B340,$A340,1)</f>
        <v>0</v>
      </c>
      <c r="AC340" s="38">
        <f>[1]!s_stmnote_bank_129n($B340,$A340,1)</f>
        <v>0</v>
      </c>
      <c r="AD340" s="54">
        <f>[1]!s_stmnote_bank_30(B340,$A340,1)</f>
        <v>0</v>
      </c>
    </row>
    <row r="341" spans="1:30" ht="24">
      <c r="A341" s="1" t="s">
        <v>1110</v>
      </c>
      <c r="B341" s="87" t="s">
        <v>1449</v>
      </c>
      <c r="C341" s="8">
        <f>IF([1]!b_info_issuer(B341)="0","",IFERROR([1]!b_info_issuer(B341),""))</f>
        <v>0</v>
      </c>
      <c r="D341" s="11">
        <f>IF([1]!b_info_latestissurercreditrating(B341)="0","",IFERROR([1]!b_info_latestissurercreditrating(B341),""))</f>
        <v>0</v>
      </c>
      <c r="E341" s="27" t="str">
        <f>IFERROR(([1]!b_stm07_bs($B341,47,$A341,1,100000000))/[1]!b_stm07_bs($B341,109,$A341,1,100000000),"")</f>
        <v/>
      </c>
      <c r="F341" s="18" t="str">
        <f>IFERROR(([1]!s_stmnote_bank_26($B341,$A341,1,100000000)-[1]!s_stmnote_bank_26($B341,#REF!,1,100000000)+#REF!)/[1]!s_stmnote_bank_1n($B341,#REF!,1,100000000),"")</f>
        <v/>
      </c>
      <c r="G341" s="21" t="str">
        <f t="shared" si="10"/>
        <v/>
      </c>
      <c r="H341" s="18" t="str">
        <f>IFERROR([1]!s_stmnote_bank($B341,"34",$A341,100000000)/[1]!s_stmnote_bank_1n(B341,$A341,1,100000000),"")</f>
        <v/>
      </c>
      <c r="I341" s="25">
        <f>[1]!b_stm07_bs(B341,74,$A341,1,100000000)</f>
        <v>0</v>
      </c>
      <c r="J341" s="25">
        <f>[1]!b_stm07_bs(B341,109,$A341,1,100000000)</f>
        <v>0</v>
      </c>
      <c r="K341" s="10">
        <f>[1]!s_stmnote_bank_5n(B341,$A341,1)</f>
        <v>0</v>
      </c>
      <c r="L341" s="25">
        <f>[1]!s_stmnote_bank_23n(B341,$A341,1)</f>
        <v>0</v>
      </c>
      <c r="M341" s="25">
        <f>[1]!s_stmnote_bank_capadequacyratio(B341,$A341,1)</f>
        <v>0</v>
      </c>
      <c r="N341" s="25">
        <f>[1]!s_stmnote_bank_capadequacyratio_ct1(B341,$A341,1)</f>
        <v>0</v>
      </c>
      <c r="O341" s="6">
        <f>IF(OR([1]!s_fa_roe(B341,20201231)="0",[1]!s_fa_roe(B341,20211231)="0",[1]!s_fa_roe(B341,20221231)="0"),"",IFERROR(([1]!s_fa_roe(B341,20221231)+[1]!s_fa_roe(B341,20201231)+[1]!s_fa_roe(B341,20211231))/3,""))</f>
        <v>0</v>
      </c>
      <c r="P341" s="28" t="str">
        <f>IFERROR(([1]!s_stmnote_bank_65(B341,$A341,1,2,4,100000000)+[1]!s_stmnote_bank_65(B341,$A341,1,2,6,100000000))/[1]!s_stmnote_bank_1n(B341,$A341,1,100000000),"")</f>
        <v/>
      </c>
      <c r="Q341" s="28" t="str">
        <f>IFERROR([1]!s_stmnote_bank_614(B341,$A341,1,2,100000000)/[1]!s_stmnote_bank_647(B341,$A341,1,2,100000000),"")</f>
        <v/>
      </c>
      <c r="R341" s="28" t="str">
        <f>IFERROR(([1]!b_stm07_bs(B341,104,$A341,1,100000000)+[1]!b_stm07_bs(B341,106,$A341,1,100000000)+[1]!b_stm07_bs(B341,76,$A341,1,100000000)+[1]!b_stm07_bs(B341,108,$A341,1,100000000)+[1]!b_stm07_bs(B341,95,$A341,1,100000000))/[1]!b_stm07_bs(B341,128,$A341,1,100000000),"")</f>
        <v/>
      </c>
      <c r="S341" s="28" t="str">
        <f>IFERROR(([1]!s_stmnote_bank_614(B341,$A341,1,2,100000000)+[1]!b_stm07_bs(B341,104,$A341,1,100000000)+[1]!b_stm07_bs(B341,106,$A341,1,100000000)+[1]!b_stm07_bs(B341,76,$A341,1,100000000)+[1]!b_stm07_bs(B341,108,$A341,1,100000000)+[1]!b_stm07_bs(B341,95,$A341,1,100000000))/[1]!b_stm07_bs(B341,128,$A341,1,100000000),"")</f>
        <v/>
      </c>
      <c r="T341" s="11">
        <f>[1]!b_issuer_shareholder(B341,"",1)</f>
        <v>0</v>
      </c>
      <c r="U341" s="10">
        <f>[1]!b_issuer_propofshareholder(B341,"",1)</f>
        <v>0</v>
      </c>
      <c r="V341" s="33" t="str">
        <f t="shared" si="11"/>
        <v>0</v>
      </c>
      <c r="W341" s="33">
        <f>[1]!s_info_city(B341)</f>
        <v>0</v>
      </c>
      <c r="X341" s="10">
        <f>IF([1]!s_stmnote_bank_17n(B341,$A341,1)="0","",[1]!s_stmnote_bank_17n(B341,$A341,1))</f>
        <v>0</v>
      </c>
      <c r="Y341" s="10">
        <f>IF([1]!s_stmnote_bank_18n(B341,$A341,1)="0","",[1]!s_stmnote_bank_18n(B341,$A341,1))</f>
        <v>0</v>
      </c>
      <c r="Z341" s="41">
        <f>IF([1]!s_stmnote_bank_58(B341,$A341,1)="0","",[1]!s_stmnote_bank_58(B341,$A341,1))</f>
        <v>0</v>
      </c>
      <c r="AA341" s="52">
        <f>IF([1]!s_stmnote_bank_60(B341,$A341,1)="0","",[1]!s_stmnote_bank_60(B341,$A341,1))</f>
        <v>0</v>
      </c>
      <c r="AB341" s="52">
        <f>[1]!s_stmnote_bank_5444(B341,$A341,1)</f>
        <v>0</v>
      </c>
      <c r="AC341" s="38">
        <f>[1]!s_stmnote_bank_129n($B341,$A341,1)</f>
        <v>0</v>
      </c>
      <c r="AD341" s="54">
        <f>[1]!s_stmnote_bank_30(B341,$A341,1)</f>
        <v>0</v>
      </c>
    </row>
    <row r="342" spans="1:30" ht="24">
      <c r="A342" s="1" t="s">
        <v>1110</v>
      </c>
      <c r="B342" s="87" t="s">
        <v>1450</v>
      </c>
      <c r="C342" s="8">
        <f>IF([1]!b_info_issuer(B342)="0","",IFERROR([1]!b_info_issuer(B342),""))</f>
        <v>0</v>
      </c>
      <c r="D342" s="11">
        <f>IF([1]!b_info_latestissurercreditrating(B342)="0","",IFERROR([1]!b_info_latestissurercreditrating(B342),""))</f>
        <v>0</v>
      </c>
      <c r="E342" s="27" t="str">
        <f>IFERROR(([1]!b_stm07_bs($B342,47,$A342,1,100000000))/[1]!b_stm07_bs($B342,109,$A342,1,100000000),"")</f>
        <v/>
      </c>
      <c r="F342" s="18" t="str">
        <f>IFERROR(([1]!s_stmnote_bank_26($B342,$A342,1,100000000)-[1]!s_stmnote_bank_26($B342,#REF!,1,100000000)+#REF!)/[1]!s_stmnote_bank_1n($B342,#REF!,1,100000000),"")</f>
        <v/>
      </c>
      <c r="G342" s="21" t="str">
        <f t="shared" si="10"/>
        <v/>
      </c>
      <c r="H342" s="18" t="str">
        <f>IFERROR([1]!s_stmnote_bank($B342,"34",$A342,100000000)/[1]!s_stmnote_bank_1n(B342,$A342,1,100000000),"")</f>
        <v/>
      </c>
      <c r="I342" s="25">
        <f>[1]!b_stm07_bs(B342,74,$A342,1,100000000)</f>
        <v>0</v>
      </c>
      <c r="J342" s="25">
        <f>[1]!b_stm07_bs(B342,109,$A342,1,100000000)</f>
        <v>0</v>
      </c>
      <c r="K342" s="10">
        <f>[1]!s_stmnote_bank_5n(B342,$A342,1)</f>
        <v>0</v>
      </c>
      <c r="L342" s="25">
        <f>[1]!s_stmnote_bank_23n(B342,$A342,1)</f>
        <v>0</v>
      </c>
      <c r="M342" s="25">
        <f>[1]!s_stmnote_bank_capadequacyratio(B342,$A342,1)</f>
        <v>0</v>
      </c>
      <c r="N342" s="25">
        <f>[1]!s_stmnote_bank_capadequacyratio_ct1(B342,$A342,1)</f>
        <v>0</v>
      </c>
      <c r="O342" s="6">
        <f>IF(OR([1]!s_fa_roe(B342,20201231)="0",[1]!s_fa_roe(B342,20211231)="0",[1]!s_fa_roe(B342,20221231)="0"),"",IFERROR(([1]!s_fa_roe(B342,20221231)+[1]!s_fa_roe(B342,20201231)+[1]!s_fa_roe(B342,20211231))/3,""))</f>
        <v>0</v>
      </c>
      <c r="P342" s="28" t="str">
        <f>IFERROR(([1]!s_stmnote_bank_65(B342,$A342,1,2,4,100000000)+[1]!s_stmnote_bank_65(B342,$A342,1,2,6,100000000))/[1]!s_stmnote_bank_1n(B342,$A342,1,100000000),"")</f>
        <v/>
      </c>
      <c r="Q342" s="28" t="str">
        <f>IFERROR([1]!s_stmnote_bank_614(B342,$A342,1,2,100000000)/[1]!s_stmnote_bank_647(B342,$A342,1,2,100000000),"")</f>
        <v/>
      </c>
      <c r="R342" s="28" t="str">
        <f>IFERROR(([1]!b_stm07_bs(B342,104,$A342,1,100000000)+[1]!b_stm07_bs(B342,106,$A342,1,100000000)+[1]!b_stm07_bs(B342,76,$A342,1,100000000)+[1]!b_stm07_bs(B342,108,$A342,1,100000000)+[1]!b_stm07_bs(B342,95,$A342,1,100000000))/[1]!b_stm07_bs(B342,128,$A342,1,100000000),"")</f>
        <v/>
      </c>
      <c r="S342" s="28" t="str">
        <f>IFERROR(([1]!s_stmnote_bank_614(B342,$A342,1,2,100000000)+[1]!b_stm07_bs(B342,104,$A342,1,100000000)+[1]!b_stm07_bs(B342,106,$A342,1,100000000)+[1]!b_stm07_bs(B342,76,$A342,1,100000000)+[1]!b_stm07_bs(B342,108,$A342,1,100000000)+[1]!b_stm07_bs(B342,95,$A342,1,100000000))/[1]!b_stm07_bs(B342,128,$A342,1,100000000),"")</f>
        <v/>
      </c>
      <c r="T342" s="11">
        <f>[1]!b_issuer_shareholder(B342,"",1)</f>
        <v>0</v>
      </c>
      <c r="U342" s="10">
        <f>[1]!b_issuer_propofshareholder(B342,"",1)</f>
        <v>0</v>
      </c>
      <c r="V342" s="33" t="str">
        <f t="shared" si="11"/>
        <v>0</v>
      </c>
      <c r="W342" s="33">
        <f>[1]!s_info_city(B342)</f>
        <v>0</v>
      </c>
      <c r="X342" s="10">
        <f>IF([1]!s_stmnote_bank_17n(B342,$A342,1)="0","",[1]!s_stmnote_bank_17n(B342,$A342,1))</f>
        <v>0</v>
      </c>
      <c r="Y342" s="10">
        <f>IF([1]!s_stmnote_bank_18n(B342,$A342,1)="0","",[1]!s_stmnote_bank_18n(B342,$A342,1))</f>
        <v>0</v>
      </c>
      <c r="Z342" s="41">
        <f>IF([1]!s_stmnote_bank_58(B342,$A342,1)="0","",[1]!s_stmnote_bank_58(B342,$A342,1))</f>
        <v>0</v>
      </c>
      <c r="AA342" s="52">
        <f>IF([1]!s_stmnote_bank_60(B342,$A342,1)="0","",[1]!s_stmnote_bank_60(B342,$A342,1))</f>
        <v>0</v>
      </c>
      <c r="AB342" s="52">
        <f>[1]!s_stmnote_bank_5444(B342,$A342,1)</f>
        <v>0</v>
      </c>
      <c r="AC342" s="38">
        <f>[1]!s_stmnote_bank_129n($B342,$A342,1)</f>
        <v>0</v>
      </c>
      <c r="AD342" s="54">
        <f>[1]!s_stmnote_bank_30(B342,$A342,1)</f>
        <v>0</v>
      </c>
    </row>
    <row r="343" spans="1:30" ht="24">
      <c r="A343" s="1" t="s">
        <v>1110</v>
      </c>
      <c r="B343" s="87" t="s">
        <v>1451</v>
      </c>
      <c r="C343" s="8">
        <f>IF([1]!b_info_issuer(B343)="0","",IFERROR([1]!b_info_issuer(B343),""))</f>
        <v>0</v>
      </c>
      <c r="D343" s="11">
        <f>IF([1]!b_info_latestissurercreditrating(B343)="0","",IFERROR([1]!b_info_latestissurercreditrating(B343),""))</f>
        <v>0</v>
      </c>
      <c r="E343" s="27" t="str">
        <f>IFERROR(([1]!b_stm07_bs($B343,47,$A343,1,100000000))/[1]!b_stm07_bs($B343,109,$A343,1,100000000),"")</f>
        <v/>
      </c>
      <c r="F343" s="18" t="str">
        <f>IFERROR(([1]!s_stmnote_bank_26($B343,$A343,1,100000000)-[1]!s_stmnote_bank_26($B343,#REF!,1,100000000)+#REF!)/[1]!s_stmnote_bank_1n($B343,#REF!,1,100000000),"")</f>
        <v/>
      </c>
      <c r="G343" s="21" t="str">
        <f t="shared" si="10"/>
        <v/>
      </c>
      <c r="H343" s="18" t="str">
        <f>IFERROR([1]!s_stmnote_bank($B343,"34",$A343,100000000)/[1]!s_stmnote_bank_1n(B343,$A343,1,100000000),"")</f>
        <v/>
      </c>
      <c r="I343" s="25">
        <f>[1]!b_stm07_bs(B343,74,$A343,1,100000000)</f>
        <v>0</v>
      </c>
      <c r="J343" s="25">
        <f>[1]!b_stm07_bs(B343,109,$A343,1,100000000)</f>
        <v>0</v>
      </c>
      <c r="K343" s="10">
        <f>[1]!s_stmnote_bank_5n(B343,$A343,1)</f>
        <v>0</v>
      </c>
      <c r="L343" s="25">
        <f>[1]!s_stmnote_bank_23n(B343,$A343,1)</f>
        <v>0</v>
      </c>
      <c r="M343" s="25">
        <f>[1]!s_stmnote_bank_capadequacyratio(B343,$A343,1)</f>
        <v>0</v>
      </c>
      <c r="N343" s="25">
        <f>[1]!s_stmnote_bank_capadequacyratio_ct1(B343,$A343,1)</f>
        <v>0</v>
      </c>
      <c r="O343" s="6">
        <f>IF(OR([1]!s_fa_roe(B343,20201231)="0",[1]!s_fa_roe(B343,20211231)="0",[1]!s_fa_roe(B343,20221231)="0"),"",IFERROR(([1]!s_fa_roe(B343,20221231)+[1]!s_fa_roe(B343,20201231)+[1]!s_fa_roe(B343,20211231))/3,""))</f>
        <v>0</v>
      </c>
      <c r="P343" s="28" t="str">
        <f>IFERROR(([1]!s_stmnote_bank_65(B343,$A343,1,2,4,100000000)+[1]!s_stmnote_bank_65(B343,$A343,1,2,6,100000000))/[1]!s_stmnote_bank_1n(B343,$A343,1,100000000),"")</f>
        <v/>
      </c>
      <c r="Q343" s="28" t="str">
        <f>IFERROR([1]!s_stmnote_bank_614(B343,$A343,1,2,100000000)/[1]!s_stmnote_bank_647(B343,$A343,1,2,100000000),"")</f>
        <v/>
      </c>
      <c r="R343" s="28" t="str">
        <f>IFERROR(([1]!b_stm07_bs(B343,104,$A343,1,100000000)+[1]!b_stm07_bs(B343,106,$A343,1,100000000)+[1]!b_stm07_bs(B343,76,$A343,1,100000000)+[1]!b_stm07_bs(B343,108,$A343,1,100000000)+[1]!b_stm07_bs(B343,95,$A343,1,100000000))/[1]!b_stm07_bs(B343,128,$A343,1,100000000),"")</f>
        <v/>
      </c>
      <c r="S343" s="28" t="str">
        <f>IFERROR(([1]!s_stmnote_bank_614(B343,$A343,1,2,100000000)+[1]!b_stm07_bs(B343,104,$A343,1,100000000)+[1]!b_stm07_bs(B343,106,$A343,1,100000000)+[1]!b_stm07_bs(B343,76,$A343,1,100000000)+[1]!b_stm07_bs(B343,108,$A343,1,100000000)+[1]!b_stm07_bs(B343,95,$A343,1,100000000))/[1]!b_stm07_bs(B343,128,$A343,1,100000000),"")</f>
        <v/>
      </c>
      <c r="T343" s="11">
        <f>[1]!b_issuer_shareholder(B343,"",1)</f>
        <v>0</v>
      </c>
      <c r="U343" s="10">
        <f>[1]!b_issuer_propofshareholder(B343,"",1)</f>
        <v>0</v>
      </c>
      <c r="V343" s="33" t="str">
        <f t="shared" si="11"/>
        <v>0</v>
      </c>
      <c r="W343" s="33">
        <f>[1]!s_info_city(B343)</f>
        <v>0</v>
      </c>
      <c r="X343" s="10">
        <f>IF([1]!s_stmnote_bank_17n(B343,$A343,1)="0","",[1]!s_stmnote_bank_17n(B343,$A343,1))</f>
        <v>0</v>
      </c>
      <c r="Y343" s="10">
        <f>IF([1]!s_stmnote_bank_18n(B343,$A343,1)="0","",[1]!s_stmnote_bank_18n(B343,$A343,1))</f>
        <v>0</v>
      </c>
      <c r="Z343" s="41">
        <f>IF([1]!s_stmnote_bank_58(B343,$A343,1)="0","",[1]!s_stmnote_bank_58(B343,$A343,1))</f>
        <v>0</v>
      </c>
      <c r="AA343" s="52">
        <f>IF([1]!s_stmnote_bank_60(B343,$A343,1)="0","",[1]!s_stmnote_bank_60(B343,$A343,1))</f>
        <v>0</v>
      </c>
      <c r="AB343" s="52">
        <f>[1]!s_stmnote_bank_5444(B343,$A343,1)</f>
        <v>0</v>
      </c>
      <c r="AC343" s="38">
        <f>[1]!s_stmnote_bank_129n($B343,$A343,1)</f>
        <v>0</v>
      </c>
      <c r="AD343" s="54">
        <f>[1]!s_stmnote_bank_30(B343,$A343,1)</f>
        <v>0</v>
      </c>
    </row>
    <row r="344" spans="1:30" ht="24">
      <c r="A344" s="1" t="s">
        <v>1110</v>
      </c>
      <c r="B344" s="87" t="s">
        <v>1452</v>
      </c>
      <c r="C344" s="8">
        <f>IF([1]!b_info_issuer(B344)="0","",IFERROR([1]!b_info_issuer(B344),""))</f>
        <v>0</v>
      </c>
      <c r="D344" s="11">
        <f>IF([1]!b_info_latestissurercreditrating(B344)="0","",IFERROR([1]!b_info_latestissurercreditrating(B344),""))</f>
        <v>0</v>
      </c>
      <c r="E344" s="27" t="str">
        <f>IFERROR(([1]!b_stm07_bs($B344,47,$A344,1,100000000))/[1]!b_stm07_bs($B344,109,$A344,1,100000000),"")</f>
        <v/>
      </c>
      <c r="F344" s="18" t="str">
        <f>IFERROR(([1]!s_stmnote_bank_26($B344,$A344,1,100000000)-[1]!s_stmnote_bank_26($B344,#REF!,1,100000000)+#REF!)/[1]!s_stmnote_bank_1n($B344,#REF!,1,100000000),"")</f>
        <v/>
      </c>
      <c r="G344" s="21" t="str">
        <f t="shared" si="10"/>
        <v/>
      </c>
      <c r="H344" s="18" t="str">
        <f>IFERROR([1]!s_stmnote_bank($B344,"34",$A344,100000000)/[1]!s_stmnote_bank_1n(B344,$A344,1,100000000),"")</f>
        <v/>
      </c>
      <c r="I344" s="25">
        <f>[1]!b_stm07_bs(B344,74,$A344,1,100000000)</f>
        <v>0</v>
      </c>
      <c r="J344" s="25">
        <f>[1]!b_stm07_bs(B344,109,$A344,1,100000000)</f>
        <v>0</v>
      </c>
      <c r="K344" s="10">
        <f>[1]!s_stmnote_bank_5n(B344,$A344,1)</f>
        <v>0</v>
      </c>
      <c r="L344" s="25">
        <f>[1]!s_stmnote_bank_23n(B344,$A344,1)</f>
        <v>0</v>
      </c>
      <c r="M344" s="25">
        <f>[1]!s_stmnote_bank_capadequacyratio(B344,$A344,1)</f>
        <v>0</v>
      </c>
      <c r="N344" s="25">
        <f>[1]!s_stmnote_bank_capadequacyratio_ct1(B344,$A344,1)</f>
        <v>0</v>
      </c>
      <c r="O344" s="6">
        <f>IF(OR([1]!s_fa_roe(B344,20201231)="0",[1]!s_fa_roe(B344,20211231)="0",[1]!s_fa_roe(B344,20221231)="0"),"",IFERROR(([1]!s_fa_roe(B344,20221231)+[1]!s_fa_roe(B344,20201231)+[1]!s_fa_roe(B344,20211231))/3,""))</f>
        <v>0</v>
      </c>
      <c r="P344" s="28" t="str">
        <f>IFERROR(([1]!s_stmnote_bank_65(B344,$A344,1,2,4,100000000)+[1]!s_stmnote_bank_65(B344,$A344,1,2,6,100000000))/[1]!s_stmnote_bank_1n(B344,$A344,1,100000000),"")</f>
        <v/>
      </c>
      <c r="Q344" s="28" t="str">
        <f>IFERROR([1]!s_stmnote_bank_614(B344,$A344,1,2,100000000)/[1]!s_stmnote_bank_647(B344,$A344,1,2,100000000),"")</f>
        <v/>
      </c>
      <c r="R344" s="28" t="str">
        <f>IFERROR(([1]!b_stm07_bs(B344,104,$A344,1,100000000)+[1]!b_stm07_bs(B344,106,$A344,1,100000000)+[1]!b_stm07_bs(B344,76,$A344,1,100000000)+[1]!b_stm07_bs(B344,108,$A344,1,100000000)+[1]!b_stm07_bs(B344,95,$A344,1,100000000))/[1]!b_stm07_bs(B344,128,$A344,1,100000000),"")</f>
        <v/>
      </c>
      <c r="S344" s="28" t="str">
        <f>IFERROR(([1]!s_stmnote_bank_614(B344,$A344,1,2,100000000)+[1]!b_stm07_bs(B344,104,$A344,1,100000000)+[1]!b_stm07_bs(B344,106,$A344,1,100000000)+[1]!b_stm07_bs(B344,76,$A344,1,100000000)+[1]!b_stm07_bs(B344,108,$A344,1,100000000)+[1]!b_stm07_bs(B344,95,$A344,1,100000000))/[1]!b_stm07_bs(B344,128,$A344,1,100000000),"")</f>
        <v/>
      </c>
      <c r="T344" s="11">
        <f>[1]!b_issuer_shareholder(B344,"",1)</f>
        <v>0</v>
      </c>
      <c r="U344" s="10">
        <f>[1]!b_issuer_propofshareholder(B344,"",1)</f>
        <v>0</v>
      </c>
      <c r="V344" s="33" t="str">
        <f t="shared" si="11"/>
        <v>0</v>
      </c>
      <c r="W344" s="33">
        <f>[1]!s_info_city(B344)</f>
        <v>0</v>
      </c>
      <c r="X344" s="10">
        <f>IF([1]!s_stmnote_bank_17n(B344,$A344,1)="0","",[1]!s_stmnote_bank_17n(B344,$A344,1))</f>
        <v>0</v>
      </c>
      <c r="Y344" s="10">
        <f>IF([1]!s_stmnote_bank_18n(B344,$A344,1)="0","",[1]!s_stmnote_bank_18n(B344,$A344,1))</f>
        <v>0</v>
      </c>
      <c r="Z344" s="41">
        <f>IF([1]!s_stmnote_bank_58(B344,$A344,1)="0","",[1]!s_stmnote_bank_58(B344,$A344,1))</f>
        <v>0</v>
      </c>
      <c r="AA344" s="52">
        <f>IF([1]!s_stmnote_bank_60(B344,$A344,1)="0","",[1]!s_stmnote_bank_60(B344,$A344,1))</f>
        <v>0</v>
      </c>
      <c r="AB344" s="52">
        <f>[1]!s_stmnote_bank_5444(B344,$A344,1)</f>
        <v>0</v>
      </c>
      <c r="AC344" s="38">
        <f>[1]!s_stmnote_bank_129n($B344,$A344,1)</f>
        <v>0</v>
      </c>
      <c r="AD344" s="54">
        <f>[1]!s_stmnote_bank_30(B344,$A344,1)</f>
        <v>0</v>
      </c>
    </row>
    <row r="345" spans="1:30" ht="24">
      <c r="A345" s="1" t="s">
        <v>1110</v>
      </c>
      <c r="B345" s="87" t="s">
        <v>1453</v>
      </c>
      <c r="C345" s="8">
        <f>IF([1]!b_info_issuer(B345)="0","",IFERROR([1]!b_info_issuer(B345),""))</f>
        <v>0</v>
      </c>
      <c r="D345" s="11">
        <f>IF([1]!b_info_latestissurercreditrating(B345)="0","",IFERROR([1]!b_info_latestissurercreditrating(B345),""))</f>
        <v>0</v>
      </c>
      <c r="E345" s="27" t="str">
        <f>IFERROR(([1]!b_stm07_bs($B345,47,$A345,1,100000000))/[1]!b_stm07_bs($B345,109,$A345,1,100000000),"")</f>
        <v/>
      </c>
      <c r="F345" s="18" t="str">
        <f>IFERROR(([1]!s_stmnote_bank_26($B345,$A345,1,100000000)-[1]!s_stmnote_bank_26($B345,#REF!,1,100000000)+#REF!)/[1]!s_stmnote_bank_1n($B345,#REF!,1,100000000),"")</f>
        <v/>
      </c>
      <c r="G345" s="21" t="str">
        <f t="shared" si="10"/>
        <v/>
      </c>
      <c r="H345" s="18" t="str">
        <f>IFERROR([1]!s_stmnote_bank($B345,"34",$A345,100000000)/[1]!s_stmnote_bank_1n(B345,$A345,1,100000000),"")</f>
        <v/>
      </c>
      <c r="I345" s="25">
        <f>[1]!b_stm07_bs(B345,74,$A345,1,100000000)</f>
        <v>0</v>
      </c>
      <c r="J345" s="25">
        <f>[1]!b_stm07_bs(B345,109,$A345,1,100000000)</f>
        <v>0</v>
      </c>
      <c r="K345" s="10">
        <f>[1]!s_stmnote_bank_5n(B345,$A345,1)</f>
        <v>0</v>
      </c>
      <c r="L345" s="25">
        <f>[1]!s_stmnote_bank_23n(B345,$A345,1)</f>
        <v>0</v>
      </c>
      <c r="M345" s="25">
        <f>[1]!s_stmnote_bank_capadequacyratio(B345,$A345,1)</f>
        <v>0</v>
      </c>
      <c r="N345" s="25">
        <f>[1]!s_stmnote_bank_capadequacyratio_ct1(B345,$A345,1)</f>
        <v>0</v>
      </c>
      <c r="O345" s="6">
        <f>IF(OR([1]!s_fa_roe(B345,20201231)="0",[1]!s_fa_roe(B345,20211231)="0",[1]!s_fa_roe(B345,20221231)="0"),"",IFERROR(([1]!s_fa_roe(B345,20221231)+[1]!s_fa_roe(B345,20201231)+[1]!s_fa_roe(B345,20211231))/3,""))</f>
        <v>0</v>
      </c>
      <c r="P345" s="28" t="str">
        <f>IFERROR(([1]!s_stmnote_bank_65(B345,$A345,1,2,4,100000000)+[1]!s_stmnote_bank_65(B345,$A345,1,2,6,100000000))/[1]!s_stmnote_bank_1n(B345,$A345,1,100000000),"")</f>
        <v/>
      </c>
      <c r="Q345" s="28" t="str">
        <f>IFERROR([1]!s_stmnote_bank_614(B345,$A345,1,2,100000000)/[1]!s_stmnote_bank_647(B345,$A345,1,2,100000000),"")</f>
        <v/>
      </c>
      <c r="R345" s="28" t="str">
        <f>IFERROR(([1]!b_stm07_bs(B345,104,$A345,1,100000000)+[1]!b_stm07_bs(B345,106,$A345,1,100000000)+[1]!b_stm07_bs(B345,76,$A345,1,100000000)+[1]!b_stm07_bs(B345,108,$A345,1,100000000)+[1]!b_stm07_bs(B345,95,$A345,1,100000000))/[1]!b_stm07_bs(B345,128,$A345,1,100000000),"")</f>
        <v/>
      </c>
      <c r="S345" s="28" t="str">
        <f>IFERROR(([1]!s_stmnote_bank_614(B345,$A345,1,2,100000000)+[1]!b_stm07_bs(B345,104,$A345,1,100000000)+[1]!b_stm07_bs(B345,106,$A345,1,100000000)+[1]!b_stm07_bs(B345,76,$A345,1,100000000)+[1]!b_stm07_bs(B345,108,$A345,1,100000000)+[1]!b_stm07_bs(B345,95,$A345,1,100000000))/[1]!b_stm07_bs(B345,128,$A345,1,100000000),"")</f>
        <v/>
      </c>
      <c r="T345" s="11">
        <f>[1]!b_issuer_shareholder(B345,"",1)</f>
        <v>0</v>
      </c>
      <c r="U345" s="10">
        <f>[1]!b_issuer_propofshareholder(B345,"",1)</f>
        <v>0</v>
      </c>
      <c r="V345" s="33" t="str">
        <f t="shared" si="11"/>
        <v>0</v>
      </c>
      <c r="W345" s="33">
        <f>[1]!s_info_city(B345)</f>
        <v>0</v>
      </c>
      <c r="X345" s="10">
        <f>IF([1]!s_stmnote_bank_17n(B345,$A345,1)="0","",[1]!s_stmnote_bank_17n(B345,$A345,1))</f>
        <v>0</v>
      </c>
      <c r="Y345" s="10">
        <f>IF([1]!s_stmnote_bank_18n(B345,$A345,1)="0","",[1]!s_stmnote_bank_18n(B345,$A345,1))</f>
        <v>0</v>
      </c>
      <c r="Z345" s="41">
        <f>IF([1]!s_stmnote_bank_58(B345,$A345,1)="0","",[1]!s_stmnote_bank_58(B345,$A345,1))</f>
        <v>0</v>
      </c>
      <c r="AA345" s="52">
        <f>IF([1]!s_stmnote_bank_60(B345,$A345,1)="0","",[1]!s_stmnote_bank_60(B345,$A345,1))</f>
        <v>0</v>
      </c>
      <c r="AB345" s="52">
        <f>[1]!s_stmnote_bank_5444(B345,$A345,1)</f>
        <v>0</v>
      </c>
      <c r="AC345" s="38">
        <f>[1]!s_stmnote_bank_129n($B345,$A345,1)</f>
        <v>0</v>
      </c>
      <c r="AD345" s="54">
        <f>[1]!s_stmnote_bank_30(B345,$A345,1)</f>
        <v>0</v>
      </c>
    </row>
    <row r="346" spans="1:30" ht="24">
      <c r="A346" s="1" t="s">
        <v>1110</v>
      </c>
      <c r="B346" s="87" t="s">
        <v>1454</v>
      </c>
      <c r="C346" s="8">
        <f>IF([1]!b_info_issuer(B346)="0","",IFERROR([1]!b_info_issuer(B346),""))</f>
        <v>0</v>
      </c>
      <c r="D346" s="11">
        <f>IF([1]!b_info_latestissurercreditrating(B346)="0","",IFERROR([1]!b_info_latestissurercreditrating(B346),""))</f>
        <v>0</v>
      </c>
      <c r="E346" s="27" t="str">
        <f>IFERROR(([1]!b_stm07_bs($B346,47,$A346,1,100000000))/[1]!b_stm07_bs($B346,109,$A346,1,100000000),"")</f>
        <v/>
      </c>
      <c r="F346" s="18" t="str">
        <f>IFERROR(([1]!s_stmnote_bank_26($B346,$A346,1,100000000)-[1]!s_stmnote_bank_26($B346,#REF!,1,100000000)+#REF!)/[1]!s_stmnote_bank_1n($B346,#REF!,1,100000000),"")</f>
        <v/>
      </c>
      <c r="G346" s="21" t="str">
        <f t="shared" si="10"/>
        <v/>
      </c>
      <c r="H346" s="18" t="str">
        <f>IFERROR([1]!s_stmnote_bank($B346,"34",$A346,100000000)/[1]!s_stmnote_bank_1n(B346,$A346,1,100000000),"")</f>
        <v/>
      </c>
      <c r="I346" s="25">
        <f>[1]!b_stm07_bs(B346,74,$A346,1,100000000)</f>
        <v>0</v>
      </c>
      <c r="J346" s="25">
        <f>[1]!b_stm07_bs(B346,109,$A346,1,100000000)</f>
        <v>0</v>
      </c>
      <c r="K346" s="10">
        <f>[1]!s_stmnote_bank_5n(B346,$A346,1)</f>
        <v>0</v>
      </c>
      <c r="L346" s="25">
        <f>[1]!s_stmnote_bank_23n(B346,$A346,1)</f>
        <v>0</v>
      </c>
      <c r="M346" s="25">
        <f>[1]!s_stmnote_bank_capadequacyratio(B346,$A346,1)</f>
        <v>0</v>
      </c>
      <c r="N346" s="25">
        <f>[1]!s_stmnote_bank_capadequacyratio_ct1(B346,$A346,1)</f>
        <v>0</v>
      </c>
      <c r="O346" s="6">
        <f>IF(OR([1]!s_fa_roe(B346,20201231)="0",[1]!s_fa_roe(B346,20211231)="0",[1]!s_fa_roe(B346,20221231)="0"),"",IFERROR(([1]!s_fa_roe(B346,20221231)+[1]!s_fa_roe(B346,20201231)+[1]!s_fa_roe(B346,20211231))/3,""))</f>
        <v>0</v>
      </c>
      <c r="P346" s="28" t="str">
        <f>IFERROR(([1]!s_stmnote_bank_65(B346,$A346,1,2,4,100000000)+[1]!s_stmnote_bank_65(B346,$A346,1,2,6,100000000))/[1]!s_stmnote_bank_1n(B346,$A346,1,100000000),"")</f>
        <v/>
      </c>
      <c r="Q346" s="28" t="str">
        <f>IFERROR([1]!s_stmnote_bank_614(B346,$A346,1,2,100000000)/[1]!s_stmnote_bank_647(B346,$A346,1,2,100000000),"")</f>
        <v/>
      </c>
      <c r="R346" s="28" t="str">
        <f>IFERROR(([1]!b_stm07_bs(B346,104,$A346,1,100000000)+[1]!b_stm07_bs(B346,106,$A346,1,100000000)+[1]!b_stm07_bs(B346,76,$A346,1,100000000)+[1]!b_stm07_bs(B346,108,$A346,1,100000000)+[1]!b_stm07_bs(B346,95,$A346,1,100000000))/[1]!b_stm07_bs(B346,128,$A346,1,100000000),"")</f>
        <v/>
      </c>
      <c r="S346" s="28" t="str">
        <f>IFERROR(([1]!s_stmnote_bank_614(B346,$A346,1,2,100000000)+[1]!b_stm07_bs(B346,104,$A346,1,100000000)+[1]!b_stm07_bs(B346,106,$A346,1,100000000)+[1]!b_stm07_bs(B346,76,$A346,1,100000000)+[1]!b_stm07_bs(B346,108,$A346,1,100000000)+[1]!b_stm07_bs(B346,95,$A346,1,100000000))/[1]!b_stm07_bs(B346,128,$A346,1,100000000),"")</f>
        <v/>
      </c>
      <c r="T346" s="11">
        <f>[1]!b_issuer_shareholder(B346,"",1)</f>
        <v>0</v>
      </c>
      <c r="U346" s="10">
        <f>[1]!b_issuer_propofshareholder(B346,"",1)</f>
        <v>0</v>
      </c>
      <c r="V346" s="33" t="str">
        <f t="shared" si="11"/>
        <v>0</v>
      </c>
      <c r="W346" s="33">
        <f>[1]!s_info_city(B346)</f>
        <v>0</v>
      </c>
      <c r="X346" s="10">
        <f>IF([1]!s_stmnote_bank_17n(B346,$A346,1)="0","",[1]!s_stmnote_bank_17n(B346,$A346,1))</f>
        <v>0</v>
      </c>
      <c r="Y346" s="10">
        <f>IF([1]!s_stmnote_bank_18n(B346,$A346,1)="0","",[1]!s_stmnote_bank_18n(B346,$A346,1))</f>
        <v>0</v>
      </c>
      <c r="Z346" s="41">
        <f>IF([1]!s_stmnote_bank_58(B346,$A346,1)="0","",[1]!s_stmnote_bank_58(B346,$A346,1))</f>
        <v>0</v>
      </c>
      <c r="AA346" s="52">
        <f>IF([1]!s_stmnote_bank_60(B346,$A346,1)="0","",[1]!s_stmnote_bank_60(B346,$A346,1))</f>
        <v>0</v>
      </c>
      <c r="AB346" s="52">
        <f>[1]!s_stmnote_bank_5444(B346,$A346,1)</f>
        <v>0</v>
      </c>
      <c r="AC346" s="38">
        <f>[1]!s_stmnote_bank_129n($B346,$A346,1)</f>
        <v>0</v>
      </c>
      <c r="AD346" s="54">
        <f>[1]!s_stmnote_bank_30(B346,$A346,1)</f>
        <v>0</v>
      </c>
    </row>
    <row r="347" spans="1:30" ht="24">
      <c r="A347" s="1" t="s">
        <v>1110</v>
      </c>
      <c r="B347" s="87" t="s">
        <v>1455</v>
      </c>
      <c r="C347" s="8">
        <f>IF([1]!b_info_issuer(B347)="0","",IFERROR([1]!b_info_issuer(B347),""))</f>
        <v>0</v>
      </c>
      <c r="D347" s="11">
        <f>IF([1]!b_info_latestissurercreditrating(B347)="0","",IFERROR([1]!b_info_latestissurercreditrating(B347),""))</f>
        <v>0</v>
      </c>
      <c r="E347" s="27" t="str">
        <f>IFERROR(([1]!b_stm07_bs($B347,47,$A347,1,100000000))/[1]!b_stm07_bs($B347,109,$A347,1,100000000),"")</f>
        <v/>
      </c>
      <c r="F347" s="18" t="str">
        <f>IFERROR(([1]!s_stmnote_bank_26($B347,$A347,1,100000000)-[1]!s_stmnote_bank_26($B347,#REF!,1,100000000)+#REF!)/[1]!s_stmnote_bank_1n($B347,#REF!,1,100000000),"")</f>
        <v/>
      </c>
      <c r="G347" s="21" t="str">
        <f t="shared" si="10"/>
        <v/>
      </c>
      <c r="H347" s="18" t="str">
        <f>IFERROR([1]!s_stmnote_bank($B347,"34",$A347,100000000)/[1]!s_stmnote_bank_1n(B347,$A347,1,100000000),"")</f>
        <v/>
      </c>
      <c r="I347" s="25">
        <f>[1]!b_stm07_bs(B347,74,$A347,1,100000000)</f>
        <v>0</v>
      </c>
      <c r="J347" s="25">
        <f>[1]!b_stm07_bs(B347,109,$A347,1,100000000)</f>
        <v>0</v>
      </c>
      <c r="K347" s="10">
        <f>[1]!s_stmnote_bank_5n(B347,$A347,1)</f>
        <v>0</v>
      </c>
      <c r="L347" s="25">
        <f>[1]!s_stmnote_bank_23n(B347,$A347,1)</f>
        <v>0</v>
      </c>
      <c r="M347" s="25">
        <f>[1]!s_stmnote_bank_capadequacyratio(B347,$A347,1)</f>
        <v>0</v>
      </c>
      <c r="N347" s="25">
        <f>[1]!s_stmnote_bank_capadequacyratio_ct1(B347,$A347,1)</f>
        <v>0</v>
      </c>
      <c r="O347" s="6">
        <f>IF(OR([1]!s_fa_roe(B347,20201231)="0",[1]!s_fa_roe(B347,20211231)="0",[1]!s_fa_roe(B347,20221231)="0"),"",IFERROR(([1]!s_fa_roe(B347,20221231)+[1]!s_fa_roe(B347,20201231)+[1]!s_fa_roe(B347,20211231))/3,""))</f>
        <v>0</v>
      </c>
      <c r="P347" s="28" t="str">
        <f>IFERROR(([1]!s_stmnote_bank_65(B347,$A347,1,2,4,100000000)+[1]!s_stmnote_bank_65(B347,$A347,1,2,6,100000000))/[1]!s_stmnote_bank_1n(B347,$A347,1,100000000),"")</f>
        <v/>
      </c>
      <c r="Q347" s="28" t="str">
        <f>IFERROR([1]!s_stmnote_bank_614(B347,$A347,1,2,100000000)/[1]!s_stmnote_bank_647(B347,$A347,1,2,100000000),"")</f>
        <v/>
      </c>
      <c r="R347" s="28" t="str">
        <f>IFERROR(([1]!b_stm07_bs(B347,104,$A347,1,100000000)+[1]!b_stm07_bs(B347,106,$A347,1,100000000)+[1]!b_stm07_bs(B347,76,$A347,1,100000000)+[1]!b_stm07_bs(B347,108,$A347,1,100000000)+[1]!b_stm07_bs(B347,95,$A347,1,100000000))/[1]!b_stm07_bs(B347,128,$A347,1,100000000),"")</f>
        <v/>
      </c>
      <c r="S347" s="28" t="str">
        <f>IFERROR(([1]!s_stmnote_bank_614(B347,$A347,1,2,100000000)+[1]!b_stm07_bs(B347,104,$A347,1,100000000)+[1]!b_stm07_bs(B347,106,$A347,1,100000000)+[1]!b_stm07_bs(B347,76,$A347,1,100000000)+[1]!b_stm07_bs(B347,108,$A347,1,100000000)+[1]!b_stm07_bs(B347,95,$A347,1,100000000))/[1]!b_stm07_bs(B347,128,$A347,1,100000000),"")</f>
        <v/>
      </c>
      <c r="T347" s="11">
        <f>[1]!b_issuer_shareholder(B347,"",1)</f>
        <v>0</v>
      </c>
      <c r="U347" s="10">
        <f>[1]!b_issuer_propofshareholder(B347,"",1)</f>
        <v>0</v>
      </c>
      <c r="V347" s="33" t="str">
        <f t="shared" si="11"/>
        <v>0</v>
      </c>
      <c r="W347" s="33">
        <f>[1]!s_info_city(B347)</f>
        <v>0</v>
      </c>
      <c r="X347" s="10">
        <f>IF([1]!s_stmnote_bank_17n(B347,$A347,1)="0","",[1]!s_stmnote_bank_17n(B347,$A347,1))</f>
        <v>0</v>
      </c>
      <c r="Y347" s="10">
        <f>IF([1]!s_stmnote_bank_18n(B347,$A347,1)="0","",[1]!s_stmnote_bank_18n(B347,$A347,1))</f>
        <v>0</v>
      </c>
      <c r="Z347" s="41">
        <f>IF([1]!s_stmnote_bank_58(B347,$A347,1)="0","",[1]!s_stmnote_bank_58(B347,$A347,1))</f>
        <v>0</v>
      </c>
      <c r="AA347" s="52">
        <f>IF([1]!s_stmnote_bank_60(B347,$A347,1)="0","",[1]!s_stmnote_bank_60(B347,$A347,1))</f>
        <v>0</v>
      </c>
      <c r="AB347" s="52">
        <f>[1]!s_stmnote_bank_5444(B347,$A347,1)</f>
        <v>0</v>
      </c>
      <c r="AC347" s="38">
        <f>[1]!s_stmnote_bank_129n($B347,$A347,1)</f>
        <v>0</v>
      </c>
      <c r="AD347" s="54">
        <f>[1]!s_stmnote_bank_30(B347,$A347,1)</f>
        <v>0</v>
      </c>
    </row>
    <row r="348" spans="1:30" ht="24">
      <c r="A348" s="1" t="s">
        <v>1110</v>
      </c>
      <c r="B348" s="87" t="s">
        <v>1456</v>
      </c>
      <c r="C348" s="8">
        <f>IF([1]!b_info_issuer(B348)="0","",IFERROR([1]!b_info_issuer(B348),""))</f>
        <v>0</v>
      </c>
      <c r="D348" s="11">
        <f>IF([1]!b_info_latestissurercreditrating(B348)="0","",IFERROR([1]!b_info_latestissurercreditrating(B348),""))</f>
        <v>0</v>
      </c>
      <c r="E348" s="27" t="str">
        <f>IFERROR(([1]!b_stm07_bs($B348,47,$A348,1,100000000))/[1]!b_stm07_bs($B348,109,$A348,1,100000000),"")</f>
        <v/>
      </c>
      <c r="F348" s="18" t="str">
        <f>IFERROR(([1]!s_stmnote_bank_26($B348,$A348,1,100000000)-[1]!s_stmnote_bank_26($B348,#REF!,1,100000000)+#REF!)/[1]!s_stmnote_bank_1n($B348,#REF!,1,100000000),"")</f>
        <v/>
      </c>
      <c r="G348" s="21" t="str">
        <f t="shared" si="10"/>
        <v/>
      </c>
      <c r="H348" s="18" t="str">
        <f>IFERROR([1]!s_stmnote_bank($B348,"34",$A348,100000000)/[1]!s_stmnote_bank_1n(B348,$A348,1,100000000),"")</f>
        <v/>
      </c>
      <c r="I348" s="25">
        <f>[1]!b_stm07_bs(B348,74,$A348,1,100000000)</f>
        <v>0</v>
      </c>
      <c r="J348" s="25">
        <f>[1]!b_stm07_bs(B348,109,$A348,1,100000000)</f>
        <v>0</v>
      </c>
      <c r="K348" s="10">
        <f>[1]!s_stmnote_bank_5n(B348,$A348,1)</f>
        <v>0</v>
      </c>
      <c r="L348" s="25">
        <f>[1]!s_stmnote_bank_23n(B348,$A348,1)</f>
        <v>0</v>
      </c>
      <c r="M348" s="25">
        <f>[1]!s_stmnote_bank_capadequacyratio(B348,$A348,1)</f>
        <v>0</v>
      </c>
      <c r="N348" s="25">
        <f>[1]!s_stmnote_bank_capadequacyratio_ct1(B348,$A348,1)</f>
        <v>0</v>
      </c>
      <c r="O348" s="6">
        <f>IF(OR([1]!s_fa_roe(B348,20201231)="0",[1]!s_fa_roe(B348,20211231)="0",[1]!s_fa_roe(B348,20221231)="0"),"",IFERROR(([1]!s_fa_roe(B348,20221231)+[1]!s_fa_roe(B348,20201231)+[1]!s_fa_roe(B348,20211231))/3,""))</f>
        <v>0</v>
      </c>
      <c r="P348" s="28" t="str">
        <f>IFERROR(([1]!s_stmnote_bank_65(B348,$A348,1,2,4,100000000)+[1]!s_stmnote_bank_65(B348,$A348,1,2,6,100000000))/[1]!s_stmnote_bank_1n(B348,$A348,1,100000000),"")</f>
        <v/>
      </c>
      <c r="Q348" s="28" t="str">
        <f>IFERROR([1]!s_stmnote_bank_614(B348,$A348,1,2,100000000)/[1]!s_stmnote_bank_647(B348,$A348,1,2,100000000),"")</f>
        <v/>
      </c>
      <c r="R348" s="28" t="str">
        <f>IFERROR(([1]!b_stm07_bs(B348,104,$A348,1,100000000)+[1]!b_stm07_bs(B348,106,$A348,1,100000000)+[1]!b_stm07_bs(B348,76,$A348,1,100000000)+[1]!b_stm07_bs(B348,108,$A348,1,100000000)+[1]!b_stm07_bs(B348,95,$A348,1,100000000))/[1]!b_stm07_bs(B348,128,$A348,1,100000000),"")</f>
        <v/>
      </c>
      <c r="S348" s="28" t="str">
        <f>IFERROR(([1]!s_stmnote_bank_614(B348,$A348,1,2,100000000)+[1]!b_stm07_bs(B348,104,$A348,1,100000000)+[1]!b_stm07_bs(B348,106,$A348,1,100000000)+[1]!b_stm07_bs(B348,76,$A348,1,100000000)+[1]!b_stm07_bs(B348,108,$A348,1,100000000)+[1]!b_stm07_bs(B348,95,$A348,1,100000000))/[1]!b_stm07_bs(B348,128,$A348,1,100000000),"")</f>
        <v/>
      </c>
      <c r="T348" s="11">
        <f>[1]!b_issuer_shareholder(B348,"",1)</f>
        <v>0</v>
      </c>
      <c r="U348" s="10">
        <f>[1]!b_issuer_propofshareholder(B348,"",1)</f>
        <v>0</v>
      </c>
      <c r="V348" s="33" t="str">
        <f t="shared" si="11"/>
        <v>0</v>
      </c>
      <c r="W348" s="33">
        <f>[1]!s_info_city(B348)</f>
        <v>0</v>
      </c>
      <c r="X348" s="10">
        <f>IF([1]!s_stmnote_bank_17n(B348,$A348,1)="0","",[1]!s_stmnote_bank_17n(B348,$A348,1))</f>
        <v>0</v>
      </c>
      <c r="Y348" s="10">
        <f>IF([1]!s_stmnote_bank_18n(B348,$A348,1)="0","",[1]!s_stmnote_bank_18n(B348,$A348,1))</f>
        <v>0</v>
      </c>
      <c r="Z348" s="41">
        <f>IF([1]!s_stmnote_bank_58(B348,$A348,1)="0","",[1]!s_stmnote_bank_58(B348,$A348,1))</f>
        <v>0</v>
      </c>
      <c r="AA348" s="52">
        <f>IF([1]!s_stmnote_bank_60(B348,$A348,1)="0","",[1]!s_stmnote_bank_60(B348,$A348,1))</f>
        <v>0</v>
      </c>
      <c r="AB348" s="52">
        <f>[1]!s_stmnote_bank_5444(B348,$A348,1)</f>
        <v>0</v>
      </c>
      <c r="AC348" s="38">
        <f>[1]!s_stmnote_bank_129n($B348,$A348,1)</f>
        <v>0</v>
      </c>
      <c r="AD348" s="54">
        <f>[1]!s_stmnote_bank_30(B348,$A348,1)</f>
        <v>0</v>
      </c>
    </row>
    <row r="349" spans="1:30" ht="24">
      <c r="A349" s="1" t="s">
        <v>1110</v>
      </c>
      <c r="B349" s="87" t="s">
        <v>1457</v>
      </c>
      <c r="C349" s="8">
        <f>IF([1]!b_info_issuer(B349)="0","",IFERROR([1]!b_info_issuer(B349),""))</f>
        <v>0</v>
      </c>
      <c r="D349" s="11">
        <f>IF([1]!b_info_latestissurercreditrating(B349)="0","",IFERROR([1]!b_info_latestissurercreditrating(B349),""))</f>
        <v>0</v>
      </c>
      <c r="E349" s="27" t="str">
        <f>IFERROR(([1]!b_stm07_bs($B349,47,$A349,1,100000000))/[1]!b_stm07_bs($B349,109,$A349,1,100000000),"")</f>
        <v/>
      </c>
      <c r="F349" s="18" t="str">
        <f>IFERROR(([1]!s_stmnote_bank_26($B349,$A349,1,100000000)-[1]!s_stmnote_bank_26($B349,#REF!,1,100000000)+#REF!)/[1]!s_stmnote_bank_1n($B349,#REF!,1,100000000),"")</f>
        <v/>
      </c>
      <c r="G349" s="21" t="str">
        <f t="shared" si="10"/>
        <v/>
      </c>
      <c r="H349" s="18" t="str">
        <f>IFERROR([1]!s_stmnote_bank($B349,"34",$A349,100000000)/[1]!s_stmnote_bank_1n(B349,$A349,1,100000000),"")</f>
        <v/>
      </c>
      <c r="I349" s="25">
        <f>[1]!b_stm07_bs(B349,74,$A349,1,100000000)</f>
        <v>0</v>
      </c>
      <c r="J349" s="25">
        <f>[1]!b_stm07_bs(B349,109,$A349,1,100000000)</f>
        <v>0</v>
      </c>
      <c r="K349" s="10">
        <f>[1]!s_stmnote_bank_5n(B349,$A349,1)</f>
        <v>0</v>
      </c>
      <c r="L349" s="25">
        <f>[1]!s_stmnote_bank_23n(B349,$A349,1)</f>
        <v>0</v>
      </c>
      <c r="M349" s="25">
        <f>[1]!s_stmnote_bank_capadequacyratio(B349,$A349,1)</f>
        <v>0</v>
      </c>
      <c r="N349" s="25">
        <f>[1]!s_stmnote_bank_capadequacyratio_ct1(B349,$A349,1)</f>
        <v>0</v>
      </c>
      <c r="O349" s="6">
        <f>IF(OR([1]!s_fa_roe(B349,20201231)="0",[1]!s_fa_roe(B349,20211231)="0",[1]!s_fa_roe(B349,20221231)="0"),"",IFERROR(([1]!s_fa_roe(B349,20221231)+[1]!s_fa_roe(B349,20201231)+[1]!s_fa_roe(B349,20211231))/3,""))</f>
        <v>0</v>
      </c>
      <c r="P349" s="28" t="str">
        <f>IFERROR(([1]!s_stmnote_bank_65(B349,$A349,1,2,4,100000000)+[1]!s_stmnote_bank_65(B349,$A349,1,2,6,100000000))/[1]!s_stmnote_bank_1n(B349,$A349,1,100000000),"")</f>
        <v/>
      </c>
      <c r="Q349" s="28" t="str">
        <f>IFERROR([1]!s_stmnote_bank_614(B349,$A349,1,2,100000000)/[1]!s_stmnote_bank_647(B349,$A349,1,2,100000000),"")</f>
        <v/>
      </c>
      <c r="R349" s="28" t="str">
        <f>IFERROR(([1]!b_stm07_bs(B349,104,$A349,1,100000000)+[1]!b_stm07_bs(B349,106,$A349,1,100000000)+[1]!b_stm07_bs(B349,76,$A349,1,100000000)+[1]!b_stm07_bs(B349,108,$A349,1,100000000)+[1]!b_stm07_bs(B349,95,$A349,1,100000000))/[1]!b_stm07_bs(B349,128,$A349,1,100000000),"")</f>
        <v/>
      </c>
      <c r="S349" s="28" t="str">
        <f>IFERROR(([1]!s_stmnote_bank_614(B349,$A349,1,2,100000000)+[1]!b_stm07_bs(B349,104,$A349,1,100000000)+[1]!b_stm07_bs(B349,106,$A349,1,100000000)+[1]!b_stm07_bs(B349,76,$A349,1,100000000)+[1]!b_stm07_bs(B349,108,$A349,1,100000000)+[1]!b_stm07_bs(B349,95,$A349,1,100000000))/[1]!b_stm07_bs(B349,128,$A349,1,100000000),"")</f>
        <v/>
      </c>
      <c r="T349" s="11">
        <f>[1]!b_issuer_shareholder(B349,"",1)</f>
        <v>0</v>
      </c>
      <c r="U349" s="10">
        <f>[1]!b_issuer_propofshareholder(B349,"",1)</f>
        <v>0</v>
      </c>
      <c r="V349" s="33" t="str">
        <f t="shared" si="11"/>
        <v>0</v>
      </c>
      <c r="W349" s="33">
        <f>[1]!s_info_city(B349)</f>
        <v>0</v>
      </c>
      <c r="X349" s="10">
        <f>IF([1]!s_stmnote_bank_17n(B349,$A349,1)="0","",[1]!s_stmnote_bank_17n(B349,$A349,1))</f>
        <v>0</v>
      </c>
      <c r="Y349" s="10">
        <f>IF([1]!s_stmnote_bank_18n(B349,$A349,1)="0","",[1]!s_stmnote_bank_18n(B349,$A349,1))</f>
        <v>0</v>
      </c>
      <c r="Z349" s="41">
        <f>IF([1]!s_stmnote_bank_58(B349,$A349,1)="0","",[1]!s_stmnote_bank_58(B349,$A349,1))</f>
        <v>0</v>
      </c>
      <c r="AA349" s="52">
        <f>IF([1]!s_stmnote_bank_60(B349,$A349,1)="0","",[1]!s_stmnote_bank_60(B349,$A349,1))</f>
        <v>0</v>
      </c>
      <c r="AB349" s="52">
        <f>[1]!s_stmnote_bank_5444(B349,$A349,1)</f>
        <v>0</v>
      </c>
      <c r="AC349" s="38">
        <f>[1]!s_stmnote_bank_129n($B349,$A349,1)</f>
        <v>0</v>
      </c>
      <c r="AD349" s="54">
        <f>[1]!s_stmnote_bank_30(B349,$A349,1)</f>
        <v>0</v>
      </c>
    </row>
    <row r="350" spans="1:30" ht="24">
      <c r="A350" s="1" t="s">
        <v>1110</v>
      </c>
      <c r="B350" s="87" t="s">
        <v>1458</v>
      </c>
      <c r="C350" s="8">
        <f>IF([1]!b_info_issuer(B350)="0","",IFERROR([1]!b_info_issuer(B350),""))</f>
        <v>0</v>
      </c>
      <c r="D350" s="11">
        <f>IF([1]!b_info_latestissurercreditrating(B350)="0","",IFERROR([1]!b_info_latestissurercreditrating(B350),""))</f>
        <v>0</v>
      </c>
      <c r="E350" s="27" t="str">
        <f>IFERROR(([1]!b_stm07_bs($B350,47,$A350,1,100000000))/[1]!b_stm07_bs($B350,109,$A350,1,100000000),"")</f>
        <v/>
      </c>
      <c r="F350" s="18" t="str">
        <f>IFERROR(([1]!s_stmnote_bank_26($B350,$A350,1,100000000)-[1]!s_stmnote_bank_26($B350,#REF!,1,100000000)+#REF!)/[1]!s_stmnote_bank_1n($B350,#REF!,1,100000000),"")</f>
        <v/>
      </c>
      <c r="G350" s="21" t="str">
        <f t="shared" si="10"/>
        <v/>
      </c>
      <c r="H350" s="18" t="str">
        <f>IFERROR([1]!s_stmnote_bank($B350,"34",$A350,100000000)/[1]!s_stmnote_bank_1n(B350,$A350,1,100000000),"")</f>
        <v/>
      </c>
      <c r="I350" s="25">
        <f>[1]!b_stm07_bs(B350,74,$A350,1,100000000)</f>
        <v>0</v>
      </c>
      <c r="J350" s="25">
        <f>[1]!b_stm07_bs(B350,109,$A350,1,100000000)</f>
        <v>0</v>
      </c>
      <c r="K350" s="10">
        <f>[1]!s_stmnote_bank_5n(B350,$A350,1)</f>
        <v>0</v>
      </c>
      <c r="L350" s="25">
        <f>[1]!s_stmnote_bank_23n(B350,$A350,1)</f>
        <v>0</v>
      </c>
      <c r="M350" s="25">
        <f>[1]!s_stmnote_bank_capadequacyratio(B350,$A350,1)</f>
        <v>0</v>
      </c>
      <c r="N350" s="25">
        <f>[1]!s_stmnote_bank_capadequacyratio_ct1(B350,$A350,1)</f>
        <v>0</v>
      </c>
      <c r="O350" s="6">
        <f>IF(OR([1]!s_fa_roe(B350,20201231)="0",[1]!s_fa_roe(B350,20211231)="0",[1]!s_fa_roe(B350,20221231)="0"),"",IFERROR(([1]!s_fa_roe(B350,20221231)+[1]!s_fa_roe(B350,20201231)+[1]!s_fa_roe(B350,20211231))/3,""))</f>
        <v>0</v>
      </c>
      <c r="P350" s="28" t="str">
        <f>IFERROR(([1]!s_stmnote_bank_65(B350,$A350,1,2,4,100000000)+[1]!s_stmnote_bank_65(B350,$A350,1,2,6,100000000))/[1]!s_stmnote_bank_1n(B350,$A350,1,100000000),"")</f>
        <v/>
      </c>
      <c r="Q350" s="28" t="str">
        <f>IFERROR([1]!s_stmnote_bank_614(B350,$A350,1,2,100000000)/[1]!s_stmnote_bank_647(B350,$A350,1,2,100000000),"")</f>
        <v/>
      </c>
      <c r="R350" s="28" t="str">
        <f>IFERROR(([1]!b_stm07_bs(B350,104,$A350,1,100000000)+[1]!b_stm07_bs(B350,106,$A350,1,100000000)+[1]!b_stm07_bs(B350,76,$A350,1,100000000)+[1]!b_stm07_bs(B350,108,$A350,1,100000000)+[1]!b_stm07_bs(B350,95,$A350,1,100000000))/[1]!b_stm07_bs(B350,128,$A350,1,100000000),"")</f>
        <v/>
      </c>
      <c r="S350" s="28" t="str">
        <f>IFERROR(([1]!s_stmnote_bank_614(B350,$A350,1,2,100000000)+[1]!b_stm07_bs(B350,104,$A350,1,100000000)+[1]!b_stm07_bs(B350,106,$A350,1,100000000)+[1]!b_stm07_bs(B350,76,$A350,1,100000000)+[1]!b_stm07_bs(B350,108,$A350,1,100000000)+[1]!b_stm07_bs(B350,95,$A350,1,100000000))/[1]!b_stm07_bs(B350,128,$A350,1,100000000),"")</f>
        <v/>
      </c>
      <c r="T350" s="11">
        <f>[1]!b_issuer_shareholder(B350,"",1)</f>
        <v>0</v>
      </c>
      <c r="U350" s="10">
        <f>[1]!b_issuer_propofshareholder(B350,"",1)</f>
        <v>0</v>
      </c>
      <c r="V350" s="33" t="str">
        <f t="shared" si="11"/>
        <v>0</v>
      </c>
      <c r="W350" s="33">
        <f>[1]!s_info_city(B350)</f>
        <v>0</v>
      </c>
      <c r="X350" s="10">
        <f>IF([1]!s_stmnote_bank_17n(B350,$A350,1)="0","",[1]!s_stmnote_bank_17n(B350,$A350,1))</f>
        <v>0</v>
      </c>
      <c r="Y350" s="10">
        <f>IF([1]!s_stmnote_bank_18n(B350,$A350,1)="0","",[1]!s_stmnote_bank_18n(B350,$A350,1))</f>
        <v>0</v>
      </c>
      <c r="Z350" s="41">
        <f>IF([1]!s_stmnote_bank_58(B350,$A350,1)="0","",[1]!s_stmnote_bank_58(B350,$A350,1))</f>
        <v>0</v>
      </c>
      <c r="AA350" s="52">
        <f>IF([1]!s_stmnote_bank_60(B350,$A350,1)="0","",[1]!s_stmnote_bank_60(B350,$A350,1))</f>
        <v>0</v>
      </c>
      <c r="AB350" s="52">
        <f>[1]!s_stmnote_bank_5444(B350,$A350,1)</f>
        <v>0</v>
      </c>
      <c r="AC350" s="38">
        <f>[1]!s_stmnote_bank_129n($B350,$A350,1)</f>
        <v>0</v>
      </c>
      <c r="AD350" s="54">
        <f>[1]!s_stmnote_bank_30(B350,$A350,1)</f>
        <v>0</v>
      </c>
    </row>
    <row r="351" spans="1:30" ht="24">
      <c r="A351" s="1" t="s">
        <v>1110</v>
      </c>
      <c r="B351" s="87" t="s">
        <v>1459</v>
      </c>
      <c r="C351" s="8">
        <f>IF([1]!b_info_issuer(B351)="0","",IFERROR([1]!b_info_issuer(B351),""))</f>
        <v>0</v>
      </c>
      <c r="D351" s="11">
        <f>IF([1]!b_info_latestissurercreditrating(B351)="0","",IFERROR([1]!b_info_latestissurercreditrating(B351),""))</f>
        <v>0</v>
      </c>
      <c r="E351" s="27" t="str">
        <f>IFERROR(([1]!b_stm07_bs($B351,47,$A351,1,100000000))/[1]!b_stm07_bs($B351,109,$A351,1,100000000),"")</f>
        <v/>
      </c>
      <c r="F351" s="18" t="str">
        <f>IFERROR(([1]!s_stmnote_bank_26($B351,$A351,1,100000000)-[1]!s_stmnote_bank_26($B351,#REF!,1,100000000)+#REF!)/[1]!s_stmnote_bank_1n($B351,#REF!,1,100000000),"")</f>
        <v/>
      </c>
      <c r="G351" s="21" t="str">
        <f t="shared" si="10"/>
        <v/>
      </c>
      <c r="H351" s="18" t="str">
        <f>IFERROR([1]!s_stmnote_bank($B351,"34",$A351,100000000)/[1]!s_stmnote_bank_1n(B351,$A351,1,100000000),"")</f>
        <v/>
      </c>
      <c r="I351" s="25">
        <f>[1]!b_stm07_bs(B351,74,$A351,1,100000000)</f>
        <v>0</v>
      </c>
      <c r="J351" s="25">
        <f>[1]!b_stm07_bs(B351,109,$A351,1,100000000)</f>
        <v>0</v>
      </c>
      <c r="K351" s="10">
        <f>[1]!s_stmnote_bank_5n(B351,$A351,1)</f>
        <v>0</v>
      </c>
      <c r="L351" s="25">
        <f>[1]!s_stmnote_bank_23n(B351,$A351,1)</f>
        <v>0</v>
      </c>
      <c r="M351" s="25">
        <f>[1]!s_stmnote_bank_capadequacyratio(B351,$A351,1)</f>
        <v>0</v>
      </c>
      <c r="N351" s="25">
        <f>[1]!s_stmnote_bank_capadequacyratio_ct1(B351,$A351,1)</f>
        <v>0</v>
      </c>
      <c r="O351" s="6">
        <f>IF(OR([1]!s_fa_roe(B351,20201231)="0",[1]!s_fa_roe(B351,20211231)="0",[1]!s_fa_roe(B351,20221231)="0"),"",IFERROR(([1]!s_fa_roe(B351,20221231)+[1]!s_fa_roe(B351,20201231)+[1]!s_fa_roe(B351,20211231))/3,""))</f>
        <v>0</v>
      </c>
      <c r="P351" s="28" t="str">
        <f>IFERROR(([1]!s_stmnote_bank_65(B351,$A351,1,2,4,100000000)+[1]!s_stmnote_bank_65(B351,$A351,1,2,6,100000000))/[1]!s_stmnote_bank_1n(B351,$A351,1,100000000),"")</f>
        <v/>
      </c>
      <c r="Q351" s="28" t="str">
        <f>IFERROR([1]!s_stmnote_bank_614(B351,$A351,1,2,100000000)/[1]!s_stmnote_bank_647(B351,$A351,1,2,100000000),"")</f>
        <v/>
      </c>
      <c r="R351" s="28" t="str">
        <f>IFERROR(([1]!b_stm07_bs(B351,104,$A351,1,100000000)+[1]!b_stm07_bs(B351,106,$A351,1,100000000)+[1]!b_stm07_bs(B351,76,$A351,1,100000000)+[1]!b_stm07_bs(B351,108,$A351,1,100000000)+[1]!b_stm07_bs(B351,95,$A351,1,100000000))/[1]!b_stm07_bs(B351,128,$A351,1,100000000),"")</f>
        <v/>
      </c>
      <c r="S351" s="28" t="str">
        <f>IFERROR(([1]!s_stmnote_bank_614(B351,$A351,1,2,100000000)+[1]!b_stm07_bs(B351,104,$A351,1,100000000)+[1]!b_stm07_bs(B351,106,$A351,1,100000000)+[1]!b_stm07_bs(B351,76,$A351,1,100000000)+[1]!b_stm07_bs(B351,108,$A351,1,100000000)+[1]!b_stm07_bs(B351,95,$A351,1,100000000))/[1]!b_stm07_bs(B351,128,$A351,1,100000000),"")</f>
        <v/>
      </c>
      <c r="T351" s="11">
        <f>[1]!b_issuer_shareholder(B351,"",1)</f>
        <v>0</v>
      </c>
      <c r="U351" s="10">
        <f>[1]!b_issuer_propofshareholder(B351,"",1)</f>
        <v>0</v>
      </c>
      <c r="V351" s="33" t="str">
        <f t="shared" si="11"/>
        <v>0</v>
      </c>
      <c r="W351" s="33">
        <f>[1]!s_info_city(B351)</f>
        <v>0</v>
      </c>
      <c r="X351" s="10">
        <f>IF([1]!s_stmnote_bank_17n(B351,$A351,1)="0","",[1]!s_stmnote_bank_17n(B351,$A351,1))</f>
        <v>0</v>
      </c>
      <c r="Y351" s="10">
        <f>IF([1]!s_stmnote_bank_18n(B351,$A351,1)="0","",[1]!s_stmnote_bank_18n(B351,$A351,1))</f>
        <v>0</v>
      </c>
      <c r="Z351" s="41">
        <f>IF([1]!s_stmnote_bank_58(B351,$A351,1)="0","",[1]!s_stmnote_bank_58(B351,$A351,1))</f>
        <v>0</v>
      </c>
      <c r="AA351" s="52">
        <f>IF([1]!s_stmnote_bank_60(B351,$A351,1)="0","",[1]!s_stmnote_bank_60(B351,$A351,1))</f>
        <v>0</v>
      </c>
      <c r="AB351" s="52">
        <f>[1]!s_stmnote_bank_5444(B351,$A351,1)</f>
        <v>0</v>
      </c>
      <c r="AC351" s="38">
        <f>[1]!s_stmnote_bank_129n($B351,$A351,1)</f>
        <v>0</v>
      </c>
      <c r="AD351" s="54">
        <f>[1]!s_stmnote_bank_30(B351,$A351,1)</f>
        <v>0</v>
      </c>
    </row>
    <row r="352" spans="1:30" ht="24">
      <c r="A352" s="1" t="s">
        <v>1110</v>
      </c>
      <c r="B352" s="87" t="s">
        <v>1460</v>
      </c>
      <c r="C352" s="8">
        <f>IF([1]!b_info_issuer(B352)="0","",IFERROR([1]!b_info_issuer(B352),""))</f>
        <v>0</v>
      </c>
      <c r="D352" s="11">
        <f>IF([1]!b_info_latestissurercreditrating(B352)="0","",IFERROR([1]!b_info_latestissurercreditrating(B352),""))</f>
        <v>0</v>
      </c>
      <c r="E352" s="27" t="str">
        <f>IFERROR(([1]!b_stm07_bs($B352,47,$A352,1,100000000))/[1]!b_stm07_bs($B352,109,$A352,1,100000000),"")</f>
        <v/>
      </c>
      <c r="F352" s="18" t="str">
        <f>IFERROR(([1]!s_stmnote_bank_26($B352,$A352,1,100000000)-[1]!s_stmnote_bank_26($B352,#REF!,1,100000000)+#REF!)/[1]!s_stmnote_bank_1n($B352,#REF!,1,100000000),"")</f>
        <v/>
      </c>
      <c r="G352" s="21" t="str">
        <f t="shared" si="10"/>
        <v/>
      </c>
      <c r="H352" s="18" t="str">
        <f>IFERROR([1]!s_stmnote_bank($B352,"34",$A352,100000000)/[1]!s_stmnote_bank_1n(B352,$A352,1,100000000),"")</f>
        <v/>
      </c>
      <c r="I352" s="25">
        <f>[1]!b_stm07_bs(B352,74,$A352,1,100000000)</f>
        <v>0</v>
      </c>
      <c r="J352" s="25">
        <f>[1]!b_stm07_bs(B352,109,$A352,1,100000000)</f>
        <v>0</v>
      </c>
      <c r="K352" s="10">
        <f>[1]!s_stmnote_bank_5n(B352,$A352,1)</f>
        <v>0</v>
      </c>
      <c r="L352" s="25">
        <f>[1]!s_stmnote_bank_23n(B352,$A352,1)</f>
        <v>0</v>
      </c>
      <c r="M352" s="25">
        <f>[1]!s_stmnote_bank_capadequacyratio(B352,$A352,1)</f>
        <v>0</v>
      </c>
      <c r="N352" s="25">
        <f>[1]!s_stmnote_bank_capadequacyratio_ct1(B352,$A352,1)</f>
        <v>0</v>
      </c>
      <c r="O352" s="6">
        <f>IF(OR([1]!s_fa_roe(B352,20201231)="0",[1]!s_fa_roe(B352,20211231)="0",[1]!s_fa_roe(B352,20221231)="0"),"",IFERROR(([1]!s_fa_roe(B352,20221231)+[1]!s_fa_roe(B352,20201231)+[1]!s_fa_roe(B352,20211231))/3,""))</f>
        <v>0</v>
      </c>
      <c r="P352" s="28" t="str">
        <f>IFERROR(([1]!s_stmnote_bank_65(B352,$A352,1,2,4,100000000)+[1]!s_stmnote_bank_65(B352,$A352,1,2,6,100000000))/[1]!s_stmnote_bank_1n(B352,$A352,1,100000000),"")</f>
        <v/>
      </c>
      <c r="Q352" s="28" t="str">
        <f>IFERROR([1]!s_stmnote_bank_614(B352,$A352,1,2,100000000)/[1]!s_stmnote_bank_647(B352,$A352,1,2,100000000),"")</f>
        <v/>
      </c>
      <c r="R352" s="28" t="str">
        <f>IFERROR(([1]!b_stm07_bs(B352,104,$A352,1,100000000)+[1]!b_stm07_bs(B352,106,$A352,1,100000000)+[1]!b_stm07_bs(B352,76,$A352,1,100000000)+[1]!b_stm07_bs(B352,108,$A352,1,100000000)+[1]!b_stm07_bs(B352,95,$A352,1,100000000))/[1]!b_stm07_bs(B352,128,$A352,1,100000000),"")</f>
        <v/>
      </c>
      <c r="S352" s="28" t="str">
        <f>IFERROR(([1]!s_stmnote_bank_614(B352,$A352,1,2,100000000)+[1]!b_stm07_bs(B352,104,$A352,1,100000000)+[1]!b_stm07_bs(B352,106,$A352,1,100000000)+[1]!b_stm07_bs(B352,76,$A352,1,100000000)+[1]!b_stm07_bs(B352,108,$A352,1,100000000)+[1]!b_stm07_bs(B352,95,$A352,1,100000000))/[1]!b_stm07_bs(B352,128,$A352,1,100000000),"")</f>
        <v/>
      </c>
      <c r="T352" s="11">
        <f>[1]!b_issuer_shareholder(B352,"",1)</f>
        <v>0</v>
      </c>
      <c r="U352" s="10">
        <f>[1]!b_issuer_propofshareholder(B352,"",1)</f>
        <v>0</v>
      </c>
      <c r="V352" s="33" t="str">
        <f t="shared" si="11"/>
        <v>0</v>
      </c>
      <c r="W352" s="33">
        <f>[1]!s_info_city(B352)</f>
        <v>0</v>
      </c>
      <c r="X352" s="10">
        <f>IF([1]!s_stmnote_bank_17n(B352,$A352,1)="0","",[1]!s_stmnote_bank_17n(B352,$A352,1))</f>
        <v>0</v>
      </c>
      <c r="Y352" s="10">
        <f>IF([1]!s_stmnote_bank_18n(B352,$A352,1)="0","",[1]!s_stmnote_bank_18n(B352,$A352,1))</f>
        <v>0</v>
      </c>
      <c r="Z352" s="41">
        <f>IF([1]!s_stmnote_bank_58(B352,$A352,1)="0","",[1]!s_stmnote_bank_58(B352,$A352,1))</f>
        <v>0</v>
      </c>
      <c r="AA352" s="52">
        <f>IF([1]!s_stmnote_bank_60(B352,$A352,1)="0","",[1]!s_stmnote_bank_60(B352,$A352,1))</f>
        <v>0</v>
      </c>
      <c r="AB352" s="52">
        <f>[1]!s_stmnote_bank_5444(B352,$A352,1)</f>
        <v>0</v>
      </c>
      <c r="AC352" s="38">
        <f>[1]!s_stmnote_bank_129n($B352,$A352,1)</f>
        <v>0</v>
      </c>
      <c r="AD352" s="54">
        <f>[1]!s_stmnote_bank_30(B352,$A352,1)</f>
        <v>0</v>
      </c>
    </row>
    <row r="353" spans="1:30" ht="24">
      <c r="A353" s="1" t="s">
        <v>1110</v>
      </c>
      <c r="B353" s="87" t="s">
        <v>1461</v>
      </c>
      <c r="C353" s="8">
        <f>IF([1]!b_info_issuer(B353)="0","",IFERROR([1]!b_info_issuer(B353),""))</f>
        <v>0</v>
      </c>
      <c r="D353" s="11">
        <f>IF([1]!b_info_latestissurercreditrating(B353)="0","",IFERROR([1]!b_info_latestissurercreditrating(B353),""))</f>
        <v>0</v>
      </c>
      <c r="E353" s="27" t="str">
        <f>IFERROR(([1]!b_stm07_bs($B353,47,$A353,1,100000000))/[1]!b_stm07_bs($B353,109,$A353,1,100000000),"")</f>
        <v/>
      </c>
      <c r="F353" s="18" t="str">
        <f>IFERROR(([1]!s_stmnote_bank_26($B353,$A353,1,100000000)-[1]!s_stmnote_bank_26($B353,#REF!,1,100000000)+#REF!)/[1]!s_stmnote_bank_1n($B353,#REF!,1,100000000),"")</f>
        <v/>
      </c>
      <c r="G353" s="21" t="str">
        <f t="shared" si="10"/>
        <v/>
      </c>
      <c r="H353" s="18" t="str">
        <f>IFERROR([1]!s_stmnote_bank($B353,"34",$A353,100000000)/[1]!s_stmnote_bank_1n(B353,$A353,1,100000000),"")</f>
        <v/>
      </c>
      <c r="I353" s="25">
        <f>[1]!b_stm07_bs(B353,74,$A353,1,100000000)</f>
        <v>0</v>
      </c>
      <c r="J353" s="25">
        <f>[1]!b_stm07_bs(B353,109,$A353,1,100000000)</f>
        <v>0</v>
      </c>
      <c r="K353" s="10">
        <f>[1]!s_stmnote_bank_5n(B353,$A353,1)</f>
        <v>0</v>
      </c>
      <c r="L353" s="25">
        <f>[1]!s_stmnote_bank_23n(B353,$A353,1)</f>
        <v>0</v>
      </c>
      <c r="M353" s="25">
        <f>[1]!s_stmnote_bank_capadequacyratio(B353,$A353,1)</f>
        <v>0</v>
      </c>
      <c r="N353" s="25">
        <f>[1]!s_stmnote_bank_capadequacyratio_ct1(B353,$A353,1)</f>
        <v>0</v>
      </c>
      <c r="O353" s="6">
        <f>IF(OR([1]!s_fa_roe(B353,20201231)="0",[1]!s_fa_roe(B353,20211231)="0",[1]!s_fa_roe(B353,20221231)="0"),"",IFERROR(([1]!s_fa_roe(B353,20221231)+[1]!s_fa_roe(B353,20201231)+[1]!s_fa_roe(B353,20211231))/3,""))</f>
        <v>0</v>
      </c>
      <c r="P353" s="28" t="str">
        <f>IFERROR(([1]!s_stmnote_bank_65(B353,$A353,1,2,4,100000000)+[1]!s_stmnote_bank_65(B353,$A353,1,2,6,100000000))/[1]!s_stmnote_bank_1n(B353,$A353,1,100000000),"")</f>
        <v/>
      </c>
      <c r="Q353" s="28" t="str">
        <f>IFERROR([1]!s_stmnote_bank_614(B353,$A353,1,2,100000000)/[1]!s_stmnote_bank_647(B353,$A353,1,2,100000000),"")</f>
        <v/>
      </c>
      <c r="R353" s="28" t="str">
        <f>IFERROR(([1]!b_stm07_bs(B353,104,$A353,1,100000000)+[1]!b_stm07_bs(B353,106,$A353,1,100000000)+[1]!b_stm07_bs(B353,76,$A353,1,100000000)+[1]!b_stm07_bs(B353,108,$A353,1,100000000)+[1]!b_stm07_bs(B353,95,$A353,1,100000000))/[1]!b_stm07_bs(B353,128,$A353,1,100000000),"")</f>
        <v/>
      </c>
      <c r="S353" s="28" t="str">
        <f>IFERROR(([1]!s_stmnote_bank_614(B353,$A353,1,2,100000000)+[1]!b_stm07_bs(B353,104,$A353,1,100000000)+[1]!b_stm07_bs(B353,106,$A353,1,100000000)+[1]!b_stm07_bs(B353,76,$A353,1,100000000)+[1]!b_stm07_bs(B353,108,$A353,1,100000000)+[1]!b_stm07_bs(B353,95,$A353,1,100000000))/[1]!b_stm07_bs(B353,128,$A353,1,100000000),"")</f>
        <v/>
      </c>
      <c r="T353" s="11">
        <f>[1]!b_issuer_shareholder(B353,"",1)</f>
        <v>0</v>
      </c>
      <c r="U353" s="10">
        <f>[1]!b_issuer_propofshareholder(B353,"",1)</f>
        <v>0</v>
      </c>
      <c r="V353" s="33" t="str">
        <f t="shared" si="11"/>
        <v>0</v>
      </c>
      <c r="W353" s="33">
        <f>[1]!s_info_city(B353)</f>
        <v>0</v>
      </c>
      <c r="X353" s="10">
        <f>IF([1]!s_stmnote_bank_17n(B353,$A353,1)="0","",[1]!s_stmnote_bank_17n(B353,$A353,1))</f>
        <v>0</v>
      </c>
      <c r="Y353" s="10">
        <f>IF([1]!s_stmnote_bank_18n(B353,$A353,1)="0","",[1]!s_stmnote_bank_18n(B353,$A353,1))</f>
        <v>0</v>
      </c>
      <c r="Z353" s="41">
        <f>IF([1]!s_stmnote_bank_58(B353,$A353,1)="0","",[1]!s_stmnote_bank_58(B353,$A353,1))</f>
        <v>0</v>
      </c>
      <c r="AA353" s="52">
        <f>IF([1]!s_stmnote_bank_60(B353,$A353,1)="0","",[1]!s_stmnote_bank_60(B353,$A353,1))</f>
        <v>0</v>
      </c>
      <c r="AB353" s="52">
        <f>[1]!s_stmnote_bank_5444(B353,$A353,1)</f>
        <v>0</v>
      </c>
      <c r="AC353" s="38">
        <f>[1]!s_stmnote_bank_129n($B353,$A353,1)</f>
        <v>0</v>
      </c>
      <c r="AD353" s="54">
        <f>[1]!s_stmnote_bank_30(B353,$A353,1)</f>
        <v>0</v>
      </c>
    </row>
    <row r="354" spans="1:30" ht="24">
      <c r="A354" s="1" t="s">
        <v>1110</v>
      </c>
      <c r="B354" s="87" t="s">
        <v>1462</v>
      </c>
      <c r="C354" s="8">
        <f>IF([1]!b_info_issuer(B354)="0","",IFERROR([1]!b_info_issuer(B354),""))</f>
        <v>0</v>
      </c>
      <c r="D354" s="11">
        <f>IF([1]!b_info_latestissurercreditrating(B354)="0","",IFERROR([1]!b_info_latestissurercreditrating(B354),""))</f>
        <v>0</v>
      </c>
      <c r="E354" s="27" t="str">
        <f>IFERROR(([1]!b_stm07_bs($B354,47,$A354,1,100000000))/[1]!b_stm07_bs($B354,109,$A354,1,100000000),"")</f>
        <v/>
      </c>
      <c r="F354" s="18" t="str">
        <f>IFERROR(([1]!s_stmnote_bank_26($B354,$A354,1,100000000)-[1]!s_stmnote_bank_26($B354,#REF!,1,100000000)+#REF!)/[1]!s_stmnote_bank_1n($B354,#REF!,1,100000000),"")</f>
        <v/>
      </c>
      <c r="G354" s="21" t="str">
        <f t="shared" si="10"/>
        <v/>
      </c>
      <c r="H354" s="18" t="str">
        <f>IFERROR([1]!s_stmnote_bank($B354,"34",$A354,100000000)/[1]!s_stmnote_bank_1n(B354,$A354,1,100000000),"")</f>
        <v/>
      </c>
      <c r="I354" s="25">
        <f>[1]!b_stm07_bs(B354,74,$A354,1,100000000)</f>
        <v>0</v>
      </c>
      <c r="J354" s="25">
        <f>[1]!b_stm07_bs(B354,109,$A354,1,100000000)</f>
        <v>0</v>
      </c>
      <c r="K354" s="10">
        <f>[1]!s_stmnote_bank_5n(B354,$A354,1)</f>
        <v>0</v>
      </c>
      <c r="L354" s="25">
        <f>[1]!s_stmnote_bank_23n(B354,$A354,1)</f>
        <v>0</v>
      </c>
      <c r="M354" s="25">
        <f>[1]!s_stmnote_bank_capadequacyratio(B354,$A354,1)</f>
        <v>0</v>
      </c>
      <c r="N354" s="25">
        <f>[1]!s_stmnote_bank_capadequacyratio_ct1(B354,$A354,1)</f>
        <v>0</v>
      </c>
      <c r="O354" s="6">
        <f>IF(OR([1]!s_fa_roe(B354,20201231)="0",[1]!s_fa_roe(B354,20211231)="0",[1]!s_fa_roe(B354,20221231)="0"),"",IFERROR(([1]!s_fa_roe(B354,20221231)+[1]!s_fa_roe(B354,20201231)+[1]!s_fa_roe(B354,20211231))/3,""))</f>
        <v>0</v>
      </c>
      <c r="P354" s="28" t="str">
        <f>IFERROR(([1]!s_stmnote_bank_65(B354,$A354,1,2,4,100000000)+[1]!s_stmnote_bank_65(B354,$A354,1,2,6,100000000))/[1]!s_stmnote_bank_1n(B354,$A354,1,100000000),"")</f>
        <v/>
      </c>
      <c r="Q354" s="28" t="str">
        <f>IFERROR([1]!s_stmnote_bank_614(B354,$A354,1,2,100000000)/[1]!s_stmnote_bank_647(B354,$A354,1,2,100000000),"")</f>
        <v/>
      </c>
      <c r="R354" s="28" t="str">
        <f>IFERROR(([1]!b_stm07_bs(B354,104,$A354,1,100000000)+[1]!b_stm07_bs(B354,106,$A354,1,100000000)+[1]!b_stm07_bs(B354,76,$A354,1,100000000)+[1]!b_stm07_bs(B354,108,$A354,1,100000000)+[1]!b_stm07_bs(B354,95,$A354,1,100000000))/[1]!b_stm07_bs(B354,128,$A354,1,100000000),"")</f>
        <v/>
      </c>
      <c r="S354" s="28" t="str">
        <f>IFERROR(([1]!s_stmnote_bank_614(B354,$A354,1,2,100000000)+[1]!b_stm07_bs(B354,104,$A354,1,100000000)+[1]!b_stm07_bs(B354,106,$A354,1,100000000)+[1]!b_stm07_bs(B354,76,$A354,1,100000000)+[1]!b_stm07_bs(B354,108,$A354,1,100000000)+[1]!b_stm07_bs(B354,95,$A354,1,100000000))/[1]!b_stm07_bs(B354,128,$A354,1,100000000),"")</f>
        <v/>
      </c>
      <c r="T354" s="11">
        <f>[1]!b_issuer_shareholder(B354,"",1)</f>
        <v>0</v>
      </c>
      <c r="U354" s="10">
        <f>[1]!b_issuer_propofshareholder(B354,"",1)</f>
        <v>0</v>
      </c>
      <c r="V354" s="33" t="str">
        <f t="shared" si="11"/>
        <v>0</v>
      </c>
      <c r="W354" s="33">
        <f>[1]!s_info_city(B354)</f>
        <v>0</v>
      </c>
      <c r="X354" s="10">
        <f>IF([1]!s_stmnote_bank_17n(B354,$A354,1)="0","",[1]!s_stmnote_bank_17n(B354,$A354,1))</f>
        <v>0</v>
      </c>
      <c r="Y354" s="10">
        <f>IF([1]!s_stmnote_bank_18n(B354,$A354,1)="0","",[1]!s_stmnote_bank_18n(B354,$A354,1))</f>
        <v>0</v>
      </c>
      <c r="Z354" s="41">
        <f>IF([1]!s_stmnote_bank_58(B354,$A354,1)="0","",[1]!s_stmnote_bank_58(B354,$A354,1))</f>
        <v>0</v>
      </c>
      <c r="AA354" s="52">
        <f>IF([1]!s_stmnote_bank_60(B354,$A354,1)="0","",[1]!s_stmnote_bank_60(B354,$A354,1))</f>
        <v>0</v>
      </c>
      <c r="AB354" s="52">
        <f>[1]!s_stmnote_bank_5444(B354,$A354,1)</f>
        <v>0</v>
      </c>
      <c r="AC354" s="38">
        <f>[1]!s_stmnote_bank_129n($B354,$A354,1)</f>
        <v>0</v>
      </c>
      <c r="AD354" s="54">
        <f>[1]!s_stmnote_bank_30(B354,$A354,1)</f>
        <v>0</v>
      </c>
    </row>
    <row r="355" spans="1:30" ht="24">
      <c r="A355" s="1" t="s">
        <v>1110</v>
      </c>
      <c r="B355" s="87" t="s">
        <v>1463</v>
      </c>
      <c r="C355" s="8">
        <f>IF([1]!b_info_issuer(B355)="0","",IFERROR([1]!b_info_issuer(B355),""))</f>
        <v>0</v>
      </c>
      <c r="D355" s="11">
        <f>IF([1]!b_info_latestissurercreditrating(B355)="0","",IFERROR([1]!b_info_latestissurercreditrating(B355),""))</f>
        <v>0</v>
      </c>
      <c r="E355" s="27" t="str">
        <f>IFERROR(([1]!b_stm07_bs($B355,47,$A355,1,100000000))/[1]!b_stm07_bs($B355,109,$A355,1,100000000),"")</f>
        <v/>
      </c>
      <c r="F355" s="18" t="str">
        <f>IFERROR(([1]!s_stmnote_bank_26($B355,$A355,1,100000000)-[1]!s_stmnote_bank_26($B355,#REF!,1,100000000)+#REF!)/[1]!s_stmnote_bank_1n($B355,#REF!,1,100000000),"")</f>
        <v/>
      </c>
      <c r="G355" s="21" t="str">
        <f t="shared" si="10"/>
        <v/>
      </c>
      <c r="H355" s="18" t="str">
        <f>IFERROR([1]!s_stmnote_bank($B355,"34",$A355,100000000)/[1]!s_stmnote_bank_1n(B355,$A355,1,100000000),"")</f>
        <v/>
      </c>
      <c r="I355" s="25">
        <f>[1]!b_stm07_bs(B355,74,$A355,1,100000000)</f>
        <v>0</v>
      </c>
      <c r="J355" s="25">
        <f>[1]!b_stm07_bs(B355,109,$A355,1,100000000)</f>
        <v>0</v>
      </c>
      <c r="K355" s="10">
        <f>[1]!s_stmnote_bank_5n(B355,$A355,1)</f>
        <v>0</v>
      </c>
      <c r="L355" s="25">
        <f>[1]!s_stmnote_bank_23n(B355,$A355,1)</f>
        <v>0</v>
      </c>
      <c r="M355" s="25">
        <f>[1]!s_stmnote_bank_capadequacyratio(B355,$A355,1)</f>
        <v>0</v>
      </c>
      <c r="N355" s="25">
        <f>[1]!s_stmnote_bank_capadequacyratio_ct1(B355,$A355,1)</f>
        <v>0</v>
      </c>
      <c r="O355" s="6">
        <f>IF(OR([1]!s_fa_roe(B355,20201231)="0",[1]!s_fa_roe(B355,20211231)="0",[1]!s_fa_roe(B355,20221231)="0"),"",IFERROR(([1]!s_fa_roe(B355,20221231)+[1]!s_fa_roe(B355,20201231)+[1]!s_fa_roe(B355,20211231))/3,""))</f>
        <v>0</v>
      </c>
      <c r="P355" s="28" t="str">
        <f>IFERROR(([1]!s_stmnote_bank_65(B355,$A355,1,2,4,100000000)+[1]!s_stmnote_bank_65(B355,$A355,1,2,6,100000000))/[1]!s_stmnote_bank_1n(B355,$A355,1,100000000),"")</f>
        <v/>
      </c>
      <c r="Q355" s="28" t="str">
        <f>IFERROR([1]!s_stmnote_bank_614(B355,$A355,1,2,100000000)/[1]!s_stmnote_bank_647(B355,$A355,1,2,100000000),"")</f>
        <v/>
      </c>
      <c r="R355" s="28" t="str">
        <f>IFERROR(([1]!b_stm07_bs(B355,104,$A355,1,100000000)+[1]!b_stm07_bs(B355,106,$A355,1,100000000)+[1]!b_stm07_bs(B355,76,$A355,1,100000000)+[1]!b_stm07_bs(B355,108,$A355,1,100000000)+[1]!b_stm07_bs(B355,95,$A355,1,100000000))/[1]!b_stm07_bs(B355,128,$A355,1,100000000),"")</f>
        <v/>
      </c>
      <c r="S355" s="28" t="str">
        <f>IFERROR(([1]!s_stmnote_bank_614(B355,$A355,1,2,100000000)+[1]!b_stm07_bs(B355,104,$A355,1,100000000)+[1]!b_stm07_bs(B355,106,$A355,1,100000000)+[1]!b_stm07_bs(B355,76,$A355,1,100000000)+[1]!b_stm07_bs(B355,108,$A355,1,100000000)+[1]!b_stm07_bs(B355,95,$A355,1,100000000))/[1]!b_stm07_bs(B355,128,$A355,1,100000000),"")</f>
        <v/>
      </c>
      <c r="T355" s="11">
        <f>[1]!b_issuer_shareholder(B355,"",1)</f>
        <v>0</v>
      </c>
      <c r="U355" s="10">
        <f>[1]!b_issuer_propofshareholder(B355,"",1)</f>
        <v>0</v>
      </c>
      <c r="V355" s="33" t="str">
        <f t="shared" si="11"/>
        <v>0</v>
      </c>
      <c r="W355" s="33">
        <f>[1]!s_info_city(B355)</f>
        <v>0</v>
      </c>
      <c r="X355" s="10">
        <f>IF([1]!s_stmnote_bank_17n(B355,$A355,1)="0","",[1]!s_stmnote_bank_17n(B355,$A355,1))</f>
        <v>0</v>
      </c>
      <c r="Y355" s="10">
        <f>IF([1]!s_stmnote_bank_18n(B355,$A355,1)="0","",[1]!s_stmnote_bank_18n(B355,$A355,1))</f>
        <v>0</v>
      </c>
      <c r="Z355" s="41">
        <f>IF([1]!s_stmnote_bank_58(B355,$A355,1)="0","",[1]!s_stmnote_bank_58(B355,$A355,1))</f>
        <v>0</v>
      </c>
      <c r="AA355" s="52">
        <f>IF([1]!s_stmnote_bank_60(B355,$A355,1)="0","",[1]!s_stmnote_bank_60(B355,$A355,1))</f>
        <v>0</v>
      </c>
      <c r="AB355" s="52">
        <f>[1]!s_stmnote_bank_5444(B355,$A355,1)</f>
        <v>0</v>
      </c>
      <c r="AC355" s="38">
        <f>[1]!s_stmnote_bank_129n($B355,$A355,1)</f>
        <v>0</v>
      </c>
      <c r="AD355" s="54">
        <f>[1]!s_stmnote_bank_30(B355,$A355,1)</f>
        <v>0</v>
      </c>
    </row>
    <row r="356" spans="1:30" ht="24">
      <c r="A356" s="1" t="s">
        <v>1110</v>
      </c>
      <c r="B356" s="87" t="s">
        <v>1464</v>
      </c>
      <c r="C356" s="8">
        <f>IF([1]!b_info_issuer(B356)="0","",IFERROR([1]!b_info_issuer(B356),""))</f>
        <v>0</v>
      </c>
      <c r="D356" s="11">
        <f>IF([1]!b_info_latestissurercreditrating(B356)="0","",IFERROR([1]!b_info_latestissurercreditrating(B356),""))</f>
        <v>0</v>
      </c>
      <c r="E356" s="27" t="str">
        <f>IFERROR(([1]!b_stm07_bs($B356,47,$A356,1,100000000))/[1]!b_stm07_bs($B356,109,$A356,1,100000000),"")</f>
        <v/>
      </c>
      <c r="F356" s="18" t="str">
        <f>IFERROR(([1]!s_stmnote_bank_26($B356,$A356,1,100000000)-[1]!s_stmnote_bank_26($B356,#REF!,1,100000000)+#REF!)/[1]!s_stmnote_bank_1n($B356,#REF!,1,100000000),"")</f>
        <v/>
      </c>
      <c r="G356" s="21" t="str">
        <f t="shared" si="10"/>
        <v/>
      </c>
      <c r="H356" s="18" t="str">
        <f>IFERROR([1]!s_stmnote_bank($B356,"34",$A356,100000000)/[1]!s_stmnote_bank_1n(B356,$A356,1,100000000),"")</f>
        <v/>
      </c>
      <c r="I356" s="25">
        <f>[1]!b_stm07_bs(B356,74,$A356,1,100000000)</f>
        <v>0</v>
      </c>
      <c r="J356" s="25">
        <f>[1]!b_stm07_bs(B356,109,$A356,1,100000000)</f>
        <v>0</v>
      </c>
      <c r="K356" s="10">
        <f>[1]!s_stmnote_bank_5n(B356,$A356,1)</f>
        <v>0</v>
      </c>
      <c r="L356" s="25">
        <f>[1]!s_stmnote_bank_23n(B356,$A356,1)</f>
        <v>0</v>
      </c>
      <c r="M356" s="25">
        <f>[1]!s_stmnote_bank_capadequacyratio(B356,$A356,1)</f>
        <v>0</v>
      </c>
      <c r="N356" s="25">
        <f>[1]!s_stmnote_bank_capadequacyratio_ct1(B356,$A356,1)</f>
        <v>0</v>
      </c>
      <c r="O356" s="6">
        <f>IF(OR([1]!s_fa_roe(B356,20201231)="0",[1]!s_fa_roe(B356,20211231)="0",[1]!s_fa_roe(B356,20221231)="0"),"",IFERROR(([1]!s_fa_roe(B356,20221231)+[1]!s_fa_roe(B356,20201231)+[1]!s_fa_roe(B356,20211231))/3,""))</f>
        <v>0</v>
      </c>
      <c r="P356" s="28" t="str">
        <f>IFERROR(([1]!s_stmnote_bank_65(B356,$A356,1,2,4,100000000)+[1]!s_stmnote_bank_65(B356,$A356,1,2,6,100000000))/[1]!s_stmnote_bank_1n(B356,$A356,1,100000000),"")</f>
        <v/>
      </c>
      <c r="Q356" s="28" t="str">
        <f>IFERROR([1]!s_stmnote_bank_614(B356,$A356,1,2,100000000)/[1]!s_stmnote_bank_647(B356,$A356,1,2,100000000),"")</f>
        <v/>
      </c>
      <c r="R356" s="28" t="str">
        <f>IFERROR(([1]!b_stm07_bs(B356,104,$A356,1,100000000)+[1]!b_stm07_bs(B356,106,$A356,1,100000000)+[1]!b_stm07_bs(B356,76,$A356,1,100000000)+[1]!b_stm07_bs(B356,108,$A356,1,100000000)+[1]!b_stm07_bs(B356,95,$A356,1,100000000))/[1]!b_stm07_bs(B356,128,$A356,1,100000000),"")</f>
        <v/>
      </c>
      <c r="S356" s="28" t="str">
        <f>IFERROR(([1]!s_stmnote_bank_614(B356,$A356,1,2,100000000)+[1]!b_stm07_bs(B356,104,$A356,1,100000000)+[1]!b_stm07_bs(B356,106,$A356,1,100000000)+[1]!b_stm07_bs(B356,76,$A356,1,100000000)+[1]!b_stm07_bs(B356,108,$A356,1,100000000)+[1]!b_stm07_bs(B356,95,$A356,1,100000000))/[1]!b_stm07_bs(B356,128,$A356,1,100000000),"")</f>
        <v/>
      </c>
      <c r="T356" s="11">
        <f>[1]!b_issuer_shareholder(B356,"",1)</f>
        <v>0</v>
      </c>
      <c r="U356" s="10">
        <f>[1]!b_issuer_propofshareholder(B356,"",1)</f>
        <v>0</v>
      </c>
      <c r="V356" s="33" t="str">
        <f t="shared" si="11"/>
        <v>0</v>
      </c>
      <c r="W356" s="33">
        <f>[1]!s_info_city(B356)</f>
        <v>0</v>
      </c>
      <c r="X356" s="10">
        <f>IF([1]!s_stmnote_bank_17n(B356,$A356,1)="0","",[1]!s_stmnote_bank_17n(B356,$A356,1))</f>
        <v>0</v>
      </c>
      <c r="Y356" s="10">
        <f>IF([1]!s_stmnote_bank_18n(B356,$A356,1)="0","",[1]!s_stmnote_bank_18n(B356,$A356,1))</f>
        <v>0</v>
      </c>
      <c r="Z356" s="41">
        <f>IF([1]!s_stmnote_bank_58(B356,$A356,1)="0","",[1]!s_stmnote_bank_58(B356,$A356,1))</f>
        <v>0</v>
      </c>
      <c r="AA356" s="52">
        <f>IF([1]!s_stmnote_bank_60(B356,$A356,1)="0","",[1]!s_stmnote_bank_60(B356,$A356,1))</f>
        <v>0</v>
      </c>
      <c r="AB356" s="52">
        <f>[1]!s_stmnote_bank_5444(B356,$A356,1)</f>
        <v>0</v>
      </c>
      <c r="AC356" s="38">
        <f>[1]!s_stmnote_bank_129n($B356,$A356,1)</f>
        <v>0</v>
      </c>
      <c r="AD356" s="54">
        <f>[1]!s_stmnote_bank_30(B356,$A356,1)</f>
        <v>0</v>
      </c>
    </row>
    <row r="357" spans="1:30" ht="24">
      <c r="A357" s="1" t="s">
        <v>1110</v>
      </c>
      <c r="B357" s="87" t="s">
        <v>1465</v>
      </c>
      <c r="C357" s="8">
        <f>IF([1]!b_info_issuer(B357)="0","",IFERROR([1]!b_info_issuer(B357),""))</f>
        <v>0</v>
      </c>
      <c r="D357" s="11">
        <f>IF([1]!b_info_latestissurercreditrating(B357)="0","",IFERROR([1]!b_info_latestissurercreditrating(B357),""))</f>
        <v>0</v>
      </c>
      <c r="E357" s="27" t="str">
        <f>IFERROR(([1]!b_stm07_bs($B357,47,$A357,1,100000000))/[1]!b_stm07_bs($B357,109,$A357,1,100000000),"")</f>
        <v/>
      </c>
      <c r="F357" s="18" t="str">
        <f>IFERROR(([1]!s_stmnote_bank_26($B357,$A357,1,100000000)-[1]!s_stmnote_bank_26($B357,#REF!,1,100000000)+#REF!)/[1]!s_stmnote_bank_1n($B357,#REF!,1,100000000),"")</f>
        <v/>
      </c>
      <c r="G357" s="21" t="str">
        <f t="shared" si="10"/>
        <v/>
      </c>
      <c r="H357" s="18" t="str">
        <f>IFERROR([1]!s_stmnote_bank($B357,"34",$A357,100000000)/[1]!s_stmnote_bank_1n(B357,$A357,1,100000000),"")</f>
        <v/>
      </c>
      <c r="I357" s="25">
        <f>[1]!b_stm07_bs(B357,74,$A357,1,100000000)</f>
        <v>0</v>
      </c>
      <c r="J357" s="25">
        <f>[1]!b_stm07_bs(B357,109,$A357,1,100000000)</f>
        <v>0</v>
      </c>
      <c r="K357" s="10">
        <f>[1]!s_stmnote_bank_5n(B357,$A357,1)</f>
        <v>0</v>
      </c>
      <c r="L357" s="25">
        <f>[1]!s_stmnote_bank_23n(B357,$A357,1)</f>
        <v>0</v>
      </c>
      <c r="M357" s="25">
        <f>[1]!s_stmnote_bank_capadequacyratio(B357,$A357,1)</f>
        <v>0</v>
      </c>
      <c r="N357" s="25">
        <f>[1]!s_stmnote_bank_capadequacyratio_ct1(B357,$A357,1)</f>
        <v>0</v>
      </c>
      <c r="O357" s="6">
        <f>IF(OR([1]!s_fa_roe(B357,20201231)="0",[1]!s_fa_roe(B357,20211231)="0",[1]!s_fa_roe(B357,20221231)="0"),"",IFERROR(([1]!s_fa_roe(B357,20221231)+[1]!s_fa_roe(B357,20201231)+[1]!s_fa_roe(B357,20211231))/3,""))</f>
        <v>0</v>
      </c>
      <c r="P357" s="28" t="str">
        <f>IFERROR(([1]!s_stmnote_bank_65(B357,$A357,1,2,4,100000000)+[1]!s_stmnote_bank_65(B357,$A357,1,2,6,100000000))/[1]!s_stmnote_bank_1n(B357,$A357,1,100000000),"")</f>
        <v/>
      </c>
      <c r="Q357" s="28" t="str">
        <f>IFERROR([1]!s_stmnote_bank_614(B357,$A357,1,2,100000000)/[1]!s_stmnote_bank_647(B357,$A357,1,2,100000000),"")</f>
        <v/>
      </c>
      <c r="R357" s="28" t="str">
        <f>IFERROR(([1]!b_stm07_bs(B357,104,$A357,1,100000000)+[1]!b_stm07_bs(B357,106,$A357,1,100000000)+[1]!b_stm07_bs(B357,76,$A357,1,100000000)+[1]!b_stm07_bs(B357,108,$A357,1,100000000)+[1]!b_stm07_bs(B357,95,$A357,1,100000000))/[1]!b_stm07_bs(B357,128,$A357,1,100000000),"")</f>
        <v/>
      </c>
      <c r="S357" s="28" t="str">
        <f>IFERROR(([1]!s_stmnote_bank_614(B357,$A357,1,2,100000000)+[1]!b_stm07_bs(B357,104,$A357,1,100000000)+[1]!b_stm07_bs(B357,106,$A357,1,100000000)+[1]!b_stm07_bs(B357,76,$A357,1,100000000)+[1]!b_stm07_bs(B357,108,$A357,1,100000000)+[1]!b_stm07_bs(B357,95,$A357,1,100000000))/[1]!b_stm07_bs(B357,128,$A357,1,100000000),"")</f>
        <v/>
      </c>
      <c r="T357" s="11">
        <f>[1]!b_issuer_shareholder(B357,"",1)</f>
        <v>0</v>
      </c>
      <c r="U357" s="10">
        <f>[1]!b_issuer_propofshareholder(B357,"",1)</f>
        <v>0</v>
      </c>
      <c r="V357" s="33" t="str">
        <f t="shared" si="11"/>
        <v>0</v>
      </c>
      <c r="W357" s="33">
        <f>[1]!s_info_city(B357)</f>
        <v>0</v>
      </c>
      <c r="X357" s="10">
        <f>IF([1]!s_stmnote_bank_17n(B357,$A357,1)="0","",[1]!s_stmnote_bank_17n(B357,$A357,1))</f>
        <v>0</v>
      </c>
      <c r="Y357" s="10">
        <f>IF([1]!s_stmnote_bank_18n(B357,$A357,1)="0","",[1]!s_stmnote_bank_18n(B357,$A357,1))</f>
        <v>0</v>
      </c>
      <c r="Z357" s="41">
        <f>IF([1]!s_stmnote_bank_58(B357,$A357,1)="0","",[1]!s_stmnote_bank_58(B357,$A357,1))</f>
        <v>0</v>
      </c>
      <c r="AA357" s="52">
        <f>IF([1]!s_stmnote_bank_60(B357,$A357,1)="0","",[1]!s_stmnote_bank_60(B357,$A357,1))</f>
        <v>0</v>
      </c>
      <c r="AB357" s="52">
        <f>[1]!s_stmnote_bank_5444(B357,$A357,1)</f>
        <v>0</v>
      </c>
      <c r="AC357" s="38">
        <f>[1]!s_stmnote_bank_129n($B357,$A357,1)</f>
        <v>0</v>
      </c>
      <c r="AD357" s="54">
        <f>[1]!s_stmnote_bank_30(B357,$A357,1)</f>
        <v>0</v>
      </c>
    </row>
    <row r="358" spans="1:30" ht="24">
      <c r="A358" s="1" t="s">
        <v>1110</v>
      </c>
      <c r="B358" s="87" t="s">
        <v>1466</v>
      </c>
      <c r="C358" s="8">
        <f>IF([1]!b_info_issuer(B358)="0","",IFERROR([1]!b_info_issuer(B358),""))</f>
        <v>0</v>
      </c>
      <c r="D358" s="11">
        <f>IF([1]!b_info_latestissurercreditrating(B358)="0","",IFERROR([1]!b_info_latestissurercreditrating(B358),""))</f>
        <v>0</v>
      </c>
      <c r="E358" s="27" t="str">
        <f>IFERROR(([1]!b_stm07_bs($B358,47,$A358,1,100000000))/[1]!b_stm07_bs($B358,109,$A358,1,100000000),"")</f>
        <v/>
      </c>
      <c r="F358" s="18" t="str">
        <f>IFERROR(([1]!s_stmnote_bank_26($B358,$A358,1,100000000)-[1]!s_stmnote_bank_26($B358,#REF!,1,100000000)+#REF!)/[1]!s_stmnote_bank_1n($B358,#REF!,1,100000000),"")</f>
        <v/>
      </c>
      <c r="G358" s="21" t="str">
        <f t="shared" si="10"/>
        <v/>
      </c>
      <c r="H358" s="18" t="str">
        <f>IFERROR([1]!s_stmnote_bank($B358,"34",$A358,100000000)/[1]!s_stmnote_bank_1n(B358,$A358,1,100000000),"")</f>
        <v/>
      </c>
      <c r="I358" s="25">
        <f>[1]!b_stm07_bs(B358,74,$A358,1,100000000)</f>
        <v>0</v>
      </c>
      <c r="J358" s="25">
        <f>[1]!b_stm07_bs(B358,109,$A358,1,100000000)</f>
        <v>0</v>
      </c>
      <c r="K358" s="10">
        <f>[1]!s_stmnote_bank_5n(B358,$A358,1)</f>
        <v>0</v>
      </c>
      <c r="L358" s="25">
        <f>[1]!s_stmnote_bank_23n(B358,$A358,1)</f>
        <v>0</v>
      </c>
      <c r="M358" s="25">
        <f>[1]!s_stmnote_bank_capadequacyratio(B358,$A358,1)</f>
        <v>0</v>
      </c>
      <c r="N358" s="25">
        <f>[1]!s_stmnote_bank_capadequacyratio_ct1(B358,$A358,1)</f>
        <v>0</v>
      </c>
      <c r="O358" s="6">
        <f>IF(OR([1]!s_fa_roe(B358,20201231)="0",[1]!s_fa_roe(B358,20211231)="0",[1]!s_fa_roe(B358,20221231)="0"),"",IFERROR(([1]!s_fa_roe(B358,20221231)+[1]!s_fa_roe(B358,20201231)+[1]!s_fa_roe(B358,20211231))/3,""))</f>
        <v>0</v>
      </c>
      <c r="P358" s="28" t="str">
        <f>IFERROR(([1]!s_stmnote_bank_65(B358,$A358,1,2,4,100000000)+[1]!s_stmnote_bank_65(B358,$A358,1,2,6,100000000))/[1]!s_stmnote_bank_1n(B358,$A358,1,100000000),"")</f>
        <v/>
      </c>
      <c r="Q358" s="28" t="str">
        <f>IFERROR([1]!s_stmnote_bank_614(B358,$A358,1,2,100000000)/[1]!s_stmnote_bank_647(B358,$A358,1,2,100000000),"")</f>
        <v/>
      </c>
      <c r="R358" s="28" t="str">
        <f>IFERROR(([1]!b_stm07_bs(B358,104,$A358,1,100000000)+[1]!b_stm07_bs(B358,106,$A358,1,100000000)+[1]!b_stm07_bs(B358,76,$A358,1,100000000)+[1]!b_stm07_bs(B358,108,$A358,1,100000000)+[1]!b_stm07_bs(B358,95,$A358,1,100000000))/[1]!b_stm07_bs(B358,128,$A358,1,100000000),"")</f>
        <v/>
      </c>
      <c r="S358" s="28" t="str">
        <f>IFERROR(([1]!s_stmnote_bank_614(B358,$A358,1,2,100000000)+[1]!b_stm07_bs(B358,104,$A358,1,100000000)+[1]!b_stm07_bs(B358,106,$A358,1,100000000)+[1]!b_stm07_bs(B358,76,$A358,1,100000000)+[1]!b_stm07_bs(B358,108,$A358,1,100000000)+[1]!b_stm07_bs(B358,95,$A358,1,100000000))/[1]!b_stm07_bs(B358,128,$A358,1,100000000),"")</f>
        <v/>
      </c>
      <c r="T358" s="11">
        <f>[1]!b_issuer_shareholder(B358,"",1)</f>
        <v>0</v>
      </c>
      <c r="U358" s="10">
        <f>[1]!b_issuer_propofshareholder(B358,"",1)</f>
        <v>0</v>
      </c>
      <c r="V358" s="33" t="str">
        <f t="shared" si="11"/>
        <v>0</v>
      </c>
      <c r="W358" s="33">
        <f>[1]!s_info_city(B358)</f>
        <v>0</v>
      </c>
      <c r="X358" s="10">
        <f>IF([1]!s_stmnote_bank_17n(B358,$A358,1)="0","",[1]!s_stmnote_bank_17n(B358,$A358,1))</f>
        <v>0</v>
      </c>
      <c r="Y358" s="10">
        <f>IF([1]!s_stmnote_bank_18n(B358,$A358,1)="0","",[1]!s_stmnote_bank_18n(B358,$A358,1))</f>
        <v>0</v>
      </c>
      <c r="Z358" s="41">
        <f>IF([1]!s_stmnote_bank_58(B358,$A358,1)="0","",[1]!s_stmnote_bank_58(B358,$A358,1))</f>
        <v>0</v>
      </c>
      <c r="AA358" s="52">
        <f>IF([1]!s_stmnote_bank_60(B358,$A358,1)="0","",[1]!s_stmnote_bank_60(B358,$A358,1))</f>
        <v>0</v>
      </c>
      <c r="AB358" s="52">
        <f>[1]!s_stmnote_bank_5444(B358,$A358,1)</f>
        <v>0</v>
      </c>
      <c r="AC358" s="38">
        <f>[1]!s_stmnote_bank_129n($B358,$A358,1)</f>
        <v>0</v>
      </c>
      <c r="AD358" s="54">
        <f>[1]!s_stmnote_bank_30(B358,$A358,1)</f>
        <v>0</v>
      </c>
    </row>
    <row r="359" spans="1:30" ht="24">
      <c r="A359" s="1" t="s">
        <v>1110</v>
      </c>
      <c r="B359" s="87" t="s">
        <v>1467</v>
      </c>
      <c r="C359" s="8">
        <f>IF([1]!b_info_issuer(B359)="0","",IFERROR([1]!b_info_issuer(B359),""))</f>
        <v>0</v>
      </c>
      <c r="D359" s="11">
        <f>IF([1]!b_info_latestissurercreditrating(B359)="0","",IFERROR([1]!b_info_latestissurercreditrating(B359),""))</f>
        <v>0</v>
      </c>
      <c r="E359" s="27" t="str">
        <f>IFERROR(([1]!b_stm07_bs($B359,47,$A359,1,100000000))/[1]!b_stm07_bs($B359,109,$A359,1,100000000),"")</f>
        <v/>
      </c>
      <c r="F359" s="18" t="str">
        <f>IFERROR(([1]!s_stmnote_bank_26($B359,$A359,1,100000000)-[1]!s_stmnote_bank_26($B359,#REF!,1,100000000)+#REF!)/[1]!s_stmnote_bank_1n($B359,#REF!,1,100000000),"")</f>
        <v/>
      </c>
      <c r="G359" s="21" t="str">
        <f t="shared" si="10"/>
        <v/>
      </c>
      <c r="H359" s="18" t="str">
        <f>IFERROR([1]!s_stmnote_bank($B359,"34",$A359,100000000)/[1]!s_stmnote_bank_1n(B359,$A359,1,100000000),"")</f>
        <v/>
      </c>
      <c r="I359" s="25">
        <f>[1]!b_stm07_bs(B359,74,$A359,1,100000000)</f>
        <v>0</v>
      </c>
      <c r="J359" s="25">
        <f>[1]!b_stm07_bs(B359,109,$A359,1,100000000)</f>
        <v>0</v>
      </c>
      <c r="K359" s="10">
        <f>[1]!s_stmnote_bank_5n(B359,$A359,1)</f>
        <v>0</v>
      </c>
      <c r="L359" s="25">
        <f>[1]!s_stmnote_bank_23n(B359,$A359,1)</f>
        <v>0</v>
      </c>
      <c r="M359" s="25">
        <f>[1]!s_stmnote_bank_capadequacyratio(B359,$A359,1)</f>
        <v>0</v>
      </c>
      <c r="N359" s="25">
        <f>[1]!s_stmnote_bank_capadequacyratio_ct1(B359,$A359,1)</f>
        <v>0</v>
      </c>
      <c r="O359" s="6">
        <f>IF(OR([1]!s_fa_roe(B359,20201231)="0",[1]!s_fa_roe(B359,20211231)="0",[1]!s_fa_roe(B359,20221231)="0"),"",IFERROR(([1]!s_fa_roe(B359,20221231)+[1]!s_fa_roe(B359,20201231)+[1]!s_fa_roe(B359,20211231))/3,""))</f>
        <v>0</v>
      </c>
      <c r="P359" s="28" t="str">
        <f>IFERROR(([1]!s_stmnote_bank_65(B359,$A359,1,2,4,100000000)+[1]!s_stmnote_bank_65(B359,$A359,1,2,6,100000000))/[1]!s_stmnote_bank_1n(B359,$A359,1,100000000),"")</f>
        <v/>
      </c>
      <c r="Q359" s="28" t="str">
        <f>IFERROR([1]!s_stmnote_bank_614(B359,$A359,1,2,100000000)/[1]!s_stmnote_bank_647(B359,$A359,1,2,100000000),"")</f>
        <v/>
      </c>
      <c r="R359" s="28" t="str">
        <f>IFERROR(([1]!b_stm07_bs(B359,104,$A359,1,100000000)+[1]!b_stm07_bs(B359,106,$A359,1,100000000)+[1]!b_stm07_bs(B359,76,$A359,1,100000000)+[1]!b_stm07_bs(B359,108,$A359,1,100000000)+[1]!b_stm07_bs(B359,95,$A359,1,100000000))/[1]!b_stm07_bs(B359,128,$A359,1,100000000),"")</f>
        <v/>
      </c>
      <c r="S359" s="28" t="str">
        <f>IFERROR(([1]!s_stmnote_bank_614(B359,$A359,1,2,100000000)+[1]!b_stm07_bs(B359,104,$A359,1,100000000)+[1]!b_stm07_bs(B359,106,$A359,1,100000000)+[1]!b_stm07_bs(B359,76,$A359,1,100000000)+[1]!b_stm07_bs(B359,108,$A359,1,100000000)+[1]!b_stm07_bs(B359,95,$A359,1,100000000))/[1]!b_stm07_bs(B359,128,$A359,1,100000000),"")</f>
        <v/>
      </c>
      <c r="T359" s="11">
        <f>[1]!b_issuer_shareholder(B359,"",1)</f>
        <v>0</v>
      </c>
      <c r="U359" s="10">
        <f>[1]!b_issuer_propofshareholder(B359,"",1)</f>
        <v>0</v>
      </c>
      <c r="V359" s="33" t="str">
        <f t="shared" si="11"/>
        <v>0</v>
      </c>
      <c r="W359" s="33">
        <f>[1]!s_info_city(B359)</f>
        <v>0</v>
      </c>
      <c r="X359" s="10">
        <f>IF([1]!s_stmnote_bank_17n(B359,$A359,1)="0","",[1]!s_stmnote_bank_17n(B359,$A359,1))</f>
        <v>0</v>
      </c>
      <c r="Y359" s="10">
        <f>IF([1]!s_stmnote_bank_18n(B359,$A359,1)="0","",[1]!s_stmnote_bank_18n(B359,$A359,1))</f>
        <v>0</v>
      </c>
      <c r="Z359" s="41">
        <f>IF([1]!s_stmnote_bank_58(B359,$A359,1)="0","",[1]!s_stmnote_bank_58(B359,$A359,1))</f>
        <v>0</v>
      </c>
      <c r="AA359" s="52">
        <f>IF([1]!s_stmnote_bank_60(B359,$A359,1)="0","",[1]!s_stmnote_bank_60(B359,$A359,1))</f>
        <v>0</v>
      </c>
      <c r="AB359" s="52">
        <f>[1]!s_stmnote_bank_5444(B359,$A359,1)</f>
        <v>0</v>
      </c>
      <c r="AC359" s="38">
        <f>[1]!s_stmnote_bank_129n($B359,$A359,1)</f>
        <v>0</v>
      </c>
      <c r="AD359" s="54">
        <f>[1]!s_stmnote_bank_30(B359,$A359,1)</f>
        <v>0</v>
      </c>
    </row>
    <row r="360" spans="1:30" ht="24">
      <c r="A360" s="1" t="s">
        <v>1110</v>
      </c>
      <c r="B360" s="87" t="s">
        <v>1468</v>
      </c>
      <c r="C360" s="8">
        <f>IF([1]!b_info_issuer(B360)="0","",IFERROR([1]!b_info_issuer(B360),""))</f>
        <v>0</v>
      </c>
      <c r="D360" s="11">
        <f>IF([1]!b_info_latestissurercreditrating(B360)="0","",IFERROR([1]!b_info_latestissurercreditrating(B360),""))</f>
        <v>0</v>
      </c>
      <c r="E360" s="27" t="str">
        <f>IFERROR(([1]!b_stm07_bs($B360,47,$A360,1,100000000))/[1]!b_stm07_bs($B360,109,$A360,1,100000000),"")</f>
        <v/>
      </c>
      <c r="F360" s="18" t="str">
        <f>IFERROR(([1]!s_stmnote_bank_26($B360,$A360,1,100000000)-[1]!s_stmnote_bank_26($B360,#REF!,1,100000000)+#REF!)/[1]!s_stmnote_bank_1n($B360,#REF!,1,100000000),"")</f>
        <v/>
      </c>
      <c r="G360" s="21" t="str">
        <f t="shared" si="10"/>
        <v/>
      </c>
      <c r="H360" s="18" t="str">
        <f>IFERROR([1]!s_stmnote_bank($B360,"34",$A360,100000000)/[1]!s_stmnote_bank_1n(B360,$A360,1,100000000),"")</f>
        <v/>
      </c>
      <c r="I360" s="25">
        <f>[1]!b_stm07_bs(B360,74,$A360,1,100000000)</f>
        <v>0</v>
      </c>
      <c r="J360" s="25">
        <f>[1]!b_stm07_bs(B360,109,$A360,1,100000000)</f>
        <v>0</v>
      </c>
      <c r="K360" s="10">
        <f>[1]!s_stmnote_bank_5n(B360,$A360,1)</f>
        <v>0</v>
      </c>
      <c r="L360" s="25">
        <f>[1]!s_stmnote_bank_23n(B360,$A360,1)</f>
        <v>0</v>
      </c>
      <c r="M360" s="25">
        <f>[1]!s_stmnote_bank_capadequacyratio(B360,$A360,1)</f>
        <v>0</v>
      </c>
      <c r="N360" s="25">
        <f>[1]!s_stmnote_bank_capadequacyratio_ct1(B360,$A360,1)</f>
        <v>0</v>
      </c>
      <c r="O360" s="6">
        <f>IF(OR([1]!s_fa_roe(B360,20201231)="0",[1]!s_fa_roe(B360,20211231)="0",[1]!s_fa_roe(B360,20221231)="0"),"",IFERROR(([1]!s_fa_roe(B360,20221231)+[1]!s_fa_roe(B360,20201231)+[1]!s_fa_roe(B360,20211231))/3,""))</f>
        <v>0</v>
      </c>
      <c r="P360" s="28" t="str">
        <f>IFERROR(([1]!s_stmnote_bank_65(B360,$A360,1,2,4,100000000)+[1]!s_stmnote_bank_65(B360,$A360,1,2,6,100000000))/[1]!s_stmnote_bank_1n(B360,$A360,1,100000000),"")</f>
        <v/>
      </c>
      <c r="Q360" s="28" t="str">
        <f>IFERROR([1]!s_stmnote_bank_614(B360,$A360,1,2,100000000)/[1]!s_stmnote_bank_647(B360,$A360,1,2,100000000),"")</f>
        <v/>
      </c>
      <c r="R360" s="28" t="str">
        <f>IFERROR(([1]!b_stm07_bs(B360,104,$A360,1,100000000)+[1]!b_stm07_bs(B360,106,$A360,1,100000000)+[1]!b_stm07_bs(B360,76,$A360,1,100000000)+[1]!b_stm07_bs(B360,108,$A360,1,100000000)+[1]!b_stm07_bs(B360,95,$A360,1,100000000))/[1]!b_stm07_bs(B360,128,$A360,1,100000000),"")</f>
        <v/>
      </c>
      <c r="S360" s="28" t="str">
        <f>IFERROR(([1]!s_stmnote_bank_614(B360,$A360,1,2,100000000)+[1]!b_stm07_bs(B360,104,$A360,1,100000000)+[1]!b_stm07_bs(B360,106,$A360,1,100000000)+[1]!b_stm07_bs(B360,76,$A360,1,100000000)+[1]!b_stm07_bs(B360,108,$A360,1,100000000)+[1]!b_stm07_bs(B360,95,$A360,1,100000000))/[1]!b_stm07_bs(B360,128,$A360,1,100000000),"")</f>
        <v/>
      </c>
      <c r="T360" s="11">
        <f>[1]!b_issuer_shareholder(B360,"",1)</f>
        <v>0</v>
      </c>
      <c r="U360" s="10">
        <f>[1]!b_issuer_propofshareholder(B360,"",1)</f>
        <v>0</v>
      </c>
      <c r="V360" s="33" t="str">
        <f t="shared" si="11"/>
        <v>0</v>
      </c>
      <c r="W360" s="33">
        <f>[1]!s_info_city(B360)</f>
        <v>0</v>
      </c>
      <c r="X360" s="10">
        <f>IF([1]!s_stmnote_bank_17n(B360,$A360,1)="0","",[1]!s_stmnote_bank_17n(B360,$A360,1))</f>
        <v>0</v>
      </c>
      <c r="Y360" s="10">
        <f>IF([1]!s_stmnote_bank_18n(B360,$A360,1)="0","",[1]!s_stmnote_bank_18n(B360,$A360,1))</f>
        <v>0</v>
      </c>
      <c r="Z360" s="41">
        <f>IF([1]!s_stmnote_bank_58(B360,$A360,1)="0","",[1]!s_stmnote_bank_58(B360,$A360,1))</f>
        <v>0</v>
      </c>
      <c r="AA360" s="52">
        <f>IF([1]!s_stmnote_bank_60(B360,$A360,1)="0","",[1]!s_stmnote_bank_60(B360,$A360,1))</f>
        <v>0</v>
      </c>
      <c r="AB360" s="52">
        <f>[1]!s_stmnote_bank_5444(B360,$A360,1)</f>
        <v>0</v>
      </c>
      <c r="AC360" s="38">
        <f>[1]!s_stmnote_bank_129n($B360,$A360,1)</f>
        <v>0</v>
      </c>
      <c r="AD360" s="54">
        <f>[1]!s_stmnote_bank_30(B360,$A360,1)</f>
        <v>0</v>
      </c>
    </row>
    <row r="361" spans="1:30" ht="24">
      <c r="A361" s="1" t="s">
        <v>1110</v>
      </c>
      <c r="B361" s="87" t="s">
        <v>1469</v>
      </c>
      <c r="C361" s="8">
        <f>IF([1]!b_info_issuer(B361)="0","",IFERROR([1]!b_info_issuer(B361),""))</f>
        <v>0</v>
      </c>
      <c r="D361" s="11">
        <f>IF([1]!b_info_latestissurercreditrating(B361)="0","",IFERROR([1]!b_info_latestissurercreditrating(B361),""))</f>
        <v>0</v>
      </c>
      <c r="E361" s="27" t="str">
        <f>IFERROR(([1]!b_stm07_bs($B361,47,$A361,1,100000000))/[1]!b_stm07_bs($B361,109,$A361,1,100000000),"")</f>
        <v/>
      </c>
      <c r="F361" s="18" t="str">
        <f>IFERROR(([1]!s_stmnote_bank_26($B361,$A361,1,100000000)-[1]!s_stmnote_bank_26($B361,#REF!,1,100000000)+#REF!)/[1]!s_stmnote_bank_1n($B361,#REF!,1,100000000),"")</f>
        <v/>
      </c>
      <c r="G361" s="21" t="str">
        <f t="shared" si="10"/>
        <v/>
      </c>
      <c r="H361" s="18" t="str">
        <f>IFERROR([1]!s_stmnote_bank($B361,"34",$A361,100000000)/[1]!s_stmnote_bank_1n(B361,$A361,1,100000000),"")</f>
        <v/>
      </c>
      <c r="I361" s="25">
        <f>[1]!b_stm07_bs(B361,74,$A361,1,100000000)</f>
        <v>0</v>
      </c>
      <c r="J361" s="25">
        <f>[1]!b_stm07_bs(B361,109,$A361,1,100000000)</f>
        <v>0</v>
      </c>
      <c r="K361" s="10">
        <f>[1]!s_stmnote_bank_5n(B361,$A361,1)</f>
        <v>0</v>
      </c>
      <c r="L361" s="25">
        <f>[1]!s_stmnote_bank_23n(B361,$A361,1)</f>
        <v>0</v>
      </c>
      <c r="M361" s="25">
        <f>[1]!s_stmnote_bank_capadequacyratio(B361,$A361,1)</f>
        <v>0</v>
      </c>
      <c r="N361" s="25">
        <f>[1]!s_stmnote_bank_capadequacyratio_ct1(B361,$A361,1)</f>
        <v>0</v>
      </c>
      <c r="O361" s="6">
        <f>IF(OR([1]!s_fa_roe(B361,20201231)="0",[1]!s_fa_roe(B361,20211231)="0",[1]!s_fa_roe(B361,20221231)="0"),"",IFERROR(([1]!s_fa_roe(B361,20221231)+[1]!s_fa_roe(B361,20201231)+[1]!s_fa_roe(B361,20211231))/3,""))</f>
        <v>0</v>
      </c>
      <c r="P361" s="28" t="str">
        <f>IFERROR(([1]!s_stmnote_bank_65(B361,$A361,1,2,4,100000000)+[1]!s_stmnote_bank_65(B361,$A361,1,2,6,100000000))/[1]!s_stmnote_bank_1n(B361,$A361,1,100000000),"")</f>
        <v/>
      </c>
      <c r="Q361" s="28" t="str">
        <f>IFERROR([1]!s_stmnote_bank_614(B361,$A361,1,2,100000000)/[1]!s_stmnote_bank_647(B361,$A361,1,2,100000000),"")</f>
        <v/>
      </c>
      <c r="R361" s="28" t="str">
        <f>IFERROR(([1]!b_stm07_bs(B361,104,$A361,1,100000000)+[1]!b_stm07_bs(B361,106,$A361,1,100000000)+[1]!b_stm07_bs(B361,76,$A361,1,100000000)+[1]!b_stm07_bs(B361,108,$A361,1,100000000)+[1]!b_stm07_bs(B361,95,$A361,1,100000000))/[1]!b_stm07_bs(B361,128,$A361,1,100000000),"")</f>
        <v/>
      </c>
      <c r="S361" s="28" t="str">
        <f>IFERROR(([1]!s_stmnote_bank_614(B361,$A361,1,2,100000000)+[1]!b_stm07_bs(B361,104,$A361,1,100000000)+[1]!b_stm07_bs(B361,106,$A361,1,100000000)+[1]!b_stm07_bs(B361,76,$A361,1,100000000)+[1]!b_stm07_bs(B361,108,$A361,1,100000000)+[1]!b_stm07_bs(B361,95,$A361,1,100000000))/[1]!b_stm07_bs(B361,128,$A361,1,100000000),"")</f>
        <v/>
      </c>
      <c r="T361" s="11">
        <f>[1]!b_issuer_shareholder(B361,"",1)</f>
        <v>0</v>
      </c>
      <c r="U361" s="10">
        <f>[1]!b_issuer_propofshareholder(B361,"",1)</f>
        <v>0</v>
      </c>
      <c r="V361" s="33" t="str">
        <f t="shared" si="11"/>
        <v>0</v>
      </c>
      <c r="W361" s="33">
        <f>[1]!s_info_city(B361)</f>
        <v>0</v>
      </c>
      <c r="X361" s="10">
        <f>IF([1]!s_stmnote_bank_17n(B361,$A361,1)="0","",[1]!s_stmnote_bank_17n(B361,$A361,1))</f>
        <v>0</v>
      </c>
      <c r="Y361" s="10">
        <f>IF([1]!s_stmnote_bank_18n(B361,$A361,1)="0","",[1]!s_stmnote_bank_18n(B361,$A361,1))</f>
        <v>0</v>
      </c>
      <c r="Z361" s="41">
        <f>IF([1]!s_stmnote_bank_58(B361,$A361,1)="0","",[1]!s_stmnote_bank_58(B361,$A361,1))</f>
        <v>0</v>
      </c>
      <c r="AA361" s="52">
        <f>IF([1]!s_stmnote_bank_60(B361,$A361,1)="0","",[1]!s_stmnote_bank_60(B361,$A361,1))</f>
        <v>0</v>
      </c>
      <c r="AB361" s="52">
        <f>[1]!s_stmnote_bank_5444(B361,$A361,1)</f>
        <v>0</v>
      </c>
      <c r="AC361" s="38">
        <f>[1]!s_stmnote_bank_129n($B361,$A361,1)</f>
        <v>0</v>
      </c>
      <c r="AD361" s="54">
        <f>[1]!s_stmnote_bank_30(B361,$A361,1)</f>
        <v>0</v>
      </c>
    </row>
    <row r="362" spans="1:30" ht="24">
      <c r="A362" s="1" t="s">
        <v>1110</v>
      </c>
      <c r="B362" s="87" t="s">
        <v>1470</v>
      </c>
      <c r="C362" s="8">
        <f>IF([1]!b_info_issuer(B362)="0","",IFERROR([1]!b_info_issuer(B362),""))</f>
        <v>0</v>
      </c>
      <c r="D362" s="11">
        <f>IF([1]!b_info_latestissurercreditrating(B362)="0","",IFERROR([1]!b_info_latestissurercreditrating(B362),""))</f>
        <v>0</v>
      </c>
      <c r="E362" s="27" t="str">
        <f>IFERROR(([1]!b_stm07_bs($B362,47,$A362,1,100000000))/[1]!b_stm07_bs($B362,109,$A362,1,100000000),"")</f>
        <v/>
      </c>
      <c r="F362" s="18" t="str">
        <f>IFERROR(([1]!s_stmnote_bank_26($B362,$A362,1,100000000)-[1]!s_stmnote_bank_26($B362,#REF!,1,100000000)+#REF!)/[1]!s_stmnote_bank_1n($B362,#REF!,1,100000000),"")</f>
        <v/>
      </c>
      <c r="G362" s="21" t="str">
        <f t="shared" si="10"/>
        <v/>
      </c>
      <c r="H362" s="18" t="str">
        <f>IFERROR([1]!s_stmnote_bank($B362,"34",$A362,100000000)/[1]!s_stmnote_bank_1n(B362,$A362,1,100000000),"")</f>
        <v/>
      </c>
      <c r="I362" s="25">
        <f>[1]!b_stm07_bs(B362,74,$A362,1,100000000)</f>
        <v>0</v>
      </c>
      <c r="J362" s="25">
        <f>[1]!b_stm07_bs(B362,109,$A362,1,100000000)</f>
        <v>0</v>
      </c>
      <c r="K362" s="10">
        <f>[1]!s_stmnote_bank_5n(B362,$A362,1)</f>
        <v>0</v>
      </c>
      <c r="L362" s="25">
        <f>[1]!s_stmnote_bank_23n(B362,$A362,1)</f>
        <v>0</v>
      </c>
      <c r="M362" s="25">
        <f>[1]!s_stmnote_bank_capadequacyratio(B362,$A362,1)</f>
        <v>0</v>
      </c>
      <c r="N362" s="25">
        <f>[1]!s_stmnote_bank_capadequacyratio_ct1(B362,$A362,1)</f>
        <v>0</v>
      </c>
      <c r="O362" s="6">
        <f>IF(OR([1]!s_fa_roe(B362,20201231)="0",[1]!s_fa_roe(B362,20211231)="0",[1]!s_fa_roe(B362,20221231)="0"),"",IFERROR(([1]!s_fa_roe(B362,20221231)+[1]!s_fa_roe(B362,20201231)+[1]!s_fa_roe(B362,20211231))/3,""))</f>
        <v>0</v>
      </c>
      <c r="P362" s="28" t="str">
        <f>IFERROR(([1]!s_stmnote_bank_65(B362,$A362,1,2,4,100000000)+[1]!s_stmnote_bank_65(B362,$A362,1,2,6,100000000))/[1]!s_stmnote_bank_1n(B362,$A362,1,100000000),"")</f>
        <v/>
      </c>
      <c r="Q362" s="28" t="str">
        <f>IFERROR([1]!s_stmnote_bank_614(B362,$A362,1,2,100000000)/[1]!s_stmnote_bank_647(B362,$A362,1,2,100000000),"")</f>
        <v/>
      </c>
      <c r="R362" s="28" t="str">
        <f>IFERROR(([1]!b_stm07_bs(B362,104,$A362,1,100000000)+[1]!b_stm07_bs(B362,106,$A362,1,100000000)+[1]!b_stm07_bs(B362,76,$A362,1,100000000)+[1]!b_stm07_bs(B362,108,$A362,1,100000000)+[1]!b_stm07_bs(B362,95,$A362,1,100000000))/[1]!b_stm07_bs(B362,128,$A362,1,100000000),"")</f>
        <v/>
      </c>
      <c r="S362" s="28" t="str">
        <f>IFERROR(([1]!s_stmnote_bank_614(B362,$A362,1,2,100000000)+[1]!b_stm07_bs(B362,104,$A362,1,100000000)+[1]!b_stm07_bs(B362,106,$A362,1,100000000)+[1]!b_stm07_bs(B362,76,$A362,1,100000000)+[1]!b_stm07_bs(B362,108,$A362,1,100000000)+[1]!b_stm07_bs(B362,95,$A362,1,100000000))/[1]!b_stm07_bs(B362,128,$A362,1,100000000),"")</f>
        <v/>
      </c>
      <c r="T362" s="11">
        <f>[1]!b_issuer_shareholder(B362,"",1)</f>
        <v>0</v>
      </c>
      <c r="U362" s="10">
        <f>[1]!b_issuer_propofshareholder(B362,"",1)</f>
        <v>0</v>
      </c>
      <c r="V362" s="33" t="str">
        <f t="shared" si="11"/>
        <v>0</v>
      </c>
      <c r="W362" s="33">
        <f>[1]!s_info_city(B362)</f>
        <v>0</v>
      </c>
      <c r="X362" s="10">
        <f>IF([1]!s_stmnote_bank_17n(B362,$A362,1)="0","",[1]!s_stmnote_bank_17n(B362,$A362,1))</f>
        <v>0</v>
      </c>
      <c r="Y362" s="10">
        <f>IF([1]!s_stmnote_bank_18n(B362,$A362,1)="0","",[1]!s_stmnote_bank_18n(B362,$A362,1))</f>
        <v>0</v>
      </c>
      <c r="Z362" s="41">
        <f>IF([1]!s_stmnote_bank_58(B362,$A362,1)="0","",[1]!s_stmnote_bank_58(B362,$A362,1))</f>
        <v>0</v>
      </c>
      <c r="AA362" s="52">
        <f>IF([1]!s_stmnote_bank_60(B362,$A362,1)="0","",[1]!s_stmnote_bank_60(B362,$A362,1))</f>
        <v>0</v>
      </c>
      <c r="AB362" s="52">
        <f>[1]!s_stmnote_bank_5444(B362,$A362,1)</f>
        <v>0</v>
      </c>
      <c r="AC362" s="38">
        <f>[1]!s_stmnote_bank_129n($B362,$A362,1)</f>
        <v>0</v>
      </c>
      <c r="AD362" s="54">
        <f>[1]!s_stmnote_bank_30(B362,$A362,1)</f>
        <v>0</v>
      </c>
    </row>
    <row r="363" spans="1:30" ht="24">
      <c r="A363" s="1" t="s">
        <v>1110</v>
      </c>
      <c r="B363" s="87" t="s">
        <v>1471</v>
      </c>
      <c r="C363" s="8">
        <f>IF([1]!b_info_issuer(B363)="0","",IFERROR([1]!b_info_issuer(B363),""))</f>
        <v>0</v>
      </c>
      <c r="D363" s="11">
        <f>IF([1]!b_info_latestissurercreditrating(B363)="0","",IFERROR([1]!b_info_latestissurercreditrating(B363),""))</f>
        <v>0</v>
      </c>
      <c r="E363" s="27" t="str">
        <f>IFERROR(([1]!b_stm07_bs($B363,47,$A363,1,100000000))/[1]!b_stm07_bs($B363,109,$A363,1,100000000),"")</f>
        <v/>
      </c>
      <c r="F363" s="18" t="str">
        <f>IFERROR(([1]!s_stmnote_bank_26($B363,$A363,1,100000000)-[1]!s_stmnote_bank_26($B363,#REF!,1,100000000)+#REF!)/[1]!s_stmnote_bank_1n($B363,#REF!,1,100000000),"")</f>
        <v/>
      </c>
      <c r="G363" s="21" t="str">
        <f t="shared" si="10"/>
        <v/>
      </c>
      <c r="H363" s="18" t="str">
        <f>IFERROR([1]!s_stmnote_bank($B363,"34",$A363,100000000)/[1]!s_stmnote_bank_1n(B363,$A363,1,100000000),"")</f>
        <v/>
      </c>
      <c r="I363" s="25">
        <f>[1]!b_stm07_bs(B363,74,$A363,1,100000000)</f>
        <v>0</v>
      </c>
      <c r="J363" s="25">
        <f>[1]!b_stm07_bs(B363,109,$A363,1,100000000)</f>
        <v>0</v>
      </c>
      <c r="K363" s="10">
        <f>[1]!s_stmnote_bank_5n(B363,$A363,1)</f>
        <v>0</v>
      </c>
      <c r="L363" s="25">
        <f>[1]!s_stmnote_bank_23n(B363,$A363,1)</f>
        <v>0</v>
      </c>
      <c r="M363" s="25">
        <f>[1]!s_stmnote_bank_capadequacyratio(B363,$A363,1)</f>
        <v>0</v>
      </c>
      <c r="N363" s="25">
        <f>[1]!s_stmnote_bank_capadequacyratio_ct1(B363,$A363,1)</f>
        <v>0</v>
      </c>
      <c r="O363" s="6">
        <f>IF(OR([1]!s_fa_roe(B363,20201231)="0",[1]!s_fa_roe(B363,20211231)="0",[1]!s_fa_roe(B363,20221231)="0"),"",IFERROR(([1]!s_fa_roe(B363,20221231)+[1]!s_fa_roe(B363,20201231)+[1]!s_fa_roe(B363,20211231))/3,""))</f>
        <v>0</v>
      </c>
      <c r="P363" s="28" t="str">
        <f>IFERROR(([1]!s_stmnote_bank_65(B363,$A363,1,2,4,100000000)+[1]!s_stmnote_bank_65(B363,$A363,1,2,6,100000000))/[1]!s_stmnote_bank_1n(B363,$A363,1,100000000),"")</f>
        <v/>
      </c>
      <c r="Q363" s="28" t="str">
        <f>IFERROR([1]!s_stmnote_bank_614(B363,$A363,1,2,100000000)/[1]!s_stmnote_bank_647(B363,$A363,1,2,100000000),"")</f>
        <v/>
      </c>
      <c r="R363" s="28" t="str">
        <f>IFERROR(([1]!b_stm07_bs(B363,104,$A363,1,100000000)+[1]!b_stm07_bs(B363,106,$A363,1,100000000)+[1]!b_stm07_bs(B363,76,$A363,1,100000000)+[1]!b_stm07_bs(B363,108,$A363,1,100000000)+[1]!b_stm07_bs(B363,95,$A363,1,100000000))/[1]!b_stm07_bs(B363,128,$A363,1,100000000),"")</f>
        <v/>
      </c>
      <c r="S363" s="28" t="str">
        <f>IFERROR(([1]!s_stmnote_bank_614(B363,$A363,1,2,100000000)+[1]!b_stm07_bs(B363,104,$A363,1,100000000)+[1]!b_stm07_bs(B363,106,$A363,1,100000000)+[1]!b_stm07_bs(B363,76,$A363,1,100000000)+[1]!b_stm07_bs(B363,108,$A363,1,100000000)+[1]!b_stm07_bs(B363,95,$A363,1,100000000))/[1]!b_stm07_bs(B363,128,$A363,1,100000000),"")</f>
        <v/>
      </c>
      <c r="T363" s="11">
        <f>[1]!b_issuer_shareholder(B363,"",1)</f>
        <v>0</v>
      </c>
      <c r="U363" s="10">
        <f>[1]!b_issuer_propofshareholder(B363,"",1)</f>
        <v>0</v>
      </c>
      <c r="V363" s="33" t="str">
        <f t="shared" si="11"/>
        <v>0</v>
      </c>
      <c r="W363" s="33">
        <f>[1]!s_info_city(B363)</f>
        <v>0</v>
      </c>
      <c r="X363" s="10">
        <f>IF([1]!s_stmnote_bank_17n(B363,$A363,1)="0","",[1]!s_stmnote_bank_17n(B363,$A363,1))</f>
        <v>0</v>
      </c>
      <c r="Y363" s="10">
        <f>IF([1]!s_stmnote_bank_18n(B363,$A363,1)="0","",[1]!s_stmnote_bank_18n(B363,$A363,1))</f>
        <v>0</v>
      </c>
      <c r="Z363" s="41">
        <f>IF([1]!s_stmnote_bank_58(B363,$A363,1)="0","",[1]!s_stmnote_bank_58(B363,$A363,1))</f>
        <v>0</v>
      </c>
      <c r="AA363" s="52">
        <f>IF([1]!s_stmnote_bank_60(B363,$A363,1)="0","",[1]!s_stmnote_bank_60(B363,$A363,1))</f>
        <v>0</v>
      </c>
      <c r="AB363" s="52">
        <f>[1]!s_stmnote_bank_5444(B363,$A363,1)</f>
        <v>0</v>
      </c>
      <c r="AC363" s="38">
        <f>[1]!s_stmnote_bank_129n($B363,$A363,1)</f>
        <v>0</v>
      </c>
      <c r="AD363" s="54">
        <f>[1]!s_stmnote_bank_30(B363,$A363,1)</f>
        <v>0</v>
      </c>
    </row>
    <row r="364" spans="1:30" ht="24">
      <c r="A364" s="1" t="s">
        <v>1110</v>
      </c>
      <c r="B364" s="87" t="s">
        <v>1472</v>
      </c>
      <c r="C364" s="8">
        <f>IF([1]!b_info_issuer(B364)="0","",IFERROR([1]!b_info_issuer(B364),""))</f>
        <v>0</v>
      </c>
      <c r="D364" s="11">
        <f>IF([1]!b_info_latestissurercreditrating(B364)="0","",IFERROR([1]!b_info_latestissurercreditrating(B364),""))</f>
        <v>0</v>
      </c>
      <c r="E364" s="27" t="str">
        <f>IFERROR(([1]!b_stm07_bs($B364,47,$A364,1,100000000))/[1]!b_stm07_bs($B364,109,$A364,1,100000000),"")</f>
        <v/>
      </c>
      <c r="F364" s="18" t="str">
        <f>IFERROR(([1]!s_stmnote_bank_26($B364,$A364,1,100000000)-[1]!s_stmnote_bank_26($B364,#REF!,1,100000000)+#REF!)/[1]!s_stmnote_bank_1n($B364,#REF!,1,100000000),"")</f>
        <v/>
      </c>
      <c r="G364" s="21" t="str">
        <f t="shared" si="10"/>
        <v/>
      </c>
      <c r="H364" s="18" t="str">
        <f>IFERROR([1]!s_stmnote_bank($B364,"34",$A364,100000000)/[1]!s_stmnote_bank_1n(B364,$A364,1,100000000),"")</f>
        <v/>
      </c>
      <c r="I364" s="25">
        <f>[1]!b_stm07_bs(B364,74,$A364,1,100000000)</f>
        <v>0</v>
      </c>
      <c r="J364" s="25">
        <f>[1]!b_stm07_bs(B364,109,$A364,1,100000000)</f>
        <v>0</v>
      </c>
      <c r="K364" s="10">
        <f>[1]!s_stmnote_bank_5n(B364,$A364,1)</f>
        <v>0</v>
      </c>
      <c r="L364" s="25">
        <f>[1]!s_stmnote_bank_23n(B364,$A364,1)</f>
        <v>0</v>
      </c>
      <c r="M364" s="25">
        <f>[1]!s_stmnote_bank_capadequacyratio(B364,$A364,1)</f>
        <v>0</v>
      </c>
      <c r="N364" s="25">
        <f>[1]!s_stmnote_bank_capadequacyratio_ct1(B364,$A364,1)</f>
        <v>0</v>
      </c>
      <c r="O364" s="6">
        <f>IF(OR([1]!s_fa_roe(B364,20201231)="0",[1]!s_fa_roe(B364,20211231)="0",[1]!s_fa_roe(B364,20221231)="0"),"",IFERROR(([1]!s_fa_roe(B364,20221231)+[1]!s_fa_roe(B364,20201231)+[1]!s_fa_roe(B364,20211231))/3,""))</f>
        <v>0</v>
      </c>
      <c r="P364" s="28" t="str">
        <f>IFERROR(([1]!s_stmnote_bank_65(B364,$A364,1,2,4,100000000)+[1]!s_stmnote_bank_65(B364,$A364,1,2,6,100000000))/[1]!s_stmnote_bank_1n(B364,$A364,1,100000000),"")</f>
        <v/>
      </c>
      <c r="Q364" s="28" t="str">
        <f>IFERROR([1]!s_stmnote_bank_614(B364,$A364,1,2,100000000)/[1]!s_stmnote_bank_647(B364,$A364,1,2,100000000),"")</f>
        <v/>
      </c>
      <c r="R364" s="28" t="str">
        <f>IFERROR(([1]!b_stm07_bs(B364,104,$A364,1,100000000)+[1]!b_stm07_bs(B364,106,$A364,1,100000000)+[1]!b_stm07_bs(B364,76,$A364,1,100000000)+[1]!b_stm07_bs(B364,108,$A364,1,100000000)+[1]!b_stm07_bs(B364,95,$A364,1,100000000))/[1]!b_stm07_bs(B364,128,$A364,1,100000000),"")</f>
        <v/>
      </c>
      <c r="S364" s="28" t="str">
        <f>IFERROR(([1]!s_stmnote_bank_614(B364,$A364,1,2,100000000)+[1]!b_stm07_bs(B364,104,$A364,1,100000000)+[1]!b_stm07_bs(B364,106,$A364,1,100000000)+[1]!b_stm07_bs(B364,76,$A364,1,100000000)+[1]!b_stm07_bs(B364,108,$A364,1,100000000)+[1]!b_stm07_bs(B364,95,$A364,1,100000000))/[1]!b_stm07_bs(B364,128,$A364,1,100000000),"")</f>
        <v/>
      </c>
      <c r="T364" s="11">
        <f>[1]!b_issuer_shareholder(B364,"",1)</f>
        <v>0</v>
      </c>
      <c r="U364" s="10">
        <f>[1]!b_issuer_propofshareholder(B364,"",1)</f>
        <v>0</v>
      </c>
      <c r="V364" s="33" t="str">
        <f t="shared" si="11"/>
        <v>0</v>
      </c>
      <c r="W364" s="33">
        <f>[1]!s_info_city(B364)</f>
        <v>0</v>
      </c>
      <c r="X364" s="10">
        <f>IF([1]!s_stmnote_bank_17n(B364,$A364,1)="0","",[1]!s_stmnote_bank_17n(B364,$A364,1))</f>
        <v>0</v>
      </c>
      <c r="Y364" s="10">
        <f>IF([1]!s_stmnote_bank_18n(B364,$A364,1)="0","",[1]!s_stmnote_bank_18n(B364,$A364,1))</f>
        <v>0</v>
      </c>
      <c r="Z364" s="41">
        <f>IF([1]!s_stmnote_bank_58(B364,$A364,1)="0","",[1]!s_stmnote_bank_58(B364,$A364,1))</f>
        <v>0</v>
      </c>
      <c r="AA364" s="52">
        <f>IF([1]!s_stmnote_bank_60(B364,$A364,1)="0","",[1]!s_stmnote_bank_60(B364,$A364,1))</f>
        <v>0</v>
      </c>
      <c r="AB364" s="52">
        <f>[1]!s_stmnote_bank_5444(B364,$A364,1)</f>
        <v>0</v>
      </c>
      <c r="AC364" s="38">
        <f>[1]!s_stmnote_bank_129n($B364,$A364,1)</f>
        <v>0</v>
      </c>
      <c r="AD364" s="54">
        <f>[1]!s_stmnote_bank_30(B364,$A364,1)</f>
        <v>0</v>
      </c>
    </row>
    <row r="365" spans="1:30" ht="24">
      <c r="A365" s="1" t="s">
        <v>1110</v>
      </c>
      <c r="B365" s="87" t="s">
        <v>1473</v>
      </c>
      <c r="C365" s="8">
        <f>IF([1]!b_info_issuer(B365)="0","",IFERROR([1]!b_info_issuer(B365),""))</f>
        <v>0</v>
      </c>
      <c r="D365" s="11">
        <f>IF([1]!b_info_latestissurercreditrating(B365)="0","",IFERROR([1]!b_info_latestissurercreditrating(B365),""))</f>
        <v>0</v>
      </c>
      <c r="E365" s="27" t="str">
        <f>IFERROR(([1]!b_stm07_bs($B365,47,$A365,1,100000000))/[1]!b_stm07_bs($B365,109,$A365,1,100000000),"")</f>
        <v/>
      </c>
      <c r="F365" s="18" t="str">
        <f>IFERROR(([1]!s_stmnote_bank_26($B365,$A365,1,100000000)-[1]!s_stmnote_bank_26($B365,#REF!,1,100000000)+#REF!)/[1]!s_stmnote_bank_1n($B365,#REF!,1,100000000),"")</f>
        <v/>
      </c>
      <c r="G365" s="21" t="str">
        <f t="shared" si="10"/>
        <v/>
      </c>
      <c r="H365" s="18" t="str">
        <f>IFERROR([1]!s_stmnote_bank($B365,"34",$A365,100000000)/[1]!s_stmnote_bank_1n(B365,$A365,1,100000000),"")</f>
        <v/>
      </c>
      <c r="I365" s="25">
        <f>[1]!b_stm07_bs(B365,74,$A365,1,100000000)</f>
        <v>0</v>
      </c>
      <c r="J365" s="25">
        <f>[1]!b_stm07_bs(B365,109,$A365,1,100000000)</f>
        <v>0</v>
      </c>
      <c r="K365" s="10">
        <f>[1]!s_stmnote_bank_5n(B365,$A365,1)</f>
        <v>0</v>
      </c>
      <c r="L365" s="25">
        <f>[1]!s_stmnote_bank_23n(B365,$A365,1)</f>
        <v>0</v>
      </c>
      <c r="M365" s="25">
        <f>[1]!s_stmnote_bank_capadequacyratio(B365,$A365,1)</f>
        <v>0</v>
      </c>
      <c r="N365" s="25">
        <f>[1]!s_stmnote_bank_capadequacyratio_ct1(B365,$A365,1)</f>
        <v>0</v>
      </c>
      <c r="O365" s="6">
        <f>IF(OR([1]!s_fa_roe(B365,20201231)="0",[1]!s_fa_roe(B365,20211231)="0",[1]!s_fa_roe(B365,20221231)="0"),"",IFERROR(([1]!s_fa_roe(B365,20221231)+[1]!s_fa_roe(B365,20201231)+[1]!s_fa_roe(B365,20211231))/3,""))</f>
        <v>0</v>
      </c>
      <c r="P365" s="28" t="str">
        <f>IFERROR(([1]!s_stmnote_bank_65(B365,$A365,1,2,4,100000000)+[1]!s_stmnote_bank_65(B365,$A365,1,2,6,100000000))/[1]!s_stmnote_bank_1n(B365,$A365,1,100000000),"")</f>
        <v/>
      </c>
      <c r="Q365" s="28" t="str">
        <f>IFERROR([1]!s_stmnote_bank_614(B365,$A365,1,2,100000000)/[1]!s_stmnote_bank_647(B365,$A365,1,2,100000000),"")</f>
        <v/>
      </c>
      <c r="R365" s="28" t="str">
        <f>IFERROR(([1]!b_stm07_bs(B365,104,$A365,1,100000000)+[1]!b_stm07_bs(B365,106,$A365,1,100000000)+[1]!b_stm07_bs(B365,76,$A365,1,100000000)+[1]!b_stm07_bs(B365,108,$A365,1,100000000)+[1]!b_stm07_bs(B365,95,$A365,1,100000000))/[1]!b_stm07_bs(B365,128,$A365,1,100000000),"")</f>
        <v/>
      </c>
      <c r="S365" s="28" t="str">
        <f>IFERROR(([1]!s_stmnote_bank_614(B365,$A365,1,2,100000000)+[1]!b_stm07_bs(B365,104,$A365,1,100000000)+[1]!b_stm07_bs(B365,106,$A365,1,100000000)+[1]!b_stm07_bs(B365,76,$A365,1,100000000)+[1]!b_stm07_bs(B365,108,$A365,1,100000000)+[1]!b_stm07_bs(B365,95,$A365,1,100000000))/[1]!b_stm07_bs(B365,128,$A365,1,100000000),"")</f>
        <v/>
      </c>
      <c r="T365" s="11">
        <f>[1]!b_issuer_shareholder(B365,"",1)</f>
        <v>0</v>
      </c>
      <c r="U365" s="10">
        <f>[1]!b_issuer_propofshareholder(B365,"",1)</f>
        <v>0</v>
      </c>
      <c r="V365" s="33" t="str">
        <f t="shared" si="11"/>
        <v>0</v>
      </c>
      <c r="W365" s="33">
        <f>[1]!s_info_city(B365)</f>
        <v>0</v>
      </c>
      <c r="X365" s="10">
        <f>IF([1]!s_stmnote_bank_17n(B365,$A365,1)="0","",[1]!s_stmnote_bank_17n(B365,$A365,1))</f>
        <v>0</v>
      </c>
      <c r="Y365" s="10">
        <f>IF([1]!s_stmnote_bank_18n(B365,$A365,1)="0","",[1]!s_stmnote_bank_18n(B365,$A365,1))</f>
        <v>0</v>
      </c>
      <c r="Z365" s="41">
        <f>IF([1]!s_stmnote_bank_58(B365,$A365,1)="0","",[1]!s_stmnote_bank_58(B365,$A365,1))</f>
        <v>0</v>
      </c>
      <c r="AA365" s="52">
        <f>IF([1]!s_stmnote_bank_60(B365,$A365,1)="0","",[1]!s_stmnote_bank_60(B365,$A365,1))</f>
        <v>0</v>
      </c>
      <c r="AB365" s="52">
        <f>[1]!s_stmnote_bank_5444(B365,$A365,1)</f>
        <v>0</v>
      </c>
      <c r="AC365" s="38">
        <f>[1]!s_stmnote_bank_129n($B365,$A365,1)</f>
        <v>0</v>
      </c>
      <c r="AD365" s="54">
        <f>[1]!s_stmnote_bank_30(B365,$A365,1)</f>
        <v>0</v>
      </c>
    </row>
    <row r="366" spans="1:30" ht="24">
      <c r="A366" s="1" t="s">
        <v>1110</v>
      </c>
      <c r="B366" s="87" t="s">
        <v>1474</v>
      </c>
      <c r="C366" s="8">
        <f>IF([1]!b_info_issuer(B366)="0","",IFERROR([1]!b_info_issuer(B366),""))</f>
        <v>0</v>
      </c>
      <c r="D366" s="11">
        <f>IF([1]!b_info_latestissurercreditrating(B366)="0","",IFERROR([1]!b_info_latestissurercreditrating(B366),""))</f>
        <v>0</v>
      </c>
      <c r="E366" s="27" t="str">
        <f>IFERROR(([1]!b_stm07_bs($B366,47,$A366,1,100000000))/[1]!b_stm07_bs($B366,109,$A366,1,100000000),"")</f>
        <v/>
      </c>
      <c r="F366" s="18" t="str">
        <f>IFERROR(([1]!s_stmnote_bank_26($B366,$A366,1,100000000)-[1]!s_stmnote_bank_26($B366,#REF!,1,100000000)+#REF!)/[1]!s_stmnote_bank_1n($B366,#REF!,1,100000000),"")</f>
        <v/>
      </c>
      <c r="G366" s="21" t="str">
        <f t="shared" si="10"/>
        <v/>
      </c>
      <c r="H366" s="18" t="str">
        <f>IFERROR([1]!s_stmnote_bank($B366,"34",$A366,100000000)/[1]!s_stmnote_bank_1n(B366,$A366,1,100000000),"")</f>
        <v/>
      </c>
      <c r="I366" s="25">
        <f>[1]!b_stm07_bs(B366,74,$A366,1,100000000)</f>
        <v>0</v>
      </c>
      <c r="J366" s="25">
        <f>[1]!b_stm07_bs(B366,109,$A366,1,100000000)</f>
        <v>0</v>
      </c>
      <c r="K366" s="10">
        <f>[1]!s_stmnote_bank_5n(B366,$A366,1)</f>
        <v>0</v>
      </c>
      <c r="L366" s="25">
        <f>[1]!s_stmnote_bank_23n(B366,$A366,1)</f>
        <v>0</v>
      </c>
      <c r="M366" s="25">
        <f>[1]!s_stmnote_bank_capadequacyratio(B366,$A366,1)</f>
        <v>0</v>
      </c>
      <c r="N366" s="25">
        <f>[1]!s_stmnote_bank_capadequacyratio_ct1(B366,$A366,1)</f>
        <v>0</v>
      </c>
      <c r="O366" s="6">
        <f>IF(OR([1]!s_fa_roe(B366,20201231)="0",[1]!s_fa_roe(B366,20211231)="0",[1]!s_fa_roe(B366,20221231)="0"),"",IFERROR(([1]!s_fa_roe(B366,20221231)+[1]!s_fa_roe(B366,20201231)+[1]!s_fa_roe(B366,20211231))/3,""))</f>
        <v>0</v>
      </c>
      <c r="P366" s="28" t="str">
        <f>IFERROR(([1]!s_stmnote_bank_65(B366,$A366,1,2,4,100000000)+[1]!s_stmnote_bank_65(B366,$A366,1,2,6,100000000))/[1]!s_stmnote_bank_1n(B366,$A366,1,100000000),"")</f>
        <v/>
      </c>
      <c r="Q366" s="28" t="str">
        <f>IFERROR([1]!s_stmnote_bank_614(B366,$A366,1,2,100000000)/[1]!s_stmnote_bank_647(B366,$A366,1,2,100000000),"")</f>
        <v/>
      </c>
      <c r="R366" s="28" t="str">
        <f>IFERROR(([1]!b_stm07_bs(B366,104,$A366,1,100000000)+[1]!b_stm07_bs(B366,106,$A366,1,100000000)+[1]!b_stm07_bs(B366,76,$A366,1,100000000)+[1]!b_stm07_bs(B366,108,$A366,1,100000000)+[1]!b_stm07_bs(B366,95,$A366,1,100000000))/[1]!b_stm07_bs(B366,128,$A366,1,100000000),"")</f>
        <v/>
      </c>
      <c r="S366" s="28" t="str">
        <f>IFERROR(([1]!s_stmnote_bank_614(B366,$A366,1,2,100000000)+[1]!b_stm07_bs(B366,104,$A366,1,100000000)+[1]!b_stm07_bs(B366,106,$A366,1,100000000)+[1]!b_stm07_bs(B366,76,$A366,1,100000000)+[1]!b_stm07_bs(B366,108,$A366,1,100000000)+[1]!b_stm07_bs(B366,95,$A366,1,100000000))/[1]!b_stm07_bs(B366,128,$A366,1,100000000),"")</f>
        <v/>
      </c>
      <c r="T366" s="11">
        <f>[1]!b_issuer_shareholder(B366,"",1)</f>
        <v>0</v>
      </c>
      <c r="U366" s="10">
        <f>[1]!b_issuer_propofshareholder(B366,"",1)</f>
        <v>0</v>
      </c>
      <c r="V366" s="33" t="str">
        <f t="shared" si="11"/>
        <v>0</v>
      </c>
      <c r="W366" s="33">
        <f>[1]!s_info_city(B366)</f>
        <v>0</v>
      </c>
      <c r="X366" s="10">
        <f>IF([1]!s_stmnote_bank_17n(B366,$A366,1)="0","",[1]!s_stmnote_bank_17n(B366,$A366,1))</f>
        <v>0</v>
      </c>
      <c r="Y366" s="10">
        <f>IF([1]!s_stmnote_bank_18n(B366,$A366,1)="0","",[1]!s_stmnote_bank_18n(B366,$A366,1))</f>
        <v>0</v>
      </c>
      <c r="Z366" s="41">
        <f>IF([1]!s_stmnote_bank_58(B366,$A366,1)="0","",[1]!s_stmnote_bank_58(B366,$A366,1))</f>
        <v>0</v>
      </c>
      <c r="AA366" s="52">
        <f>IF([1]!s_stmnote_bank_60(B366,$A366,1)="0","",[1]!s_stmnote_bank_60(B366,$A366,1))</f>
        <v>0</v>
      </c>
      <c r="AB366" s="52">
        <f>[1]!s_stmnote_bank_5444(B366,$A366,1)</f>
        <v>0</v>
      </c>
      <c r="AC366" s="38">
        <f>[1]!s_stmnote_bank_129n($B366,$A366,1)</f>
        <v>0</v>
      </c>
      <c r="AD366" s="54">
        <f>[1]!s_stmnote_bank_30(B366,$A366,1)</f>
        <v>0</v>
      </c>
    </row>
    <row r="367" spans="1:30" ht="24">
      <c r="A367" s="1" t="s">
        <v>1110</v>
      </c>
      <c r="B367" s="87" t="s">
        <v>1475</v>
      </c>
      <c r="C367" s="8">
        <f>IF([1]!b_info_issuer(B367)="0","",IFERROR([1]!b_info_issuer(B367),""))</f>
        <v>0</v>
      </c>
      <c r="D367" s="11">
        <f>IF([1]!b_info_latestissurercreditrating(B367)="0","",IFERROR([1]!b_info_latestissurercreditrating(B367),""))</f>
        <v>0</v>
      </c>
      <c r="E367" s="27" t="str">
        <f>IFERROR(([1]!b_stm07_bs($B367,47,$A367,1,100000000))/[1]!b_stm07_bs($B367,109,$A367,1,100000000),"")</f>
        <v/>
      </c>
      <c r="F367" s="18" t="str">
        <f>IFERROR(([1]!s_stmnote_bank_26($B367,$A367,1,100000000)-[1]!s_stmnote_bank_26($B367,#REF!,1,100000000)+#REF!)/[1]!s_stmnote_bank_1n($B367,#REF!,1,100000000),"")</f>
        <v/>
      </c>
      <c r="G367" s="21" t="str">
        <f t="shared" si="10"/>
        <v/>
      </c>
      <c r="H367" s="18" t="str">
        <f>IFERROR([1]!s_stmnote_bank($B367,"34",$A367,100000000)/[1]!s_stmnote_bank_1n(B367,$A367,1,100000000),"")</f>
        <v/>
      </c>
      <c r="I367" s="25">
        <f>[1]!b_stm07_bs(B367,74,$A367,1,100000000)</f>
        <v>0</v>
      </c>
      <c r="J367" s="25">
        <f>[1]!b_stm07_bs(B367,109,$A367,1,100000000)</f>
        <v>0</v>
      </c>
      <c r="K367" s="10">
        <f>[1]!s_stmnote_bank_5n(B367,$A367,1)</f>
        <v>0</v>
      </c>
      <c r="L367" s="25">
        <f>[1]!s_stmnote_bank_23n(B367,$A367,1)</f>
        <v>0</v>
      </c>
      <c r="M367" s="25">
        <f>[1]!s_stmnote_bank_capadequacyratio(B367,$A367,1)</f>
        <v>0</v>
      </c>
      <c r="N367" s="25">
        <f>[1]!s_stmnote_bank_capadequacyratio_ct1(B367,$A367,1)</f>
        <v>0</v>
      </c>
      <c r="O367" s="6">
        <f>IF(OR([1]!s_fa_roe(B367,20201231)="0",[1]!s_fa_roe(B367,20211231)="0",[1]!s_fa_roe(B367,20221231)="0"),"",IFERROR(([1]!s_fa_roe(B367,20221231)+[1]!s_fa_roe(B367,20201231)+[1]!s_fa_roe(B367,20211231))/3,""))</f>
        <v>0</v>
      </c>
      <c r="P367" s="28" t="str">
        <f>IFERROR(([1]!s_stmnote_bank_65(B367,$A367,1,2,4,100000000)+[1]!s_stmnote_bank_65(B367,$A367,1,2,6,100000000))/[1]!s_stmnote_bank_1n(B367,$A367,1,100000000),"")</f>
        <v/>
      </c>
      <c r="Q367" s="28" t="str">
        <f>IFERROR([1]!s_stmnote_bank_614(B367,$A367,1,2,100000000)/[1]!s_stmnote_bank_647(B367,$A367,1,2,100000000),"")</f>
        <v/>
      </c>
      <c r="R367" s="28" t="str">
        <f>IFERROR(([1]!b_stm07_bs(B367,104,$A367,1,100000000)+[1]!b_stm07_bs(B367,106,$A367,1,100000000)+[1]!b_stm07_bs(B367,76,$A367,1,100000000)+[1]!b_stm07_bs(B367,108,$A367,1,100000000)+[1]!b_stm07_bs(B367,95,$A367,1,100000000))/[1]!b_stm07_bs(B367,128,$A367,1,100000000),"")</f>
        <v/>
      </c>
      <c r="S367" s="28" t="str">
        <f>IFERROR(([1]!s_stmnote_bank_614(B367,$A367,1,2,100000000)+[1]!b_stm07_bs(B367,104,$A367,1,100000000)+[1]!b_stm07_bs(B367,106,$A367,1,100000000)+[1]!b_stm07_bs(B367,76,$A367,1,100000000)+[1]!b_stm07_bs(B367,108,$A367,1,100000000)+[1]!b_stm07_bs(B367,95,$A367,1,100000000))/[1]!b_stm07_bs(B367,128,$A367,1,100000000),"")</f>
        <v/>
      </c>
      <c r="T367" s="11">
        <f>[1]!b_issuer_shareholder(B367,"",1)</f>
        <v>0</v>
      </c>
      <c r="U367" s="10">
        <f>[1]!b_issuer_propofshareholder(B367,"",1)</f>
        <v>0</v>
      </c>
      <c r="V367" s="33" t="str">
        <f t="shared" si="11"/>
        <v>0</v>
      </c>
      <c r="W367" s="33">
        <f>[1]!s_info_city(B367)</f>
        <v>0</v>
      </c>
      <c r="X367" s="10">
        <f>IF([1]!s_stmnote_bank_17n(B367,$A367,1)="0","",[1]!s_stmnote_bank_17n(B367,$A367,1))</f>
        <v>0</v>
      </c>
      <c r="Y367" s="10">
        <f>IF([1]!s_stmnote_bank_18n(B367,$A367,1)="0","",[1]!s_stmnote_bank_18n(B367,$A367,1))</f>
        <v>0</v>
      </c>
      <c r="Z367" s="41">
        <f>IF([1]!s_stmnote_bank_58(B367,$A367,1)="0","",[1]!s_stmnote_bank_58(B367,$A367,1))</f>
        <v>0</v>
      </c>
      <c r="AA367" s="52">
        <f>IF([1]!s_stmnote_bank_60(B367,$A367,1)="0","",[1]!s_stmnote_bank_60(B367,$A367,1))</f>
        <v>0</v>
      </c>
      <c r="AB367" s="52">
        <f>[1]!s_stmnote_bank_5444(B367,$A367,1)</f>
        <v>0</v>
      </c>
      <c r="AC367" s="38">
        <f>[1]!s_stmnote_bank_129n($B367,$A367,1)</f>
        <v>0</v>
      </c>
      <c r="AD367" s="54">
        <f>[1]!s_stmnote_bank_30(B367,$A367,1)</f>
        <v>0</v>
      </c>
    </row>
    <row r="368" spans="1:30" ht="24">
      <c r="A368" s="1" t="s">
        <v>1110</v>
      </c>
      <c r="B368" s="87" t="s">
        <v>1476</v>
      </c>
      <c r="C368" s="8">
        <f>IF([1]!b_info_issuer(B368)="0","",IFERROR([1]!b_info_issuer(B368),""))</f>
        <v>0</v>
      </c>
      <c r="D368" s="11">
        <f>IF([1]!b_info_latestissurercreditrating(B368)="0","",IFERROR([1]!b_info_latestissurercreditrating(B368),""))</f>
        <v>0</v>
      </c>
      <c r="E368" s="27" t="str">
        <f>IFERROR(([1]!b_stm07_bs($B368,47,$A368,1,100000000))/[1]!b_stm07_bs($B368,109,$A368,1,100000000),"")</f>
        <v/>
      </c>
      <c r="F368" s="18" t="str">
        <f>IFERROR(([1]!s_stmnote_bank_26($B368,$A368,1,100000000)-[1]!s_stmnote_bank_26($B368,#REF!,1,100000000)+#REF!)/[1]!s_stmnote_bank_1n($B368,#REF!,1,100000000),"")</f>
        <v/>
      </c>
      <c r="G368" s="21" t="str">
        <f t="shared" si="10"/>
        <v/>
      </c>
      <c r="H368" s="18" t="str">
        <f>IFERROR([1]!s_stmnote_bank($B368,"34",$A368,100000000)/[1]!s_stmnote_bank_1n(B368,$A368,1,100000000),"")</f>
        <v/>
      </c>
      <c r="I368" s="25">
        <f>[1]!b_stm07_bs(B368,74,$A368,1,100000000)</f>
        <v>0</v>
      </c>
      <c r="J368" s="25">
        <f>[1]!b_stm07_bs(B368,109,$A368,1,100000000)</f>
        <v>0</v>
      </c>
      <c r="K368" s="10">
        <f>[1]!s_stmnote_bank_5n(B368,$A368,1)</f>
        <v>0</v>
      </c>
      <c r="L368" s="25">
        <f>[1]!s_stmnote_bank_23n(B368,$A368,1)</f>
        <v>0</v>
      </c>
      <c r="M368" s="25">
        <f>[1]!s_stmnote_bank_capadequacyratio(B368,$A368,1)</f>
        <v>0</v>
      </c>
      <c r="N368" s="25">
        <f>[1]!s_stmnote_bank_capadequacyratio_ct1(B368,$A368,1)</f>
        <v>0</v>
      </c>
      <c r="O368" s="6">
        <f>IF(OR([1]!s_fa_roe(B368,20201231)="0",[1]!s_fa_roe(B368,20211231)="0",[1]!s_fa_roe(B368,20221231)="0"),"",IFERROR(([1]!s_fa_roe(B368,20221231)+[1]!s_fa_roe(B368,20201231)+[1]!s_fa_roe(B368,20211231))/3,""))</f>
        <v>0</v>
      </c>
      <c r="P368" s="28" t="str">
        <f>IFERROR(([1]!s_stmnote_bank_65(B368,$A368,1,2,4,100000000)+[1]!s_stmnote_bank_65(B368,$A368,1,2,6,100000000))/[1]!s_stmnote_bank_1n(B368,$A368,1,100000000),"")</f>
        <v/>
      </c>
      <c r="Q368" s="28" t="str">
        <f>IFERROR([1]!s_stmnote_bank_614(B368,$A368,1,2,100000000)/[1]!s_stmnote_bank_647(B368,$A368,1,2,100000000),"")</f>
        <v/>
      </c>
      <c r="R368" s="28" t="str">
        <f>IFERROR(([1]!b_stm07_bs(B368,104,$A368,1,100000000)+[1]!b_stm07_bs(B368,106,$A368,1,100000000)+[1]!b_stm07_bs(B368,76,$A368,1,100000000)+[1]!b_stm07_bs(B368,108,$A368,1,100000000)+[1]!b_stm07_bs(B368,95,$A368,1,100000000))/[1]!b_stm07_bs(B368,128,$A368,1,100000000),"")</f>
        <v/>
      </c>
      <c r="S368" s="28" t="str">
        <f>IFERROR(([1]!s_stmnote_bank_614(B368,$A368,1,2,100000000)+[1]!b_stm07_bs(B368,104,$A368,1,100000000)+[1]!b_stm07_bs(B368,106,$A368,1,100000000)+[1]!b_stm07_bs(B368,76,$A368,1,100000000)+[1]!b_stm07_bs(B368,108,$A368,1,100000000)+[1]!b_stm07_bs(B368,95,$A368,1,100000000))/[1]!b_stm07_bs(B368,128,$A368,1,100000000),"")</f>
        <v/>
      </c>
      <c r="T368" s="11">
        <f>[1]!b_issuer_shareholder(B368,"",1)</f>
        <v>0</v>
      </c>
      <c r="U368" s="10">
        <f>[1]!b_issuer_propofshareholder(B368,"",1)</f>
        <v>0</v>
      </c>
      <c r="V368" s="33" t="str">
        <f t="shared" si="11"/>
        <v>0</v>
      </c>
      <c r="W368" s="33">
        <f>[1]!s_info_city(B368)</f>
        <v>0</v>
      </c>
      <c r="X368" s="10">
        <f>IF([1]!s_stmnote_bank_17n(B368,$A368,1)="0","",[1]!s_stmnote_bank_17n(B368,$A368,1))</f>
        <v>0</v>
      </c>
      <c r="Y368" s="10">
        <f>IF([1]!s_stmnote_bank_18n(B368,$A368,1)="0","",[1]!s_stmnote_bank_18n(B368,$A368,1))</f>
        <v>0</v>
      </c>
      <c r="Z368" s="41">
        <f>IF([1]!s_stmnote_bank_58(B368,$A368,1)="0","",[1]!s_stmnote_bank_58(B368,$A368,1))</f>
        <v>0</v>
      </c>
      <c r="AA368" s="52">
        <f>IF([1]!s_stmnote_bank_60(B368,$A368,1)="0","",[1]!s_stmnote_bank_60(B368,$A368,1))</f>
        <v>0</v>
      </c>
      <c r="AB368" s="52">
        <f>[1]!s_stmnote_bank_5444(B368,$A368,1)</f>
        <v>0</v>
      </c>
      <c r="AC368" s="38">
        <f>[1]!s_stmnote_bank_129n($B368,$A368,1)</f>
        <v>0</v>
      </c>
      <c r="AD368" s="54">
        <f>[1]!s_stmnote_bank_30(B368,$A368,1)</f>
        <v>0</v>
      </c>
    </row>
    <row r="369" spans="1:30" ht="24">
      <c r="A369" s="1" t="s">
        <v>1110</v>
      </c>
      <c r="B369" s="87" t="s">
        <v>1477</v>
      </c>
      <c r="C369" s="8">
        <f>IF([1]!b_info_issuer(B369)="0","",IFERROR([1]!b_info_issuer(B369),""))</f>
        <v>0</v>
      </c>
      <c r="D369" s="11">
        <f>IF([1]!b_info_latestissurercreditrating(B369)="0","",IFERROR([1]!b_info_latestissurercreditrating(B369),""))</f>
        <v>0</v>
      </c>
      <c r="E369" s="27" t="str">
        <f>IFERROR(([1]!b_stm07_bs($B369,47,$A369,1,100000000))/[1]!b_stm07_bs($B369,109,$A369,1,100000000),"")</f>
        <v/>
      </c>
      <c r="F369" s="18" t="str">
        <f>IFERROR(([1]!s_stmnote_bank_26($B369,$A369,1,100000000)-[1]!s_stmnote_bank_26($B369,#REF!,1,100000000)+#REF!)/[1]!s_stmnote_bank_1n($B369,#REF!,1,100000000),"")</f>
        <v/>
      </c>
      <c r="G369" s="21" t="str">
        <f t="shared" si="10"/>
        <v/>
      </c>
      <c r="H369" s="18" t="str">
        <f>IFERROR([1]!s_stmnote_bank($B369,"34",$A369,100000000)/[1]!s_stmnote_bank_1n(B369,$A369,1,100000000),"")</f>
        <v/>
      </c>
      <c r="I369" s="25">
        <f>[1]!b_stm07_bs(B369,74,$A369,1,100000000)</f>
        <v>0</v>
      </c>
      <c r="J369" s="25">
        <f>[1]!b_stm07_bs(B369,109,$A369,1,100000000)</f>
        <v>0</v>
      </c>
      <c r="K369" s="10">
        <f>[1]!s_stmnote_bank_5n(B369,$A369,1)</f>
        <v>0</v>
      </c>
      <c r="L369" s="25">
        <f>[1]!s_stmnote_bank_23n(B369,$A369,1)</f>
        <v>0</v>
      </c>
      <c r="M369" s="25">
        <f>[1]!s_stmnote_bank_capadequacyratio(B369,$A369,1)</f>
        <v>0</v>
      </c>
      <c r="N369" s="25">
        <f>[1]!s_stmnote_bank_capadequacyratio_ct1(B369,$A369,1)</f>
        <v>0</v>
      </c>
      <c r="O369" s="6">
        <f>IF(OR([1]!s_fa_roe(B369,20201231)="0",[1]!s_fa_roe(B369,20211231)="0",[1]!s_fa_roe(B369,20221231)="0"),"",IFERROR(([1]!s_fa_roe(B369,20221231)+[1]!s_fa_roe(B369,20201231)+[1]!s_fa_roe(B369,20211231))/3,""))</f>
        <v>0</v>
      </c>
      <c r="P369" s="28" t="str">
        <f>IFERROR(([1]!s_stmnote_bank_65(B369,$A369,1,2,4,100000000)+[1]!s_stmnote_bank_65(B369,$A369,1,2,6,100000000))/[1]!s_stmnote_bank_1n(B369,$A369,1,100000000),"")</f>
        <v/>
      </c>
      <c r="Q369" s="28" t="str">
        <f>IFERROR([1]!s_stmnote_bank_614(B369,$A369,1,2,100000000)/[1]!s_stmnote_bank_647(B369,$A369,1,2,100000000),"")</f>
        <v/>
      </c>
      <c r="R369" s="28" t="str">
        <f>IFERROR(([1]!b_stm07_bs(B369,104,$A369,1,100000000)+[1]!b_stm07_bs(B369,106,$A369,1,100000000)+[1]!b_stm07_bs(B369,76,$A369,1,100000000)+[1]!b_stm07_bs(B369,108,$A369,1,100000000)+[1]!b_stm07_bs(B369,95,$A369,1,100000000))/[1]!b_stm07_bs(B369,128,$A369,1,100000000),"")</f>
        <v/>
      </c>
      <c r="S369" s="28" t="str">
        <f>IFERROR(([1]!s_stmnote_bank_614(B369,$A369,1,2,100000000)+[1]!b_stm07_bs(B369,104,$A369,1,100000000)+[1]!b_stm07_bs(B369,106,$A369,1,100000000)+[1]!b_stm07_bs(B369,76,$A369,1,100000000)+[1]!b_stm07_bs(B369,108,$A369,1,100000000)+[1]!b_stm07_bs(B369,95,$A369,1,100000000))/[1]!b_stm07_bs(B369,128,$A369,1,100000000),"")</f>
        <v/>
      </c>
      <c r="T369" s="11">
        <f>[1]!b_issuer_shareholder(B369,"",1)</f>
        <v>0</v>
      </c>
      <c r="U369" s="10">
        <f>[1]!b_issuer_propofshareholder(B369,"",1)</f>
        <v>0</v>
      </c>
      <c r="V369" s="33" t="str">
        <f t="shared" si="11"/>
        <v>0</v>
      </c>
      <c r="W369" s="33">
        <f>[1]!s_info_city(B369)</f>
        <v>0</v>
      </c>
      <c r="X369" s="10">
        <f>IF([1]!s_stmnote_bank_17n(B369,$A369,1)="0","",[1]!s_stmnote_bank_17n(B369,$A369,1))</f>
        <v>0</v>
      </c>
      <c r="Y369" s="10">
        <f>IF([1]!s_stmnote_bank_18n(B369,$A369,1)="0","",[1]!s_stmnote_bank_18n(B369,$A369,1))</f>
        <v>0</v>
      </c>
      <c r="Z369" s="41">
        <f>IF([1]!s_stmnote_bank_58(B369,$A369,1)="0","",[1]!s_stmnote_bank_58(B369,$A369,1))</f>
        <v>0</v>
      </c>
      <c r="AA369" s="52">
        <f>IF([1]!s_stmnote_bank_60(B369,$A369,1)="0","",[1]!s_stmnote_bank_60(B369,$A369,1))</f>
        <v>0</v>
      </c>
      <c r="AB369" s="52">
        <f>[1]!s_stmnote_bank_5444(B369,$A369,1)</f>
        <v>0</v>
      </c>
      <c r="AC369" s="38">
        <f>[1]!s_stmnote_bank_129n($B369,$A369,1)</f>
        <v>0</v>
      </c>
      <c r="AD369" s="54">
        <f>[1]!s_stmnote_bank_30(B369,$A369,1)</f>
        <v>0</v>
      </c>
    </row>
    <row r="370" spans="1:30" ht="24">
      <c r="A370" s="1" t="s">
        <v>1110</v>
      </c>
      <c r="B370" s="87" t="s">
        <v>1478</v>
      </c>
      <c r="C370" s="8">
        <f>IF([1]!b_info_issuer(B370)="0","",IFERROR([1]!b_info_issuer(B370),""))</f>
        <v>0</v>
      </c>
      <c r="D370" s="11">
        <f>IF([1]!b_info_latestissurercreditrating(B370)="0","",IFERROR([1]!b_info_latestissurercreditrating(B370),""))</f>
        <v>0</v>
      </c>
      <c r="E370" s="27" t="str">
        <f>IFERROR(([1]!b_stm07_bs($B370,47,$A370,1,100000000))/[1]!b_stm07_bs($B370,109,$A370,1,100000000),"")</f>
        <v/>
      </c>
      <c r="F370" s="18" t="str">
        <f>IFERROR(([1]!s_stmnote_bank_26($B370,$A370,1,100000000)-[1]!s_stmnote_bank_26($B370,#REF!,1,100000000)+#REF!)/[1]!s_stmnote_bank_1n($B370,#REF!,1,100000000),"")</f>
        <v/>
      </c>
      <c r="G370" s="21" t="str">
        <f t="shared" si="10"/>
        <v/>
      </c>
      <c r="H370" s="18" t="str">
        <f>IFERROR([1]!s_stmnote_bank($B370,"34",$A370,100000000)/[1]!s_stmnote_bank_1n(B370,$A370,1,100000000),"")</f>
        <v/>
      </c>
      <c r="I370" s="25">
        <f>[1]!b_stm07_bs(B370,74,$A370,1,100000000)</f>
        <v>0</v>
      </c>
      <c r="J370" s="25">
        <f>[1]!b_stm07_bs(B370,109,$A370,1,100000000)</f>
        <v>0</v>
      </c>
      <c r="K370" s="10">
        <f>[1]!s_stmnote_bank_5n(B370,$A370,1)</f>
        <v>0</v>
      </c>
      <c r="L370" s="25">
        <f>[1]!s_stmnote_bank_23n(B370,$A370,1)</f>
        <v>0</v>
      </c>
      <c r="M370" s="25">
        <f>[1]!s_stmnote_bank_capadequacyratio(B370,$A370,1)</f>
        <v>0</v>
      </c>
      <c r="N370" s="25">
        <f>[1]!s_stmnote_bank_capadequacyratio_ct1(B370,$A370,1)</f>
        <v>0</v>
      </c>
      <c r="O370" s="6">
        <f>IF(OR([1]!s_fa_roe(B370,20201231)="0",[1]!s_fa_roe(B370,20211231)="0",[1]!s_fa_roe(B370,20221231)="0"),"",IFERROR(([1]!s_fa_roe(B370,20221231)+[1]!s_fa_roe(B370,20201231)+[1]!s_fa_roe(B370,20211231))/3,""))</f>
        <v>0</v>
      </c>
      <c r="P370" s="28" t="str">
        <f>IFERROR(([1]!s_stmnote_bank_65(B370,$A370,1,2,4,100000000)+[1]!s_stmnote_bank_65(B370,$A370,1,2,6,100000000))/[1]!s_stmnote_bank_1n(B370,$A370,1,100000000),"")</f>
        <v/>
      </c>
      <c r="Q370" s="28" t="str">
        <f>IFERROR([1]!s_stmnote_bank_614(B370,$A370,1,2,100000000)/[1]!s_stmnote_bank_647(B370,$A370,1,2,100000000),"")</f>
        <v/>
      </c>
      <c r="R370" s="28" t="str">
        <f>IFERROR(([1]!b_stm07_bs(B370,104,$A370,1,100000000)+[1]!b_stm07_bs(B370,106,$A370,1,100000000)+[1]!b_stm07_bs(B370,76,$A370,1,100000000)+[1]!b_stm07_bs(B370,108,$A370,1,100000000)+[1]!b_stm07_bs(B370,95,$A370,1,100000000))/[1]!b_stm07_bs(B370,128,$A370,1,100000000),"")</f>
        <v/>
      </c>
      <c r="S370" s="28" t="str">
        <f>IFERROR(([1]!s_stmnote_bank_614(B370,$A370,1,2,100000000)+[1]!b_stm07_bs(B370,104,$A370,1,100000000)+[1]!b_stm07_bs(B370,106,$A370,1,100000000)+[1]!b_stm07_bs(B370,76,$A370,1,100000000)+[1]!b_stm07_bs(B370,108,$A370,1,100000000)+[1]!b_stm07_bs(B370,95,$A370,1,100000000))/[1]!b_stm07_bs(B370,128,$A370,1,100000000),"")</f>
        <v/>
      </c>
      <c r="T370" s="11">
        <f>[1]!b_issuer_shareholder(B370,"",1)</f>
        <v>0</v>
      </c>
      <c r="U370" s="10">
        <f>[1]!b_issuer_propofshareholder(B370,"",1)</f>
        <v>0</v>
      </c>
      <c r="V370" s="33" t="str">
        <f t="shared" si="11"/>
        <v>0</v>
      </c>
      <c r="W370" s="33">
        <f>[1]!s_info_city(B370)</f>
        <v>0</v>
      </c>
      <c r="X370" s="10">
        <f>IF([1]!s_stmnote_bank_17n(B370,$A370,1)="0","",[1]!s_stmnote_bank_17n(B370,$A370,1))</f>
        <v>0</v>
      </c>
      <c r="Y370" s="10">
        <f>IF([1]!s_stmnote_bank_18n(B370,$A370,1)="0","",[1]!s_stmnote_bank_18n(B370,$A370,1))</f>
        <v>0</v>
      </c>
      <c r="Z370" s="41">
        <f>IF([1]!s_stmnote_bank_58(B370,$A370,1)="0","",[1]!s_stmnote_bank_58(B370,$A370,1))</f>
        <v>0</v>
      </c>
      <c r="AA370" s="52">
        <f>IF([1]!s_stmnote_bank_60(B370,$A370,1)="0","",[1]!s_stmnote_bank_60(B370,$A370,1))</f>
        <v>0</v>
      </c>
      <c r="AB370" s="52">
        <f>[1]!s_stmnote_bank_5444(B370,$A370,1)</f>
        <v>0</v>
      </c>
      <c r="AC370" s="38">
        <f>[1]!s_stmnote_bank_129n($B370,$A370,1)</f>
        <v>0</v>
      </c>
      <c r="AD370" s="54">
        <f>[1]!s_stmnote_bank_30(B370,$A370,1)</f>
        <v>0</v>
      </c>
    </row>
    <row r="371" spans="1:30" ht="24">
      <c r="A371" s="1" t="s">
        <v>1110</v>
      </c>
      <c r="B371" s="87" t="s">
        <v>1479</v>
      </c>
      <c r="C371" s="8">
        <f>IF([1]!b_info_issuer(B371)="0","",IFERROR([1]!b_info_issuer(B371),""))</f>
        <v>0</v>
      </c>
      <c r="D371" s="11">
        <f>IF([1]!b_info_latestissurercreditrating(B371)="0","",IFERROR([1]!b_info_latestissurercreditrating(B371),""))</f>
        <v>0</v>
      </c>
      <c r="E371" s="27" t="str">
        <f>IFERROR(([1]!b_stm07_bs($B371,47,$A371,1,100000000))/[1]!b_stm07_bs($B371,109,$A371,1,100000000),"")</f>
        <v/>
      </c>
      <c r="F371" s="18" t="str">
        <f>IFERROR(([1]!s_stmnote_bank_26($B371,$A371,1,100000000)-[1]!s_stmnote_bank_26($B371,#REF!,1,100000000)+#REF!)/[1]!s_stmnote_bank_1n($B371,#REF!,1,100000000),"")</f>
        <v/>
      </c>
      <c r="G371" s="21" t="str">
        <f t="shared" si="10"/>
        <v/>
      </c>
      <c r="H371" s="18" t="str">
        <f>IFERROR([1]!s_stmnote_bank($B371,"34",$A371,100000000)/[1]!s_stmnote_bank_1n(B371,$A371,1,100000000),"")</f>
        <v/>
      </c>
      <c r="I371" s="25">
        <f>[1]!b_stm07_bs(B371,74,$A371,1,100000000)</f>
        <v>0</v>
      </c>
      <c r="J371" s="25">
        <f>[1]!b_stm07_bs(B371,109,$A371,1,100000000)</f>
        <v>0</v>
      </c>
      <c r="K371" s="10">
        <f>[1]!s_stmnote_bank_5n(B371,$A371,1)</f>
        <v>0</v>
      </c>
      <c r="L371" s="25">
        <f>[1]!s_stmnote_bank_23n(B371,$A371,1)</f>
        <v>0</v>
      </c>
      <c r="M371" s="25">
        <f>[1]!s_stmnote_bank_capadequacyratio(B371,$A371,1)</f>
        <v>0</v>
      </c>
      <c r="N371" s="25">
        <f>[1]!s_stmnote_bank_capadequacyratio_ct1(B371,$A371,1)</f>
        <v>0</v>
      </c>
      <c r="O371" s="6">
        <f>IF(OR([1]!s_fa_roe(B371,20201231)="0",[1]!s_fa_roe(B371,20211231)="0",[1]!s_fa_roe(B371,20221231)="0"),"",IFERROR(([1]!s_fa_roe(B371,20221231)+[1]!s_fa_roe(B371,20201231)+[1]!s_fa_roe(B371,20211231))/3,""))</f>
        <v>0</v>
      </c>
      <c r="P371" s="28" t="str">
        <f>IFERROR(([1]!s_stmnote_bank_65(B371,$A371,1,2,4,100000000)+[1]!s_stmnote_bank_65(B371,$A371,1,2,6,100000000))/[1]!s_stmnote_bank_1n(B371,$A371,1,100000000),"")</f>
        <v/>
      </c>
      <c r="Q371" s="28" t="str">
        <f>IFERROR([1]!s_stmnote_bank_614(B371,$A371,1,2,100000000)/[1]!s_stmnote_bank_647(B371,$A371,1,2,100000000),"")</f>
        <v/>
      </c>
      <c r="R371" s="28" t="str">
        <f>IFERROR(([1]!b_stm07_bs(B371,104,$A371,1,100000000)+[1]!b_stm07_bs(B371,106,$A371,1,100000000)+[1]!b_stm07_bs(B371,76,$A371,1,100000000)+[1]!b_stm07_bs(B371,108,$A371,1,100000000)+[1]!b_stm07_bs(B371,95,$A371,1,100000000))/[1]!b_stm07_bs(B371,128,$A371,1,100000000),"")</f>
        <v/>
      </c>
      <c r="S371" s="28" t="str">
        <f>IFERROR(([1]!s_stmnote_bank_614(B371,$A371,1,2,100000000)+[1]!b_stm07_bs(B371,104,$A371,1,100000000)+[1]!b_stm07_bs(B371,106,$A371,1,100000000)+[1]!b_stm07_bs(B371,76,$A371,1,100000000)+[1]!b_stm07_bs(B371,108,$A371,1,100000000)+[1]!b_stm07_bs(B371,95,$A371,1,100000000))/[1]!b_stm07_bs(B371,128,$A371,1,100000000),"")</f>
        <v/>
      </c>
      <c r="T371" s="11">
        <f>[1]!b_issuer_shareholder(B371,"",1)</f>
        <v>0</v>
      </c>
      <c r="U371" s="10">
        <f>[1]!b_issuer_propofshareholder(B371,"",1)</f>
        <v>0</v>
      </c>
      <c r="V371" s="33" t="str">
        <f t="shared" si="11"/>
        <v>0</v>
      </c>
      <c r="W371" s="33">
        <f>[1]!s_info_city(B371)</f>
        <v>0</v>
      </c>
      <c r="X371" s="10">
        <f>IF([1]!s_stmnote_bank_17n(B371,$A371,1)="0","",[1]!s_stmnote_bank_17n(B371,$A371,1))</f>
        <v>0</v>
      </c>
      <c r="Y371" s="10">
        <f>IF([1]!s_stmnote_bank_18n(B371,$A371,1)="0","",[1]!s_stmnote_bank_18n(B371,$A371,1))</f>
        <v>0</v>
      </c>
      <c r="Z371" s="41">
        <f>IF([1]!s_stmnote_bank_58(B371,$A371,1)="0","",[1]!s_stmnote_bank_58(B371,$A371,1))</f>
        <v>0</v>
      </c>
      <c r="AA371" s="52">
        <f>IF([1]!s_stmnote_bank_60(B371,$A371,1)="0","",[1]!s_stmnote_bank_60(B371,$A371,1))</f>
        <v>0</v>
      </c>
      <c r="AB371" s="52">
        <f>[1]!s_stmnote_bank_5444(B371,$A371,1)</f>
        <v>0</v>
      </c>
      <c r="AC371" s="38">
        <f>[1]!s_stmnote_bank_129n($B371,$A371,1)</f>
        <v>0</v>
      </c>
      <c r="AD371" s="54">
        <f>[1]!s_stmnote_bank_30(B371,$A371,1)</f>
        <v>0</v>
      </c>
    </row>
    <row r="372" spans="1:30" ht="24">
      <c r="A372" s="1" t="s">
        <v>1110</v>
      </c>
      <c r="B372" s="87" t="s">
        <v>1480</v>
      </c>
      <c r="C372" s="8">
        <f>IF([1]!b_info_issuer(B372)="0","",IFERROR([1]!b_info_issuer(B372),""))</f>
        <v>0</v>
      </c>
      <c r="D372" s="11">
        <f>IF([1]!b_info_latestissurercreditrating(B372)="0","",IFERROR([1]!b_info_latestissurercreditrating(B372),""))</f>
        <v>0</v>
      </c>
      <c r="E372" s="27" t="str">
        <f>IFERROR(([1]!b_stm07_bs($B372,47,$A372,1,100000000))/[1]!b_stm07_bs($B372,109,$A372,1,100000000),"")</f>
        <v/>
      </c>
      <c r="F372" s="18" t="str">
        <f>IFERROR(([1]!s_stmnote_bank_26($B372,$A372,1,100000000)-[1]!s_stmnote_bank_26($B372,#REF!,1,100000000)+#REF!)/[1]!s_stmnote_bank_1n($B372,#REF!,1,100000000),"")</f>
        <v/>
      </c>
      <c r="G372" s="21" t="str">
        <f t="shared" si="10"/>
        <v/>
      </c>
      <c r="H372" s="18" t="str">
        <f>IFERROR([1]!s_stmnote_bank($B372,"34",$A372,100000000)/[1]!s_stmnote_bank_1n(B372,$A372,1,100000000),"")</f>
        <v/>
      </c>
      <c r="I372" s="25">
        <f>[1]!b_stm07_bs(B372,74,$A372,1,100000000)</f>
        <v>0</v>
      </c>
      <c r="J372" s="25">
        <f>[1]!b_stm07_bs(B372,109,$A372,1,100000000)</f>
        <v>0</v>
      </c>
      <c r="K372" s="10">
        <f>[1]!s_stmnote_bank_5n(B372,$A372,1)</f>
        <v>0</v>
      </c>
      <c r="L372" s="25">
        <f>[1]!s_stmnote_bank_23n(B372,$A372,1)</f>
        <v>0</v>
      </c>
      <c r="M372" s="25">
        <f>[1]!s_stmnote_bank_capadequacyratio(B372,$A372,1)</f>
        <v>0</v>
      </c>
      <c r="N372" s="25">
        <f>[1]!s_stmnote_bank_capadequacyratio_ct1(B372,$A372,1)</f>
        <v>0</v>
      </c>
      <c r="O372" s="6">
        <f>IF(OR([1]!s_fa_roe(B372,20201231)="0",[1]!s_fa_roe(B372,20211231)="0",[1]!s_fa_roe(B372,20221231)="0"),"",IFERROR(([1]!s_fa_roe(B372,20221231)+[1]!s_fa_roe(B372,20201231)+[1]!s_fa_roe(B372,20211231))/3,""))</f>
        <v>0</v>
      </c>
      <c r="P372" s="28" t="str">
        <f>IFERROR(([1]!s_stmnote_bank_65(B372,$A372,1,2,4,100000000)+[1]!s_stmnote_bank_65(B372,$A372,1,2,6,100000000))/[1]!s_stmnote_bank_1n(B372,$A372,1,100000000),"")</f>
        <v/>
      </c>
      <c r="Q372" s="28" t="str">
        <f>IFERROR([1]!s_stmnote_bank_614(B372,$A372,1,2,100000000)/[1]!s_stmnote_bank_647(B372,$A372,1,2,100000000),"")</f>
        <v/>
      </c>
      <c r="R372" s="28" t="str">
        <f>IFERROR(([1]!b_stm07_bs(B372,104,$A372,1,100000000)+[1]!b_stm07_bs(B372,106,$A372,1,100000000)+[1]!b_stm07_bs(B372,76,$A372,1,100000000)+[1]!b_stm07_bs(B372,108,$A372,1,100000000)+[1]!b_stm07_bs(B372,95,$A372,1,100000000))/[1]!b_stm07_bs(B372,128,$A372,1,100000000),"")</f>
        <v/>
      </c>
      <c r="S372" s="28" t="str">
        <f>IFERROR(([1]!s_stmnote_bank_614(B372,$A372,1,2,100000000)+[1]!b_stm07_bs(B372,104,$A372,1,100000000)+[1]!b_stm07_bs(B372,106,$A372,1,100000000)+[1]!b_stm07_bs(B372,76,$A372,1,100000000)+[1]!b_stm07_bs(B372,108,$A372,1,100000000)+[1]!b_stm07_bs(B372,95,$A372,1,100000000))/[1]!b_stm07_bs(B372,128,$A372,1,100000000),"")</f>
        <v/>
      </c>
      <c r="T372" s="11">
        <f>[1]!b_issuer_shareholder(B372,"",1)</f>
        <v>0</v>
      </c>
      <c r="U372" s="10">
        <f>[1]!b_issuer_propofshareholder(B372,"",1)</f>
        <v>0</v>
      </c>
      <c r="V372" s="33" t="str">
        <f t="shared" si="11"/>
        <v>0</v>
      </c>
      <c r="W372" s="33">
        <f>[1]!s_info_city(B372)</f>
        <v>0</v>
      </c>
      <c r="X372" s="10">
        <f>IF([1]!s_stmnote_bank_17n(B372,$A372,1)="0","",[1]!s_stmnote_bank_17n(B372,$A372,1))</f>
        <v>0</v>
      </c>
      <c r="Y372" s="10">
        <f>IF([1]!s_stmnote_bank_18n(B372,$A372,1)="0","",[1]!s_stmnote_bank_18n(B372,$A372,1))</f>
        <v>0</v>
      </c>
      <c r="Z372" s="41">
        <f>IF([1]!s_stmnote_bank_58(B372,$A372,1)="0","",[1]!s_stmnote_bank_58(B372,$A372,1))</f>
        <v>0</v>
      </c>
      <c r="AA372" s="52">
        <f>IF([1]!s_stmnote_bank_60(B372,$A372,1)="0","",[1]!s_stmnote_bank_60(B372,$A372,1))</f>
        <v>0</v>
      </c>
      <c r="AB372" s="52">
        <f>[1]!s_stmnote_bank_5444(B372,$A372,1)</f>
        <v>0</v>
      </c>
      <c r="AC372" s="38">
        <f>[1]!s_stmnote_bank_129n($B372,$A372,1)</f>
        <v>0</v>
      </c>
      <c r="AD372" s="54">
        <f>[1]!s_stmnote_bank_30(B372,$A372,1)</f>
        <v>0</v>
      </c>
    </row>
    <row r="373" spans="1:30" ht="24">
      <c r="A373" s="1" t="s">
        <v>1110</v>
      </c>
      <c r="B373" s="87" t="s">
        <v>1481</v>
      </c>
      <c r="C373" s="8">
        <f>IF([1]!b_info_issuer(B373)="0","",IFERROR([1]!b_info_issuer(B373),""))</f>
        <v>0</v>
      </c>
      <c r="D373" s="11">
        <f>IF([1]!b_info_latestissurercreditrating(B373)="0","",IFERROR([1]!b_info_latestissurercreditrating(B373),""))</f>
        <v>0</v>
      </c>
      <c r="E373" s="27" t="str">
        <f>IFERROR(([1]!b_stm07_bs($B373,47,$A373,1,100000000))/[1]!b_stm07_bs($B373,109,$A373,1,100000000),"")</f>
        <v/>
      </c>
      <c r="F373" s="18" t="str">
        <f>IFERROR(([1]!s_stmnote_bank_26($B373,$A373,1,100000000)-[1]!s_stmnote_bank_26($B373,#REF!,1,100000000)+#REF!)/[1]!s_stmnote_bank_1n($B373,#REF!,1,100000000),"")</f>
        <v/>
      </c>
      <c r="G373" s="21" t="str">
        <f t="shared" si="10"/>
        <v/>
      </c>
      <c r="H373" s="18" t="str">
        <f>IFERROR([1]!s_stmnote_bank($B373,"34",$A373,100000000)/[1]!s_stmnote_bank_1n(B373,$A373,1,100000000),"")</f>
        <v/>
      </c>
      <c r="I373" s="25">
        <f>[1]!b_stm07_bs(B373,74,$A373,1,100000000)</f>
        <v>0</v>
      </c>
      <c r="J373" s="25">
        <f>[1]!b_stm07_bs(B373,109,$A373,1,100000000)</f>
        <v>0</v>
      </c>
      <c r="K373" s="10">
        <f>[1]!s_stmnote_bank_5n(B373,$A373,1)</f>
        <v>0</v>
      </c>
      <c r="L373" s="25">
        <f>[1]!s_stmnote_bank_23n(B373,$A373,1)</f>
        <v>0</v>
      </c>
      <c r="M373" s="25">
        <f>[1]!s_stmnote_bank_capadequacyratio(B373,$A373,1)</f>
        <v>0</v>
      </c>
      <c r="N373" s="25">
        <f>[1]!s_stmnote_bank_capadequacyratio_ct1(B373,$A373,1)</f>
        <v>0</v>
      </c>
      <c r="O373" s="6">
        <f>IF(OR([1]!s_fa_roe(B373,20201231)="0",[1]!s_fa_roe(B373,20211231)="0",[1]!s_fa_roe(B373,20221231)="0"),"",IFERROR(([1]!s_fa_roe(B373,20221231)+[1]!s_fa_roe(B373,20201231)+[1]!s_fa_roe(B373,20211231))/3,""))</f>
        <v>0</v>
      </c>
      <c r="P373" s="28" t="str">
        <f>IFERROR(([1]!s_stmnote_bank_65(B373,$A373,1,2,4,100000000)+[1]!s_stmnote_bank_65(B373,$A373,1,2,6,100000000))/[1]!s_stmnote_bank_1n(B373,$A373,1,100000000),"")</f>
        <v/>
      </c>
      <c r="Q373" s="28" t="str">
        <f>IFERROR([1]!s_stmnote_bank_614(B373,$A373,1,2,100000000)/[1]!s_stmnote_bank_647(B373,$A373,1,2,100000000),"")</f>
        <v/>
      </c>
      <c r="R373" s="28" t="str">
        <f>IFERROR(([1]!b_stm07_bs(B373,104,$A373,1,100000000)+[1]!b_stm07_bs(B373,106,$A373,1,100000000)+[1]!b_stm07_bs(B373,76,$A373,1,100000000)+[1]!b_stm07_bs(B373,108,$A373,1,100000000)+[1]!b_stm07_bs(B373,95,$A373,1,100000000))/[1]!b_stm07_bs(B373,128,$A373,1,100000000),"")</f>
        <v/>
      </c>
      <c r="S373" s="28" t="str">
        <f>IFERROR(([1]!s_stmnote_bank_614(B373,$A373,1,2,100000000)+[1]!b_stm07_bs(B373,104,$A373,1,100000000)+[1]!b_stm07_bs(B373,106,$A373,1,100000000)+[1]!b_stm07_bs(B373,76,$A373,1,100000000)+[1]!b_stm07_bs(B373,108,$A373,1,100000000)+[1]!b_stm07_bs(B373,95,$A373,1,100000000))/[1]!b_stm07_bs(B373,128,$A373,1,100000000),"")</f>
        <v/>
      </c>
      <c r="T373" s="11">
        <f>[1]!b_issuer_shareholder(B373,"",1)</f>
        <v>0</v>
      </c>
      <c r="U373" s="10">
        <f>[1]!b_issuer_propofshareholder(B373,"",1)</f>
        <v>0</v>
      </c>
      <c r="V373" s="33" t="str">
        <f t="shared" si="11"/>
        <v>0</v>
      </c>
      <c r="W373" s="33">
        <f>[1]!s_info_city(B373)</f>
        <v>0</v>
      </c>
      <c r="X373" s="10">
        <f>IF([1]!s_stmnote_bank_17n(B373,$A373,1)="0","",[1]!s_stmnote_bank_17n(B373,$A373,1))</f>
        <v>0</v>
      </c>
      <c r="Y373" s="10">
        <f>IF([1]!s_stmnote_bank_18n(B373,$A373,1)="0","",[1]!s_stmnote_bank_18n(B373,$A373,1))</f>
        <v>0</v>
      </c>
      <c r="Z373" s="41">
        <f>IF([1]!s_stmnote_bank_58(B373,$A373,1)="0","",[1]!s_stmnote_bank_58(B373,$A373,1))</f>
        <v>0</v>
      </c>
      <c r="AA373" s="52">
        <f>IF([1]!s_stmnote_bank_60(B373,$A373,1)="0","",[1]!s_stmnote_bank_60(B373,$A373,1))</f>
        <v>0</v>
      </c>
      <c r="AB373" s="52">
        <f>[1]!s_stmnote_bank_5444(B373,$A373,1)</f>
        <v>0</v>
      </c>
      <c r="AC373" s="38">
        <f>[1]!s_stmnote_bank_129n($B373,$A373,1)</f>
        <v>0</v>
      </c>
      <c r="AD373" s="54">
        <f>[1]!s_stmnote_bank_30(B373,$A373,1)</f>
        <v>0</v>
      </c>
    </row>
    <row r="374" spans="1:30" ht="24">
      <c r="A374" s="1" t="s">
        <v>1110</v>
      </c>
      <c r="B374" s="87" t="s">
        <v>1482</v>
      </c>
      <c r="C374" s="8">
        <f>IF([1]!b_info_issuer(B374)="0","",IFERROR([1]!b_info_issuer(B374),""))</f>
        <v>0</v>
      </c>
      <c r="D374" s="11">
        <f>IF([1]!b_info_latestissurercreditrating(B374)="0","",IFERROR([1]!b_info_latestissurercreditrating(B374),""))</f>
        <v>0</v>
      </c>
      <c r="E374" s="27" t="str">
        <f>IFERROR(([1]!b_stm07_bs($B374,47,$A374,1,100000000))/[1]!b_stm07_bs($B374,109,$A374,1,100000000),"")</f>
        <v/>
      </c>
      <c r="F374" s="18" t="str">
        <f>IFERROR(([1]!s_stmnote_bank_26($B374,$A374,1,100000000)-[1]!s_stmnote_bank_26($B374,#REF!,1,100000000)+#REF!)/[1]!s_stmnote_bank_1n($B374,#REF!,1,100000000),"")</f>
        <v/>
      </c>
      <c r="G374" s="21" t="str">
        <f t="shared" si="10"/>
        <v/>
      </c>
      <c r="H374" s="18" t="str">
        <f>IFERROR([1]!s_stmnote_bank($B374,"34",$A374,100000000)/[1]!s_stmnote_bank_1n(B374,$A374,1,100000000),"")</f>
        <v/>
      </c>
      <c r="I374" s="25">
        <f>[1]!b_stm07_bs(B374,74,$A374,1,100000000)</f>
        <v>0</v>
      </c>
      <c r="J374" s="25">
        <f>[1]!b_stm07_bs(B374,109,$A374,1,100000000)</f>
        <v>0</v>
      </c>
      <c r="K374" s="10">
        <f>[1]!s_stmnote_bank_5n(B374,$A374,1)</f>
        <v>0</v>
      </c>
      <c r="L374" s="25">
        <f>[1]!s_stmnote_bank_23n(B374,$A374,1)</f>
        <v>0</v>
      </c>
      <c r="M374" s="25">
        <f>[1]!s_stmnote_bank_capadequacyratio(B374,$A374,1)</f>
        <v>0</v>
      </c>
      <c r="N374" s="25">
        <f>[1]!s_stmnote_bank_capadequacyratio_ct1(B374,$A374,1)</f>
        <v>0</v>
      </c>
      <c r="O374" s="6">
        <f>IF(OR([1]!s_fa_roe(B374,20201231)="0",[1]!s_fa_roe(B374,20211231)="0",[1]!s_fa_roe(B374,20221231)="0"),"",IFERROR(([1]!s_fa_roe(B374,20221231)+[1]!s_fa_roe(B374,20201231)+[1]!s_fa_roe(B374,20211231))/3,""))</f>
        <v>0</v>
      </c>
      <c r="P374" s="28" t="str">
        <f>IFERROR(([1]!s_stmnote_bank_65(B374,$A374,1,2,4,100000000)+[1]!s_stmnote_bank_65(B374,$A374,1,2,6,100000000))/[1]!s_stmnote_bank_1n(B374,$A374,1,100000000),"")</f>
        <v/>
      </c>
      <c r="Q374" s="28" t="str">
        <f>IFERROR([1]!s_stmnote_bank_614(B374,$A374,1,2,100000000)/[1]!s_stmnote_bank_647(B374,$A374,1,2,100000000),"")</f>
        <v/>
      </c>
      <c r="R374" s="28" t="str">
        <f>IFERROR(([1]!b_stm07_bs(B374,104,$A374,1,100000000)+[1]!b_stm07_bs(B374,106,$A374,1,100000000)+[1]!b_stm07_bs(B374,76,$A374,1,100000000)+[1]!b_stm07_bs(B374,108,$A374,1,100000000)+[1]!b_stm07_bs(B374,95,$A374,1,100000000))/[1]!b_stm07_bs(B374,128,$A374,1,100000000),"")</f>
        <v/>
      </c>
      <c r="S374" s="28" t="str">
        <f>IFERROR(([1]!s_stmnote_bank_614(B374,$A374,1,2,100000000)+[1]!b_stm07_bs(B374,104,$A374,1,100000000)+[1]!b_stm07_bs(B374,106,$A374,1,100000000)+[1]!b_stm07_bs(B374,76,$A374,1,100000000)+[1]!b_stm07_bs(B374,108,$A374,1,100000000)+[1]!b_stm07_bs(B374,95,$A374,1,100000000))/[1]!b_stm07_bs(B374,128,$A374,1,100000000),"")</f>
        <v/>
      </c>
      <c r="T374" s="11">
        <f>[1]!b_issuer_shareholder(B374,"",1)</f>
        <v>0</v>
      </c>
      <c r="U374" s="10">
        <f>[1]!b_issuer_propofshareholder(B374,"",1)</f>
        <v>0</v>
      </c>
      <c r="V374" s="33" t="str">
        <f t="shared" si="11"/>
        <v>0</v>
      </c>
      <c r="W374" s="33">
        <f>[1]!s_info_city(B374)</f>
        <v>0</v>
      </c>
      <c r="X374" s="10">
        <f>IF([1]!s_stmnote_bank_17n(B374,$A374,1)="0","",[1]!s_stmnote_bank_17n(B374,$A374,1))</f>
        <v>0</v>
      </c>
      <c r="Y374" s="10">
        <f>IF([1]!s_stmnote_bank_18n(B374,$A374,1)="0","",[1]!s_stmnote_bank_18n(B374,$A374,1))</f>
        <v>0</v>
      </c>
      <c r="Z374" s="41">
        <f>IF([1]!s_stmnote_bank_58(B374,$A374,1)="0","",[1]!s_stmnote_bank_58(B374,$A374,1))</f>
        <v>0</v>
      </c>
      <c r="AA374" s="52">
        <f>IF([1]!s_stmnote_bank_60(B374,$A374,1)="0","",[1]!s_stmnote_bank_60(B374,$A374,1))</f>
        <v>0</v>
      </c>
      <c r="AB374" s="52">
        <f>[1]!s_stmnote_bank_5444(B374,$A374,1)</f>
        <v>0</v>
      </c>
      <c r="AC374" s="38">
        <f>[1]!s_stmnote_bank_129n($B374,$A374,1)</f>
        <v>0</v>
      </c>
      <c r="AD374" s="54">
        <f>[1]!s_stmnote_bank_30(B374,$A374,1)</f>
        <v>0</v>
      </c>
    </row>
    <row r="375" spans="1:30" ht="24">
      <c r="A375" s="1" t="s">
        <v>1110</v>
      </c>
      <c r="B375" s="87" t="s">
        <v>1483</v>
      </c>
      <c r="C375" s="8">
        <f>IF([1]!b_info_issuer(B375)="0","",IFERROR([1]!b_info_issuer(B375),""))</f>
        <v>0</v>
      </c>
      <c r="D375" s="11">
        <f>IF([1]!b_info_latestissurercreditrating(B375)="0","",IFERROR([1]!b_info_latestissurercreditrating(B375),""))</f>
        <v>0</v>
      </c>
      <c r="E375" s="27" t="str">
        <f>IFERROR(([1]!b_stm07_bs($B375,47,$A375,1,100000000))/[1]!b_stm07_bs($B375,109,$A375,1,100000000),"")</f>
        <v/>
      </c>
      <c r="F375" s="18" t="str">
        <f>IFERROR(([1]!s_stmnote_bank_26($B375,$A375,1,100000000)-[1]!s_stmnote_bank_26($B375,#REF!,1,100000000)+#REF!)/[1]!s_stmnote_bank_1n($B375,#REF!,1,100000000),"")</f>
        <v/>
      </c>
      <c r="G375" s="21" t="str">
        <f t="shared" si="10"/>
        <v/>
      </c>
      <c r="H375" s="18" t="str">
        <f>IFERROR([1]!s_stmnote_bank($B375,"34",$A375,100000000)/[1]!s_stmnote_bank_1n(B375,$A375,1,100000000),"")</f>
        <v/>
      </c>
      <c r="I375" s="25">
        <f>[1]!b_stm07_bs(B375,74,$A375,1,100000000)</f>
        <v>0</v>
      </c>
      <c r="J375" s="25">
        <f>[1]!b_stm07_bs(B375,109,$A375,1,100000000)</f>
        <v>0</v>
      </c>
      <c r="K375" s="10">
        <f>[1]!s_stmnote_bank_5n(B375,$A375,1)</f>
        <v>0</v>
      </c>
      <c r="L375" s="25">
        <f>[1]!s_stmnote_bank_23n(B375,$A375,1)</f>
        <v>0</v>
      </c>
      <c r="M375" s="25">
        <f>[1]!s_stmnote_bank_capadequacyratio(B375,$A375,1)</f>
        <v>0</v>
      </c>
      <c r="N375" s="25">
        <f>[1]!s_stmnote_bank_capadequacyratio_ct1(B375,$A375,1)</f>
        <v>0</v>
      </c>
      <c r="O375" s="6">
        <f>IF(OR([1]!s_fa_roe(B375,20201231)="0",[1]!s_fa_roe(B375,20211231)="0",[1]!s_fa_roe(B375,20221231)="0"),"",IFERROR(([1]!s_fa_roe(B375,20221231)+[1]!s_fa_roe(B375,20201231)+[1]!s_fa_roe(B375,20211231))/3,""))</f>
        <v>0</v>
      </c>
      <c r="P375" s="28" t="str">
        <f>IFERROR(([1]!s_stmnote_bank_65(B375,$A375,1,2,4,100000000)+[1]!s_stmnote_bank_65(B375,$A375,1,2,6,100000000))/[1]!s_stmnote_bank_1n(B375,$A375,1,100000000),"")</f>
        <v/>
      </c>
      <c r="Q375" s="28" t="str">
        <f>IFERROR([1]!s_stmnote_bank_614(B375,$A375,1,2,100000000)/[1]!s_stmnote_bank_647(B375,$A375,1,2,100000000),"")</f>
        <v/>
      </c>
      <c r="R375" s="28" t="str">
        <f>IFERROR(([1]!b_stm07_bs(B375,104,$A375,1,100000000)+[1]!b_stm07_bs(B375,106,$A375,1,100000000)+[1]!b_stm07_bs(B375,76,$A375,1,100000000)+[1]!b_stm07_bs(B375,108,$A375,1,100000000)+[1]!b_stm07_bs(B375,95,$A375,1,100000000))/[1]!b_stm07_bs(B375,128,$A375,1,100000000),"")</f>
        <v/>
      </c>
      <c r="S375" s="28" t="str">
        <f>IFERROR(([1]!s_stmnote_bank_614(B375,$A375,1,2,100000000)+[1]!b_stm07_bs(B375,104,$A375,1,100000000)+[1]!b_stm07_bs(B375,106,$A375,1,100000000)+[1]!b_stm07_bs(B375,76,$A375,1,100000000)+[1]!b_stm07_bs(B375,108,$A375,1,100000000)+[1]!b_stm07_bs(B375,95,$A375,1,100000000))/[1]!b_stm07_bs(B375,128,$A375,1,100000000),"")</f>
        <v/>
      </c>
      <c r="T375" s="11">
        <f>[1]!b_issuer_shareholder(B375,"",1)</f>
        <v>0</v>
      </c>
      <c r="U375" s="10">
        <f>[1]!b_issuer_propofshareholder(B375,"",1)</f>
        <v>0</v>
      </c>
      <c r="V375" s="33" t="str">
        <f t="shared" si="11"/>
        <v>0</v>
      </c>
      <c r="W375" s="33">
        <f>[1]!s_info_city(B375)</f>
        <v>0</v>
      </c>
      <c r="X375" s="10">
        <f>IF([1]!s_stmnote_bank_17n(B375,$A375,1)="0","",[1]!s_stmnote_bank_17n(B375,$A375,1))</f>
        <v>0</v>
      </c>
      <c r="Y375" s="10">
        <f>IF([1]!s_stmnote_bank_18n(B375,$A375,1)="0","",[1]!s_stmnote_bank_18n(B375,$A375,1))</f>
        <v>0</v>
      </c>
      <c r="Z375" s="41">
        <f>IF([1]!s_stmnote_bank_58(B375,$A375,1)="0","",[1]!s_stmnote_bank_58(B375,$A375,1))</f>
        <v>0</v>
      </c>
      <c r="AA375" s="52">
        <f>IF([1]!s_stmnote_bank_60(B375,$A375,1)="0","",[1]!s_stmnote_bank_60(B375,$A375,1))</f>
        <v>0</v>
      </c>
      <c r="AB375" s="52">
        <f>[1]!s_stmnote_bank_5444(B375,$A375,1)</f>
        <v>0</v>
      </c>
      <c r="AC375" s="38">
        <f>[1]!s_stmnote_bank_129n($B375,$A375,1)</f>
        <v>0</v>
      </c>
      <c r="AD375" s="54">
        <f>[1]!s_stmnote_bank_30(B375,$A375,1)</f>
        <v>0</v>
      </c>
    </row>
    <row r="376" spans="1:30" ht="24">
      <c r="A376" s="1" t="s">
        <v>1110</v>
      </c>
      <c r="B376" s="87" t="s">
        <v>1484</v>
      </c>
      <c r="C376" s="8">
        <f>IF([1]!b_info_issuer(B376)="0","",IFERROR([1]!b_info_issuer(B376),""))</f>
        <v>0</v>
      </c>
      <c r="D376" s="11">
        <f>IF([1]!b_info_latestissurercreditrating(B376)="0","",IFERROR([1]!b_info_latestissurercreditrating(B376),""))</f>
        <v>0</v>
      </c>
      <c r="E376" s="27" t="str">
        <f>IFERROR(([1]!b_stm07_bs($B376,47,$A376,1,100000000))/[1]!b_stm07_bs($B376,109,$A376,1,100000000),"")</f>
        <v/>
      </c>
      <c r="F376" s="18" t="str">
        <f>IFERROR(([1]!s_stmnote_bank_26($B376,$A376,1,100000000)-[1]!s_stmnote_bank_26($B376,#REF!,1,100000000)+#REF!)/[1]!s_stmnote_bank_1n($B376,#REF!,1,100000000),"")</f>
        <v/>
      </c>
      <c r="G376" s="21" t="str">
        <f t="shared" si="10"/>
        <v/>
      </c>
      <c r="H376" s="18" t="str">
        <f>IFERROR([1]!s_stmnote_bank($B376,"34",$A376,100000000)/[1]!s_stmnote_bank_1n(B376,$A376,1,100000000),"")</f>
        <v/>
      </c>
      <c r="I376" s="25">
        <f>[1]!b_stm07_bs(B376,74,$A376,1,100000000)</f>
        <v>0</v>
      </c>
      <c r="J376" s="25">
        <f>[1]!b_stm07_bs(B376,109,$A376,1,100000000)</f>
        <v>0</v>
      </c>
      <c r="K376" s="10">
        <f>[1]!s_stmnote_bank_5n(B376,$A376,1)</f>
        <v>0</v>
      </c>
      <c r="L376" s="25">
        <f>[1]!s_stmnote_bank_23n(B376,$A376,1)</f>
        <v>0</v>
      </c>
      <c r="M376" s="25">
        <f>[1]!s_stmnote_bank_capadequacyratio(B376,$A376,1)</f>
        <v>0</v>
      </c>
      <c r="N376" s="25">
        <f>[1]!s_stmnote_bank_capadequacyratio_ct1(B376,$A376,1)</f>
        <v>0</v>
      </c>
      <c r="O376" s="6">
        <f>IF(OR([1]!s_fa_roe(B376,20201231)="0",[1]!s_fa_roe(B376,20211231)="0",[1]!s_fa_roe(B376,20221231)="0"),"",IFERROR(([1]!s_fa_roe(B376,20221231)+[1]!s_fa_roe(B376,20201231)+[1]!s_fa_roe(B376,20211231))/3,""))</f>
        <v>0</v>
      </c>
      <c r="P376" s="28" t="str">
        <f>IFERROR(([1]!s_stmnote_bank_65(B376,$A376,1,2,4,100000000)+[1]!s_stmnote_bank_65(B376,$A376,1,2,6,100000000))/[1]!s_stmnote_bank_1n(B376,$A376,1,100000000),"")</f>
        <v/>
      </c>
      <c r="Q376" s="28" t="str">
        <f>IFERROR([1]!s_stmnote_bank_614(B376,$A376,1,2,100000000)/[1]!s_stmnote_bank_647(B376,$A376,1,2,100000000),"")</f>
        <v/>
      </c>
      <c r="R376" s="28" t="str">
        <f>IFERROR(([1]!b_stm07_bs(B376,104,$A376,1,100000000)+[1]!b_stm07_bs(B376,106,$A376,1,100000000)+[1]!b_stm07_bs(B376,76,$A376,1,100000000)+[1]!b_stm07_bs(B376,108,$A376,1,100000000)+[1]!b_stm07_bs(B376,95,$A376,1,100000000))/[1]!b_stm07_bs(B376,128,$A376,1,100000000),"")</f>
        <v/>
      </c>
      <c r="S376" s="28" t="str">
        <f>IFERROR(([1]!s_stmnote_bank_614(B376,$A376,1,2,100000000)+[1]!b_stm07_bs(B376,104,$A376,1,100000000)+[1]!b_stm07_bs(B376,106,$A376,1,100000000)+[1]!b_stm07_bs(B376,76,$A376,1,100000000)+[1]!b_stm07_bs(B376,108,$A376,1,100000000)+[1]!b_stm07_bs(B376,95,$A376,1,100000000))/[1]!b_stm07_bs(B376,128,$A376,1,100000000),"")</f>
        <v/>
      </c>
      <c r="T376" s="11">
        <f>[1]!b_issuer_shareholder(B376,"",1)</f>
        <v>0</v>
      </c>
      <c r="U376" s="10">
        <f>[1]!b_issuer_propofshareholder(B376,"",1)</f>
        <v>0</v>
      </c>
      <c r="V376" s="33" t="str">
        <f t="shared" si="11"/>
        <v>0</v>
      </c>
      <c r="W376" s="33">
        <f>[1]!s_info_city(B376)</f>
        <v>0</v>
      </c>
      <c r="X376" s="10">
        <f>IF([1]!s_stmnote_bank_17n(B376,$A376,1)="0","",[1]!s_stmnote_bank_17n(B376,$A376,1))</f>
        <v>0</v>
      </c>
      <c r="Y376" s="10">
        <f>IF([1]!s_stmnote_bank_18n(B376,$A376,1)="0","",[1]!s_stmnote_bank_18n(B376,$A376,1))</f>
        <v>0</v>
      </c>
      <c r="Z376" s="41">
        <f>IF([1]!s_stmnote_bank_58(B376,$A376,1)="0","",[1]!s_stmnote_bank_58(B376,$A376,1))</f>
        <v>0</v>
      </c>
      <c r="AA376" s="52">
        <f>IF([1]!s_stmnote_bank_60(B376,$A376,1)="0","",[1]!s_stmnote_bank_60(B376,$A376,1))</f>
        <v>0</v>
      </c>
      <c r="AB376" s="52">
        <f>[1]!s_stmnote_bank_5444(B376,$A376,1)</f>
        <v>0</v>
      </c>
      <c r="AC376" s="38">
        <f>[1]!s_stmnote_bank_129n($B376,$A376,1)</f>
        <v>0</v>
      </c>
      <c r="AD376" s="54">
        <f>[1]!s_stmnote_bank_30(B376,$A376,1)</f>
        <v>0</v>
      </c>
    </row>
    <row r="377" spans="1:30" ht="24">
      <c r="A377" s="1" t="s">
        <v>1110</v>
      </c>
      <c r="B377" s="87" t="s">
        <v>1485</v>
      </c>
      <c r="C377" s="8">
        <f>IF([1]!b_info_issuer(B377)="0","",IFERROR([1]!b_info_issuer(B377),""))</f>
        <v>0</v>
      </c>
      <c r="D377" s="11">
        <f>IF([1]!b_info_latestissurercreditrating(B377)="0","",IFERROR([1]!b_info_latestissurercreditrating(B377),""))</f>
        <v>0</v>
      </c>
      <c r="E377" s="27" t="str">
        <f>IFERROR(([1]!b_stm07_bs($B377,47,$A377,1,100000000))/[1]!b_stm07_bs($B377,109,$A377,1,100000000),"")</f>
        <v/>
      </c>
      <c r="F377" s="18" t="str">
        <f>IFERROR(([1]!s_stmnote_bank_26($B377,$A377,1,100000000)-[1]!s_stmnote_bank_26($B377,#REF!,1,100000000)+#REF!)/[1]!s_stmnote_bank_1n($B377,#REF!,1,100000000),"")</f>
        <v/>
      </c>
      <c r="G377" s="21" t="str">
        <f t="shared" si="10"/>
        <v/>
      </c>
      <c r="H377" s="18" t="str">
        <f>IFERROR([1]!s_stmnote_bank($B377,"34",$A377,100000000)/[1]!s_stmnote_bank_1n(B377,$A377,1,100000000),"")</f>
        <v/>
      </c>
      <c r="I377" s="25">
        <f>[1]!b_stm07_bs(B377,74,$A377,1,100000000)</f>
        <v>0</v>
      </c>
      <c r="J377" s="25">
        <f>[1]!b_stm07_bs(B377,109,$A377,1,100000000)</f>
        <v>0</v>
      </c>
      <c r="K377" s="10">
        <f>[1]!s_stmnote_bank_5n(B377,$A377,1)</f>
        <v>0</v>
      </c>
      <c r="L377" s="25">
        <f>[1]!s_stmnote_bank_23n(B377,$A377,1)</f>
        <v>0</v>
      </c>
      <c r="M377" s="25">
        <f>[1]!s_stmnote_bank_capadequacyratio(B377,$A377,1)</f>
        <v>0</v>
      </c>
      <c r="N377" s="25">
        <f>[1]!s_stmnote_bank_capadequacyratio_ct1(B377,$A377,1)</f>
        <v>0</v>
      </c>
      <c r="O377" s="6">
        <f>IF(OR([1]!s_fa_roe(B377,20201231)="0",[1]!s_fa_roe(B377,20211231)="0",[1]!s_fa_roe(B377,20221231)="0"),"",IFERROR(([1]!s_fa_roe(B377,20221231)+[1]!s_fa_roe(B377,20201231)+[1]!s_fa_roe(B377,20211231))/3,""))</f>
        <v>0</v>
      </c>
      <c r="P377" s="28" t="str">
        <f>IFERROR(([1]!s_stmnote_bank_65(B377,$A377,1,2,4,100000000)+[1]!s_stmnote_bank_65(B377,$A377,1,2,6,100000000))/[1]!s_stmnote_bank_1n(B377,$A377,1,100000000),"")</f>
        <v/>
      </c>
      <c r="Q377" s="28" t="str">
        <f>IFERROR([1]!s_stmnote_bank_614(B377,$A377,1,2,100000000)/[1]!s_stmnote_bank_647(B377,$A377,1,2,100000000),"")</f>
        <v/>
      </c>
      <c r="R377" s="28" t="str">
        <f>IFERROR(([1]!b_stm07_bs(B377,104,$A377,1,100000000)+[1]!b_stm07_bs(B377,106,$A377,1,100000000)+[1]!b_stm07_bs(B377,76,$A377,1,100000000)+[1]!b_stm07_bs(B377,108,$A377,1,100000000)+[1]!b_stm07_bs(B377,95,$A377,1,100000000))/[1]!b_stm07_bs(B377,128,$A377,1,100000000),"")</f>
        <v/>
      </c>
      <c r="S377" s="28" t="str">
        <f>IFERROR(([1]!s_stmnote_bank_614(B377,$A377,1,2,100000000)+[1]!b_stm07_bs(B377,104,$A377,1,100000000)+[1]!b_stm07_bs(B377,106,$A377,1,100000000)+[1]!b_stm07_bs(B377,76,$A377,1,100000000)+[1]!b_stm07_bs(B377,108,$A377,1,100000000)+[1]!b_stm07_bs(B377,95,$A377,1,100000000))/[1]!b_stm07_bs(B377,128,$A377,1,100000000),"")</f>
        <v/>
      </c>
      <c r="T377" s="11">
        <f>[1]!b_issuer_shareholder(B377,"",1)</f>
        <v>0</v>
      </c>
      <c r="U377" s="10">
        <f>[1]!b_issuer_propofshareholder(B377,"",1)</f>
        <v>0</v>
      </c>
      <c r="V377" s="33" t="str">
        <f t="shared" si="11"/>
        <v>0</v>
      </c>
      <c r="W377" s="33">
        <f>[1]!s_info_city(B377)</f>
        <v>0</v>
      </c>
      <c r="X377" s="10">
        <f>IF([1]!s_stmnote_bank_17n(B377,$A377,1)="0","",[1]!s_stmnote_bank_17n(B377,$A377,1))</f>
        <v>0</v>
      </c>
      <c r="Y377" s="10">
        <f>IF([1]!s_stmnote_bank_18n(B377,$A377,1)="0","",[1]!s_stmnote_bank_18n(B377,$A377,1))</f>
        <v>0</v>
      </c>
      <c r="Z377" s="41">
        <f>IF([1]!s_stmnote_bank_58(B377,$A377,1)="0","",[1]!s_stmnote_bank_58(B377,$A377,1))</f>
        <v>0</v>
      </c>
      <c r="AA377" s="52">
        <f>IF([1]!s_stmnote_bank_60(B377,$A377,1)="0","",[1]!s_stmnote_bank_60(B377,$A377,1))</f>
        <v>0</v>
      </c>
      <c r="AB377" s="52">
        <f>[1]!s_stmnote_bank_5444(B377,$A377,1)</f>
        <v>0</v>
      </c>
      <c r="AC377" s="38">
        <f>[1]!s_stmnote_bank_129n($B377,$A377,1)</f>
        <v>0</v>
      </c>
      <c r="AD377" s="54">
        <f>[1]!s_stmnote_bank_30(B377,$A377,1)</f>
        <v>0</v>
      </c>
    </row>
    <row r="378" spans="1:30" ht="24">
      <c r="A378" s="1" t="s">
        <v>1110</v>
      </c>
      <c r="B378" s="87" t="s">
        <v>1486</v>
      </c>
      <c r="C378" s="8">
        <f>IF([1]!b_info_issuer(B378)="0","",IFERROR([1]!b_info_issuer(B378),""))</f>
        <v>0</v>
      </c>
      <c r="D378" s="11">
        <f>IF([1]!b_info_latestissurercreditrating(B378)="0","",IFERROR([1]!b_info_latestissurercreditrating(B378),""))</f>
        <v>0</v>
      </c>
      <c r="E378" s="27" t="str">
        <f>IFERROR(([1]!b_stm07_bs($B378,47,$A378,1,100000000))/[1]!b_stm07_bs($B378,109,$A378,1,100000000),"")</f>
        <v/>
      </c>
      <c r="F378" s="18" t="str">
        <f>IFERROR(([1]!s_stmnote_bank_26($B378,$A378,1,100000000)-[1]!s_stmnote_bank_26($B378,#REF!,1,100000000)+#REF!)/[1]!s_stmnote_bank_1n($B378,#REF!,1,100000000),"")</f>
        <v/>
      </c>
      <c r="G378" s="21" t="str">
        <f t="shared" si="10"/>
        <v/>
      </c>
      <c r="H378" s="18" t="str">
        <f>IFERROR([1]!s_stmnote_bank($B378,"34",$A378,100000000)/[1]!s_stmnote_bank_1n(B378,$A378,1,100000000),"")</f>
        <v/>
      </c>
      <c r="I378" s="25">
        <f>[1]!b_stm07_bs(B378,74,$A378,1,100000000)</f>
        <v>0</v>
      </c>
      <c r="J378" s="25">
        <f>[1]!b_stm07_bs(B378,109,$A378,1,100000000)</f>
        <v>0</v>
      </c>
      <c r="K378" s="10">
        <f>[1]!s_stmnote_bank_5n(B378,$A378,1)</f>
        <v>0</v>
      </c>
      <c r="L378" s="25">
        <f>[1]!s_stmnote_bank_23n(B378,$A378,1)</f>
        <v>0</v>
      </c>
      <c r="M378" s="25">
        <f>[1]!s_stmnote_bank_capadequacyratio(B378,$A378,1)</f>
        <v>0</v>
      </c>
      <c r="N378" s="25">
        <f>[1]!s_stmnote_bank_capadequacyratio_ct1(B378,$A378,1)</f>
        <v>0</v>
      </c>
      <c r="O378" s="6">
        <f>IF(OR([1]!s_fa_roe(B378,20201231)="0",[1]!s_fa_roe(B378,20211231)="0",[1]!s_fa_roe(B378,20221231)="0"),"",IFERROR(([1]!s_fa_roe(B378,20221231)+[1]!s_fa_roe(B378,20201231)+[1]!s_fa_roe(B378,20211231))/3,""))</f>
        <v>0</v>
      </c>
      <c r="P378" s="28" t="str">
        <f>IFERROR(([1]!s_stmnote_bank_65(B378,$A378,1,2,4,100000000)+[1]!s_stmnote_bank_65(B378,$A378,1,2,6,100000000))/[1]!s_stmnote_bank_1n(B378,$A378,1,100000000),"")</f>
        <v/>
      </c>
      <c r="Q378" s="28" t="str">
        <f>IFERROR([1]!s_stmnote_bank_614(B378,$A378,1,2,100000000)/[1]!s_stmnote_bank_647(B378,$A378,1,2,100000000),"")</f>
        <v/>
      </c>
      <c r="R378" s="28" t="str">
        <f>IFERROR(([1]!b_stm07_bs(B378,104,$A378,1,100000000)+[1]!b_stm07_bs(B378,106,$A378,1,100000000)+[1]!b_stm07_bs(B378,76,$A378,1,100000000)+[1]!b_stm07_bs(B378,108,$A378,1,100000000)+[1]!b_stm07_bs(B378,95,$A378,1,100000000))/[1]!b_stm07_bs(B378,128,$A378,1,100000000),"")</f>
        <v/>
      </c>
      <c r="S378" s="28" t="str">
        <f>IFERROR(([1]!s_stmnote_bank_614(B378,$A378,1,2,100000000)+[1]!b_stm07_bs(B378,104,$A378,1,100000000)+[1]!b_stm07_bs(B378,106,$A378,1,100000000)+[1]!b_stm07_bs(B378,76,$A378,1,100000000)+[1]!b_stm07_bs(B378,108,$A378,1,100000000)+[1]!b_stm07_bs(B378,95,$A378,1,100000000))/[1]!b_stm07_bs(B378,128,$A378,1,100000000),"")</f>
        <v/>
      </c>
      <c r="T378" s="11">
        <f>[1]!b_issuer_shareholder(B378,"",1)</f>
        <v>0</v>
      </c>
      <c r="U378" s="10">
        <f>[1]!b_issuer_propofshareholder(B378,"",1)</f>
        <v>0</v>
      </c>
      <c r="V378" s="33" t="str">
        <f t="shared" si="11"/>
        <v>0</v>
      </c>
      <c r="W378" s="33">
        <f>[1]!s_info_city(B378)</f>
        <v>0</v>
      </c>
      <c r="X378" s="10">
        <f>IF([1]!s_stmnote_bank_17n(B378,$A378,1)="0","",[1]!s_stmnote_bank_17n(B378,$A378,1))</f>
        <v>0</v>
      </c>
      <c r="Y378" s="10">
        <f>IF([1]!s_stmnote_bank_18n(B378,$A378,1)="0","",[1]!s_stmnote_bank_18n(B378,$A378,1))</f>
        <v>0</v>
      </c>
      <c r="Z378" s="41">
        <f>IF([1]!s_stmnote_bank_58(B378,$A378,1)="0","",[1]!s_stmnote_bank_58(B378,$A378,1))</f>
        <v>0</v>
      </c>
      <c r="AA378" s="52">
        <f>IF([1]!s_stmnote_bank_60(B378,$A378,1)="0","",[1]!s_stmnote_bank_60(B378,$A378,1))</f>
        <v>0</v>
      </c>
      <c r="AB378" s="52">
        <f>[1]!s_stmnote_bank_5444(B378,$A378,1)</f>
        <v>0</v>
      </c>
      <c r="AC378" s="38">
        <f>[1]!s_stmnote_bank_129n($B378,$A378,1)</f>
        <v>0</v>
      </c>
      <c r="AD378" s="54">
        <f>[1]!s_stmnote_bank_30(B378,$A378,1)</f>
        <v>0</v>
      </c>
    </row>
    <row r="379" spans="1:30" ht="24">
      <c r="A379" s="1" t="s">
        <v>1110</v>
      </c>
      <c r="B379" s="87" t="s">
        <v>1487</v>
      </c>
      <c r="C379" s="8">
        <f>IF([1]!b_info_issuer(B379)="0","",IFERROR([1]!b_info_issuer(B379),""))</f>
        <v>0</v>
      </c>
      <c r="D379" s="11">
        <f>IF([1]!b_info_latestissurercreditrating(B379)="0","",IFERROR([1]!b_info_latestissurercreditrating(B379),""))</f>
        <v>0</v>
      </c>
      <c r="E379" s="27" t="str">
        <f>IFERROR(([1]!b_stm07_bs($B379,47,$A379,1,100000000))/[1]!b_stm07_bs($B379,109,$A379,1,100000000),"")</f>
        <v/>
      </c>
      <c r="F379" s="18" t="str">
        <f>IFERROR(([1]!s_stmnote_bank_26($B379,$A379,1,100000000)-[1]!s_stmnote_bank_26($B379,#REF!,1,100000000)+#REF!)/[1]!s_stmnote_bank_1n($B379,#REF!,1,100000000),"")</f>
        <v/>
      </c>
      <c r="G379" s="21" t="str">
        <f t="shared" si="10"/>
        <v/>
      </c>
      <c r="H379" s="18" t="str">
        <f>IFERROR([1]!s_stmnote_bank($B379,"34",$A379,100000000)/[1]!s_stmnote_bank_1n(B379,$A379,1,100000000),"")</f>
        <v/>
      </c>
      <c r="I379" s="25">
        <f>[1]!b_stm07_bs(B379,74,$A379,1,100000000)</f>
        <v>0</v>
      </c>
      <c r="J379" s="25">
        <f>[1]!b_stm07_bs(B379,109,$A379,1,100000000)</f>
        <v>0</v>
      </c>
      <c r="K379" s="10">
        <f>[1]!s_stmnote_bank_5n(B379,$A379,1)</f>
        <v>0</v>
      </c>
      <c r="L379" s="25">
        <f>[1]!s_stmnote_bank_23n(B379,$A379,1)</f>
        <v>0</v>
      </c>
      <c r="M379" s="25">
        <f>[1]!s_stmnote_bank_capadequacyratio(B379,$A379,1)</f>
        <v>0</v>
      </c>
      <c r="N379" s="25">
        <f>[1]!s_stmnote_bank_capadequacyratio_ct1(B379,$A379,1)</f>
        <v>0</v>
      </c>
      <c r="O379" s="6">
        <f>IF(OR([1]!s_fa_roe(B379,20201231)="0",[1]!s_fa_roe(B379,20211231)="0",[1]!s_fa_roe(B379,20221231)="0"),"",IFERROR(([1]!s_fa_roe(B379,20221231)+[1]!s_fa_roe(B379,20201231)+[1]!s_fa_roe(B379,20211231))/3,""))</f>
        <v>0</v>
      </c>
      <c r="P379" s="28" t="str">
        <f>IFERROR(([1]!s_stmnote_bank_65(B379,$A379,1,2,4,100000000)+[1]!s_stmnote_bank_65(B379,$A379,1,2,6,100000000))/[1]!s_stmnote_bank_1n(B379,$A379,1,100000000),"")</f>
        <v/>
      </c>
      <c r="Q379" s="28" t="str">
        <f>IFERROR([1]!s_stmnote_bank_614(B379,$A379,1,2,100000000)/[1]!s_stmnote_bank_647(B379,$A379,1,2,100000000),"")</f>
        <v/>
      </c>
      <c r="R379" s="28" t="str">
        <f>IFERROR(([1]!b_stm07_bs(B379,104,$A379,1,100000000)+[1]!b_stm07_bs(B379,106,$A379,1,100000000)+[1]!b_stm07_bs(B379,76,$A379,1,100000000)+[1]!b_stm07_bs(B379,108,$A379,1,100000000)+[1]!b_stm07_bs(B379,95,$A379,1,100000000))/[1]!b_stm07_bs(B379,128,$A379,1,100000000),"")</f>
        <v/>
      </c>
      <c r="S379" s="28" t="str">
        <f>IFERROR(([1]!s_stmnote_bank_614(B379,$A379,1,2,100000000)+[1]!b_stm07_bs(B379,104,$A379,1,100000000)+[1]!b_stm07_bs(B379,106,$A379,1,100000000)+[1]!b_stm07_bs(B379,76,$A379,1,100000000)+[1]!b_stm07_bs(B379,108,$A379,1,100000000)+[1]!b_stm07_bs(B379,95,$A379,1,100000000))/[1]!b_stm07_bs(B379,128,$A379,1,100000000),"")</f>
        <v/>
      </c>
      <c r="T379" s="11">
        <f>[1]!b_issuer_shareholder(B379,"",1)</f>
        <v>0</v>
      </c>
      <c r="U379" s="10">
        <f>[1]!b_issuer_propofshareholder(B379,"",1)</f>
        <v>0</v>
      </c>
      <c r="V379" s="33" t="str">
        <f t="shared" si="11"/>
        <v>0</v>
      </c>
      <c r="W379" s="33">
        <f>[1]!s_info_city(B379)</f>
        <v>0</v>
      </c>
      <c r="X379" s="10">
        <f>IF([1]!s_stmnote_bank_17n(B379,$A379,1)="0","",[1]!s_stmnote_bank_17n(B379,$A379,1))</f>
        <v>0</v>
      </c>
      <c r="Y379" s="10">
        <f>IF([1]!s_stmnote_bank_18n(B379,$A379,1)="0","",[1]!s_stmnote_bank_18n(B379,$A379,1))</f>
        <v>0</v>
      </c>
      <c r="Z379" s="41">
        <f>IF([1]!s_stmnote_bank_58(B379,$A379,1)="0","",[1]!s_stmnote_bank_58(B379,$A379,1))</f>
        <v>0</v>
      </c>
      <c r="AA379" s="52">
        <f>IF([1]!s_stmnote_bank_60(B379,$A379,1)="0","",[1]!s_stmnote_bank_60(B379,$A379,1))</f>
        <v>0</v>
      </c>
      <c r="AB379" s="52">
        <f>[1]!s_stmnote_bank_5444(B379,$A379,1)</f>
        <v>0</v>
      </c>
      <c r="AC379" s="38">
        <f>[1]!s_stmnote_bank_129n($B379,$A379,1)</f>
        <v>0</v>
      </c>
      <c r="AD379" s="54">
        <f>[1]!s_stmnote_bank_30(B379,$A379,1)</f>
        <v>0</v>
      </c>
    </row>
    <row r="380" spans="1:30" ht="24">
      <c r="A380" s="1" t="s">
        <v>1110</v>
      </c>
      <c r="B380" s="87" t="s">
        <v>1488</v>
      </c>
      <c r="C380" s="8">
        <f>IF([1]!b_info_issuer(B380)="0","",IFERROR([1]!b_info_issuer(B380),""))</f>
        <v>0</v>
      </c>
      <c r="D380" s="11">
        <f>IF([1]!b_info_latestissurercreditrating(B380)="0","",IFERROR([1]!b_info_latestissurercreditrating(B380),""))</f>
        <v>0</v>
      </c>
      <c r="E380" s="27" t="str">
        <f>IFERROR(([1]!b_stm07_bs($B380,47,$A380,1,100000000))/[1]!b_stm07_bs($B380,109,$A380,1,100000000),"")</f>
        <v/>
      </c>
      <c r="F380" s="18" t="str">
        <f>IFERROR(([1]!s_stmnote_bank_26($B380,$A380,1,100000000)-[1]!s_stmnote_bank_26($B380,#REF!,1,100000000)+#REF!)/[1]!s_stmnote_bank_1n($B380,#REF!,1,100000000),"")</f>
        <v/>
      </c>
      <c r="G380" s="21" t="str">
        <f t="shared" si="10"/>
        <v/>
      </c>
      <c r="H380" s="18" t="str">
        <f>IFERROR([1]!s_stmnote_bank($B380,"34",$A380,100000000)/[1]!s_stmnote_bank_1n(B380,$A380,1,100000000),"")</f>
        <v/>
      </c>
      <c r="I380" s="25">
        <f>[1]!b_stm07_bs(B380,74,$A380,1,100000000)</f>
        <v>0</v>
      </c>
      <c r="J380" s="25">
        <f>[1]!b_stm07_bs(B380,109,$A380,1,100000000)</f>
        <v>0</v>
      </c>
      <c r="K380" s="10">
        <f>[1]!s_stmnote_bank_5n(B380,$A380,1)</f>
        <v>0</v>
      </c>
      <c r="L380" s="25">
        <f>[1]!s_stmnote_bank_23n(B380,$A380,1)</f>
        <v>0</v>
      </c>
      <c r="M380" s="25">
        <f>[1]!s_stmnote_bank_capadequacyratio(B380,$A380,1)</f>
        <v>0</v>
      </c>
      <c r="N380" s="25">
        <f>[1]!s_stmnote_bank_capadequacyratio_ct1(B380,$A380,1)</f>
        <v>0</v>
      </c>
      <c r="O380" s="6">
        <f>IF(OR([1]!s_fa_roe(B380,20201231)="0",[1]!s_fa_roe(B380,20211231)="0",[1]!s_fa_roe(B380,20221231)="0"),"",IFERROR(([1]!s_fa_roe(B380,20221231)+[1]!s_fa_roe(B380,20201231)+[1]!s_fa_roe(B380,20211231))/3,""))</f>
        <v>0</v>
      </c>
      <c r="P380" s="28" t="str">
        <f>IFERROR(([1]!s_stmnote_bank_65(B380,$A380,1,2,4,100000000)+[1]!s_stmnote_bank_65(B380,$A380,1,2,6,100000000))/[1]!s_stmnote_bank_1n(B380,$A380,1,100000000),"")</f>
        <v/>
      </c>
      <c r="Q380" s="28" t="str">
        <f>IFERROR([1]!s_stmnote_bank_614(B380,$A380,1,2,100000000)/[1]!s_stmnote_bank_647(B380,$A380,1,2,100000000),"")</f>
        <v/>
      </c>
      <c r="R380" s="28" t="str">
        <f>IFERROR(([1]!b_stm07_bs(B380,104,$A380,1,100000000)+[1]!b_stm07_bs(B380,106,$A380,1,100000000)+[1]!b_stm07_bs(B380,76,$A380,1,100000000)+[1]!b_stm07_bs(B380,108,$A380,1,100000000)+[1]!b_stm07_bs(B380,95,$A380,1,100000000))/[1]!b_stm07_bs(B380,128,$A380,1,100000000),"")</f>
        <v/>
      </c>
      <c r="S380" s="28" t="str">
        <f>IFERROR(([1]!s_stmnote_bank_614(B380,$A380,1,2,100000000)+[1]!b_stm07_bs(B380,104,$A380,1,100000000)+[1]!b_stm07_bs(B380,106,$A380,1,100000000)+[1]!b_stm07_bs(B380,76,$A380,1,100000000)+[1]!b_stm07_bs(B380,108,$A380,1,100000000)+[1]!b_stm07_bs(B380,95,$A380,1,100000000))/[1]!b_stm07_bs(B380,128,$A380,1,100000000),"")</f>
        <v/>
      </c>
      <c r="T380" s="11">
        <f>[1]!b_issuer_shareholder(B380,"",1)</f>
        <v>0</v>
      </c>
      <c r="U380" s="10">
        <f>[1]!b_issuer_propofshareholder(B380,"",1)</f>
        <v>0</v>
      </c>
      <c r="V380" s="33" t="str">
        <f t="shared" si="11"/>
        <v>0</v>
      </c>
      <c r="W380" s="33">
        <f>[1]!s_info_city(B380)</f>
        <v>0</v>
      </c>
      <c r="X380" s="10">
        <f>IF([1]!s_stmnote_bank_17n(B380,$A380,1)="0","",[1]!s_stmnote_bank_17n(B380,$A380,1))</f>
        <v>0</v>
      </c>
      <c r="Y380" s="10">
        <f>IF([1]!s_stmnote_bank_18n(B380,$A380,1)="0","",[1]!s_stmnote_bank_18n(B380,$A380,1))</f>
        <v>0</v>
      </c>
      <c r="Z380" s="41">
        <f>IF([1]!s_stmnote_bank_58(B380,$A380,1)="0","",[1]!s_stmnote_bank_58(B380,$A380,1))</f>
        <v>0</v>
      </c>
      <c r="AA380" s="52">
        <f>IF([1]!s_stmnote_bank_60(B380,$A380,1)="0","",[1]!s_stmnote_bank_60(B380,$A380,1))</f>
        <v>0</v>
      </c>
      <c r="AB380" s="52">
        <f>[1]!s_stmnote_bank_5444(B380,$A380,1)</f>
        <v>0</v>
      </c>
      <c r="AC380" s="38">
        <f>[1]!s_stmnote_bank_129n($B380,$A380,1)</f>
        <v>0</v>
      </c>
      <c r="AD380" s="54">
        <f>[1]!s_stmnote_bank_30(B380,$A380,1)</f>
        <v>0</v>
      </c>
    </row>
    <row r="381" spans="1:30" ht="24">
      <c r="A381" s="1" t="s">
        <v>1110</v>
      </c>
      <c r="B381" s="87" t="s">
        <v>1489</v>
      </c>
      <c r="C381" s="8">
        <f>IF([1]!b_info_issuer(B381)="0","",IFERROR([1]!b_info_issuer(B381),""))</f>
        <v>0</v>
      </c>
      <c r="D381" s="11">
        <f>IF([1]!b_info_latestissurercreditrating(B381)="0","",IFERROR([1]!b_info_latestissurercreditrating(B381),""))</f>
        <v>0</v>
      </c>
      <c r="E381" s="27" t="str">
        <f>IFERROR(([1]!b_stm07_bs($B381,47,$A381,1,100000000))/[1]!b_stm07_bs($B381,109,$A381,1,100000000),"")</f>
        <v/>
      </c>
      <c r="F381" s="18" t="str">
        <f>IFERROR(([1]!s_stmnote_bank_26($B381,$A381,1,100000000)-[1]!s_stmnote_bank_26($B381,#REF!,1,100000000)+#REF!)/[1]!s_stmnote_bank_1n($B381,#REF!,1,100000000),"")</f>
        <v/>
      </c>
      <c r="G381" s="21" t="str">
        <f t="shared" si="10"/>
        <v/>
      </c>
      <c r="H381" s="18" t="str">
        <f>IFERROR([1]!s_stmnote_bank($B381,"34",$A381,100000000)/[1]!s_stmnote_bank_1n(B381,$A381,1,100000000),"")</f>
        <v/>
      </c>
      <c r="I381" s="25">
        <f>[1]!b_stm07_bs(B381,74,$A381,1,100000000)</f>
        <v>0</v>
      </c>
      <c r="J381" s="25">
        <f>[1]!b_stm07_bs(B381,109,$A381,1,100000000)</f>
        <v>0</v>
      </c>
      <c r="K381" s="10">
        <f>[1]!s_stmnote_bank_5n(B381,$A381,1)</f>
        <v>0</v>
      </c>
      <c r="L381" s="25">
        <f>[1]!s_stmnote_bank_23n(B381,$A381,1)</f>
        <v>0</v>
      </c>
      <c r="M381" s="25">
        <f>[1]!s_stmnote_bank_capadequacyratio(B381,$A381,1)</f>
        <v>0</v>
      </c>
      <c r="N381" s="25">
        <f>[1]!s_stmnote_bank_capadequacyratio_ct1(B381,$A381,1)</f>
        <v>0</v>
      </c>
      <c r="O381" s="6">
        <f>IF(OR([1]!s_fa_roe(B381,20201231)="0",[1]!s_fa_roe(B381,20211231)="0",[1]!s_fa_roe(B381,20221231)="0"),"",IFERROR(([1]!s_fa_roe(B381,20221231)+[1]!s_fa_roe(B381,20201231)+[1]!s_fa_roe(B381,20211231))/3,""))</f>
        <v>0</v>
      </c>
      <c r="P381" s="28" t="str">
        <f>IFERROR(([1]!s_stmnote_bank_65(B381,$A381,1,2,4,100000000)+[1]!s_stmnote_bank_65(B381,$A381,1,2,6,100000000))/[1]!s_stmnote_bank_1n(B381,$A381,1,100000000),"")</f>
        <v/>
      </c>
      <c r="Q381" s="28" t="str">
        <f>IFERROR([1]!s_stmnote_bank_614(B381,$A381,1,2,100000000)/[1]!s_stmnote_bank_647(B381,$A381,1,2,100000000),"")</f>
        <v/>
      </c>
      <c r="R381" s="28" t="str">
        <f>IFERROR(([1]!b_stm07_bs(B381,104,$A381,1,100000000)+[1]!b_stm07_bs(B381,106,$A381,1,100000000)+[1]!b_stm07_bs(B381,76,$A381,1,100000000)+[1]!b_stm07_bs(B381,108,$A381,1,100000000)+[1]!b_stm07_bs(B381,95,$A381,1,100000000))/[1]!b_stm07_bs(B381,128,$A381,1,100000000),"")</f>
        <v/>
      </c>
      <c r="S381" s="28" t="str">
        <f>IFERROR(([1]!s_stmnote_bank_614(B381,$A381,1,2,100000000)+[1]!b_stm07_bs(B381,104,$A381,1,100000000)+[1]!b_stm07_bs(B381,106,$A381,1,100000000)+[1]!b_stm07_bs(B381,76,$A381,1,100000000)+[1]!b_stm07_bs(B381,108,$A381,1,100000000)+[1]!b_stm07_bs(B381,95,$A381,1,100000000))/[1]!b_stm07_bs(B381,128,$A381,1,100000000),"")</f>
        <v/>
      </c>
      <c r="T381" s="11">
        <f>[1]!b_issuer_shareholder(B381,"",1)</f>
        <v>0</v>
      </c>
      <c r="U381" s="10">
        <f>[1]!b_issuer_propofshareholder(B381,"",1)</f>
        <v>0</v>
      </c>
      <c r="V381" s="33" t="str">
        <f t="shared" si="11"/>
        <v>0</v>
      </c>
      <c r="W381" s="33">
        <f>[1]!s_info_city(B381)</f>
        <v>0</v>
      </c>
      <c r="X381" s="10">
        <f>IF([1]!s_stmnote_bank_17n(B381,$A381,1)="0","",[1]!s_stmnote_bank_17n(B381,$A381,1))</f>
        <v>0</v>
      </c>
      <c r="Y381" s="10">
        <f>IF([1]!s_stmnote_bank_18n(B381,$A381,1)="0","",[1]!s_stmnote_bank_18n(B381,$A381,1))</f>
        <v>0</v>
      </c>
      <c r="Z381" s="41">
        <f>IF([1]!s_stmnote_bank_58(B381,$A381,1)="0","",[1]!s_stmnote_bank_58(B381,$A381,1))</f>
        <v>0</v>
      </c>
      <c r="AA381" s="52">
        <f>IF([1]!s_stmnote_bank_60(B381,$A381,1)="0","",[1]!s_stmnote_bank_60(B381,$A381,1))</f>
        <v>0</v>
      </c>
      <c r="AB381" s="52">
        <f>[1]!s_stmnote_bank_5444(B381,$A381,1)</f>
        <v>0</v>
      </c>
      <c r="AC381" s="38">
        <f>[1]!s_stmnote_bank_129n($B381,$A381,1)</f>
        <v>0</v>
      </c>
      <c r="AD381" s="54">
        <f>[1]!s_stmnote_bank_30(B381,$A381,1)</f>
        <v>0</v>
      </c>
    </row>
    <row r="382" spans="1:30" ht="24">
      <c r="A382" s="1" t="s">
        <v>1110</v>
      </c>
      <c r="B382" s="87" t="s">
        <v>1490</v>
      </c>
      <c r="C382" s="8">
        <f>IF([1]!b_info_issuer(B382)="0","",IFERROR([1]!b_info_issuer(B382),""))</f>
        <v>0</v>
      </c>
      <c r="D382" s="11">
        <f>IF([1]!b_info_latestissurercreditrating(B382)="0","",IFERROR([1]!b_info_latestissurercreditrating(B382),""))</f>
        <v>0</v>
      </c>
      <c r="E382" s="27" t="str">
        <f>IFERROR(([1]!b_stm07_bs($B382,47,$A382,1,100000000))/[1]!b_stm07_bs($B382,109,$A382,1,100000000),"")</f>
        <v/>
      </c>
      <c r="F382" s="18" t="str">
        <f>IFERROR(([1]!s_stmnote_bank_26($B382,$A382,1,100000000)-[1]!s_stmnote_bank_26($B382,#REF!,1,100000000)+#REF!)/[1]!s_stmnote_bank_1n($B382,#REF!,1,100000000),"")</f>
        <v/>
      </c>
      <c r="G382" s="21" t="str">
        <f t="shared" si="10"/>
        <v/>
      </c>
      <c r="H382" s="18" t="str">
        <f>IFERROR([1]!s_stmnote_bank($B382,"34",$A382,100000000)/[1]!s_stmnote_bank_1n(B382,$A382,1,100000000),"")</f>
        <v/>
      </c>
      <c r="I382" s="25">
        <f>[1]!b_stm07_bs(B382,74,$A382,1,100000000)</f>
        <v>0</v>
      </c>
      <c r="J382" s="25">
        <f>[1]!b_stm07_bs(B382,109,$A382,1,100000000)</f>
        <v>0</v>
      </c>
      <c r="K382" s="10">
        <f>[1]!s_stmnote_bank_5n(B382,$A382,1)</f>
        <v>0</v>
      </c>
      <c r="L382" s="25">
        <f>[1]!s_stmnote_bank_23n(B382,$A382,1)</f>
        <v>0</v>
      </c>
      <c r="M382" s="25">
        <f>[1]!s_stmnote_bank_capadequacyratio(B382,$A382,1)</f>
        <v>0</v>
      </c>
      <c r="N382" s="25">
        <f>[1]!s_stmnote_bank_capadequacyratio_ct1(B382,$A382,1)</f>
        <v>0</v>
      </c>
      <c r="O382" s="6">
        <f>IF(OR([1]!s_fa_roe(B382,20201231)="0",[1]!s_fa_roe(B382,20211231)="0",[1]!s_fa_roe(B382,20221231)="0"),"",IFERROR(([1]!s_fa_roe(B382,20221231)+[1]!s_fa_roe(B382,20201231)+[1]!s_fa_roe(B382,20211231))/3,""))</f>
        <v>0</v>
      </c>
      <c r="P382" s="28" t="str">
        <f>IFERROR(([1]!s_stmnote_bank_65(B382,$A382,1,2,4,100000000)+[1]!s_stmnote_bank_65(B382,$A382,1,2,6,100000000))/[1]!s_stmnote_bank_1n(B382,$A382,1,100000000),"")</f>
        <v/>
      </c>
      <c r="Q382" s="28" t="str">
        <f>IFERROR([1]!s_stmnote_bank_614(B382,$A382,1,2,100000000)/[1]!s_stmnote_bank_647(B382,$A382,1,2,100000000),"")</f>
        <v/>
      </c>
      <c r="R382" s="28" t="str">
        <f>IFERROR(([1]!b_stm07_bs(B382,104,$A382,1,100000000)+[1]!b_stm07_bs(B382,106,$A382,1,100000000)+[1]!b_stm07_bs(B382,76,$A382,1,100000000)+[1]!b_stm07_bs(B382,108,$A382,1,100000000)+[1]!b_stm07_bs(B382,95,$A382,1,100000000))/[1]!b_stm07_bs(B382,128,$A382,1,100000000),"")</f>
        <v/>
      </c>
      <c r="S382" s="28" t="str">
        <f>IFERROR(([1]!s_stmnote_bank_614(B382,$A382,1,2,100000000)+[1]!b_stm07_bs(B382,104,$A382,1,100000000)+[1]!b_stm07_bs(B382,106,$A382,1,100000000)+[1]!b_stm07_bs(B382,76,$A382,1,100000000)+[1]!b_stm07_bs(B382,108,$A382,1,100000000)+[1]!b_stm07_bs(B382,95,$A382,1,100000000))/[1]!b_stm07_bs(B382,128,$A382,1,100000000),"")</f>
        <v/>
      </c>
      <c r="T382" s="11">
        <f>[1]!b_issuer_shareholder(B382,"",1)</f>
        <v>0</v>
      </c>
      <c r="U382" s="10">
        <f>[1]!b_issuer_propofshareholder(B382,"",1)</f>
        <v>0</v>
      </c>
      <c r="V382" s="33" t="str">
        <f t="shared" si="11"/>
        <v>0</v>
      </c>
      <c r="W382" s="33">
        <f>[1]!s_info_city(B382)</f>
        <v>0</v>
      </c>
      <c r="X382" s="10">
        <f>IF([1]!s_stmnote_bank_17n(B382,$A382,1)="0","",[1]!s_stmnote_bank_17n(B382,$A382,1))</f>
        <v>0</v>
      </c>
      <c r="Y382" s="10">
        <f>IF([1]!s_stmnote_bank_18n(B382,$A382,1)="0","",[1]!s_stmnote_bank_18n(B382,$A382,1))</f>
        <v>0</v>
      </c>
      <c r="Z382" s="41">
        <f>IF([1]!s_stmnote_bank_58(B382,$A382,1)="0","",[1]!s_stmnote_bank_58(B382,$A382,1))</f>
        <v>0</v>
      </c>
      <c r="AA382" s="52">
        <f>IF([1]!s_stmnote_bank_60(B382,$A382,1)="0","",[1]!s_stmnote_bank_60(B382,$A382,1))</f>
        <v>0</v>
      </c>
      <c r="AB382" s="52">
        <f>[1]!s_stmnote_bank_5444(B382,$A382,1)</f>
        <v>0</v>
      </c>
      <c r="AC382" s="38">
        <f>[1]!s_stmnote_bank_129n($B382,$A382,1)</f>
        <v>0</v>
      </c>
      <c r="AD382" s="54">
        <f>[1]!s_stmnote_bank_30(B382,$A382,1)</f>
        <v>0</v>
      </c>
    </row>
    <row r="383" spans="1:30" ht="24">
      <c r="A383" s="1" t="s">
        <v>1110</v>
      </c>
      <c r="B383" s="87" t="s">
        <v>1491</v>
      </c>
      <c r="C383" s="8">
        <f>IF([1]!b_info_issuer(B383)="0","",IFERROR([1]!b_info_issuer(B383),""))</f>
        <v>0</v>
      </c>
      <c r="D383" s="11">
        <f>IF([1]!b_info_latestissurercreditrating(B383)="0","",IFERROR([1]!b_info_latestissurercreditrating(B383),""))</f>
        <v>0</v>
      </c>
      <c r="E383" s="27" t="str">
        <f>IFERROR(([1]!b_stm07_bs($B383,47,$A383,1,100000000))/[1]!b_stm07_bs($B383,109,$A383,1,100000000),"")</f>
        <v/>
      </c>
      <c r="F383" s="18" t="str">
        <f>IFERROR(([1]!s_stmnote_bank_26($B383,$A383,1,100000000)-[1]!s_stmnote_bank_26($B383,#REF!,1,100000000)+#REF!)/[1]!s_stmnote_bank_1n($B383,#REF!,1,100000000),"")</f>
        <v/>
      </c>
      <c r="G383" s="21" t="str">
        <f t="shared" si="10"/>
        <v/>
      </c>
      <c r="H383" s="18" t="str">
        <f>IFERROR([1]!s_stmnote_bank($B383,"34",$A383,100000000)/[1]!s_stmnote_bank_1n(B383,$A383,1,100000000),"")</f>
        <v/>
      </c>
      <c r="I383" s="25">
        <f>[1]!b_stm07_bs(B383,74,$A383,1,100000000)</f>
        <v>0</v>
      </c>
      <c r="J383" s="25">
        <f>[1]!b_stm07_bs(B383,109,$A383,1,100000000)</f>
        <v>0</v>
      </c>
      <c r="K383" s="10">
        <f>[1]!s_stmnote_bank_5n(B383,$A383,1)</f>
        <v>0</v>
      </c>
      <c r="L383" s="25">
        <f>[1]!s_stmnote_bank_23n(B383,$A383,1)</f>
        <v>0</v>
      </c>
      <c r="M383" s="25">
        <f>[1]!s_stmnote_bank_capadequacyratio(B383,$A383,1)</f>
        <v>0</v>
      </c>
      <c r="N383" s="25">
        <f>[1]!s_stmnote_bank_capadequacyratio_ct1(B383,$A383,1)</f>
        <v>0</v>
      </c>
      <c r="O383" s="6">
        <f>IF(OR([1]!s_fa_roe(B383,20201231)="0",[1]!s_fa_roe(B383,20211231)="0",[1]!s_fa_roe(B383,20221231)="0"),"",IFERROR(([1]!s_fa_roe(B383,20221231)+[1]!s_fa_roe(B383,20201231)+[1]!s_fa_roe(B383,20211231))/3,""))</f>
        <v>0</v>
      </c>
      <c r="P383" s="28" t="str">
        <f>IFERROR(([1]!s_stmnote_bank_65(B383,$A383,1,2,4,100000000)+[1]!s_stmnote_bank_65(B383,$A383,1,2,6,100000000))/[1]!s_stmnote_bank_1n(B383,$A383,1,100000000),"")</f>
        <v/>
      </c>
      <c r="Q383" s="28" t="str">
        <f>IFERROR([1]!s_stmnote_bank_614(B383,$A383,1,2,100000000)/[1]!s_stmnote_bank_647(B383,$A383,1,2,100000000),"")</f>
        <v/>
      </c>
      <c r="R383" s="28" t="str">
        <f>IFERROR(([1]!b_stm07_bs(B383,104,$A383,1,100000000)+[1]!b_stm07_bs(B383,106,$A383,1,100000000)+[1]!b_stm07_bs(B383,76,$A383,1,100000000)+[1]!b_stm07_bs(B383,108,$A383,1,100000000)+[1]!b_stm07_bs(B383,95,$A383,1,100000000))/[1]!b_stm07_bs(B383,128,$A383,1,100000000),"")</f>
        <v/>
      </c>
      <c r="S383" s="28" t="str">
        <f>IFERROR(([1]!s_stmnote_bank_614(B383,$A383,1,2,100000000)+[1]!b_stm07_bs(B383,104,$A383,1,100000000)+[1]!b_stm07_bs(B383,106,$A383,1,100000000)+[1]!b_stm07_bs(B383,76,$A383,1,100000000)+[1]!b_stm07_bs(B383,108,$A383,1,100000000)+[1]!b_stm07_bs(B383,95,$A383,1,100000000))/[1]!b_stm07_bs(B383,128,$A383,1,100000000),"")</f>
        <v/>
      </c>
      <c r="T383" s="11">
        <f>[1]!b_issuer_shareholder(B383,"",1)</f>
        <v>0</v>
      </c>
      <c r="U383" s="10">
        <f>[1]!b_issuer_propofshareholder(B383,"",1)</f>
        <v>0</v>
      </c>
      <c r="V383" s="33" t="str">
        <f t="shared" si="11"/>
        <v>0</v>
      </c>
      <c r="W383" s="33">
        <f>[1]!s_info_city(B383)</f>
        <v>0</v>
      </c>
      <c r="X383" s="10">
        <f>IF([1]!s_stmnote_bank_17n(B383,$A383,1)="0","",[1]!s_stmnote_bank_17n(B383,$A383,1))</f>
        <v>0</v>
      </c>
      <c r="Y383" s="10">
        <f>IF([1]!s_stmnote_bank_18n(B383,$A383,1)="0","",[1]!s_stmnote_bank_18n(B383,$A383,1))</f>
        <v>0</v>
      </c>
      <c r="Z383" s="41">
        <f>IF([1]!s_stmnote_bank_58(B383,$A383,1)="0","",[1]!s_stmnote_bank_58(B383,$A383,1))</f>
        <v>0</v>
      </c>
      <c r="AA383" s="52">
        <f>IF([1]!s_stmnote_bank_60(B383,$A383,1)="0","",[1]!s_stmnote_bank_60(B383,$A383,1))</f>
        <v>0</v>
      </c>
      <c r="AB383" s="52">
        <f>[1]!s_stmnote_bank_5444(B383,$A383,1)</f>
        <v>0</v>
      </c>
      <c r="AC383" s="38">
        <f>[1]!s_stmnote_bank_129n($B383,$A383,1)</f>
        <v>0</v>
      </c>
      <c r="AD383" s="54">
        <f>[1]!s_stmnote_bank_30(B383,$A383,1)</f>
        <v>0</v>
      </c>
    </row>
    <row r="384" spans="1:30" ht="24">
      <c r="A384" s="1" t="s">
        <v>1110</v>
      </c>
      <c r="B384" s="87" t="s">
        <v>1492</v>
      </c>
      <c r="C384" s="8">
        <f>IF([1]!b_info_issuer(B384)="0","",IFERROR([1]!b_info_issuer(B384),""))</f>
        <v>0</v>
      </c>
      <c r="D384" s="11">
        <f>IF([1]!b_info_latestissurercreditrating(B384)="0","",IFERROR([1]!b_info_latestissurercreditrating(B384),""))</f>
        <v>0</v>
      </c>
      <c r="E384" s="27" t="str">
        <f>IFERROR(([1]!b_stm07_bs($B384,47,$A384,1,100000000))/[1]!b_stm07_bs($B384,109,$A384,1,100000000),"")</f>
        <v/>
      </c>
      <c r="F384" s="18" t="str">
        <f>IFERROR(([1]!s_stmnote_bank_26($B384,$A384,1,100000000)-[1]!s_stmnote_bank_26($B384,#REF!,1,100000000)+#REF!)/[1]!s_stmnote_bank_1n($B384,#REF!,1,100000000),"")</f>
        <v/>
      </c>
      <c r="G384" s="21" t="str">
        <f t="shared" si="10"/>
        <v/>
      </c>
      <c r="H384" s="18" t="str">
        <f>IFERROR([1]!s_stmnote_bank($B384,"34",$A384,100000000)/[1]!s_stmnote_bank_1n(B384,$A384,1,100000000),"")</f>
        <v/>
      </c>
      <c r="I384" s="25">
        <f>[1]!b_stm07_bs(B384,74,$A384,1,100000000)</f>
        <v>0</v>
      </c>
      <c r="J384" s="25">
        <f>[1]!b_stm07_bs(B384,109,$A384,1,100000000)</f>
        <v>0</v>
      </c>
      <c r="K384" s="10">
        <f>[1]!s_stmnote_bank_5n(B384,$A384,1)</f>
        <v>0</v>
      </c>
      <c r="L384" s="25">
        <f>[1]!s_stmnote_bank_23n(B384,$A384,1)</f>
        <v>0</v>
      </c>
      <c r="M384" s="25">
        <f>[1]!s_stmnote_bank_capadequacyratio(B384,$A384,1)</f>
        <v>0</v>
      </c>
      <c r="N384" s="25">
        <f>[1]!s_stmnote_bank_capadequacyratio_ct1(B384,$A384,1)</f>
        <v>0</v>
      </c>
      <c r="O384" s="6">
        <f>IF(OR([1]!s_fa_roe(B384,20201231)="0",[1]!s_fa_roe(B384,20211231)="0",[1]!s_fa_roe(B384,20221231)="0"),"",IFERROR(([1]!s_fa_roe(B384,20221231)+[1]!s_fa_roe(B384,20201231)+[1]!s_fa_roe(B384,20211231))/3,""))</f>
        <v>0</v>
      </c>
      <c r="P384" s="28" t="str">
        <f>IFERROR(([1]!s_stmnote_bank_65(B384,$A384,1,2,4,100000000)+[1]!s_stmnote_bank_65(B384,$A384,1,2,6,100000000))/[1]!s_stmnote_bank_1n(B384,$A384,1,100000000),"")</f>
        <v/>
      </c>
      <c r="Q384" s="28" t="str">
        <f>IFERROR([1]!s_stmnote_bank_614(B384,$A384,1,2,100000000)/[1]!s_stmnote_bank_647(B384,$A384,1,2,100000000),"")</f>
        <v/>
      </c>
      <c r="R384" s="28" t="str">
        <f>IFERROR(([1]!b_stm07_bs(B384,104,$A384,1,100000000)+[1]!b_stm07_bs(B384,106,$A384,1,100000000)+[1]!b_stm07_bs(B384,76,$A384,1,100000000)+[1]!b_stm07_bs(B384,108,$A384,1,100000000)+[1]!b_stm07_bs(B384,95,$A384,1,100000000))/[1]!b_stm07_bs(B384,128,$A384,1,100000000),"")</f>
        <v/>
      </c>
      <c r="S384" s="28" t="str">
        <f>IFERROR(([1]!s_stmnote_bank_614(B384,$A384,1,2,100000000)+[1]!b_stm07_bs(B384,104,$A384,1,100000000)+[1]!b_stm07_bs(B384,106,$A384,1,100000000)+[1]!b_stm07_bs(B384,76,$A384,1,100000000)+[1]!b_stm07_bs(B384,108,$A384,1,100000000)+[1]!b_stm07_bs(B384,95,$A384,1,100000000))/[1]!b_stm07_bs(B384,128,$A384,1,100000000),"")</f>
        <v/>
      </c>
      <c r="T384" s="11">
        <f>[1]!b_issuer_shareholder(B384,"",1)</f>
        <v>0</v>
      </c>
      <c r="U384" s="10">
        <f>[1]!b_issuer_propofshareholder(B384,"",1)</f>
        <v>0</v>
      </c>
      <c r="V384" s="33" t="str">
        <f t="shared" si="11"/>
        <v>0</v>
      </c>
      <c r="W384" s="33">
        <f>[1]!s_info_city(B384)</f>
        <v>0</v>
      </c>
      <c r="X384" s="10">
        <f>IF([1]!s_stmnote_bank_17n(B384,$A384,1)="0","",[1]!s_stmnote_bank_17n(B384,$A384,1))</f>
        <v>0</v>
      </c>
      <c r="Y384" s="10">
        <f>IF([1]!s_stmnote_bank_18n(B384,$A384,1)="0","",[1]!s_stmnote_bank_18n(B384,$A384,1))</f>
        <v>0</v>
      </c>
      <c r="Z384" s="41">
        <f>IF([1]!s_stmnote_bank_58(B384,$A384,1)="0","",[1]!s_stmnote_bank_58(B384,$A384,1))</f>
        <v>0</v>
      </c>
      <c r="AA384" s="52">
        <f>IF([1]!s_stmnote_bank_60(B384,$A384,1)="0","",[1]!s_stmnote_bank_60(B384,$A384,1))</f>
        <v>0</v>
      </c>
      <c r="AB384" s="52">
        <f>[1]!s_stmnote_bank_5444(B384,$A384,1)</f>
        <v>0</v>
      </c>
      <c r="AC384" s="38">
        <f>[1]!s_stmnote_bank_129n($B384,$A384,1)</f>
        <v>0</v>
      </c>
      <c r="AD384" s="54">
        <f>[1]!s_stmnote_bank_30(B384,$A384,1)</f>
        <v>0</v>
      </c>
    </row>
    <row r="385" spans="1:30" ht="24">
      <c r="A385" s="1" t="s">
        <v>1110</v>
      </c>
      <c r="B385" s="87" t="s">
        <v>1493</v>
      </c>
      <c r="C385" s="8">
        <f>IF([1]!b_info_issuer(B385)="0","",IFERROR([1]!b_info_issuer(B385),""))</f>
        <v>0</v>
      </c>
      <c r="D385" s="11">
        <f>IF([1]!b_info_latestissurercreditrating(B385)="0","",IFERROR([1]!b_info_latestissurercreditrating(B385),""))</f>
        <v>0</v>
      </c>
      <c r="E385" s="27" t="str">
        <f>IFERROR(([1]!b_stm07_bs($B385,47,$A385,1,100000000))/[1]!b_stm07_bs($B385,109,$A385,1,100000000),"")</f>
        <v/>
      </c>
      <c r="F385" s="18" t="str">
        <f>IFERROR(([1]!s_stmnote_bank_26($B385,$A385,1,100000000)-[1]!s_stmnote_bank_26($B385,#REF!,1,100000000)+#REF!)/[1]!s_stmnote_bank_1n($B385,#REF!,1,100000000),"")</f>
        <v/>
      </c>
      <c r="G385" s="21" t="str">
        <f t="shared" si="10"/>
        <v/>
      </c>
      <c r="H385" s="18" t="str">
        <f>IFERROR([1]!s_stmnote_bank($B385,"34",$A385,100000000)/[1]!s_stmnote_bank_1n(B385,$A385,1,100000000),"")</f>
        <v/>
      </c>
      <c r="I385" s="25">
        <f>[1]!b_stm07_bs(B385,74,$A385,1,100000000)</f>
        <v>0</v>
      </c>
      <c r="J385" s="25">
        <f>[1]!b_stm07_bs(B385,109,$A385,1,100000000)</f>
        <v>0</v>
      </c>
      <c r="K385" s="10">
        <f>[1]!s_stmnote_bank_5n(B385,$A385,1)</f>
        <v>0</v>
      </c>
      <c r="L385" s="25">
        <f>[1]!s_stmnote_bank_23n(B385,$A385,1)</f>
        <v>0</v>
      </c>
      <c r="M385" s="25">
        <f>[1]!s_stmnote_bank_capadequacyratio(B385,$A385,1)</f>
        <v>0</v>
      </c>
      <c r="N385" s="25">
        <f>[1]!s_stmnote_bank_capadequacyratio_ct1(B385,$A385,1)</f>
        <v>0</v>
      </c>
      <c r="O385" s="6">
        <f>IF(OR([1]!s_fa_roe(B385,20201231)="0",[1]!s_fa_roe(B385,20211231)="0",[1]!s_fa_roe(B385,20221231)="0"),"",IFERROR(([1]!s_fa_roe(B385,20221231)+[1]!s_fa_roe(B385,20201231)+[1]!s_fa_roe(B385,20211231))/3,""))</f>
        <v>0</v>
      </c>
      <c r="P385" s="28" t="str">
        <f>IFERROR(([1]!s_stmnote_bank_65(B385,$A385,1,2,4,100000000)+[1]!s_stmnote_bank_65(B385,$A385,1,2,6,100000000))/[1]!s_stmnote_bank_1n(B385,$A385,1,100000000),"")</f>
        <v/>
      </c>
      <c r="Q385" s="28" t="str">
        <f>IFERROR([1]!s_stmnote_bank_614(B385,$A385,1,2,100000000)/[1]!s_stmnote_bank_647(B385,$A385,1,2,100000000),"")</f>
        <v/>
      </c>
      <c r="R385" s="28" t="str">
        <f>IFERROR(([1]!b_stm07_bs(B385,104,$A385,1,100000000)+[1]!b_stm07_bs(B385,106,$A385,1,100000000)+[1]!b_stm07_bs(B385,76,$A385,1,100000000)+[1]!b_stm07_bs(B385,108,$A385,1,100000000)+[1]!b_stm07_bs(B385,95,$A385,1,100000000))/[1]!b_stm07_bs(B385,128,$A385,1,100000000),"")</f>
        <v/>
      </c>
      <c r="S385" s="28" t="str">
        <f>IFERROR(([1]!s_stmnote_bank_614(B385,$A385,1,2,100000000)+[1]!b_stm07_bs(B385,104,$A385,1,100000000)+[1]!b_stm07_bs(B385,106,$A385,1,100000000)+[1]!b_stm07_bs(B385,76,$A385,1,100000000)+[1]!b_stm07_bs(B385,108,$A385,1,100000000)+[1]!b_stm07_bs(B385,95,$A385,1,100000000))/[1]!b_stm07_bs(B385,128,$A385,1,100000000),"")</f>
        <v/>
      </c>
      <c r="T385" s="11">
        <f>[1]!b_issuer_shareholder(B385,"",1)</f>
        <v>0</v>
      </c>
      <c r="U385" s="10">
        <f>[1]!b_issuer_propofshareholder(B385,"",1)</f>
        <v>0</v>
      </c>
      <c r="V385" s="33" t="str">
        <f t="shared" si="11"/>
        <v>0</v>
      </c>
      <c r="W385" s="33">
        <f>[1]!s_info_city(B385)</f>
        <v>0</v>
      </c>
      <c r="X385" s="10">
        <f>IF([1]!s_stmnote_bank_17n(B385,$A385,1)="0","",[1]!s_stmnote_bank_17n(B385,$A385,1))</f>
        <v>0</v>
      </c>
      <c r="Y385" s="10">
        <f>IF([1]!s_stmnote_bank_18n(B385,$A385,1)="0","",[1]!s_stmnote_bank_18n(B385,$A385,1))</f>
        <v>0</v>
      </c>
      <c r="Z385" s="41">
        <f>IF([1]!s_stmnote_bank_58(B385,$A385,1)="0","",[1]!s_stmnote_bank_58(B385,$A385,1))</f>
        <v>0</v>
      </c>
      <c r="AA385" s="52">
        <f>IF([1]!s_stmnote_bank_60(B385,$A385,1)="0","",[1]!s_stmnote_bank_60(B385,$A385,1))</f>
        <v>0</v>
      </c>
      <c r="AB385" s="52">
        <f>[1]!s_stmnote_bank_5444(B385,$A385,1)</f>
        <v>0</v>
      </c>
      <c r="AC385" s="38">
        <f>[1]!s_stmnote_bank_129n($B385,$A385,1)</f>
        <v>0</v>
      </c>
      <c r="AD385" s="54">
        <f>[1]!s_stmnote_bank_30(B385,$A385,1)</f>
        <v>0</v>
      </c>
    </row>
    <row r="386" spans="1:30" ht="24">
      <c r="A386" s="1" t="s">
        <v>1110</v>
      </c>
      <c r="B386" s="87" t="s">
        <v>1494</v>
      </c>
      <c r="C386" s="8">
        <f>IF([1]!b_info_issuer(B386)="0","",IFERROR([1]!b_info_issuer(B386),""))</f>
        <v>0</v>
      </c>
      <c r="D386" s="11">
        <f>IF([1]!b_info_latestissurercreditrating(B386)="0","",IFERROR([1]!b_info_latestissurercreditrating(B386),""))</f>
        <v>0</v>
      </c>
      <c r="E386" s="27" t="str">
        <f>IFERROR(([1]!b_stm07_bs($B386,47,$A386,1,100000000))/[1]!b_stm07_bs($B386,109,$A386,1,100000000),"")</f>
        <v/>
      </c>
      <c r="F386" s="18" t="str">
        <f>IFERROR(([1]!s_stmnote_bank_26($B386,$A386,1,100000000)-[1]!s_stmnote_bank_26($B386,#REF!,1,100000000)+#REF!)/[1]!s_stmnote_bank_1n($B386,#REF!,1,100000000),"")</f>
        <v/>
      </c>
      <c r="G386" s="21" t="str">
        <f t="shared" si="10"/>
        <v/>
      </c>
      <c r="H386" s="18" t="str">
        <f>IFERROR([1]!s_stmnote_bank($B386,"34",$A386,100000000)/[1]!s_stmnote_bank_1n(B386,$A386,1,100000000),"")</f>
        <v/>
      </c>
      <c r="I386" s="25">
        <f>[1]!b_stm07_bs(B386,74,$A386,1,100000000)</f>
        <v>0</v>
      </c>
      <c r="J386" s="25">
        <f>[1]!b_stm07_bs(B386,109,$A386,1,100000000)</f>
        <v>0</v>
      </c>
      <c r="K386" s="10">
        <f>[1]!s_stmnote_bank_5n(B386,$A386,1)</f>
        <v>0</v>
      </c>
      <c r="L386" s="25">
        <f>[1]!s_stmnote_bank_23n(B386,$A386,1)</f>
        <v>0</v>
      </c>
      <c r="M386" s="25">
        <f>[1]!s_stmnote_bank_capadequacyratio(B386,$A386,1)</f>
        <v>0</v>
      </c>
      <c r="N386" s="25">
        <f>[1]!s_stmnote_bank_capadequacyratio_ct1(B386,$A386,1)</f>
        <v>0</v>
      </c>
      <c r="O386" s="6">
        <f>IF(OR([1]!s_fa_roe(B386,20201231)="0",[1]!s_fa_roe(B386,20211231)="0",[1]!s_fa_roe(B386,20221231)="0"),"",IFERROR(([1]!s_fa_roe(B386,20221231)+[1]!s_fa_roe(B386,20201231)+[1]!s_fa_roe(B386,20211231))/3,""))</f>
        <v>0</v>
      </c>
      <c r="P386" s="28" t="str">
        <f>IFERROR(([1]!s_stmnote_bank_65(B386,$A386,1,2,4,100000000)+[1]!s_stmnote_bank_65(B386,$A386,1,2,6,100000000))/[1]!s_stmnote_bank_1n(B386,$A386,1,100000000),"")</f>
        <v/>
      </c>
      <c r="Q386" s="28" t="str">
        <f>IFERROR([1]!s_stmnote_bank_614(B386,$A386,1,2,100000000)/[1]!s_stmnote_bank_647(B386,$A386,1,2,100000000),"")</f>
        <v/>
      </c>
      <c r="R386" s="28" t="str">
        <f>IFERROR(([1]!b_stm07_bs(B386,104,$A386,1,100000000)+[1]!b_stm07_bs(B386,106,$A386,1,100000000)+[1]!b_stm07_bs(B386,76,$A386,1,100000000)+[1]!b_stm07_bs(B386,108,$A386,1,100000000)+[1]!b_stm07_bs(B386,95,$A386,1,100000000))/[1]!b_stm07_bs(B386,128,$A386,1,100000000),"")</f>
        <v/>
      </c>
      <c r="S386" s="28" t="str">
        <f>IFERROR(([1]!s_stmnote_bank_614(B386,$A386,1,2,100000000)+[1]!b_stm07_bs(B386,104,$A386,1,100000000)+[1]!b_stm07_bs(B386,106,$A386,1,100000000)+[1]!b_stm07_bs(B386,76,$A386,1,100000000)+[1]!b_stm07_bs(B386,108,$A386,1,100000000)+[1]!b_stm07_bs(B386,95,$A386,1,100000000))/[1]!b_stm07_bs(B386,128,$A386,1,100000000),"")</f>
        <v/>
      </c>
      <c r="T386" s="11">
        <f>[1]!b_issuer_shareholder(B386,"",1)</f>
        <v>0</v>
      </c>
      <c r="U386" s="10">
        <f>[1]!b_issuer_propofshareholder(B386,"",1)</f>
        <v>0</v>
      </c>
      <c r="V386" s="33" t="str">
        <f t="shared" si="11"/>
        <v>0</v>
      </c>
      <c r="W386" s="33">
        <f>[1]!s_info_city(B386)</f>
        <v>0</v>
      </c>
      <c r="X386" s="10">
        <f>IF([1]!s_stmnote_bank_17n(B386,$A386,1)="0","",[1]!s_stmnote_bank_17n(B386,$A386,1))</f>
        <v>0</v>
      </c>
      <c r="Y386" s="10">
        <f>IF([1]!s_stmnote_bank_18n(B386,$A386,1)="0","",[1]!s_stmnote_bank_18n(B386,$A386,1))</f>
        <v>0</v>
      </c>
      <c r="Z386" s="41">
        <f>IF([1]!s_stmnote_bank_58(B386,$A386,1)="0","",[1]!s_stmnote_bank_58(B386,$A386,1))</f>
        <v>0</v>
      </c>
      <c r="AA386" s="52">
        <f>IF([1]!s_stmnote_bank_60(B386,$A386,1)="0","",[1]!s_stmnote_bank_60(B386,$A386,1))</f>
        <v>0</v>
      </c>
      <c r="AB386" s="52">
        <f>[1]!s_stmnote_bank_5444(B386,$A386,1)</f>
        <v>0</v>
      </c>
      <c r="AC386" s="38">
        <f>[1]!s_stmnote_bank_129n($B386,$A386,1)</f>
        <v>0</v>
      </c>
      <c r="AD386" s="54">
        <f>[1]!s_stmnote_bank_30(B386,$A386,1)</f>
        <v>0</v>
      </c>
    </row>
    <row r="387" spans="1:30" ht="24">
      <c r="A387" s="1" t="s">
        <v>1110</v>
      </c>
      <c r="B387" s="87" t="s">
        <v>1495</v>
      </c>
      <c r="C387" s="8">
        <f>IF([1]!b_info_issuer(B387)="0","",IFERROR([1]!b_info_issuer(B387),""))</f>
        <v>0</v>
      </c>
      <c r="D387" s="11">
        <f>IF([1]!b_info_latestissurercreditrating(B387)="0","",IFERROR([1]!b_info_latestissurercreditrating(B387),""))</f>
        <v>0</v>
      </c>
      <c r="E387" s="27" t="str">
        <f>IFERROR(([1]!b_stm07_bs($B387,47,$A387,1,100000000))/[1]!b_stm07_bs($B387,109,$A387,1,100000000),"")</f>
        <v/>
      </c>
      <c r="F387" s="18" t="str">
        <f>IFERROR(([1]!s_stmnote_bank_26($B387,$A387,1,100000000)-[1]!s_stmnote_bank_26($B387,#REF!,1,100000000)+#REF!)/[1]!s_stmnote_bank_1n($B387,#REF!,1,100000000),"")</f>
        <v/>
      </c>
      <c r="G387" s="21" t="str">
        <f t="shared" ref="G387:G450" si="12">IFERROR(H387+K387/100,"")</f>
        <v/>
      </c>
      <c r="H387" s="18" t="str">
        <f>IFERROR([1]!s_stmnote_bank($B387,"34",$A387,100000000)/[1]!s_stmnote_bank_1n(B387,$A387,1,100000000),"")</f>
        <v/>
      </c>
      <c r="I387" s="25">
        <f>[1]!b_stm07_bs(B387,74,$A387,1,100000000)</f>
        <v>0</v>
      </c>
      <c r="J387" s="25">
        <f>[1]!b_stm07_bs(B387,109,$A387,1,100000000)</f>
        <v>0</v>
      </c>
      <c r="K387" s="10">
        <f>[1]!s_stmnote_bank_5n(B387,$A387,1)</f>
        <v>0</v>
      </c>
      <c r="L387" s="25">
        <f>[1]!s_stmnote_bank_23n(B387,$A387,1)</f>
        <v>0</v>
      </c>
      <c r="M387" s="25">
        <f>[1]!s_stmnote_bank_capadequacyratio(B387,$A387,1)</f>
        <v>0</v>
      </c>
      <c r="N387" s="25">
        <f>[1]!s_stmnote_bank_capadequacyratio_ct1(B387,$A387,1)</f>
        <v>0</v>
      </c>
      <c r="O387" s="6">
        <f>IF(OR([1]!s_fa_roe(B387,20201231)="0",[1]!s_fa_roe(B387,20211231)="0",[1]!s_fa_roe(B387,20221231)="0"),"",IFERROR(([1]!s_fa_roe(B387,20221231)+[1]!s_fa_roe(B387,20201231)+[1]!s_fa_roe(B387,20211231))/3,""))</f>
        <v>0</v>
      </c>
      <c r="P387" s="28" t="str">
        <f>IFERROR(([1]!s_stmnote_bank_65(B387,$A387,1,2,4,100000000)+[1]!s_stmnote_bank_65(B387,$A387,1,2,6,100000000))/[1]!s_stmnote_bank_1n(B387,$A387,1,100000000),"")</f>
        <v/>
      </c>
      <c r="Q387" s="28" t="str">
        <f>IFERROR([1]!s_stmnote_bank_614(B387,$A387,1,2,100000000)/[1]!s_stmnote_bank_647(B387,$A387,1,2,100000000),"")</f>
        <v/>
      </c>
      <c r="R387" s="28" t="str">
        <f>IFERROR(([1]!b_stm07_bs(B387,104,$A387,1,100000000)+[1]!b_stm07_bs(B387,106,$A387,1,100000000)+[1]!b_stm07_bs(B387,76,$A387,1,100000000)+[1]!b_stm07_bs(B387,108,$A387,1,100000000)+[1]!b_stm07_bs(B387,95,$A387,1,100000000))/[1]!b_stm07_bs(B387,128,$A387,1,100000000),"")</f>
        <v/>
      </c>
      <c r="S387" s="28" t="str">
        <f>IFERROR(([1]!s_stmnote_bank_614(B387,$A387,1,2,100000000)+[1]!b_stm07_bs(B387,104,$A387,1,100000000)+[1]!b_stm07_bs(B387,106,$A387,1,100000000)+[1]!b_stm07_bs(B387,76,$A387,1,100000000)+[1]!b_stm07_bs(B387,108,$A387,1,100000000)+[1]!b_stm07_bs(B387,95,$A387,1,100000000))/[1]!b_stm07_bs(B387,128,$A387,1,100000000),"")</f>
        <v/>
      </c>
      <c r="T387" s="11">
        <f>[1]!b_issuer_shareholder(B387,"",1)</f>
        <v>0</v>
      </c>
      <c r="U387" s="10">
        <f>[1]!b_issuer_propofshareholder(B387,"",1)</f>
        <v>0</v>
      </c>
      <c r="V387" s="33" t="str">
        <f t="shared" ref="V387:V450" si="13">LEFT(C387,2)</f>
        <v>0</v>
      </c>
      <c r="W387" s="33">
        <f>[1]!s_info_city(B387)</f>
        <v>0</v>
      </c>
      <c r="X387" s="10">
        <f>IF([1]!s_stmnote_bank_17n(B387,$A387,1)="0","",[1]!s_stmnote_bank_17n(B387,$A387,1))</f>
        <v>0</v>
      </c>
      <c r="Y387" s="10">
        <f>IF([1]!s_stmnote_bank_18n(B387,$A387,1)="0","",[1]!s_stmnote_bank_18n(B387,$A387,1))</f>
        <v>0</v>
      </c>
      <c r="Z387" s="41">
        <f>IF([1]!s_stmnote_bank_58(B387,$A387,1)="0","",[1]!s_stmnote_bank_58(B387,$A387,1))</f>
        <v>0</v>
      </c>
      <c r="AA387" s="52">
        <f>IF([1]!s_stmnote_bank_60(B387,$A387,1)="0","",[1]!s_stmnote_bank_60(B387,$A387,1))</f>
        <v>0</v>
      </c>
      <c r="AB387" s="52">
        <f>[1]!s_stmnote_bank_5444(B387,$A387,1)</f>
        <v>0</v>
      </c>
      <c r="AC387" s="38">
        <f>[1]!s_stmnote_bank_129n($B387,$A387,1)</f>
        <v>0</v>
      </c>
      <c r="AD387" s="54">
        <f>[1]!s_stmnote_bank_30(B387,$A387,1)</f>
        <v>0</v>
      </c>
    </row>
    <row r="388" spans="1:30" ht="24">
      <c r="A388" s="1" t="s">
        <v>1110</v>
      </c>
      <c r="B388" s="87" t="s">
        <v>1496</v>
      </c>
      <c r="C388" s="8">
        <f>IF([1]!b_info_issuer(B388)="0","",IFERROR([1]!b_info_issuer(B388),""))</f>
        <v>0</v>
      </c>
      <c r="D388" s="11">
        <f>IF([1]!b_info_latestissurercreditrating(B388)="0","",IFERROR([1]!b_info_latestissurercreditrating(B388),""))</f>
        <v>0</v>
      </c>
      <c r="E388" s="27" t="str">
        <f>IFERROR(([1]!b_stm07_bs($B388,47,$A388,1,100000000))/[1]!b_stm07_bs($B388,109,$A388,1,100000000),"")</f>
        <v/>
      </c>
      <c r="F388" s="18" t="str">
        <f>IFERROR(([1]!s_stmnote_bank_26($B388,$A388,1,100000000)-[1]!s_stmnote_bank_26($B388,#REF!,1,100000000)+#REF!)/[1]!s_stmnote_bank_1n($B388,#REF!,1,100000000),"")</f>
        <v/>
      </c>
      <c r="G388" s="21" t="str">
        <f t="shared" si="12"/>
        <v/>
      </c>
      <c r="H388" s="18" t="str">
        <f>IFERROR([1]!s_stmnote_bank($B388,"34",$A388,100000000)/[1]!s_stmnote_bank_1n(B388,$A388,1,100000000),"")</f>
        <v/>
      </c>
      <c r="I388" s="25">
        <f>[1]!b_stm07_bs(B388,74,$A388,1,100000000)</f>
        <v>0</v>
      </c>
      <c r="J388" s="25">
        <f>[1]!b_stm07_bs(B388,109,$A388,1,100000000)</f>
        <v>0</v>
      </c>
      <c r="K388" s="10">
        <f>[1]!s_stmnote_bank_5n(B388,$A388,1)</f>
        <v>0</v>
      </c>
      <c r="L388" s="25">
        <f>[1]!s_stmnote_bank_23n(B388,$A388,1)</f>
        <v>0</v>
      </c>
      <c r="M388" s="25">
        <f>[1]!s_stmnote_bank_capadequacyratio(B388,$A388,1)</f>
        <v>0</v>
      </c>
      <c r="N388" s="25">
        <f>[1]!s_stmnote_bank_capadequacyratio_ct1(B388,$A388,1)</f>
        <v>0</v>
      </c>
      <c r="O388" s="6">
        <f>IF(OR([1]!s_fa_roe(B388,20201231)="0",[1]!s_fa_roe(B388,20211231)="0",[1]!s_fa_roe(B388,20221231)="0"),"",IFERROR(([1]!s_fa_roe(B388,20221231)+[1]!s_fa_roe(B388,20201231)+[1]!s_fa_roe(B388,20211231))/3,""))</f>
        <v>0</v>
      </c>
      <c r="P388" s="28" t="str">
        <f>IFERROR(([1]!s_stmnote_bank_65(B388,$A388,1,2,4,100000000)+[1]!s_stmnote_bank_65(B388,$A388,1,2,6,100000000))/[1]!s_stmnote_bank_1n(B388,$A388,1,100000000),"")</f>
        <v/>
      </c>
      <c r="Q388" s="28" t="str">
        <f>IFERROR([1]!s_stmnote_bank_614(B388,$A388,1,2,100000000)/[1]!s_stmnote_bank_647(B388,$A388,1,2,100000000),"")</f>
        <v/>
      </c>
      <c r="R388" s="28" t="str">
        <f>IFERROR(([1]!b_stm07_bs(B388,104,$A388,1,100000000)+[1]!b_stm07_bs(B388,106,$A388,1,100000000)+[1]!b_stm07_bs(B388,76,$A388,1,100000000)+[1]!b_stm07_bs(B388,108,$A388,1,100000000)+[1]!b_stm07_bs(B388,95,$A388,1,100000000))/[1]!b_stm07_bs(B388,128,$A388,1,100000000),"")</f>
        <v/>
      </c>
      <c r="S388" s="28" t="str">
        <f>IFERROR(([1]!s_stmnote_bank_614(B388,$A388,1,2,100000000)+[1]!b_stm07_bs(B388,104,$A388,1,100000000)+[1]!b_stm07_bs(B388,106,$A388,1,100000000)+[1]!b_stm07_bs(B388,76,$A388,1,100000000)+[1]!b_stm07_bs(B388,108,$A388,1,100000000)+[1]!b_stm07_bs(B388,95,$A388,1,100000000))/[1]!b_stm07_bs(B388,128,$A388,1,100000000),"")</f>
        <v/>
      </c>
      <c r="T388" s="11">
        <f>[1]!b_issuer_shareholder(B388,"",1)</f>
        <v>0</v>
      </c>
      <c r="U388" s="10">
        <f>[1]!b_issuer_propofshareholder(B388,"",1)</f>
        <v>0</v>
      </c>
      <c r="V388" s="33" t="str">
        <f t="shared" si="13"/>
        <v>0</v>
      </c>
      <c r="W388" s="33">
        <f>[1]!s_info_city(B388)</f>
        <v>0</v>
      </c>
      <c r="X388" s="10">
        <f>IF([1]!s_stmnote_bank_17n(B388,$A388,1)="0","",[1]!s_stmnote_bank_17n(B388,$A388,1))</f>
        <v>0</v>
      </c>
      <c r="Y388" s="10">
        <f>IF([1]!s_stmnote_bank_18n(B388,$A388,1)="0","",[1]!s_stmnote_bank_18n(B388,$A388,1))</f>
        <v>0</v>
      </c>
      <c r="Z388" s="41">
        <f>IF([1]!s_stmnote_bank_58(B388,$A388,1)="0","",[1]!s_stmnote_bank_58(B388,$A388,1))</f>
        <v>0</v>
      </c>
      <c r="AA388" s="52">
        <f>IF([1]!s_stmnote_bank_60(B388,$A388,1)="0","",[1]!s_stmnote_bank_60(B388,$A388,1))</f>
        <v>0</v>
      </c>
      <c r="AB388" s="52">
        <f>[1]!s_stmnote_bank_5444(B388,$A388,1)</f>
        <v>0</v>
      </c>
      <c r="AC388" s="38">
        <f>[1]!s_stmnote_bank_129n($B388,$A388,1)</f>
        <v>0</v>
      </c>
      <c r="AD388" s="54">
        <f>[1]!s_stmnote_bank_30(B388,$A388,1)</f>
        <v>0</v>
      </c>
    </row>
    <row r="389" spans="1:30" ht="24">
      <c r="A389" s="1" t="s">
        <v>1110</v>
      </c>
      <c r="B389" s="87" t="s">
        <v>1497</v>
      </c>
      <c r="C389" s="8">
        <f>IF([1]!b_info_issuer(B389)="0","",IFERROR([1]!b_info_issuer(B389),""))</f>
        <v>0</v>
      </c>
      <c r="D389" s="11">
        <f>IF([1]!b_info_latestissurercreditrating(B389)="0","",IFERROR([1]!b_info_latestissurercreditrating(B389),""))</f>
        <v>0</v>
      </c>
      <c r="E389" s="27" t="str">
        <f>IFERROR(([1]!b_stm07_bs($B389,47,$A389,1,100000000))/[1]!b_stm07_bs($B389,109,$A389,1,100000000),"")</f>
        <v/>
      </c>
      <c r="F389" s="18" t="str">
        <f>IFERROR(([1]!s_stmnote_bank_26($B389,$A389,1,100000000)-[1]!s_stmnote_bank_26($B389,#REF!,1,100000000)+#REF!)/[1]!s_stmnote_bank_1n($B389,#REF!,1,100000000),"")</f>
        <v/>
      </c>
      <c r="G389" s="21" t="str">
        <f t="shared" si="12"/>
        <v/>
      </c>
      <c r="H389" s="18" t="str">
        <f>IFERROR([1]!s_stmnote_bank($B389,"34",$A389,100000000)/[1]!s_stmnote_bank_1n(B389,$A389,1,100000000),"")</f>
        <v/>
      </c>
      <c r="I389" s="25">
        <f>[1]!b_stm07_bs(B389,74,$A389,1,100000000)</f>
        <v>0</v>
      </c>
      <c r="J389" s="25">
        <f>[1]!b_stm07_bs(B389,109,$A389,1,100000000)</f>
        <v>0</v>
      </c>
      <c r="K389" s="10">
        <f>[1]!s_stmnote_bank_5n(B389,$A389,1)</f>
        <v>0</v>
      </c>
      <c r="L389" s="25">
        <f>[1]!s_stmnote_bank_23n(B389,$A389,1)</f>
        <v>0</v>
      </c>
      <c r="M389" s="25">
        <f>[1]!s_stmnote_bank_capadequacyratio(B389,$A389,1)</f>
        <v>0</v>
      </c>
      <c r="N389" s="25">
        <f>[1]!s_stmnote_bank_capadequacyratio_ct1(B389,$A389,1)</f>
        <v>0</v>
      </c>
      <c r="O389" s="6">
        <f>IF(OR([1]!s_fa_roe(B389,20201231)="0",[1]!s_fa_roe(B389,20211231)="0",[1]!s_fa_roe(B389,20221231)="0"),"",IFERROR(([1]!s_fa_roe(B389,20221231)+[1]!s_fa_roe(B389,20201231)+[1]!s_fa_roe(B389,20211231))/3,""))</f>
        <v>0</v>
      </c>
      <c r="P389" s="28" t="str">
        <f>IFERROR(([1]!s_stmnote_bank_65(B389,$A389,1,2,4,100000000)+[1]!s_stmnote_bank_65(B389,$A389,1,2,6,100000000))/[1]!s_stmnote_bank_1n(B389,$A389,1,100000000),"")</f>
        <v/>
      </c>
      <c r="Q389" s="28" t="str">
        <f>IFERROR([1]!s_stmnote_bank_614(B389,$A389,1,2,100000000)/[1]!s_stmnote_bank_647(B389,$A389,1,2,100000000),"")</f>
        <v/>
      </c>
      <c r="R389" s="28" t="str">
        <f>IFERROR(([1]!b_stm07_bs(B389,104,$A389,1,100000000)+[1]!b_stm07_bs(B389,106,$A389,1,100000000)+[1]!b_stm07_bs(B389,76,$A389,1,100000000)+[1]!b_stm07_bs(B389,108,$A389,1,100000000)+[1]!b_stm07_bs(B389,95,$A389,1,100000000))/[1]!b_stm07_bs(B389,128,$A389,1,100000000),"")</f>
        <v/>
      </c>
      <c r="S389" s="28" t="str">
        <f>IFERROR(([1]!s_stmnote_bank_614(B389,$A389,1,2,100000000)+[1]!b_stm07_bs(B389,104,$A389,1,100000000)+[1]!b_stm07_bs(B389,106,$A389,1,100000000)+[1]!b_stm07_bs(B389,76,$A389,1,100000000)+[1]!b_stm07_bs(B389,108,$A389,1,100000000)+[1]!b_stm07_bs(B389,95,$A389,1,100000000))/[1]!b_stm07_bs(B389,128,$A389,1,100000000),"")</f>
        <v/>
      </c>
      <c r="T389" s="11">
        <f>[1]!b_issuer_shareholder(B389,"",1)</f>
        <v>0</v>
      </c>
      <c r="U389" s="10">
        <f>[1]!b_issuer_propofshareholder(B389,"",1)</f>
        <v>0</v>
      </c>
      <c r="V389" s="33" t="str">
        <f t="shared" si="13"/>
        <v>0</v>
      </c>
      <c r="W389" s="33">
        <f>[1]!s_info_city(B389)</f>
        <v>0</v>
      </c>
      <c r="X389" s="10">
        <f>IF([1]!s_stmnote_bank_17n(B389,$A389,1)="0","",[1]!s_stmnote_bank_17n(B389,$A389,1))</f>
        <v>0</v>
      </c>
      <c r="Y389" s="10">
        <f>IF([1]!s_stmnote_bank_18n(B389,$A389,1)="0","",[1]!s_stmnote_bank_18n(B389,$A389,1))</f>
        <v>0</v>
      </c>
      <c r="Z389" s="41">
        <f>IF([1]!s_stmnote_bank_58(B389,$A389,1)="0","",[1]!s_stmnote_bank_58(B389,$A389,1))</f>
        <v>0</v>
      </c>
      <c r="AA389" s="52">
        <f>IF([1]!s_stmnote_bank_60(B389,$A389,1)="0","",[1]!s_stmnote_bank_60(B389,$A389,1))</f>
        <v>0</v>
      </c>
      <c r="AB389" s="52">
        <f>[1]!s_stmnote_bank_5444(B389,$A389,1)</f>
        <v>0</v>
      </c>
      <c r="AC389" s="38">
        <f>[1]!s_stmnote_bank_129n($B389,$A389,1)</f>
        <v>0</v>
      </c>
      <c r="AD389" s="54">
        <f>[1]!s_stmnote_bank_30(B389,$A389,1)</f>
        <v>0</v>
      </c>
    </row>
    <row r="390" spans="1:30" ht="24">
      <c r="A390" s="1" t="s">
        <v>1110</v>
      </c>
      <c r="B390" s="87" t="s">
        <v>1498</v>
      </c>
      <c r="C390" s="8">
        <f>IF([1]!b_info_issuer(B390)="0","",IFERROR([1]!b_info_issuer(B390),""))</f>
        <v>0</v>
      </c>
      <c r="D390" s="11">
        <f>IF([1]!b_info_latestissurercreditrating(B390)="0","",IFERROR([1]!b_info_latestissurercreditrating(B390),""))</f>
        <v>0</v>
      </c>
      <c r="E390" s="27" t="str">
        <f>IFERROR(([1]!b_stm07_bs($B390,47,$A390,1,100000000))/[1]!b_stm07_bs($B390,109,$A390,1,100000000),"")</f>
        <v/>
      </c>
      <c r="F390" s="18" t="str">
        <f>IFERROR(([1]!s_stmnote_bank_26($B390,$A390,1,100000000)-[1]!s_stmnote_bank_26($B390,#REF!,1,100000000)+#REF!)/[1]!s_stmnote_bank_1n($B390,#REF!,1,100000000),"")</f>
        <v/>
      </c>
      <c r="G390" s="21" t="str">
        <f t="shared" si="12"/>
        <v/>
      </c>
      <c r="H390" s="18" t="str">
        <f>IFERROR([1]!s_stmnote_bank($B390,"34",$A390,100000000)/[1]!s_stmnote_bank_1n(B390,$A390,1,100000000),"")</f>
        <v/>
      </c>
      <c r="I390" s="25">
        <f>[1]!b_stm07_bs(B390,74,$A390,1,100000000)</f>
        <v>0</v>
      </c>
      <c r="J390" s="25">
        <f>[1]!b_stm07_bs(B390,109,$A390,1,100000000)</f>
        <v>0</v>
      </c>
      <c r="K390" s="10">
        <f>[1]!s_stmnote_bank_5n(B390,$A390,1)</f>
        <v>0</v>
      </c>
      <c r="L390" s="25">
        <f>[1]!s_stmnote_bank_23n(B390,$A390,1)</f>
        <v>0</v>
      </c>
      <c r="M390" s="25">
        <f>[1]!s_stmnote_bank_capadequacyratio(B390,$A390,1)</f>
        <v>0</v>
      </c>
      <c r="N390" s="25">
        <f>[1]!s_stmnote_bank_capadequacyratio_ct1(B390,$A390,1)</f>
        <v>0</v>
      </c>
      <c r="O390" s="6">
        <f>IF(OR([1]!s_fa_roe(B390,20201231)="0",[1]!s_fa_roe(B390,20211231)="0",[1]!s_fa_roe(B390,20221231)="0"),"",IFERROR(([1]!s_fa_roe(B390,20221231)+[1]!s_fa_roe(B390,20201231)+[1]!s_fa_roe(B390,20211231))/3,""))</f>
        <v>0</v>
      </c>
      <c r="P390" s="28" t="str">
        <f>IFERROR(([1]!s_stmnote_bank_65(B390,$A390,1,2,4,100000000)+[1]!s_stmnote_bank_65(B390,$A390,1,2,6,100000000))/[1]!s_stmnote_bank_1n(B390,$A390,1,100000000),"")</f>
        <v/>
      </c>
      <c r="Q390" s="28" t="str">
        <f>IFERROR([1]!s_stmnote_bank_614(B390,$A390,1,2,100000000)/[1]!s_stmnote_bank_647(B390,$A390,1,2,100000000),"")</f>
        <v/>
      </c>
      <c r="R390" s="28" t="str">
        <f>IFERROR(([1]!b_stm07_bs(B390,104,$A390,1,100000000)+[1]!b_stm07_bs(B390,106,$A390,1,100000000)+[1]!b_stm07_bs(B390,76,$A390,1,100000000)+[1]!b_stm07_bs(B390,108,$A390,1,100000000)+[1]!b_stm07_bs(B390,95,$A390,1,100000000))/[1]!b_stm07_bs(B390,128,$A390,1,100000000),"")</f>
        <v/>
      </c>
      <c r="S390" s="28" t="str">
        <f>IFERROR(([1]!s_stmnote_bank_614(B390,$A390,1,2,100000000)+[1]!b_stm07_bs(B390,104,$A390,1,100000000)+[1]!b_stm07_bs(B390,106,$A390,1,100000000)+[1]!b_stm07_bs(B390,76,$A390,1,100000000)+[1]!b_stm07_bs(B390,108,$A390,1,100000000)+[1]!b_stm07_bs(B390,95,$A390,1,100000000))/[1]!b_stm07_bs(B390,128,$A390,1,100000000),"")</f>
        <v/>
      </c>
      <c r="T390" s="11">
        <f>[1]!b_issuer_shareholder(B390,"",1)</f>
        <v>0</v>
      </c>
      <c r="U390" s="10">
        <f>[1]!b_issuer_propofshareholder(B390,"",1)</f>
        <v>0</v>
      </c>
      <c r="V390" s="33" t="str">
        <f t="shared" si="13"/>
        <v>0</v>
      </c>
      <c r="W390" s="33">
        <f>[1]!s_info_city(B390)</f>
        <v>0</v>
      </c>
      <c r="X390" s="10">
        <f>IF([1]!s_stmnote_bank_17n(B390,$A390,1)="0","",[1]!s_stmnote_bank_17n(B390,$A390,1))</f>
        <v>0</v>
      </c>
      <c r="Y390" s="10">
        <f>IF([1]!s_stmnote_bank_18n(B390,$A390,1)="0","",[1]!s_stmnote_bank_18n(B390,$A390,1))</f>
        <v>0</v>
      </c>
      <c r="Z390" s="41">
        <f>IF([1]!s_stmnote_bank_58(B390,$A390,1)="0","",[1]!s_stmnote_bank_58(B390,$A390,1))</f>
        <v>0</v>
      </c>
      <c r="AA390" s="52">
        <f>IF([1]!s_stmnote_bank_60(B390,$A390,1)="0","",[1]!s_stmnote_bank_60(B390,$A390,1))</f>
        <v>0</v>
      </c>
      <c r="AB390" s="52">
        <f>[1]!s_stmnote_bank_5444(B390,$A390,1)</f>
        <v>0</v>
      </c>
      <c r="AC390" s="38">
        <f>[1]!s_stmnote_bank_129n($B390,$A390,1)</f>
        <v>0</v>
      </c>
      <c r="AD390" s="54">
        <f>[1]!s_stmnote_bank_30(B390,$A390,1)</f>
        <v>0</v>
      </c>
    </row>
    <row r="391" spans="1:30" ht="24">
      <c r="A391" s="1" t="s">
        <v>1110</v>
      </c>
      <c r="B391" s="87" t="s">
        <v>1499</v>
      </c>
      <c r="C391" s="8">
        <f>IF([1]!b_info_issuer(B391)="0","",IFERROR([1]!b_info_issuer(B391),""))</f>
        <v>0</v>
      </c>
      <c r="D391" s="11">
        <f>IF([1]!b_info_latestissurercreditrating(B391)="0","",IFERROR([1]!b_info_latestissurercreditrating(B391),""))</f>
        <v>0</v>
      </c>
      <c r="E391" s="27" t="str">
        <f>IFERROR(([1]!b_stm07_bs($B391,47,$A391,1,100000000))/[1]!b_stm07_bs($B391,109,$A391,1,100000000),"")</f>
        <v/>
      </c>
      <c r="F391" s="18" t="str">
        <f>IFERROR(([1]!s_stmnote_bank_26($B391,$A391,1,100000000)-[1]!s_stmnote_bank_26($B391,#REF!,1,100000000)+#REF!)/[1]!s_stmnote_bank_1n($B391,#REF!,1,100000000),"")</f>
        <v/>
      </c>
      <c r="G391" s="21" t="str">
        <f t="shared" si="12"/>
        <v/>
      </c>
      <c r="H391" s="18" t="str">
        <f>IFERROR([1]!s_stmnote_bank($B391,"34",$A391,100000000)/[1]!s_stmnote_bank_1n(B391,$A391,1,100000000),"")</f>
        <v/>
      </c>
      <c r="I391" s="25">
        <f>[1]!b_stm07_bs(B391,74,$A391,1,100000000)</f>
        <v>0</v>
      </c>
      <c r="J391" s="25">
        <f>[1]!b_stm07_bs(B391,109,$A391,1,100000000)</f>
        <v>0</v>
      </c>
      <c r="K391" s="10">
        <f>[1]!s_stmnote_bank_5n(B391,$A391,1)</f>
        <v>0</v>
      </c>
      <c r="L391" s="25">
        <f>[1]!s_stmnote_bank_23n(B391,$A391,1)</f>
        <v>0</v>
      </c>
      <c r="M391" s="25">
        <f>[1]!s_stmnote_bank_capadequacyratio(B391,$A391,1)</f>
        <v>0</v>
      </c>
      <c r="N391" s="25">
        <f>[1]!s_stmnote_bank_capadequacyratio_ct1(B391,$A391,1)</f>
        <v>0</v>
      </c>
      <c r="O391" s="6">
        <f>IF(OR([1]!s_fa_roe(B391,20201231)="0",[1]!s_fa_roe(B391,20211231)="0",[1]!s_fa_roe(B391,20221231)="0"),"",IFERROR(([1]!s_fa_roe(B391,20221231)+[1]!s_fa_roe(B391,20201231)+[1]!s_fa_roe(B391,20211231))/3,""))</f>
        <v>0</v>
      </c>
      <c r="P391" s="28" t="str">
        <f>IFERROR(([1]!s_stmnote_bank_65(B391,$A391,1,2,4,100000000)+[1]!s_stmnote_bank_65(B391,$A391,1,2,6,100000000))/[1]!s_stmnote_bank_1n(B391,$A391,1,100000000),"")</f>
        <v/>
      </c>
      <c r="Q391" s="28" t="str">
        <f>IFERROR([1]!s_stmnote_bank_614(B391,$A391,1,2,100000000)/[1]!s_stmnote_bank_647(B391,$A391,1,2,100000000),"")</f>
        <v/>
      </c>
      <c r="R391" s="28" t="str">
        <f>IFERROR(([1]!b_stm07_bs(B391,104,$A391,1,100000000)+[1]!b_stm07_bs(B391,106,$A391,1,100000000)+[1]!b_stm07_bs(B391,76,$A391,1,100000000)+[1]!b_stm07_bs(B391,108,$A391,1,100000000)+[1]!b_stm07_bs(B391,95,$A391,1,100000000))/[1]!b_stm07_bs(B391,128,$A391,1,100000000),"")</f>
        <v/>
      </c>
      <c r="S391" s="28" t="str">
        <f>IFERROR(([1]!s_stmnote_bank_614(B391,$A391,1,2,100000000)+[1]!b_stm07_bs(B391,104,$A391,1,100000000)+[1]!b_stm07_bs(B391,106,$A391,1,100000000)+[1]!b_stm07_bs(B391,76,$A391,1,100000000)+[1]!b_stm07_bs(B391,108,$A391,1,100000000)+[1]!b_stm07_bs(B391,95,$A391,1,100000000))/[1]!b_stm07_bs(B391,128,$A391,1,100000000),"")</f>
        <v/>
      </c>
      <c r="T391" s="11">
        <f>[1]!b_issuer_shareholder(B391,"",1)</f>
        <v>0</v>
      </c>
      <c r="U391" s="10">
        <f>[1]!b_issuer_propofshareholder(B391,"",1)</f>
        <v>0</v>
      </c>
      <c r="V391" s="33" t="str">
        <f t="shared" si="13"/>
        <v>0</v>
      </c>
      <c r="W391" s="33">
        <f>[1]!s_info_city(B391)</f>
        <v>0</v>
      </c>
      <c r="X391" s="10">
        <f>IF([1]!s_stmnote_bank_17n(B391,$A391,1)="0","",[1]!s_stmnote_bank_17n(B391,$A391,1))</f>
        <v>0</v>
      </c>
      <c r="Y391" s="10">
        <f>IF([1]!s_stmnote_bank_18n(B391,$A391,1)="0","",[1]!s_stmnote_bank_18n(B391,$A391,1))</f>
        <v>0</v>
      </c>
      <c r="Z391" s="41">
        <f>IF([1]!s_stmnote_bank_58(B391,$A391,1)="0","",[1]!s_stmnote_bank_58(B391,$A391,1))</f>
        <v>0</v>
      </c>
      <c r="AA391" s="52">
        <f>IF([1]!s_stmnote_bank_60(B391,$A391,1)="0","",[1]!s_stmnote_bank_60(B391,$A391,1))</f>
        <v>0</v>
      </c>
      <c r="AB391" s="52">
        <f>[1]!s_stmnote_bank_5444(B391,$A391,1)</f>
        <v>0</v>
      </c>
      <c r="AC391" s="38">
        <f>[1]!s_stmnote_bank_129n($B391,$A391,1)</f>
        <v>0</v>
      </c>
      <c r="AD391" s="54">
        <f>[1]!s_stmnote_bank_30(B391,$A391,1)</f>
        <v>0</v>
      </c>
    </row>
    <row r="392" spans="1:30" ht="24">
      <c r="A392" s="1" t="s">
        <v>1110</v>
      </c>
      <c r="B392" s="87" t="s">
        <v>1500</v>
      </c>
      <c r="C392" s="8">
        <f>IF([1]!b_info_issuer(B392)="0","",IFERROR([1]!b_info_issuer(B392),""))</f>
        <v>0</v>
      </c>
      <c r="D392" s="11">
        <f>IF([1]!b_info_latestissurercreditrating(B392)="0","",IFERROR([1]!b_info_latestissurercreditrating(B392),""))</f>
        <v>0</v>
      </c>
      <c r="E392" s="27" t="str">
        <f>IFERROR(([1]!b_stm07_bs($B392,47,$A392,1,100000000))/[1]!b_stm07_bs($B392,109,$A392,1,100000000),"")</f>
        <v/>
      </c>
      <c r="F392" s="18" t="str">
        <f>IFERROR(([1]!s_stmnote_bank_26($B392,$A392,1,100000000)-[1]!s_stmnote_bank_26($B392,#REF!,1,100000000)+#REF!)/[1]!s_stmnote_bank_1n($B392,#REF!,1,100000000),"")</f>
        <v/>
      </c>
      <c r="G392" s="21" t="str">
        <f t="shared" si="12"/>
        <v/>
      </c>
      <c r="H392" s="18" t="str">
        <f>IFERROR([1]!s_stmnote_bank($B392,"34",$A392,100000000)/[1]!s_stmnote_bank_1n(B392,$A392,1,100000000),"")</f>
        <v/>
      </c>
      <c r="I392" s="25">
        <f>[1]!b_stm07_bs(B392,74,$A392,1,100000000)</f>
        <v>0</v>
      </c>
      <c r="J392" s="25">
        <f>[1]!b_stm07_bs(B392,109,$A392,1,100000000)</f>
        <v>0</v>
      </c>
      <c r="K392" s="10">
        <f>[1]!s_stmnote_bank_5n(B392,$A392,1)</f>
        <v>0</v>
      </c>
      <c r="L392" s="25">
        <f>[1]!s_stmnote_bank_23n(B392,$A392,1)</f>
        <v>0</v>
      </c>
      <c r="M392" s="25">
        <f>[1]!s_stmnote_bank_capadequacyratio(B392,$A392,1)</f>
        <v>0</v>
      </c>
      <c r="N392" s="25">
        <f>[1]!s_stmnote_bank_capadequacyratio_ct1(B392,$A392,1)</f>
        <v>0</v>
      </c>
      <c r="O392" s="6">
        <f>IF(OR([1]!s_fa_roe(B392,20201231)="0",[1]!s_fa_roe(B392,20211231)="0",[1]!s_fa_roe(B392,20221231)="0"),"",IFERROR(([1]!s_fa_roe(B392,20221231)+[1]!s_fa_roe(B392,20201231)+[1]!s_fa_roe(B392,20211231))/3,""))</f>
        <v>0</v>
      </c>
      <c r="P392" s="28" t="str">
        <f>IFERROR(([1]!s_stmnote_bank_65(B392,$A392,1,2,4,100000000)+[1]!s_stmnote_bank_65(B392,$A392,1,2,6,100000000))/[1]!s_stmnote_bank_1n(B392,$A392,1,100000000),"")</f>
        <v/>
      </c>
      <c r="Q392" s="28" t="str">
        <f>IFERROR([1]!s_stmnote_bank_614(B392,$A392,1,2,100000000)/[1]!s_stmnote_bank_647(B392,$A392,1,2,100000000),"")</f>
        <v/>
      </c>
      <c r="R392" s="28" t="str">
        <f>IFERROR(([1]!b_stm07_bs(B392,104,$A392,1,100000000)+[1]!b_stm07_bs(B392,106,$A392,1,100000000)+[1]!b_stm07_bs(B392,76,$A392,1,100000000)+[1]!b_stm07_bs(B392,108,$A392,1,100000000)+[1]!b_stm07_bs(B392,95,$A392,1,100000000))/[1]!b_stm07_bs(B392,128,$A392,1,100000000),"")</f>
        <v/>
      </c>
      <c r="S392" s="28" t="str">
        <f>IFERROR(([1]!s_stmnote_bank_614(B392,$A392,1,2,100000000)+[1]!b_stm07_bs(B392,104,$A392,1,100000000)+[1]!b_stm07_bs(B392,106,$A392,1,100000000)+[1]!b_stm07_bs(B392,76,$A392,1,100000000)+[1]!b_stm07_bs(B392,108,$A392,1,100000000)+[1]!b_stm07_bs(B392,95,$A392,1,100000000))/[1]!b_stm07_bs(B392,128,$A392,1,100000000),"")</f>
        <v/>
      </c>
      <c r="T392" s="11">
        <f>[1]!b_issuer_shareholder(B392,"",1)</f>
        <v>0</v>
      </c>
      <c r="U392" s="10">
        <f>[1]!b_issuer_propofshareholder(B392,"",1)</f>
        <v>0</v>
      </c>
      <c r="V392" s="33" t="str">
        <f t="shared" si="13"/>
        <v>0</v>
      </c>
      <c r="W392" s="33">
        <f>[1]!s_info_city(B392)</f>
        <v>0</v>
      </c>
      <c r="X392" s="10">
        <f>IF([1]!s_stmnote_bank_17n(B392,$A392,1)="0","",[1]!s_stmnote_bank_17n(B392,$A392,1))</f>
        <v>0</v>
      </c>
      <c r="Y392" s="10">
        <f>IF([1]!s_stmnote_bank_18n(B392,$A392,1)="0","",[1]!s_stmnote_bank_18n(B392,$A392,1))</f>
        <v>0</v>
      </c>
      <c r="Z392" s="41">
        <f>IF([1]!s_stmnote_bank_58(B392,$A392,1)="0","",[1]!s_stmnote_bank_58(B392,$A392,1))</f>
        <v>0</v>
      </c>
      <c r="AA392" s="52">
        <f>IF([1]!s_stmnote_bank_60(B392,$A392,1)="0","",[1]!s_stmnote_bank_60(B392,$A392,1))</f>
        <v>0</v>
      </c>
      <c r="AB392" s="52">
        <f>[1]!s_stmnote_bank_5444(B392,$A392,1)</f>
        <v>0</v>
      </c>
      <c r="AC392" s="38">
        <f>[1]!s_stmnote_bank_129n($B392,$A392,1)</f>
        <v>0</v>
      </c>
      <c r="AD392" s="54">
        <f>[1]!s_stmnote_bank_30(B392,$A392,1)</f>
        <v>0</v>
      </c>
    </row>
    <row r="393" spans="1:30" ht="24">
      <c r="A393" s="1" t="s">
        <v>1110</v>
      </c>
      <c r="B393" s="87" t="s">
        <v>1501</v>
      </c>
      <c r="C393" s="8">
        <f>IF([1]!b_info_issuer(B393)="0","",IFERROR([1]!b_info_issuer(B393),""))</f>
        <v>0</v>
      </c>
      <c r="D393" s="11">
        <f>IF([1]!b_info_latestissurercreditrating(B393)="0","",IFERROR([1]!b_info_latestissurercreditrating(B393),""))</f>
        <v>0</v>
      </c>
      <c r="E393" s="27" t="str">
        <f>IFERROR(([1]!b_stm07_bs($B393,47,$A393,1,100000000))/[1]!b_stm07_bs($B393,109,$A393,1,100000000),"")</f>
        <v/>
      </c>
      <c r="F393" s="18" t="str">
        <f>IFERROR(([1]!s_stmnote_bank_26($B393,$A393,1,100000000)-[1]!s_stmnote_bank_26($B393,#REF!,1,100000000)+#REF!)/[1]!s_stmnote_bank_1n($B393,#REF!,1,100000000),"")</f>
        <v/>
      </c>
      <c r="G393" s="21" t="str">
        <f t="shared" si="12"/>
        <v/>
      </c>
      <c r="H393" s="18" t="str">
        <f>IFERROR([1]!s_stmnote_bank($B393,"34",$A393,100000000)/[1]!s_stmnote_bank_1n(B393,$A393,1,100000000),"")</f>
        <v/>
      </c>
      <c r="I393" s="25">
        <f>[1]!b_stm07_bs(B393,74,$A393,1,100000000)</f>
        <v>0</v>
      </c>
      <c r="J393" s="25">
        <f>[1]!b_stm07_bs(B393,109,$A393,1,100000000)</f>
        <v>0</v>
      </c>
      <c r="K393" s="10">
        <f>[1]!s_stmnote_bank_5n(B393,$A393,1)</f>
        <v>0</v>
      </c>
      <c r="L393" s="25">
        <f>[1]!s_stmnote_bank_23n(B393,$A393,1)</f>
        <v>0</v>
      </c>
      <c r="M393" s="25">
        <f>[1]!s_stmnote_bank_capadequacyratio(B393,$A393,1)</f>
        <v>0</v>
      </c>
      <c r="N393" s="25">
        <f>[1]!s_stmnote_bank_capadequacyratio_ct1(B393,$A393,1)</f>
        <v>0</v>
      </c>
      <c r="O393" s="6">
        <f>IF(OR([1]!s_fa_roe(B393,20201231)="0",[1]!s_fa_roe(B393,20211231)="0",[1]!s_fa_roe(B393,20221231)="0"),"",IFERROR(([1]!s_fa_roe(B393,20221231)+[1]!s_fa_roe(B393,20201231)+[1]!s_fa_roe(B393,20211231))/3,""))</f>
        <v>0</v>
      </c>
      <c r="P393" s="28" t="str">
        <f>IFERROR(([1]!s_stmnote_bank_65(B393,$A393,1,2,4,100000000)+[1]!s_stmnote_bank_65(B393,$A393,1,2,6,100000000))/[1]!s_stmnote_bank_1n(B393,$A393,1,100000000),"")</f>
        <v/>
      </c>
      <c r="Q393" s="28" t="str">
        <f>IFERROR([1]!s_stmnote_bank_614(B393,$A393,1,2,100000000)/[1]!s_stmnote_bank_647(B393,$A393,1,2,100000000),"")</f>
        <v/>
      </c>
      <c r="R393" s="28" t="str">
        <f>IFERROR(([1]!b_stm07_bs(B393,104,$A393,1,100000000)+[1]!b_stm07_bs(B393,106,$A393,1,100000000)+[1]!b_stm07_bs(B393,76,$A393,1,100000000)+[1]!b_stm07_bs(B393,108,$A393,1,100000000)+[1]!b_stm07_bs(B393,95,$A393,1,100000000))/[1]!b_stm07_bs(B393,128,$A393,1,100000000),"")</f>
        <v/>
      </c>
      <c r="S393" s="28" t="str">
        <f>IFERROR(([1]!s_stmnote_bank_614(B393,$A393,1,2,100000000)+[1]!b_stm07_bs(B393,104,$A393,1,100000000)+[1]!b_stm07_bs(B393,106,$A393,1,100000000)+[1]!b_stm07_bs(B393,76,$A393,1,100000000)+[1]!b_stm07_bs(B393,108,$A393,1,100000000)+[1]!b_stm07_bs(B393,95,$A393,1,100000000))/[1]!b_stm07_bs(B393,128,$A393,1,100000000),"")</f>
        <v/>
      </c>
      <c r="T393" s="11">
        <f>[1]!b_issuer_shareholder(B393,"",1)</f>
        <v>0</v>
      </c>
      <c r="U393" s="10">
        <f>[1]!b_issuer_propofshareholder(B393,"",1)</f>
        <v>0</v>
      </c>
      <c r="V393" s="33" t="str">
        <f t="shared" si="13"/>
        <v>0</v>
      </c>
      <c r="W393" s="33">
        <f>[1]!s_info_city(B393)</f>
        <v>0</v>
      </c>
      <c r="X393" s="10">
        <f>IF([1]!s_stmnote_bank_17n(B393,$A393,1)="0","",[1]!s_stmnote_bank_17n(B393,$A393,1))</f>
        <v>0</v>
      </c>
      <c r="Y393" s="10">
        <f>IF([1]!s_stmnote_bank_18n(B393,$A393,1)="0","",[1]!s_stmnote_bank_18n(B393,$A393,1))</f>
        <v>0</v>
      </c>
      <c r="Z393" s="41">
        <f>IF([1]!s_stmnote_bank_58(B393,$A393,1)="0","",[1]!s_stmnote_bank_58(B393,$A393,1))</f>
        <v>0</v>
      </c>
      <c r="AA393" s="52">
        <f>IF([1]!s_stmnote_bank_60(B393,$A393,1)="0","",[1]!s_stmnote_bank_60(B393,$A393,1))</f>
        <v>0</v>
      </c>
      <c r="AB393" s="52">
        <f>[1]!s_stmnote_bank_5444(B393,$A393,1)</f>
        <v>0</v>
      </c>
      <c r="AC393" s="38">
        <f>[1]!s_stmnote_bank_129n($B393,$A393,1)</f>
        <v>0</v>
      </c>
      <c r="AD393" s="54">
        <f>[1]!s_stmnote_bank_30(B393,$A393,1)</f>
        <v>0</v>
      </c>
    </row>
    <row r="394" spans="1:30" ht="24">
      <c r="A394" s="1" t="s">
        <v>1110</v>
      </c>
      <c r="B394" s="87" t="s">
        <v>1502</v>
      </c>
      <c r="C394" s="8">
        <f>IF([1]!b_info_issuer(B394)="0","",IFERROR([1]!b_info_issuer(B394),""))</f>
        <v>0</v>
      </c>
      <c r="D394" s="11">
        <f>IF([1]!b_info_latestissurercreditrating(B394)="0","",IFERROR([1]!b_info_latestissurercreditrating(B394),""))</f>
        <v>0</v>
      </c>
      <c r="E394" s="27" t="str">
        <f>IFERROR(([1]!b_stm07_bs($B394,47,$A394,1,100000000))/[1]!b_stm07_bs($B394,109,$A394,1,100000000),"")</f>
        <v/>
      </c>
      <c r="F394" s="18" t="str">
        <f>IFERROR(([1]!s_stmnote_bank_26($B394,$A394,1,100000000)-[1]!s_stmnote_bank_26($B394,#REF!,1,100000000)+#REF!)/[1]!s_stmnote_bank_1n($B394,#REF!,1,100000000),"")</f>
        <v/>
      </c>
      <c r="G394" s="21" t="str">
        <f t="shared" si="12"/>
        <v/>
      </c>
      <c r="H394" s="18" t="str">
        <f>IFERROR([1]!s_stmnote_bank($B394,"34",$A394,100000000)/[1]!s_stmnote_bank_1n(B394,$A394,1,100000000),"")</f>
        <v/>
      </c>
      <c r="I394" s="25">
        <f>[1]!b_stm07_bs(B394,74,$A394,1,100000000)</f>
        <v>0</v>
      </c>
      <c r="J394" s="25">
        <f>[1]!b_stm07_bs(B394,109,$A394,1,100000000)</f>
        <v>0</v>
      </c>
      <c r="K394" s="10">
        <f>[1]!s_stmnote_bank_5n(B394,$A394,1)</f>
        <v>0</v>
      </c>
      <c r="L394" s="25">
        <f>[1]!s_stmnote_bank_23n(B394,$A394,1)</f>
        <v>0</v>
      </c>
      <c r="M394" s="25">
        <f>[1]!s_stmnote_bank_capadequacyratio(B394,$A394,1)</f>
        <v>0</v>
      </c>
      <c r="N394" s="25">
        <f>[1]!s_stmnote_bank_capadequacyratio_ct1(B394,$A394,1)</f>
        <v>0</v>
      </c>
      <c r="O394" s="6">
        <f>IF(OR([1]!s_fa_roe(B394,20201231)="0",[1]!s_fa_roe(B394,20211231)="0",[1]!s_fa_roe(B394,20221231)="0"),"",IFERROR(([1]!s_fa_roe(B394,20221231)+[1]!s_fa_roe(B394,20201231)+[1]!s_fa_roe(B394,20211231))/3,""))</f>
        <v>0</v>
      </c>
      <c r="P394" s="28" t="str">
        <f>IFERROR(([1]!s_stmnote_bank_65(B394,$A394,1,2,4,100000000)+[1]!s_stmnote_bank_65(B394,$A394,1,2,6,100000000))/[1]!s_stmnote_bank_1n(B394,$A394,1,100000000),"")</f>
        <v/>
      </c>
      <c r="Q394" s="28" t="str">
        <f>IFERROR([1]!s_stmnote_bank_614(B394,$A394,1,2,100000000)/[1]!s_stmnote_bank_647(B394,$A394,1,2,100000000),"")</f>
        <v/>
      </c>
      <c r="R394" s="28" t="str">
        <f>IFERROR(([1]!b_stm07_bs(B394,104,$A394,1,100000000)+[1]!b_stm07_bs(B394,106,$A394,1,100000000)+[1]!b_stm07_bs(B394,76,$A394,1,100000000)+[1]!b_stm07_bs(B394,108,$A394,1,100000000)+[1]!b_stm07_bs(B394,95,$A394,1,100000000))/[1]!b_stm07_bs(B394,128,$A394,1,100000000),"")</f>
        <v/>
      </c>
      <c r="S394" s="28" t="str">
        <f>IFERROR(([1]!s_stmnote_bank_614(B394,$A394,1,2,100000000)+[1]!b_stm07_bs(B394,104,$A394,1,100000000)+[1]!b_stm07_bs(B394,106,$A394,1,100000000)+[1]!b_stm07_bs(B394,76,$A394,1,100000000)+[1]!b_stm07_bs(B394,108,$A394,1,100000000)+[1]!b_stm07_bs(B394,95,$A394,1,100000000))/[1]!b_stm07_bs(B394,128,$A394,1,100000000),"")</f>
        <v/>
      </c>
      <c r="T394" s="11">
        <f>[1]!b_issuer_shareholder(B394,"",1)</f>
        <v>0</v>
      </c>
      <c r="U394" s="10">
        <f>[1]!b_issuer_propofshareholder(B394,"",1)</f>
        <v>0</v>
      </c>
      <c r="V394" s="33" t="str">
        <f t="shared" si="13"/>
        <v>0</v>
      </c>
      <c r="W394" s="33">
        <f>[1]!s_info_city(B394)</f>
        <v>0</v>
      </c>
      <c r="X394" s="10">
        <f>IF([1]!s_stmnote_bank_17n(B394,$A394,1)="0","",[1]!s_stmnote_bank_17n(B394,$A394,1))</f>
        <v>0</v>
      </c>
      <c r="Y394" s="10">
        <f>IF([1]!s_stmnote_bank_18n(B394,$A394,1)="0","",[1]!s_stmnote_bank_18n(B394,$A394,1))</f>
        <v>0</v>
      </c>
      <c r="Z394" s="41">
        <f>IF([1]!s_stmnote_bank_58(B394,$A394,1)="0","",[1]!s_stmnote_bank_58(B394,$A394,1))</f>
        <v>0</v>
      </c>
      <c r="AA394" s="52">
        <f>IF([1]!s_stmnote_bank_60(B394,$A394,1)="0","",[1]!s_stmnote_bank_60(B394,$A394,1))</f>
        <v>0</v>
      </c>
      <c r="AB394" s="52">
        <f>[1]!s_stmnote_bank_5444(B394,$A394,1)</f>
        <v>0</v>
      </c>
      <c r="AC394" s="38">
        <f>[1]!s_stmnote_bank_129n($B394,$A394,1)</f>
        <v>0</v>
      </c>
      <c r="AD394" s="54">
        <f>[1]!s_stmnote_bank_30(B394,$A394,1)</f>
        <v>0</v>
      </c>
    </row>
    <row r="395" spans="1:30" ht="24">
      <c r="A395" s="1" t="s">
        <v>1110</v>
      </c>
      <c r="B395" s="87" t="s">
        <v>1503</v>
      </c>
      <c r="C395" s="8">
        <f>IF([1]!b_info_issuer(B395)="0","",IFERROR([1]!b_info_issuer(B395),""))</f>
        <v>0</v>
      </c>
      <c r="D395" s="11">
        <f>IF([1]!b_info_latestissurercreditrating(B395)="0","",IFERROR([1]!b_info_latestissurercreditrating(B395),""))</f>
        <v>0</v>
      </c>
      <c r="E395" s="27" t="str">
        <f>IFERROR(([1]!b_stm07_bs($B395,47,$A395,1,100000000))/[1]!b_stm07_bs($B395,109,$A395,1,100000000),"")</f>
        <v/>
      </c>
      <c r="F395" s="18" t="str">
        <f>IFERROR(([1]!s_stmnote_bank_26($B395,$A395,1,100000000)-[1]!s_stmnote_bank_26($B395,#REF!,1,100000000)+#REF!)/[1]!s_stmnote_bank_1n($B395,#REF!,1,100000000),"")</f>
        <v/>
      </c>
      <c r="G395" s="21" t="str">
        <f t="shared" si="12"/>
        <v/>
      </c>
      <c r="H395" s="18" t="str">
        <f>IFERROR([1]!s_stmnote_bank($B395,"34",$A395,100000000)/[1]!s_stmnote_bank_1n(B395,$A395,1,100000000),"")</f>
        <v/>
      </c>
      <c r="I395" s="25">
        <f>[1]!b_stm07_bs(B395,74,$A395,1,100000000)</f>
        <v>0</v>
      </c>
      <c r="J395" s="25">
        <f>[1]!b_stm07_bs(B395,109,$A395,1,100000000)</f>
        <v>0</v>
      </c>
      <c r="K395" s="10">
        <f>[1]!s_stmnote_bank_5n(B395,$A395,1)</f>
        <v>0</v>
      </c>
      <c r="L395" s="25">
        <f>[1]!s_stmnote_bank_23n(B395,$A395,1)</f>
        <v>0</v>
      </c>
      <c r="M395" s="25">
        <f>[1]!s_stmnote_bank_capadequacyratio(B395,$A395,1)</f>
        <v>0</v>
      </c>
      <c r="N395" s="25">
        <f>[1]!s_stmnote_bank_capadequacyratio_ct1(B395,$A395,1)</f>
        <v>0</v>
      </c>
      <c r="O395" s="6">
        <f>IF(OR([1]!s_fa_roe(B395,20201231)="0",[1]!s_fa_roe(B395,20211231)="0",[1]!s_fa_roe(B395,20221231)="0"),"",IFERROR(([1]!s_fa_roe(B395,20221231)+[1]!s_fa_roe(B395,20201231)+[1]!s_fa_roe(B395,20211231))/3,""))</f>
        <v>0</v>
      </c>
      <c r="P395" s="28" t="str">
        <f>IFERROR(([1]!s_stmnote_bank_65(B395,$A395,1,2,4,100000000)+[1]!s_stmnote_bank_65(B395,$A395,1,2,6,100000000))/[1]!s_stmnote_bank_1n(B395,$A395,1,100000000),"")</f>
        <v/>
      </c>
      <c r="Q395" s="28" t="str">
        <f>IFERROR([1]!s_stmnote_bank_614(B395,$A395,1,2,100000000)/[1]!s_stmnote_bank_647(B395,$A395,1,2,100000000),"")</f>
        <v/>
      </c>
      <c r="R395" s="28" t="str">
        <f>IFERROR(([1]!b_stm07_bs(B395,104,$A395,1,100000000)+[1]!b_stm07_bs(B395,106,$A395,1,100000000)+[1]!b_stm07_bs(B395,76,$A395,1,100000000)+[1]!b_stm07_bs(B395,108,$A395,1,100000000)+[1]!b_stm07_bs(B395,95,$A395,1,100000000))/[1]!b_stm07_bs(B395,128,$A395,1,100000000),"")</f>
        <v/>
      </c>
      <c r="S395" s="28" t="str">
        <f>IFERROR(([1]!s_stmnote_bank_614(B395,$A395,1,2,100000000)+[1]!b_stm07_bs(B395,104,$A395,1,100000000)+[1]!b_stm07_bs(B395,106,$A395,1,100000000)+[1]!b_stm07_bs(B395,76,$A395,1,100000000)+[1]!b_stm07_bs(B395,108,$A395,1,100000000)+[1]!b_stm07_bs(B395,95,$A395,1,100000000))/[1]!b_stm07_bs(B395,128,$A395,1,100000000),"")</f>
        <v/>
      </c>
      <c r="T395" s="11">
        <f>[1]!b_issuer_shareholder(B395,"",1)</f>
        <v>0</v>
      </c>
      <c r="U395" s="10">
        <f>[1]!b_issuer_propofshareholder(B395,"",1)</f>
        <v>0</v>
      </c>
      <c r="V395" s="33" t="str">
        <f t="shared" si="13"/>
        <v>0</v>
      </c>
      <c r="W395" s="33">
        <f>[1]!s_info_city(B395)</f>
        <v>0</v>
      </c>
      <c r="X395" s="10">
        <f>IF([1]!s_stmnote_bank_17n(B395,$A395,1)="0","",[1]!s_stmnote_bank_17n(B395,$A395,1))</f>
        <v>0</v>
      </c>
      <c r="Y395" s="10">
        <f>IF([1]!s_stmnote_bank_18n(B395,$A395,1)="0","",[1]!s_stmnote_bank_18n(B395,$A395,1))</f>
        <v>0</v>
      </c>
      <c r="Z395" s="41">
        <f>IF([1]!s_stmnote_bank_58(B395,$A395,1)="0","",[1]!s_stmnote_bank_58(B395,$A395,1))</f>
        <v>0</v>
      </c>
      <c r="AA395" s="52">
        <f>IF([1]!s_stmnote_bank_60(B395,$A395,1)="0","",[1]!s_stmnote_bank_60(B395,$A395,1))</f>
        <v>0</v>
      </c>
      <c r="AB395" s="52">
        <f>[1]!s_stmnote_bank_5444(B395,$A395,1)</f>
        <v>0</v>
      </c>
      <c r="AC395" s="38">
        <f>[1]!s_stmnote_bank_129n($B395,$A395,1)</f>
        <v>0</v>
      </c>
      <c r="AD395" s="54">
        <f>[1]!s_stmnote_bank_30(B395,$A395,1)</f>
        <v>0</v>
      </c>
    </row>
    <row r="396" spans="1:30" ht="24">
      <c r="A396" s="1" t="s">
        <v>1110</v>
      </c>
      <c r="B396" s="87" t="s">
        <v>1504</v>
      </c>
      <c r="C396" s="8">
        <f>IF([1]!b_info_issuer(B396)="0","",IFERROR([1]!b_info_issuer(B396),""))</f>
        <v>0</v>
      </c>
      <c r="D396" s="11">
        <f>IF([1]!b_info_latestissurercreditrating(B396)="0","",IFERROR([1]!b_info_latestissurercreditrating(B396),""))</f>
        <v>0</v>
      </c>
      <c r="E396" s="27" t="str">
        <f>IFERROR(([1]!b_stm07_bs($B396,47,$A396,1,100000000))/[1]!b_stm07_bs($B396,109,$A396,1,100000000),"")</f>
        <v/>
      </c>
      <c r="F396" s="18" t="str">
        <f>IFERROR(([1]!s_stmnote_bank_26($B396,$A396,1,100000000)-[1]!s_stmnote_bank_26($B396,#REF!,1,100000000)+#REF!)/[1]!s_stmnote_bank_1n($B396,#REF!,1,100000000),"")</f>
        <v/>
      </c>
      <c r="G396" s="21" t="str">
        <f t="shared" si="12"/>
        <v/>
      </c>
      <c r="H396" s="18" t="str">
        <f>IFERROR([1]!s_stmnote_bank($B396,"34",$A396,100000000)/[1]!s_stmnote_bank_1n(B396,$A396,1,100000000),"")</f>
        <v/>
      </c>
      <c r="I396" s="25">
        <f>[1]!b_stm07_bs(B396,74,$A396,1,100000000)</f>
        <v>0</v>
      </c>
      <c r="J396" s="25">
        <f>[1]!b_stm07_bs(B396,109,$A396,1,100000000)</f>
        <v>0</v>
      </c>
      <c r="K396" s="10">
        <f>[1]!s_stmnote_bank_5n(B396,$A396,1)</f>
        <v>0</v>
      </c>
      <c r="L396" s="25">
        <f>[1]!s_stmnote_bank_23n(B396,$A396,1)</f>
        <v>0</v>
      </c>
      <c r="M396" s="25">
        <f>[1]!s_stmnote_bank_capadequacyratio(B396,$A396,1)</f>
        <v>0</v>
      </c>
      <c r="N396" s="25">
        <f>[1]!s_stmnote_bank_capadequacyratio_ct1(B396,$A396,1)</f>
        <v>0</v>
      </c>
      <c r="O396" s="6">
        <f>IF(OR([1]!s_fa_roe(B396,20201231)="0",[1]!s_fa_roe(B396,20211231)="0",[1]!s_fa_roe(B396,20221231)="0"),"",IFERROR(([1]!s_fa_roe(B396,20221231)+[1]!s_fa_roe(B396,20201231)+[1]!s_fa_roe(B396,20211231))/3,""))</f>
        <v>0</v>
      </c>
      <c r="P396" s="28" t="str">
        <f>IFERROR(([1]!s_stmnote_bank_65(B396,$A396,1,2,4,100000000)+[1]!s_stmnote_bank_65(B396,$A396,1,2,6,100000000))/[1]!s_stmnote_bank_1n(B396,$A396,1,100000000),"")</f>
        <v/>
      </c>
      <c r="Q396" s="28" t="str">
        <f>IFERROR([1]!s_stmnote_bank_614(B396,$A396,1,2,100000000)/[1]!s_stmnote_bank_647(B396,$A396,1,2,100000000),"")</f>
        <v/>
      </c>
      <c r="R396" s="28" t="str">
        <f>IFERROR(([1]!b_stm07_bs(B396,104,$A396,1,100000000)+[1]!b_stm07_bs(B396,106,$A396,1,100000000)+[1]!b_stm07_bs(B396,76,$A396,1,100000000)+[1]!b_stm07_bs(B396,108,$A396,1,100000000)+[1]!b_stm07_bs(B396,95,$A396,1,100000000))/[1]!b_stm07_bs(B396,128,$A396,1,100000000),"")</f>
        <v/>
      </c>
      <c r="S396" s="28" t="str">
        <f>IFERROR(([1]!s_stmnote_bank_614(B396,$A396,1,2,100000000)+[1]!b_stm07_bs(B396,104,$A396,1,100000000)+[1]!b_stm07_bs(B396,106,$A396,1,100000000)+[1]!b_stm07_bs(B396,76,$A396,1,100000000)+[1]!b_stm07_bs(B396,108,$A396,1,100000000)+[1]!b_stm07_bs(B396,95,$A396,1,100000000))/[1]!b_stm07_bs(B396,128,$A396,1,100000000),"")</f>
        <v/>
      </c>
      <c r="T396" s="11">
        <f>[1]!b_issuer_shareholder(B396,"",1)</f>
        <v>0</v>
      </c>
      <c r="U396" s="10">
        <f>[1]!b_issuer_propofshareholder(B396,"",1)</f>
        <v>0</v>
      </c>
      <c r="V396" s="33" t="str">
        <f t="shared" si="13"/>
        <v>0</v>
      </c>
      <c r="W396" s="33">
        <f>[1]!s_info_city(B396)</f>
        <v>0</v>
      </c>
      <c r="X396" s="10">
        <f>IF([1]!s_stmnote_bank_17n(B396,$A396,1)="0","",[1]!s_stmnote_bank_17n(B396,$A396,1))</f>
        <v>0</v>
      </c>
      <c r="Y396" s="10">
        <f>IF([1]!s_stmnote_bank_18n(B396,$A396,1)="0","",[1]!s_stmnote_bank_18n(B396,$A396,1))</f>
        <v>0</v>
      </c>
      <c r="Z396" s="41">
        <f>IF([1]!s_stmnote_bank_58(B396,$A396,1)="0","",[1]!s_stmnote_bank_58(B396,$A396,1))</f>
        <v>0</v>
      </c>
      <c r="AA396" s="52">
        <f>IF([1]!s_stmnote_bank_60(B396,$A396,1)="0","",[1]!s_stmnote_bank_60(B396,$A396,1))</f>
        <v>0</v>
      </c>
      <c r="AB396" s="52">
        <f>[1]!s_stmnote_bank_5444(B396,$A396,1)</f>
        <v>0</v>
      </c>
      <c r="AC396" s="38">
        <f>[1]!s_stmnote_bank_129n($B396,$A396,1)</f>
        <v>0</v>
      </c>
      <c r="AD396" s="54">
        <f>[1]!s_stmnote_bank_30(B396,$A396,1)</f>
        <v>0</v>
      </c>
    </row>
    <row r="397" spans="1:30" ht="24">
      <c r="A397" s="1" t="s">
        <v>1110</v>
      </c>
      <c r="B397" s="87" t="s">
        <v>1505</v>
      </c>
      <c r="C397" s="8">
        <f>IF([1]!b_info_issuer(B397)="0","",IFERROR([1]!b_info_issuer(B397),""))</f>
        <v>0</v>
      </c>
      <c r="D397" s="11">
        <f>IF([1]!b_info_latestissurercreditrating(B397)="0","",IFERROR([1]!b_info_latestissurercreditrating(B397),""))</f>
        <v>0</v>
      </c>
      <c r="E397" s="27" t="str">
        <f>IFERROR(([1]!b_stm07_bs($B397,47,$A397,1,100000000))/[1]!b_stm07_bs($B397,109,$A397,1,100000000),"")</f>
        <v/>
      </c>
      <c r="F397" s="18" t="str">
        <f>IFERROR(([1]!s_stmnote_bank_26($B397,$A397,1,100000000)-[1]!s_stmnote_bank_26($B397,#REF!,1,100000000)+#REF!)/[1]!s_stmnote_bank_1n($B397,#REF!,1,100000000),"")</f>
        <v/>
      </c>
      <c r="G397" s="21" t="str">
        <f t="shared" si="12"/>
        <v/>
      </c>
      <c r="H397" s="18" t="str">
        <f>IFERROR([1]!s_stmnote_bank($B397,"34",$A397,100000000)/[1]!s_stmnote_bank_1n(B397,$A397,1,100000000),"")</f>
        <v/>
      </c>
      <c r="I397" s="25">
        <f>[1]!b_stm07_bs(B397,74,$A397,1,100000000)</f>
        <v>0</v>
      </c>
      <c r="J397" s="25">
        <f>[1]!b_stm07_bs(B397,109,$A397,1,100000000)</f>
        <v>0</v>
      </c>
      <c r="K397" s="10">
        <f>[1]!s_stmnote_bank_5n(B397,$A397,1)</f>
        <v>0</v>
      </c>
      <c r="L397" s="25">
        <f>[1]!s_stmnote_bank_23n(B397,$A397,1)</f>
        <v>0</v>
      </c>
      <c r="M397" s="25">
        <f>[1]!s_stmnote_bank_capadequacyratio(B397,$A397,1)</f>
        <v>0</v>
      </c>
      <c r="N397" s="25">
        <f>[1]!s_stmnote_bank_capadequacyratio_ct1(B397,$A397,1)</f>
        <v>0</v>
      </c>
      <c r="O397" s="6">
        <f>IF(OR([1]!s_fa_roe(B397,20201231)="0",[1]!s_fa_roe(B397,20211231)="0",[1]!s_fa_roe(B397,20221231)="0"),"",IFERROR(([1]!s_fa_roe(B397,20221231)+[1]!s_fa_roe(B397,20201231)+[1]!s_fa_roe(B397,20211231))/3,""))</f>
        <v>0</v>
      </c>
      <c r="P397" s="28" t="str">
        <f>IFERROR(([1]!s_stmnote_bank_65(B397,$A397,1,2,4,100000000)+[1]!s_stmnote_bank_65(B397,$A397,1,2,6,100000000))/[1]!s_stmnote_bank_1n(B397,$A397,1,100000000),"")</f>
        <v/>
      </c>
      <c r="Q397" s="28" t="str">
        <f>IFERROR([1]!s_stmnote_bank_614(B397,$A397,1,2,100000000)/[1]!s_stmnote_bank_647(B397,$A397,1,2,100000000),"")</f>
        <v/>
      </c>
      <c r="R397" s="28" t="str">
        <f>IFERROR(([1]!b_stm07_bs(B397,104,$A397,1,100000000)+[1]!b_stm07_bs(B397,106,$A397,1,100000000)+[1]!b_stm07_bs(B397,76,$A397,1,100000000)+[1]!b_stm07_bs(B397,108,$A397,1,100000000)+[1]!b_stm07_bs(B397,95,$A397,1,100000000))/[1]!b_stm07_bs(B397,128,$A397,1,100000000),"")</f>
        <v/>
      </c>
      <c r="S397" s="28" t="str">
        <f>IFERROR(([1]!s_stmnote_bank_614(B397,$A397,1,2,100000000)+[1]!b_stm07_bs(B397,104,$A397,1,100000000)+[1]!b_stm07_bs(B397,106,$A397,1,100000000)+[1]!b_stm07_bs(B397,76,$A397,1,100000000)+[1]!b_stm07_bs(B397,108,$A397,1,100000000)+[1]!b_stm07_bs(B397,95,$A397,1,100000000))/[1]!b_stm07_bs(B397,128,$A397,1,100000000),"")</f>
        <v/>
      </c>
      <c r="T397" s="11">
        <f>[1]!b_issuer_shareholder(B397,"",1)</f>
        <v>0</v>
      </c>
      <c r="U397" s="10">
        <f>[1]!b_issuer_propofshareholder(B397,"",1)</f>
        <v>0</v>
      </c>
      <c r="V397" s="33" t="str">
        <f t="shared" si="13"/>
        <v>0</v>
      </c>
      <c r="W397" s="33">
        <f>[1]!s_info_city(B397)</f>
        <v>0</v>
      </c>
      <c r="X397" s="10">
        <f>IF([1]!s_stmnote_bank_17n(B397,$A397,1)="0","",[1]!s_stmnote_bank_17n(B397,$A397,1))</f>
        <v>0</v>
      </c>
      <c r="Y397" s="10">
        <f>IF([1]!s_stmnote_bank_18n(B397,$A397,1)="0","",[1]!s_stmnote_bank_18n(B397,$A397,1))</f>
        <v>0</v>
      </c>
      <c r="Z397" s="41">
        <f>IF([1]!s_stmnote_bank_58(B397,$A397,1)="0","",[1]!s_stmnote_bank_58(B397,$A397,1))</f>
        <v>0</v>
      </c>
      <c r="AA397" s="52">
        <f>IF([1]!s_stmnote_bank_60(B397,$A397,1)="0","",[1]!s_stmnote_bank_60(B397,$A397,1))</f>
        <v>0</v>
      </c>
      <c r="AB397" s="52">
        <f>[1]!s_stmnote_bank_5444(B397,$A397,1)</f>
        <v>0</v>
      </c>
      <c r="AC397" s="38">
        <f>[1]!s_stmnote_bank_129n($B397,$A397,1)</f>
        <v>0</v>
      </c>
      <c r="AD397" s="54">
        <f>[1]!s_stmnote_bank_30(B397,$A397,1)</f>
        <v>0</v>
      </c>
    </row>
    <row r="398" spans="1:30" ht="24">
      <c r="A398" s="1" t="s">
        <v>1110</v>
      </c>
      <c r="B398" s="87" t="s">
        <v>1506</v>
      </c>
      <c r="C398" s="8">
        <f>IF([1]!b_info_issuer(B398)="0","",IFERROR([1]!b_info_issuer(B398),""))</f>
        <v>0</v>
      </c>
      <c r="D398" s="11">
        <f>IF([1]!b_info_latestissurercreditrating(B398)="0","",IFERROR([1]!b_info_latestissurercreditrating(B398),""))</f>
        <v>0</v>
      </c>
      <c r="E398" s="27" t="str">
        <f>IFERROR(([1]!b_stm07_bs($B398,47,$A398,1,100000000))/[1]!b_stm07_bs($B398,109,$A398,1,100000000),"")</f>
        <v/>
      </c>
      <c r="F398" s="18" t="str">
        <f>IFERROR(([1]!s_stmnote_bank_26($B398,$A398,1,100000000)-[1]!s_stmnote_bank_26($B398,#REF!,1,100000000)+#REF!)/[1]!s_stmnote_bank_1n($B398,#REF!,1,100000000),"")</f>
        <v/>
      </c>
      <c r="G398" s="21" t="str">
        <f t="shared" si="12"/>
        <v/>
      </c>
      <c r="H398" s="18" t="str">
        <f>IFERROR([1]!s_stmnote_bank($B398,"34",$A398,100000000)/[1]!s_stmnote_bank_1n(B398,$A398,1,100000000),"")</f>
        <v/>
      </c>
      <c r="I398" s="25">
        <f>[1]!b_stm07_bs(B398,74,$A398,1,100000000)</f>
        <v>0</v>
      </c>
      <c r="J398" s="25">
        <f>[1]!b_stm07_bs(B398,109,$A398,1,100000000)</f>
        <v>0</v>
      </c>
      <c r="K398" s="10">
        <f>[1]!s_stmnote_bank_5n(B398,$A398,1)</f>
        <v>0</v>
      </c>
      <c r="L398" s="25">
        <f>[1]!s_stmnote_bank_23n(B398,$A398,1)</f>
        <v>0</v>
      </c>
      <c r="M398" s="25">
        <f>[1]!s_stmnote_bank_capadequacyratio(B398,$A398,1)</f>
        <v>0</v>
      </c>
      <c r="N398" s="25">
        <f>[1]!s_stmnote_bank_capadequacyratio_ct1(B398,$A398,1)</f>
        <v>0</v>
      </c>
      <c r="O398" s="6">
        <f>IF(OR([1]!s_fa_roe(B398,20201231)="0",[1]!s_fa_roe(B398,20211231)="0",[1]!s_fa_roe(B398,20221231)="0"),"",IFERROR(([1]!s_fa_roe(B398,20221231)+[1]!s_fa_roe(B398,20201231)+[1]!s_fa_roe(B398,20211231))/3,""))</f>
        <v>0</v>
      </c>
      <c r="P398" s="28" t="str">
        <f>IFERROR(([1]!s_stmnote_bank_65(B398,$A398,1,2,4,100000000)+[1]!s_stmnote_bank_65(B398,$A398,1,2,6,100000000))/[1]!s_stmnote_bank_1n(B398,$A398,1,100000000),"")</f>
        <v/>
      </c>
      <c r="Q398" s="28" t="str">
        <f>IFERROR([1]!s_stmnote_bank_614(B398,$A398,1,2,100000000)/[1]!s_stmnote_bank_647(B398,$A398,1,2,100000000),"")</f>
        <v/>
      </c>
      <c r="R398" s="28" t="str">
        <f>IFERROR(([1]!b_stm07_bs(B398,104,$A398,1,100000000)+[1]!b_stm07_bs(B398,106,$A398,1,100000000)+[1]!b_stm07_bs(B398,76,$A398,1,100000000)+[1]!b_stm07_bs(B398,108,$A398,1,100000000)+[1]!b_stm07_bs(B398,95,$A398,1,100000000))/[1]!b_stm07_bs(B398,128,$A398,1,100000000),"")</f>
        <v/>
      </c>
      <c r="S398" s="28" t="str">
        <f>IFERROR(([1]!s_stmnote_bank_614(B398,$A398,1,2,100000000)+[1]!b_stm07_bs(B398,104,$A398,1,100000000)+[1]!b_stm07_bs(B398,106,$A398,1,100000000)+[1]!b_stm07_bs(B398,76,$A398,1,100000000)+[1]!b_stm07_bs(B398,108,$A398,1,100000000)+[1]!b_stm07_bs(B398,95,$A398,1,100000000))/[1]!b_stm07_bs(B398,128,$A398,1,100000000),"")</f>
        <v/>
      </c>
      <c r="T398" s="11">
        <f>[1]!b_issuer_shareholder(B398,"",1)</f>
        <v>0</v>
      </c>
      <c r="U398" s="10">
        <f>[1]!b_issuer_propofshareholder(B398,"",1)</f>
        <v>0</v>
      </c>
      <c r="V398" s="33" t="str">
        <f t="shared" si="13"/>
        <v>0</v>
      </c>
      <c r="W398" s="33">
        <f>[1]!s_info_city(B398)</f>
        <v>0</v>
      </c>
      <c r="X398" s="10">
        <f>IF([1]!s_stmnote_bank_17n(B398,$A398,1)="0","",[1]!s_stmnote_bank_17n(B398,$A398,1))</f>
        <v>0</v>
      </c>
      <c r="Y398" s="10">
        <f>IF([1]!s_stmnote_bank_18n(B398,$A398,1)="0","",[1]!s_stmnote_bank_18n(B398,$A398,1))</f>
        <v>0</v>
      </c>
      <c r="Z398" s="41">
        <f>IF([1]!s_stmnote_bank_58(B398,$A398,1)="0","",[1]!s_stmnote_bank_58(B398,$A398,1))</f>
        <v>0</v>
      </c>
      <c r="AA398" s="52">
        <f>IF([1]!s_stmnote_bank_60(B398,$A398,1)="0","",[1]!s_stmnote_bank_60(B398,$A398,1))</f>
        <v>0</v>
      </c>
      <c r="AB398" s="52">
        <f>[1]!s_stmnote_bank_5444(B398,$A398,1)</f>
        <v>0</v>
      </c>
      <c r="AC398" s="38">
        <f>[1]!s_stmnote_bank_129n($B398,$A398,1)</f>
        <v>0</v>
      </c>
      <c r="AD398" s="54">
        <f>[1]!s_stmnote_bank_30(B398,$A398,1)</f>
        <v>0</v>
      </c>
    </row>
    <row r="399" spans="1:30" ht="24">
      <c r="A399" s="1" t="s">
        <v>1110</v>
      </c>
      <c r="B399" s="87" t="s">
        <v>1507</v>
      </c>
      <c r="C399" s="8">
        <f>IF([1]!b_info_issuer(B399)="0","",IFERROR([1]!b_info_issuer(B399),""))</f>
        <v>0</v>
      </c>
      <c r="D399" s="11">
        <f>IF([1]!b_info_latestissurercreditrating(B399)="0","",IFERROR([1]!b_info_latestissurercreditrating(B399),""))</f>
        <v>0</v>
      </c>
      <c r="E399" s="27" t="str">
        <f>IFERROR(([1]!b_stm07_bs($B399,47,$A399,1,100000000))/[1]!b_stm07_bs($B399,109,$A399,1,100000000),"")</f>
        <v/>
      </c>
      <c r="F399" s="18" t="str">
        <f>IFERROR(([1]!s_stmnote_bank_26($B399,$A399,1,100000000)-[1]!s_stmnote_bank_26($B399,#REF!,1,100000000)+#REF!)/[1]!s_stmnote_bank_1n($B399,#REF!,1,100000000),"")</f>
        <v/>
      </c>
      <c r="G399" s="21" t="str">
        <f t="shared" si="12"/>
        <v/>
      </c>
      <c r="H399" s="18" t="str">
        <f>IFERROR([1]!s_stmnote_bank($B399,"34",$A399,100000000)/[1]!s_stmnote_bank_1n(B399,$A399,1,100000000),"")</f>
        <v/>
      </c>
      <c r="I399" s="25">
        <f>[1]!b_stm07_bs(B399,74,$A399,1,100000000)</f>
        <v>0</v>
      </c>
      <c r="J399" s="25">
        <f>[1]!b_stm07_bs(B399,109,$A399,1,100000000)</f>
        <v>0</v>
      </c>
      <c r="K399" s="10">
        <f>[1]!s_stmnote_bank_5n(B399,$A399,1)</f>
        <v>0</v>
      </c>
      <c r="L399" s="25">
        <f>[1]!s_stmnote_bank_23n(B399,$A399,1)</f>
        <v>0</v>
      </c>
      <c r="M399" s="25">
        <f>[1]!s_stmnote_bank_capadequacyratio(B399,$A399,1)</f>
        <v>0</v>
      </c>
      <c r="N399" s="25">
        <f>[1]!s_stmnote_bank_capadequacyratio_ct1(B399,$A399,1)</f>
        <v>0</v>
      </c>
      <c r="O399" s="6">
        <f>IF(OR([1]!s_fa_roe(B399,20201231)="0",[1]!s_fa_roe(B399,20211231)="0",[1]!s_fa_roe(B399,20221231)="0"),"",IFERROR(([1]!s_fa_roe(B399,20221231)+[1]!s_fa_roe(B399,20201231)+[1]!s_fa_roe(B399,20211231))/3,""))</f>
        <v>0</v>
      </c>
      <c r="P399" s="28" t="str">
        <f>IFERROR(([1]!s_stmnote_bank_65(B399,$A399,1,2,4,100000000)+[1]!s_stmnote_bank_65(B399,$A399,1,2,6,100000000))/[1]!s_stmnote_bank_1n(B399,$A399,1,100000000),"")</f>
        <v/>
      </c>
      <c r="Q399" s="28" t="str">
        <f>IFERROR([1]!s_stmnote_bank_614(B399,$A399,1,2,100000000)/[1]!s_stmnote_bank_647(B399,$A399,1,2,100000000),"")</f>
        <v/>
      </c>
      <c r="R399" s="28" t="str">
        <f>IFERROR(([1]!b_stm07_bs(B399,104,$A399,1,100000000)+[1]!b_stm07_bs(B399,106,$A399,1,100000000)+[1]!b_stm07_bs(B399,76,$A399,1,100000000)+[1]!b_stm07_bs(B399,108,$A399,1,100000000)+[1]!b_stm07_bs(B399,95,$A399,1,100000000))/[1]!b_stm07_bs(B399,128,$A399,1,100000000),"")</f>
        <v/>
      </c>
      <c r="S399" s="28" t="str">
        <f>IFERROR(([1]!s_stmnote_bank_614(B399,$A399,1,2,100000000)+[1]!b_stm07_bs(B399,104,$A399,1,100000000)+[1]!b_stm07_bs(B399,106,$A399,1,100000000)+[1]!b_stm07_bs(B399,76,$A399,1,100000000)+[1]!b_stm07_bs(B399,108,$A399,1,100000000)+[1]!b_stm07_bs(B399,95,$A399,1,100000000))/[1]!b_stm07_bs(B399,128,$A399,1,100000000),"")</f>
        <v/>
      </c>
      <c r="T399" s="11">
        <f>[1]!b_issuer_shareholder(B399,"",1)</f>
        <v>0</v>
      </c>
      <c r="U399" s="10">
        <f>[1]!b_issuer_propofshareholder(B399,"",1)</f>
        <v>0</v>
      </c>
      <c r="V399" s="33" t="str">
        <f t="shared" si="13"/>
        <v>0</v>
      </c>
      <c r="W399" s="33">
        <f>[1]!s_info_city(B399)</f>
        <v>0</v>
      </c>
      <c r="X399" s="10">
        <f>IF([1]!s_stmnote_bank_17n(B399,$A399,1)="0","",[1]!s_stmnote_bank_17n(B399,$A399,1))</f>
        <v>0</v>
      </c>
      <c r="Y399" s="10">
        <f>IF([1]!s_stmnote_bank_18n(B399,$A399,1)="0","",[1]!s_stmnote_bank_18n(B399,$A399,1))</f>
        <v>0</v>
      </c>
      <c r="Z399" s="41">
        <f>IF([1]!s_stmnote_bank_58(B399,$A399,1)="0","",[1]!s_stmnote_bank_58(B399,$A399,1))</f>
        <v>0</v>
      </c>
      <c r="AA399" s="52">
        <f>IF([1]!s_stmnote_bank_60(B399,$A399,1)="0","",[1]!s_stmnote_bank_60(B399,$A399,1))</f>
        <v>0</v>
      </c>
      <c r="AB399" s="52">
        <f>[1]!s_stmnote_bank_5444(B399,$A399,1)</f>
        <v>0</v>
      </c>
      <c r="AC399" s="38">
        <f>[1]!s_stmnote_bank_129n($B399,$A399,1)</f>
        <v>0</v>
      </c>
      <c r="AD399" s="54">
        <f>[1]!s_stmnote_bank_30(B399,$A399,1)</f>
        <v>0</v>
      </c>
    </row>
    <row r="400" spans="1:30" ht="24">
      <c r="A400" s="1" t="s">
        <v>1110</v>
      </c>
      <c r="B400" s="87" t="s">
        <v>1508</v>
      </c>
      <c r="C400" s="8">
        <f>IF([1]!b_info_issuer(B400)="0","",IFERROR([1]!b_info_issuer(B400),""))</f>
        <v>0</v>
      </c>
      <c r="D400" s="11">
        <f>IF([1]!b_info_latestissurercreditrating(B400)="0","",IFERROR([1]!b_info_latestissurercreditrating(B400),""))</f>
        <v>0</v>
      </c>
      <c r="E400" s="27" t="str">
        <f>IFERROR(([1]!b_stm07_bs($B400,47,$A400,1,100000000))/[1]!b_stm07_bs($B400,109,$A400,1,100000000),"")</f>
        <v/>
      </c>
      <c r="F400" s="18" t="str">
        <f>IFERROR(([1]!s_stmnote_bank_26($B400,$A400,1,100000000)-[1]!s_stmnote_bank_26($B400,#REF!,1,100000000)+#REF!)/[1]!s_stmnote_bank_1n($B400,#REF!,1,100000000),"")</f>
        <v/>
      </c>
      <c r="G400" s="21" t="str">
        <f t="shared" si="12"/>
        <v/>
      </c>
      <c r="H400" s="18" t="str">
        <f>IFERROR([1]!s_stmnote_bank($B400,"34",$A400,100000000)/[1]!s_stmnote_bank_1n(B400,$A400,1,100000000),"")</f>
        <v/>
      </c>
      <c r="I400" s="25">
        <f>[1]!b_stm07_bs(B400,74,$A400,1,100000000)</f>
        <v>0</v>
      </c>
      <c r="J400" s="25">
        <f>[1]!b_stm07_bs(B400,109,$A400,1,100000000)</f>
        <v>0</v>
      </c>
      <c r="K400" s="10">
        <f>[1]!s_stmnote_bank_5n(B400,$A400,1)</f>
        <v>0</v>
      </c>
      <c r="L400" s="25">
        <f>[1]!s_stmnote_bank_23n(B400,$A400,1)</f>
        <v>0</v>
      </c>
      <c r="M400" s="25">
        <f>[1]!s_stmnote_bank_capadequacyratio(B400,$A400,1)</f>
        <v>0</v>
      </c>
      <c r="N400" s="25">
        <f>[1]!s_stmnote_bank_capadequacyratio_ct1(B400,$A400,1)</f>
        <v>0</v>
      </c>
      <c r="O400" s="6">
        <f>IF(OR([1]!s_fa_roe(B400,20201231)="0",[1]!s_fa_roe(B400,20211231)="0",[1]!s_fa_roe(B400,20221231)="0"),"",IFERROR(([1]!s_fa_roe(B400,20221231)+[1]!s_fa_roe(B400,20201231)+[1]!s_fa_roe(B400,20211231))/3,""))</f>
        <v>0</v>
      </c>
      <c r="P400" s="28" t="str">
        <f>IFERROR(([1]!s_stmnote_bank_65(B400,$A400,1,2,4,100000000)+[1]!s_stmnote_bank_65(B400,$A400,1,2,6,100000000))/[1]!s_stmnote_bank_1n(B400,$A400,1,100000000),"")</f>
        <v/>
      </c>
      <c r="Q400" s="28" t="str">
        <f>IFERROR([1]!s_stmnote_bank_614(B400,$A400,1,2,100000000)/[1]!s_stmnote_bank_647(B400,$A400,1,2,100000000),"")</f>
        <v/>
      </c>
      <c r="R400" s="28" t="str">
        <f>IFERROR(([1]!b_stm07_bs(B400,104,$A400,1,100000000)+[1]!b_stm07_bs(B400,106,$A400,1,100000000)+[1]!b_stm07_bs(B400,76,$A400,1,100000000)+[1]!b_stm07_bs(B400,108,$A400,1,100000000)+[1]!b_stm07_bs(B400,95,$A400,1,100000000))/[1]!b_stm07_bs(B400,128,$A400,1,100000000),"")</f>
        <v/>
      </c>
      <c r="S400" s="28" t="str">
        <f>IFERROR(([1]!s_stmnote_bank_614(B400,$A400,1,2,100000000)+[1]!b_stm07_bs(B400,104,$A400,1,100000000)+[1]!b_stm07_bs(B400,106,$A400,1,100000000)+[1]!b_stm07_bs(B400,76,$A400,1,100000000)+[1]!b_stm07_bs(B400,108,$A400,1,100000000)+[1]!b_stm07_bs(B400,95,$A400,1,100000000))/[1]!b_stm07_bs(B400,128,$A400,1,100000000),"")</f>
        <v/>
      </c>
      <c r="T400" s="11">
        <f>[1]!b_issuer_shareholder(B400,"",1)</f>
        <v>0</v>
      </c>
      <c r="U400" s="10">
        <f>[1]!b_issuer_propofshareholder(B400,"",1)</f>
        <v>0</v>
      </c>
      <c r="V400" s="33" t="str">
        <f t="shared" si="13"/>
        <v>0</v>
      </c>
      <c r="W400" s="33">
        <f>[1]!s_info_city(B400)</f>
        <v>0</v>
      </c>
      <c r="X400" s="10">
        <f>IF([1]!s_stmnote_bank_17n(B400,$A400,1)="0","",[1]!s_stmnote_bank_17n(B400,$A400,1))</f>
        <v>0</v>
      </c>
      <c r="Y400" s="10">
        <f>IF([1]!s_stmnote_bank_18n(B400,$A400,1)="0","",[1]!s_stmnote_bank_18n(B400,$A400,1))</f>
        <v>0</v>
      </c>
      <c r="Z400" s="41">
        <f>IF([1]!s_stmnote_bank_58(B400,$A400,1)="0","",[1]!s_stmnote_bank_58(B400,$A400,1))</f>
        <v>0</v>
      </c>
      <c r="AA400" s="52">
        <f>IF([1]!s_stmnote_bank_60(B400,$A400,1)="0","",[1]!s_stmnote_bank_60(B400,$A400,1))</f>
        <v>0</v>
      </c>
      <c r="AB400" s="52">
        <f>[1]!s_stmnote_bank_5444(B400,$A400,1)</f>
        <v>0</v>
      </c>
      <c r="AC400" s="38">
        <f>[1]!s_stmnote_bank_129n($B400,$A400,1)</f>
        <v>0</v>
      </c>
      <c r="AD400" s="54">
        <f>[1]!s_stmnote_bank_30(B400,$A400,1)</f>
        <v>0</v>
      </c>
    </row>
    <row r="401" spans="1:30" ht="24">
      <c r="A401" s="1" t="s">
        <v>1110</v>
      </c>
      <c r="B401" s="87" t="s">
        <v>1509</v>
      </c>
      <c r="C401" s="8">
        <f>IF([1]!b_info_issuer(B401)="0","",IFERROR([1]!b_info_issuer(B401),""))</f>
        <v>0</v>
      </c>
      <c r="D401" s="11">
        <f>IF([1]!b_info_latestissurercreditrating(B401)="0","",IFERROR([1]!b_info_latestissurercreditrating(B401),""))</f>
        <v>0</v>
      </c>
      <c r="E401" s="27" t="str">
        <f>IFERROR(([1]!b_stm07_bs($B401,47,$A401,1,100000000))/[1]!b_stm07_bs($B401,109,$A401,1,100000000),"")</f>
        <v/>
      </c>
      <c r="F401" s="18" t="str">
        <f>IFERROR(([1]!s_stmnote_bank_26($B401,$A401,1,100000000)-[1]!s_stmnote_bank_26($B401,#REF!,1,100000000)+#REF!)/[1]!s_stmnote_bank_1n($B401,#REF!,1,100000000),"")</f>
        <v/>
      </c>
      <c r="G401" s="21" t="str">
        <f t="shared" si="12"/>
        <v/>
      </c>
      <c r="H401" s="18" t="str">
        <f>IFERROR([1]!s_stmnote_bank($B401,"34",$A401,100000000)/[1]!s_stmnote_bank_1n(B401,$A401,1,100000000),"")</f>
        <v/>
      </c>
      <c r="I401" s="25">
        <f>[1]!b_stm07_bs(B401,74,$A401,1,100000000)</f>
        <v>0</v>
      </c>
      <c r="J401" s="25">
        <f>[1]!b_stm07_bs(B401,109,$A401,1,100000000)</f>
        <v>0</v>
      </c>
      <c r="K401" s="10">
        <f>[1]!s_stmnote_bank_5n(B401,$A401,1)</f>
        <v>0</v>
      </c>
      <c r="L401" s="25">
        <f>[1]!s_stmnote_bank_23n(B401,$A401,1)</f>
        <v>0</v>
      </c>
      <c r="M401" s="25">
        <f>[1]!s_stmnote_bank_capadequacyratio(B401,$A401,1)</f>
        <v>0</v>
      </c>
      <c r="N401" s="25">
        <f>[1]!s_stmnote_bank_capadequacyratio_ct1(B401,$A401,1)</f>
        <v>0</v>
      </c>
      <c r="O401" s="6">
        <f>IF(OR([1]!s_fa_roe(B401,20201231)="0",[1]!s_fa_roe(B401,20211231)="0",[1]!s_fa_roe(B401,20221231)="0"),"",IFERROR(([1]!s_fa_roe(B401,20221231)+[1]!s_fa_roe(B401,20201231)+[1]!s_fa_roe(B401,20211231))/3,""))</f>
        <v>0</v>
      </c>
      <c r="P401" s="28" t="str">
        <f>IFERROR(([1]!s_stmnote_bank_65(B401,$A401,1,2,4,100000000)+[1]!s_stmnote_bank_65(B401,$A401,1,2,6,100000000))/[1]!s_stmnote_bank_1n(B401,$A401,1,100000000),"")</f>
        <v/>
      </c>
      <c r="Q401" s="28" t="str">
        <f>IFERROR([1]!s_stmnote_bank_614(B401,$A401,1,2,100000000)/[1]!s_stmnote_bank_647(B401,$A401,1,2,100000000),"")</f>
        <v/>
      </c>
      <c r="R401" s="28" t="str">
        <f>IFERROR(([1]!b_stm07_bs(B401,104,$A401,1,100000000)+[1]!b_stm07_bs(B401,106,$A401,1,100000000)+[1]!b_stm07_bs(B401,76,$A401,1,100000000)+[1]!b_stm07_bs(B401,108,$A401,1,100000000)+[1]!b_stm07_bs(B401,95,$A401,1,100000000))/[1]!b_stm07_bs(B401,128,$A401,1,100000000),"")</f>
        <v/>
      </c>
      <c r="S401" s="28" t="str">
        <f>IFERROR(([1]!s_stmnote_bank_614(B401,$A401,1,2,100000000)+[1]!b_stm07_bs(B401,104,$A401,1,100000000)+[1]!b_stm07_bs(B401,106,$A401,1,100000000)+[1]!b_stm07_bs(B401,76,$A401,1,100000000)+[1]!b_stm07_bs(B401,108,$A401,1,100000000)+[1]!b_stm07_bs(B401,95,$A401,1,100000000))/[1]!b_stm07_bs(B401,128,$A401,1,100000000),"")</f>
        <v/>
      </c>
      <c r="T401" s="11">
        <f>[1]!b_issuer_shareholder(B401,"",1)</f>
        <v>0</v>
      </c>
      <c r="U401" s="10">
        <f>[1]!b_issuer_propofshareholder(B401,"",1)</f>
        <v>0</v>
      </c>
      <c r="V401" s="33" t="str">
        <f t="shared" si="13"/>
        <v>0</v>
      </c>
      <c r="W401" s="33">
        <f>[1]!s_info_city(B401)</f>
        <v>0</v>
      </c>
      <c r="X401" s="10">
        <f>IF([1]!s_stmnote_bank_17n(B401,$A401,1)="0","",[1]!s_stmnote_bank_17n(B401,$A401,1))</f>
        <v>0</v>
      </c>
      <c r="Y401" s="10">
        <f>IF([1]!s_stmnote_bank_18n(B401,$A401,1)="0","",[1]!s_stmnote_bank_18n(B401,$A401,1))</f>
        <v>0</v>
      </c>
      <c r="Z401" s="41">
        <f>IF([1]!s_stmnote_bank_58(B401,$A401,1)="0","",[1]!s_stmnote_bank_58(B401,$A401,1))</f>
        <v>0</v>
      </c>
      <c r="AA401" s="52">
        <f>IF([1]!s_stmnote_bank_60(B401,$A401,1)="0","",[1]!s_stmnote_bank_60(B401,$A401,1))</f>
        <v>0</v>
      </c>
      <c r="AB401" s="52">
        <f>[1]!s_stmnote_bank_5444(B401,$A401,1)</f>
        <v>0</v>
      </c>
      <c r="AC401" s="38">
        <f>[1]!s_stmnote_bank_129n($B401,$A401,1)</f>
        <v>0</v>
      </c>
      <c r="AD401" s="54">
        <f>[1]!s_stmnote_bank_30(B401,$A401,1)</f>
        <v>0</v>
      </c>
    </row>
    <row r="402" spans="1:30" ht="24">
      <c r="A402" s="1" t="s">
        <v>1110</v>
      </c>
      <c r="B402" s="87" t="s">
        <v>1510</v>
      </c>
      <c r="C402" s="8">
        <f>IF([1]!b_info_issuer(B402)="0","",IFERROR([1]!b_info_issuer(B402),""))</f>
        <v>0</v>
      </c>
      <c r="D402" s="11">
        <f>IF([1]!b_info_latestissurercreditrating(B402)="0","",IFERROR([1]!b_info_latestissurercreditrating(B402),""))</f>
        <v>0</v>
      </c>
      <c r="E402" s="27" t="str">
        <f>IFERROR(([1]!b_stm07_bs($B402,47,$A402,1,100000000))/[1]!b_stm07_bs($B402,109,$A402,1,100000000),"")</f>
        <v/>
      </c>
      <c r="F402" s="18" t="str">
        <f>IFERROR(([1]!s_stmnote_bank_26($B402,$A402,1,100000000)-[1]!s_stmnote_bank_26($B402,#REF!,1,100000000)+#REF!)/[1]!s_stmnote_bank_1n($B402,#REF!,1,100000000),"")</f>
        <v/>
      </c>
      <c r="G402" s="21" t="str">
        <f t="shared" si="12"/>
        <v/>
      </c>
      <c r="H402" s="18" t="str">
        <f>IFERROR([1]!s_stmnote_bank($B402,"34",$A402,100000000)/[1]!s_stmnote_bank_1n(B402,$A402,1,100000000),"")</f>
        <v/>
      </c>
      <c r="I402" s="25">
        <f>[1]!b_stm07_bs(B402,74,$A402,1,100000000)</f>
        <v>0</v>
      </c>
      <c r="J402" s="25">
        <f>[1]!b_stm07_bs(B402,109,$A402,1,100000000)</f>
        <v>0</v>
      </c>
      <c r="K402" s="10">
        <f>[1]!s_stmnote_bank_5n(B402,$A402,1)</f>
        <v>0</v>
      </c>
      <c r="L402" s="25">
        <f>[1]!s_stmnote_bank_23n(B402,$A402,1)</f>
        <v>0</v>
      </c>
      <c r="M402" s="25">
        <f>[1]!s_stmnote_bank_capadequacyratio(B402,$A402,1)</f>
        <v>0</v>
      </c>
      <c r="N402" s="25">
        <f>[1]!s_stmnote_bank_capadequacyratio_ct1(B402,$A402,1)</f>
        <v>0</v>
      </c>
      <c r="O402" s="6">
        <f>IF(OR([1]!s_fa_roe(B402,20201231)="0",[1]!s_fa_roe(B402,20211231)="0",[1]!s_fa_roe(B402,20221231)="0"),"",IFERROR(([1]!s_fa_roe(B402,20221231)+[1]!s_fa_roe(B402,20201231)+[1]!s_fa_roe(B402,20211231))/3,""))</f>
        <v>0</v>
      </c>
      <c r="P402" s="28" t="str">
        <f>IFERROR(([1]!s_stmnote_bank_65(B402,$A402,1,2,4,100000000)+[1]!s_stmnote_bank_65(B402,$A402,1,2,6,100000000))/[1]!s_stmnote_bank_1n(B402,$A402,1,100000000),"")</f>
        <v/>
      </c>
      <c r="Q402" s="28" t="str">
        <f>IFERROR([1]!s_stmnote_bank_614(B402,$A402,1,2,100000000)/[1]!s_stmnote_bank_647(B402,$A402,1,2,100000000),"")</f>
        <v/>
      </c>
      <c r="R402" s="28" t="str">
        <f>IFERROR(([1]!b_stm07_bs(B402,104,$A402,1,100000000)+[1]!b_stm07_bs(B402,106,$A402,1,100000000)+[1]!b_stm07_bs(B402,76,$A402,1,100000000)+[1]!b_stm07_bs(B402,108,$A402,1,100000000)+[1]!b_stm07_bs(B402,95,$A402,1,100000000))/[1]!b_stm07_bs(B402,128,$A402,1,100000000),"")</f>
        <v/>
      </c>
      <c r="S402" s="28" t="str">
        <f>IFERROR(([1]!s_stmnote_bank_614(B402,$A402,1,2,100000000)+[1]!b_stm07_bs(B402,104,$A402,1,100000000)+[1]!b_stm07_bs(B402,106,$A402,1,100000000)+[1]!b_stm07_bs(B402,76,$A402,1,100000000)+[1]!b_stm07_bs(B402,108,$A402,1,100000000)+[1]!b_stm07_bs(B402,95,$A402,1,100000000))/[1]!b_stm07_bs(B402,128,$A402,1,100000000),"")</f>
        <v/>
      </c>
      <c r="T402" s="11">
        <f>[1]!b_issuer_shareholder(B402,"",1)</f>
        <v>0</v>
      </c>
      <c r="U402" s="10">
        <f>[1]!b_issuer_propofshareholder(B402,"",1)</f>
        <v>0</v>
      </c>
      <c r="V402" s="33" t="str">
        <f t="shared" si="13"/>
        <v>0</v>
      </c>
      <c r="W402" s="33">
        <f>[1]!s_info_city(B402)</f>
        <v>0</v>
      </c>
      <c r="X402" s="10">
        <f>IF([1]!s_stmnote_bank_17n(B402,$A402,1)="0","",[1]!s_stmnote_bank_17n(B402,$A402,1))</f>
        <v>0</v>
      </c>
      <c r="Y402" s="10">
        <f>IF([1]!s_stmnote_bank_18n(B402,$A402,1)="0","",[1]!s_stmnote_bank_18n(B402,$A402,1))</f>
        <v>0</v>
      </c>
      <c r="Z402" s="41">
        <f>IF([1]!s_stmnote_bank_58(B402,$A402,1)="0","",[1]!s_stmnote_bank_58(B402,$A402,1))</f>
        <v>0</v>
      </c>
      <c r="AA402" s="52">
        <f>IF([1]!s_stmnote_bank_60(B402,$A402,1)="0","",[1]!s_stmnote_bank_60(B402,$A402,1))</f>
        <v>0</v>
      </c>
      <c r="AB402" s="52">
        <f>[1]!s_stmnote_bank_5444(B402,$A402,1)</f>
        <v>0</v>
      </c>
      <c r="AC402" s="38">
        <f>[1]!s_stmnote_bank_129n($B402,$A402,1)</f>
        <v>0</v>
      </c>
      <c r="AD402" s="54">
        <f>[1]!s_stmnote_bank_30(B402,$A402,1)</f>
        <v>0</v>
      </c>
    </row>
    <row r="403" spans="1:30" ht="24">
      <c r="A403" s="1" t="s">
        <v>1110</v>
      </c>
      <c r="B403" s="87" t="s">
        <v>1511</v>
      </c>
      <c r="C403" s="8">
        <f>IF([1]!b_info_issuer(B403)="0","",IFERROR([1]!b_info_issuer(B403),""))</f>
        <v>0</v>
      </c>
      <c r="D403" s="11">
        <f>IF([1]!b_info_latestissurercreditrating(B403)="0","",IFERROR([1]!b_info_latestissurercreditrating(B403),""))</f>
        <v>0</v>
      </c>
      <c r="E403" s="27" t="str">
        <f>IFERROR(([1]!b_stm07_bs($B403,47,$A403,1,100000000))/[1]!b_stm07_bs($B403,109,$A403,1,100000000),"")</f>
        <v/>
      </c>
      <c r="F403" s="18" t="str">
        <f>IFERROR(([1]!s_stmnote_bank_26($B403,$A403,1,100000000)-[1]!s_stmnote_bank_26($B403,#REF!,1,100000000)+#REF!)/[1]!s_stmnote_bank_1n($B403,#REF!,1,100000000),"")</f>
        <v/>
      </c>
      <c r="G403" s="21" t="str">
        <f t="shared" si="12"/>
        <v/>
      </c>
      <c r="H403" s="18" t="str">
        <f>IFERROR([1]!s_stmnote_bank($B403,"34",$A403,100000000)/[1]!s_stmnote_bank_1n(B403,$A403,1,100000000),"")</f>
        <v/>
      </c>
      <c r="I403" s="25">
        <f>[1]!b_stm07_bs(B403,74,$A403,1,100000000)</f>
        <v>0</v>
      </c>
      <c r="J403" s="25">
        <f>[1]!b_stm07_bs(B403,109,$A403,1,100000000)</f>
        <v>0</v>
      </c>
      <c r="K403" s="10">
        <f>[1]!s_stmnote_bank_5n(B403,$A403,1)</f>
        <v>0</v>
      </c>
      <c r="L403" s="25">
        <f>[1]!s_stmnote_bank_23n(B403,$A403,1)</f>
        <v>0</v>
      </c>
      <c r="M403" s="25">
        <f>[1]!s_stmnote_bank_capadequacyratio(B403,$A403,1)</f>
        <v>0</v>
      </c>
      <c r="N403" s="25">
        <f>[1]!s_stmnote_bank_capadequacyratio_ct1(B403,$A403,1)</f>
        <v>0</v>
      </c>
      <c r="O403" s="6">
        <f>IF(OR([1]!s_fa_roe(B403,20201231)="0",[1]!s_fa_roe(B403,20211231)="0",[1]!s_fa_roe(B403,20221231)="0"),"",IFERROR(([1]!s_fa_roe(B403,20221231)+[1]!s_fa_roe(B403,20201231)+[1]!s_fa_roe(B403,20211231))/3,""))</f>
        <v>0</v>
      </c>
      <c r="P403" s="28" t="str">
        <f>IFERROR(([1]!s_stmnote_bank_65(B403,$A403,1,2,4,100000000)+[1]!s_stmnote_bank_65(B403,$A403,1,2,6,100000000))/[1]!s_stmnote_bank_1n(B403,$A403,1,100000000),"")</f>
        <v/>
      </c>
      <c r="Q403" s="28" t="str">
        <f>IFERROR([1]!s_stmnote_bank_614(B403,$A403,1,2,100000000)/[1]!s_stmnote_bank_647(B403,$A403,1,2,100000000),"")</f>
        <v/>
      </c>
      <c r="R403" s="28" t="str">
        <f>IFERROR(([1]!b_stm07_bs(B403,104,$A403,1,100000000)+[1]!b_stm07_bs(B403,106,$A403,1,100000000)+[1]!b_stm07_bs(B403,76,$A403,1,100000000)+[1]!b_stm07_bs(B403,108,$A403,1,100000000)+[1]!b_stm07_bs(B403,95,$A403,1,100000000))/[1]!b_stm07_bs(B403,128,$A403,1,100000000),"")</f>
        <v/>
      </c>
      <c r="S403" s="28" t="str">
        <f>IFERROR(([1]!s_stmnote_bank_614(B403,$A403,1,2,100000000)+[1]!b_stm07_bs(B403,104,$A403,1,100000000)+[1]!b_stm07_bs(B403,106,$A403,1,100000000)+[1]!b_stm07_bs(B403,76,$A403,1,100000000)+[1]!b_stm07_bs(B403,108,$A403,1,100000000)+[1]!b_stm07_bs(B403,95,$A403,1,100000000))/[1]!b_stm07_bs(B403,128,$A403,1,100000000),"")</f>
        <v/>
      </c>
      <c r="T403" s="11">
        <f>[1]!b_issuer_shareholder(B403,"",1)</f>
        <v>0</v>
      </c>
      <c r="U403" s="10">
        <f>[1]!b_issuer_propofshareholder(B403,"",1)</f>
        <v>0</v>
      </c>
      <c r="V403" s="33" t="str">
        <f t="shared" si="13"/>
        <v>0</v>
      </c>
      <c r="W403" s="33">
        <f>[1]!s_info_city(B403)</f>
        <v>0</v>
      </c>
      <c r="X403" s="10">
        <f>IF([1]!s_stmnote_bank_17n(B403,$A403,1)="0","",[1]!s_stmnote_bank_17n(B403,$A403,1))</f>
        <v>0</v>
      </c>
      <c r="Y403" s="10">
        <f>IF([1]!s_stmnote_bank_18n(B403,$A403,1)="0","",[1]!s_stmnote_bank_18n(B403,$A403,1))</f>
        <v>0</v>
      </c>
      <c r="Z403" s="41">
        <f>IF([1]!s_stmnote_bank_58(B403,$A403,1)="0","",[1]!s_stmnote_bank_58(B403,$A403,1))</f>
        <v>0</v>
      </c>
      <c r="AA403" s="52">
        <f>IF([1]!s_stmnote_bank_60(B403,$A403,1)="0","",[1]!s_stmnote_bank_60(B403,$A403,1))</f>
        <v>0</v>
      </c>
      <c r="AB403" s="52">
        <f>[1]!s_stmnote_bank_5444(B403,$A403,1)</f>
        <v>0</v>
      </c>
      <c r="AC403" s="38">
        <f>[1]!s_stmnote_bank_129n($B403,$A403,1)</f>
        <v>0</v>
      </c>
      <c r="AD403" s="54">
        <f>[1]!s_stmnote_bank_30(B403,$A403,1)</f>
        <v>0</v>
      </c>
    </row>
    <row r="404" spans="1:30" ht="24">
      <c r="A404" s="1" t="s">
        <v>1110</v>
      </c>
      <c r="B404" s="87" t="s">
        <v>1512</v>
      </c>
      <c r="C404" s="8">
        <f>IF([1]!b_info_issuer(B404)="0","",IFERROR([1]!b_info_issuer(B404),""))</f>
        <v>0</v>
      </c>
      <c r="D404" s="11">
        <f>IF([1]!b_info_latestissurercreditrating(B404)="0","",IFERROR([1]!b_info_latestissurercreditrating(B404),""))</f>
        <v>0</v>
      </c>
      <c r="E404" s="27" t="str">
        <f>IFERROR(([1]!b_stm07_bs($B404,47,$A404,1,100000000))/[1]!b_stm07_bs($B404,109,$A404,1,100000000),"")</f>
        <v/>
      </c>
      <c r="F404" s="18" t="str">
        <f>IFERROR(([1]!s_stmnote_bank_26($B404,$A404,1,100000000)-[1]!s_stmnote_bank_26($B404,#REF!,1,100000000)+#REF!)/[1]!s_stmnote_bank_1n($B404,#REF!,1,100000000),"")</f>
        <v/>
      </c>
      <c r="G404" s="21" t="str">
        <f t="shared" si="12"/>
        <v/>
      </c>
      <c r="H404" s="18" t="str">
        <f>IFERROR([1]!s_stmnote_bank($B404,"34",$A404,100000000)/[1]!s_stmnote_bank_1n(B404,$A404,1,100000000),"")</f>
        <v/>
      </c>
      <c r="I404" s="25">
        <f>[1]!b_stm07_bs(B404,74,$A404,1,100000000)</f>
        <v>0</v>
      </c>
      <c r="J404" s="25">
        <f>[1]!b_stm07_bs(B404,109,$A404,1,100000000)</f>
        <v>0</v>
      </c>
      <c r="K404" s="10">
        <f>[1]!s_stmnote_bank_5n(B404,$A404,1)</f>
        <v>0</v>
      </c>
      <c r="L404" s="25">
        <f>[1]!s_stmnote_bank_23n(B404,$A404,1)</f>
        <v>0</v>
      </c>
      <c r="M404" s="25">
        <f>[1]!s_stmnote_bank_capadequacyratio(B404,$A404,1)</f>
        <v>0</v>
      </c>
      <c r="N404" s="25">
        <f>[1]!s_stmnote_bank_capadequacyratio_ct1(B404,$A404,1)</f>
        <v>0</v>
      </c>
      <c r="O404" s="6">
        <f>IF(OR([1]!s_fa_roe(B404,20201231)="0",[1]!s_fa_roe(B404,20211231)="0",[1]!s_fa_roe(B404,20221231)="0"),"",IFERROR(([1]!s_fa_roe(B404,20221231)+[1]!s_fa_roe(B404,20201231)+[1]!s_fa_roe(B404,20211231))/3,""))</f>
        <v>0</v>
      </c>
      <c r="P404" s="28" t="str">
        <f>IFERROR(([1]!s_stmnote_bank_65(B404,$A404,1,2,4,100000000)+[1]!s_stmnote_bank_65(B404,$A404,1,2,6,100000000))/[1]!s_stmnote_bank_1n(B404,$A404,1,100000000),"")</f>
        <v/>
      </c>
      <c r="Q404" s="28" t="str">
        <f>IFERROR([1]!s_stmnote_bank_614(B404,$A404,1,2,100000000)/[1]!s_stmnote_bank_647(B404,$A404,1,2,100000000),"")</f>
        <v/>
      </c>
      <c r="R404" s="28" t="str">
        <f>IFERROR(([1]!b_stm07_bs(B404,104,$A404,1,100000000)+[1]!b_stm07_bs(B404,106,$A404,1,100000000)+[1]!b_stm07_bs(B404,76,$A404,1,100000000)+[1]!b_stm07_bs(B404,108,$A404,1,100000000)+[1]!b_stm07_bs(B404,95,$A404,1,100000000))/[1]!b_stm07_bs(B404,128,$A404,1,100000000),"")</f>
        <v/>
      </c>
      <c r="S404" s="28" t="str">
        <f>IFERROR(([1]!s_stmnote_bank_614(B404,$A404,1,2,100000000)+[1]!b_stm07_bs(B404,104,$A404,1,100000000)+[1]!b_stm07_bs(B404,106,$A404,1,100000000)+[1]!b_stm07_bs(B404,76,$A404,1,100000000)+[1]!b_stm07_bs(B404,108,$A404,1,100000000)+[1]!b_stm07_bs(B404,95,$A404,1,100000000))/[1]!b_stm07_bs(B404,128,$A404,1,100000000),"")</f>
        <v/>
      </c>
      <c r="T404" s="11">
        <f>[1]!b_issuer_shareholder(B404,"",1)</f>
        <v>0</v>
      </c>
      <c r="U404" s="10">
        <f>[1]!b_issuer_propofshareholder(B404,"",1)</f>
        <v>0</v>
      </c>
      <c r="V404" s="33" t="str">
        <f t="shared" si="13"/>
        <v>0</v>
      </c>
      <c r="W404" s="33">
        <f>[1]!s_info_city(B404)</f>
        <v>0</v>
      </c>
      <c r="X404" s="10">
        <f>IF([1]!s_stmnote_bank_17n(B404,$A404,1)="0","",[1]!s_stmnote_bank_17n(B404,$A404,1))</f>
        <v>0</v>
      </c>
      <c r="Y404" s="10">
        <f>IF([1]!s_stmnote_bank_18n(B404,$A404,1)="0","",[1]!s_stmnote_bank_18n(B404,$A404,1))</f>
        <v>0</v>
      </c>
      <c r="Z404" s="41">
        <f>IF([1]!s_stmnote_bank_58(B404,$A404,1)="0","",[1]!s_stmnote_bank_58(B404,$A404,1))</f>
        <v>0</v>
      </c>
      <c r="AA404" s="52">
        <f>IF([1]!s_stmnote_bank_60(B404,$A404,1)="0","",[1]!s_stmnote_bank_60(B404,$A404,1))</f>
        <v>0</v>
      </c>
      <c r="AB404" s="52">
        <f>[1]!s_stmnote_bank_5444(B404,$A404,1)</f>
        <v>0</v>
      </c>
      <c r="AC404" s="38">
        <f>[1]!s_stmnote_bank_129n($B404,$A404,1)</f>
        <v>0</v>
      </c>
      <c r="AD404" s="54">
        <f>[1]!s_stmnote_bank_30(B404,$A404,1)</f>
        <v>0</v>
      </c>
    </row>
    <row r="405" spans="1:30" ht="24">
      <c r="A405" s="1" t="s">
        <v>1110</v>
      </c>
      <c r="B405" s="87" t="s">
        <v>1513</v>
      </c>
      <c r="C405" s="8">
        <f>IF([1]!b_info_issuer(B405)="0","",IFERROR([1]!b_info_issuer(B405),""))</f>
        <v>0</v>
      </c>
      <c r="D405" s="11">
        <f>IF([1]!b_info_latestissurercreditrating(B405)="0","",IFERROR([1]!b_info_latestissurercreditrating(B405),""))</f>
        <v>0</v>
      </c>
      <c r="E405" s="27" t="str">
        <f>IFERROR(([1]!b_stm07_bs($B405,47,$A405,1,100000000))/[1]!b_stm07_bs($B405,109,$A405,1,100000000),"")</f>
        <v/>
      </c>
      <c r="F405" s="18" t="str">
        <f>IFERROR(([1]!s_stmnote_bank_26($B405,$A405,1,100000000)-[1]!s_stmnote_bank_26($B405,#REF!,1,100000000)+#REF!)/[1]!s_stmnote_bank_1n($B405,#REF!,1,100000000),"")</f>
        <v/>
      </c>
      <c r="G405" s="21" t="str">
        <f t="shared" si="12"/>
        <v/>
      </c>
      <c r="H405" s="18" t="str">
        <f>IFERROR([1]!s_stmnote_bank($B405,"34",$A405,100000000)/[1]!s_stmnote_bank_1n(B405,$A405,1,100000000),"")</f>
        <v/>
      </c>
      <c r="I405" s="25">
        <f>[1]!b_stm07_bs(B405,74,$A405,1,100000000)</f>
        <v>0</v>
      </c>
      <c r="J405" s="25">
        <f>[1]!b_stm07_bs(B405,109,$A405,1,100000000)</f>
        <v>0</v>
      </c>
      <c r="K405" s="10">
        <f>[1]!s_stmnote_bank_5n(B405,$A405,1)</f>
        <v>0</v>
      </c>
      <c r="L405" s="25">
        <f>[1]!s_stmnote_bank_23n(B405,$A405,1)</f>
        <v>0</v>
      </c>
      <c r="M405" s="25">
        <f>[1]!s_stmnote_bank_capadequacyratio(B405,$A405,1)</f>
        <v>0</v>
      </c>
      <c r="N405" s="25">
        <f>[1]!s_stmnote_bank_capadequacyratio_ct1(B405,$A405,1)</f>
        <v>0</v>
      </c>
      <c r="O405" s="6">
        <f>IF(OR([1]!s_fa_roe(B405,20201231)="0",[1]!s_fa_roe(B405,20211231)="0",[1]!s_fa_roe(B405,20221231)="0"),"",IFERROR(([1]!s_fa_roe(B405,20221231)+[1]!s_fa_roe(B405,20201231)+[1]!s_fa_roe(B405,20211231))/3,""))</f>
        <v>0</v>
      </c>
      <c r="P405" s="28" t="str">
        <f>IFERROR(([1]!s_stmnote_bank_65(B405,$A405,1,2,4,100000000)+[1]!s_stmnote_bank_65(B405,$A405,1,2,6,100000000))/[1]!s_stmnote_bank_1n(B405,$A405,1,100000000),"")</f>
        <v/>
      </c>
      <c r="Q405" s="28" t="str">
        <f>IFERROR([1]!s_stmnote_bank_614(B405,$A405,1,2,100000000)/[1]!s_stmnote_bank_647(B405,$A405,1,2,100000000),"")</f>
        <v/>
      </c>
      <c r="R405" s="28" t="str">
        <f>IFERROR(([1]!b_stm07_bs(B405,104,$A405,1,100000000)+[1]!b_stm07_bs(B405,106,$A405,1,100000000)+[1]!b_stm07_bs(B405,76,$A405,1,100000000)+[1]!b_stm07_bs(B405,108,$A405,1,100000000)+[1]!b_stm07_bs(B405,95,$A405,1,100000000))/[1]!b_stm07_bs(B405,128,$A405,1,100000000),"")</f>
        <v/>
      </c>
      <c r="S405" s="28" t="str">
        <f>IFERROR(([1]!s_stmnote_bank_614(B405,$A405,1,2,100000000)+[1]!b_stm07_bs(B405,104,$A405,1,100000000)+[1]!b_stm07_bs(B405,106,$A405,1,100000000)+[1]!b_stm07_bs(B405,76,$A405,1,100000000)+[1]!b_stm07_bs(B405,108,$A405,1,100000000)+[1]!b_stm07_bs(B405,95,$A405,1,100000000))/[1]!b_stm07_bs(B405,128,$A405,1,100000000),"")</f>
        <v/>
      </c>
      <c r="T405" s="11">
        <f>[1]!b_issuer_shareholder(B405,"",1)</f>
        <v>0</v>
      </c>
      <c r="U405" s="10">
        <f>[1]!b_issuer_propofshareholder(B405,"",1)</f>
        <v>0</v>
      </c>
      <c r="V405" s="33" t="str">
        <f t="shared" si="13"/>
        <v>0</v>
      </c>
      <c r="W405" s="33">
        <f>[1]!s_info_city(B405)</f>
        <v>0</v>
      </c>
      <c r="X405" s="10">
        <f>IF([1]!s_stmnote_bank_17n(B405,$A405,1)="0","",[1]!s_stmnote_bank_17n(B405,$A405,1))</f>
        <v>0</v>
      </c>
      <c r="Y405" s="10">
        <f>IF([1]!s_stmnote_bank_18n(B405,$A405,1)="0","",[1]!s_stmnote_bank_18n(B405,$A405,1))</f>
        <v>0</v>
      </c>
      <c r="Z405" s="41">
        <f>IF([1]!s_stmnote_bank_58(B405,$A405,1)="0","",[1]!s_stmnote_bank_58(B405,$A405,1))</f>
        <v>0</v>
      </c>
      <c r="AA405" s="52">
        <f>IF([1]!s_stmnote_bank_60(B405,$A405,1)="0","",[1]!s_stmnote_bank_60(B405,$A405,1))</f>
        <v>0</v>
      </c>
      <c r="AB405" s="52">
        <f>[1]!s_stmnote_bank_5444(B405,$A405,1)</f>
        <v>0</v>
      </c>
      <c r="AC405" s="38">
        <f>[1]!s_stmnote_bank_129n($B405,$A405,1)</f>
        <v>0</v>
      </c>
      <c r="AD405" s="54">
        <f>[1]!s_stmnote_bank_30(B405,$A405,1)</f>
        <v>0</v>
      </c>
    </row>
    <row r="406" spans="1:30" ht="24">
      <c r="A406" s="1" t="s">
        <v>1110</v>
      </c>
      <c r="B406" s="87" t="s">
        <v>1514</v>
      </c>
      <c r="C406" s="8">
        <f>IF([1]!b_info_issuer(B406)="0","",IFERROR([1]!b_info_issuer(B406),""))</f>
        <v>0</v>
      </c>
      <c r="D406" s="11">
        <f>IF([1]!b_info_latestissurercreditrating(B406)="0","",IFERROR([1]!b_info_latestissurercreditrating(B406),""))</f>
        <v>0</v>
      </c>
      <c r="E406" s="27" t="str">
        <f>IFERROR(([1]!b_stm07_bs($B406,47,$A406,1,100000000))/[1]!b_stm07_bs($B406,109,$A406,1,100000000),"")</f>
        <v/>
      </c>
      <c r="F406" s="18" t="str">
        <f>IFERROR(([1]!s_stmnote_bank_26($B406,$A406,1,100000000)-[1]!s_stmnote_bank_26($B406,#REF!,1,100000000)+#REF!)/[1]!s_stmnote_bank_1n($B406,#REF!,1,100000000),"")</f>
        <v/>
      </c>
      <c r="G406" s="21" t="str">
        <f t="shared" si="12"/>
        <v/>
      </c>
      <c r="H406" s="18" t="str">
        <f>IFERROR([1]!s_stmnote_bank($B406,"34",$A406,100000000)/[1]!s_stmnote_bank_1n(B406,$A406,1,100000000),"")</f>
        <v/>
      </c>
      <c r="I406" s="25">
        <f>[1]!b_stm07_bs(B406,74,$A406,1,100000000)</f>
        <v>0</v>
      </c>
      <c r="J406" s="25">
        <f>[1]!b_stm07_bs(B406,109,$A406,1,100000000)</f>
        <v>0</v>
      </c>
      <c r="K406" s="10">
        <f>[1]!s_stmnote_bank_5n(B406,$A406,1)</f>
        <v>0</v>
      </c>
      <c r="L406" s="25">
        <f>[1]!s_stmnote_bank_23n(B406,$A406,1)</f>
        <v>0</v>
      </c>
      <c r="M406" s="25">
        <f>[1]!s_stmnote_bank_capadequacyratio(B406,$A406,1)</f>
        <v>0</v>
      </c>
      <c r="N406" s="25">
        <f>[1]!s_stmnote_bank_capadequacyratio_ct1(B406,$A406,1)</f>
        <v>0</v>
      </c>
      <c r="O406" s="6">
        <f>IF(OR([1]!s_fa_roe(B406,20201231)="0",[1]!s_fa_roe(B406,20211231)="0",[1]!s_fa_roe(B406,20221231)="0"),"",IFERROR(([1]!s_fa_roe(B406,20221231)+[1]!s_fa_roe(B406,20201231)+[1]!s_fa_roe(B406,20211231))/3,""))</f>
        <v>0</v>
      </c>
      <c r="P406" s="28" t="str">
        <f>IFERROR(([1]!s_stmnote_bank_65(B406,$A406,1,2,4,100000000)+[1]!s_stmnote_bank_65(B406,$A406,1,2,6,100000000))/[1]!s_stmnote_bank_1n(B406,$A406,1,100000000),"")</f>
        <v/>
      </c>
      <c r="Q406" s="28" t="str">
        <f>IFERROR([1]!s_stmnote_bank_614(B406,$A406,1,2,100000000)/[1]!s_stmnote_bank_647(B406,$A406,1,2,100000000),"")</f>
        <v/>
      </c>
      <c r="R406" s="28" t="str">
        <f>IFERROR(([1]!b_stm07_bs(B406,104,$A406,1,100000000)+[1]!b_stm07_bs(B406,106,$A406,1,100000000)+[1]!b_stm07_bs(B406,76,$A406,1,100000000)+[1]!b_stm07_bs(B406,108,$A406,1,100000000)+[1]!b_stm07_bs(B406,95,$A406,1,100000000))/[1]!b_stm07_bs(B406,128,$A406,1,100000000),"")</f>
        <v/>
      </c>
      <c r="S406" s="28" t="str">
        <f>IFERROR(([1]!s_stmnote_bank_614(B406,$A406,1,2,100000000)+[1]!b_stm07_bs(B406,104,$A406,1,100000000)+[1]!b_stm07_bs(B406,106,$A406,1,100000000)+[1]!b_stm07_bs(B406,76,$A406,1,100000000)+[1]!b_stm07_bs(B406,108,$A406,1,100000000)+[1]!b_stm07_bs(B406,95,$A406,1,100000000))/[1]!b_stm07_bs(B406,128,$A406,1,100000000),"")</f>
        <v/>
      </c>
      <c r="T406" s="11">
        <f>[1]!b_issuer_shareholder(B406,"",1)</f>
        <v>0</v>
      </c>
      <c r="U406" s="10">
        <f>[1]!b_issuer_propofshareholder(B406,"",1)</f>
        <v>0</v>
      </c>
      <c r="V406" s="33" t="str">
        <f t="shared" si="13"/>
        <v>0</v>
      </c>
      <c r="W406" s="33">
        <f>[1]!s_info_city(B406)</f>
        <v>0</v>
      </c>
      <c r="X406" s="10">
        <f>IF([1]!s_stmnote_bank_17n(B406,$A406,1)="0","",[1]!s_stmnote_bank_17n(B406,$A406,1))</f>
        <v>0</v>
      </c>
      <c r="Y406" s="10">
        <f>IF([1]!s_stmnote_bank_18n(B406,$A406,1)="0","",[1]!s_stmnote_bank_18n(B406,$A406,1))</f>
        <v>0</v>
      </c>
      <c r="Z406" s="41">
        <f>IF([1]!s_stmnote_bank_58(B406,$A406,1)="0","",[1]!s_stmnote_bank_58(B406,$A406,1))</f>
        <v>0</v>
      </c>
      <c r="AA406" s="52">
        <f>IF([1]!s_stmnote_bank_60(B406,$A406,1)="0","",[1]!s_stmnote_bank_60(B406,$A406,1))</f>
        <v>0</v>
      </c>
      <c r="AB406" s="52">
        <f>[1]!s_stmnote_bank_5444(B406,$A406,1)</f>
        <v>0</v>
      </c>
      <c r="AC406" s="38">
        <f>[1]!s_stmnote_bank_129n($B406,$A406,1)</f>
        <v>0</v>
      </c>
      <c r="AD406" s="54">
        <f>[1]!s_stmnote_bank_30(B406,$A406,1)</f>
        <v>0</v>
      </c>
    </row>
    <row r="407" spans="1:30" ht="24">
      <c r="A407" s="1" t="s">
        <v>1110</v>
      </c>
      <c r="B407" s="87" t="s">
        <v>1515</v>
      </c>
      <c r="C407" s="8">
        <f>IF([1]!b_info_issuer(B407)="0","",IFERROR([1]!b_info_issuer(B407),""))</f>
        <v>0</v>
      </c>
      <c r="D407" s="11">
        <f>IF([1]!b_info_latestissurercreditrating(B407)="0","",IFERROR([1]!b_info_latestissurercreditrating(B407),""))</f>
        <v>0</v>
      </c>
      <c r="E407" s="27" t="str">
        <f>IFERROR(([1]!b_stm07_bs($B407,47,$A407,1,100000000))/[1]!b_stm07_bs($B407,109,$A407,1,100000000),"")</f>
        <v/>
      </c>
      <c r="F407" s="18" t="str">
        <f>IFERROR(([1]!s_stmnote_bank_26($B407,$A407,1,100000000)-[1]!s_stmnote_bank_26($B407,#REF!,1,100000000)+#REF!)/[1]!s_stmnote_bank_1n($B407,#REF!,1,100000000),"")</f>
        <v/>
      </c>
      <c r="G407" s="21" t="str">
        <f t="shared" si="12"/>
        <v/>
      </c>
      <c r="H407" s="18" t="str">
        <f>IFERROR([1]!s_stmnote_bank($B407,"34",$A407,100000000)/[1]!s_stmnote_bank_1n(B407,$A407,1,100000000),"")</f>
        <v/>
      </c>
      <c r="I407" s="25">
        <f>[1]!b_stm07_bs(B407,74,$A407,1,100000000)</f>
        <v>0</v>
      </c>
      <c r="J407" s="25">
        <f>[1]!b_stm07_bs(B407,109,$A407,1,100000000)</f>
        <v>0</v>
      </c>
      <c r="K407" s="10">
        <f>[1]!s_stmnote_bank_5n(B407,$A407,1)</f>
        <v>0</v>
      </c>
      <c r="L407" s="25">
        <f>[1]!s_stmnote_bank_23n(B407,$A407,1)</f>
        <v>0</v>
      </c>
      <c r="M407" s="25">
        <f>[1]!s_stmnote_bank_capadequacyratio(B407,$A407,1)</f>
        <v>0</v>
      </c>
      <c r="N407" s="25">
        <f>[1]!s_stmnote_bank_capadequacyratio_ct1(B407,$A407,1)</f>
        <v>0</v>
      </c>
      <c r="O407" s="6">
        <f>IF(OR([1]!s_fa_roe(B407,20201231)="0",[1]!s_fa_roe(B407,20211231)="0",[1]!s_fa_roe(B407,20221231)="0"),"",IFERROR(([1]!s_fa_roe(B407,20221231)+[1]!s_fa_roe(B407,20201231)+[1]!s_fa_roe(B407,20211231))/3,""))</f>
        <v>0</v>
      </c>
      <c r="P407" s="28" t="str">
        <f>IFERROR(([1]!s_stmnote_bank_65(B407,$A407,1,2,4,100000000)+[1]!s_stmnote_bank_65(B407,$A407,1,2,6,100000000))/[1]!s_stmnote_bank_1n(B407,$A407,1,100000000),"")</f>
        <v/>
      </c>
      <c r="Q407" s="28" t="str">
        <f>IFERROR([1]!s_stmnote_bank_614(B407,$A407,1,2,100000000)/[1]!s_stmnote_bank_647(B407,$A407,1,2,100000000),"")</f>
        <v/>
      </c>
      <c r="R407" s="28" t="str">
        <f>IFERROR(([1]!b_stm07_bs(B407,104,$A407,1,100000000)+[1]!b_stm07_bs(B407,106,$A407,1,100000000)+[1]!b_stm07_bs(B407,76,$A407,1,100000000)+[1]!b_stm07_bs(B407,108,$A407,1,100000000)+[1]!b_stm07_bs(B407,95,$A407,1,100000000))/[1]!b_stm07_bs(B407,128,$A407,1,100000000),"")</f>
        <v/>
      </c>
      <c r="S407" s="28" t="str">
        <f>IFERROR(([1]!s_stmnote_bank_614(B407,$A407,1,2,100000000)+[1]!b_stm07_bs(B407,104,$A407,1,100000000)+[1]!b_stm07_bs(B407,106,$A407,1,100000000)+[1]!b_stm07_bs(B407,76,$A407,1,100000000)+[1]!b_stm07_bs(B407,108,$A407,1,100000000)+[1]!b_stm07_bs(B407,95,$A407,1,100000000))/[1]!b_stm07_bs(B407,128,$A407,1,100000000),"")</f>
        <v/>
      </c>
      <c r="T407" s="11">
        <f>[1]!b_issuer_shareholder(B407,"",1)</f>
        <v>0</v>
      </c>
      <c r="U407" s="10">
        <f>[1]!b_issuer_propofshareholder(B407,"",1)</f>
        <v>0</v>
      </c>
      <c r="V407" s="33" t="str">
        <f t="shared" si="13"/>
        <v>0</v>
      </c>
      <c r="W407" s="33">
        <f>[1]!s_info_city(B407)</f>
        <v>0</v>
      </c>
      <c r="X407" s="10">
        <f>IF([1]!s_stmnote_bank_17n(B407,$A407,1)="0","",[1]!s_stmnote_bank_17n(B407,$A407,1))</f>
        <v>0</v>
      </c>
      <c r="Y407" s="10">
        <f>IF([1]!s_stmnote_bank_18n(B407,$A407,1)="0","",[1]!s_stmnote_bank_18n(B407,$A407,1))</f>
        <v>0</v>
      </c>
      <c r="Z407" s="41">
        <f>IF([1]!s_stmnote_bank_58(B407,$A407,1)="0","",[1]!s_stmnote_bank_58(B407,$A407,1))</f>
        <v>0</v>
      </c>
      <c r="AA407" s="52">
        <f>IF([1]!s_stmnote_bank_60(B407,$A407,1)="0","",[1]!s_stmnote_bank_60(B407,$A407,1))</f>
        <v>0</v>
      </c>
      <c r="AB407" s="52">
        <f>[1]!s_stmnote_bank_5444(B407,$A407,1)</f>
        <v>0</v>
      </c>
      <c r="AC407" s="38">
        <f>[1]!s_stmnote_bank_129n($B407,$A407,1)</f>
        <v>0</v>
      </c>
      <c r="AD407" s="54">
        <f>[1]!s_stmnote_bank_30(B407,$A407,1)</f>
        <v>0</v>
      </c>
    </row>
    <row r="408" spans="1:30" ht="24">
      <c r="A408" s="1" t="s">
        <v>1110</v>
      </c>
      <c r="B408" s="87" t="s">
        <v>1516</v>
      </c>
      <c r="C408" s="8">
        <f>IF([1]!b_info_issuer(B408)="0","",IFERROR([1]!b_info_issuer(B408),""))</f>
        <v>0</v>
      </c>
      <c r="D408" s="11">
        <f>IF([1]!b_info_latestissurercreditrating(B408)="0","",IFERROR([1]!b_info_latestissurercreditrating(B408),""))</f>
        <v>0</v>
      </c>
      <c r="E408" s="27" t="str">
        <f>IFERROR(([1]!b_stm07_bs($B408,47,$A408,1,100000000))/[1]!b_stm07_bs($B408,109,$A408,1,100000000),"")</f>
        <v/>
      </c>
      <c r="F408" s="18" t="str">
        <f>IFERROR(([1]!s_stmnote_bank_26($B408,$A408,1,100000000)-[1]!s_stmnote_bank_26($B408,#REF!,1,100000000)+#REF!)/[1]!s_stmnote_bank_1n($B408,#REF!,1,100000000),"")</f>
        <v/>
      </c>
      <c r="G408" s="21" t="str">
        <f t="shared" si="12"/>
        <v/>
      </c>
      <c r="H408" s="18" t="str">
        <f>IFERROR([1]!s_stmnote_bank($B408,"34",$A408,100000000)/[1]!s_stmnote_bank_1n(B408,$A408,1,100000000),"")</f>
        <v/>
      </c>
      <c r="I408" s="25">
        <f>[1]!b_stm07_bs(B408,74,$A408,1,100000000)</f>
        <v>0</v>
      </c>
      <c r="J408" s="25">
        <f>[1]!b_stm07_bs(B408,109,$A408,1,100000000)</f>
        <v>0</v>
      </c>
      <c r="K408" s="10">
        <f>[1]!s_stmnote_bank_5n(B408,$A408,1)</f>
        <v>0</v>
      </c>
      <c r="L408" s="25">
        <f>[1]!s_stmnote_bank_23n(B408,$A408,1)</f>
        <v>0</v>
      </c>
      <c r="M408" s="25">
        <f>[1]!s_stmnote_bank_capadequacyratio(B408,$A408,1)</f>
        <v>0</v>
      </c>
      <c r="N408" s="25">
        <f>[1]!s_stmnote_bank_capadequacyratio_ct1(B408,$A408,1)</f>
        <v>0</v>
      </c>
      <c r="O408" s="6">
        <f>IF(OR([1]!s_fa_roe(B408,20201231)="0",[1]!s_fa_roe(B408,20211231)="0",[1]!s_fa_roe(B408,20221231)="0"),"",IFERROR(([1]!s_fa_roe(B408,20221231)+[1]!s_fa_roe(B408,20201231)+[1]!s_fa_roe(B408,20211231))/3,""))</f>
        <v>0</v>
      </c>
      <c r="P408" s="28" t="str">
        <f>IFERROR(([1]!s_stmnote_bank_65(B408,$A408,1,2,4,100000000)+[1]!s_stmnote_bank_65(B408,$A408,1,2,6,100000000))/[1]!s_stmnote_bank_1n(B408,$A408,1,100000000),"")</f>
        <v/>
      </c>
      <c r="Q408" s="28" t="str">
        <f>IFERROR([1]!s_stmnote_bank_614(B408,$A408,1,2,100000000)/[1]!s_stmnote_bank_647(B408,$A408,1,2,100000000),"")</f>
        <v/>
      </c>
      <c r="R408" s="28" t="str">
        <f>IFERROR(([1]!b_stm07_bs(B408,104,$A408,1,100000000)+[1]!b_stm07_bs(B408,106,$A408,1,100000000)+[1]!b_stm07_bs(B408,76,$A408,1,100000000)+[1]!b_stm07_bs(B408,108,$A408,1,100000000)+[1]!b_stm07_bs(B408,95,$A408,1,100000000))/[1]!b_stm07_bs(B408,128,$A408,1,100000000),"")</f>
        <v/>
      </c>
      <c r="S408" s="28" t="str">
        <f>IFERROR(([1]!s_stmnote_bank_614(B408,$A408,1,2,100000000)+[1]!b_stm07_bs(B408,104,$A408,1,100000000)+[1]!b_stm07_bs(B408,106,$A408,1,100000000)+[1]!b_stm07_bs(B408,76,$A408,1,100000000)+[1]!b_stm07_bs(B408,108,$A408,1,100000000)+[1]!b_stm07_bs(B408,95,$A408,1,100000000))/[1]!b_stm07_bs(B408,128,$A408,1,100000000),"")</f>
        <v/>
      </c>
      <c r="T408" s="11">
        <f>[1]!b_issuer_shareholder(B408,"",1)</f>
        <v>0</v>
      </c>
      <c r="U408" s="10">
        <f>[1]!b_issuer_propofshareholder(B408,"",1)</f>
        <v>0</v>
      </c>
      <c r="V408" s="33" t="str">
        <f t="shared" si="13"/>
        <v>0</v>
      </c>
      <c r="W408" s="33">
        <f>[1]!s_info_city(B408)</f>
        <v>0</v>
      </c>
      <c r="X408" s="10">
        <f>IF([1]!s_stmnote_bank_17n(B408,$A408,1)="0","",[1]!s_stmnote_bank_17n(B408,$A408,1))</f>
        <v>0</v>
      </c>
      <c r="Y408" s="10">
        <f>IF([1]!s_stmnote_bank_18n(B408,$A408,1)="0","",[1]!s_stmnote_bank_18n(B408,$A408,1))</f>
        <v>0</v>
      </c>
      <c r="Z408" s="41">
        <f>IF([1]!s_stmnote_bank_58(B408,$A408,1)="0","",[1]!s_stmnote_bank_58(B408,$A408,1))</f>
        <v>0</v>
      </c>
      <c r="AA408" s="52">
        <f>IF([1]!s_stmnote_bank_60(B408,$A408,1)="0","",[1]!s_stmnote_bank_60(B408,$A408,1))</f>
        <v>0</v>
      </c>
      <c r="AB408" s="52">
        <f>[1]!s_stmnote_bank_5444(B408,$A408,1)</f>
        <v>0</v>
      </c>
      <c r="AC408" s="38">
        <f>[1]!s_stmnote_bank_129n($B408,$A408,1)</f>
        <v>0</v>
      </c>
      <c r="AD408" s="54">
        <f>[1]!s_stmnote_bank_30(B408,$A408,1)</f>
        <v>0</v>
      </c>
    </row>
    <row r="409" spans="1:30" ht="24">
      <c r="A409" s="1" t="s">
        <v>1110</v>
      </c>
      <c r="B409" s="87" t="s">
        <v>1517</v>
      </c>
      <c r="C409" s="8">
        <f>IF([1]!b_info_issuer(B409)="0","",IFERROR([1]!b_info_issuer(B409),""))</f>
        <v>0</v>
      </c>
      <c r="D409" s="11">
        <f>IF([1]!b_info_latestissurercreditrating(B409)="0","",IFERROR([1]!b_info_latestissurercreditrating(B409),""))</f>
        <v>0</v>
      </c>
      <c r="E409" s="27" t="str">
        <f>IFERROR(([1]!b_stm07_bs($B409,47,$A409,1,100000000))/[1]!b_stm07_bs($B409,109,$A409,1,100000000),"")</f>
        <v/>
      </c>
      <c r="F409" s="18" t="str">
        <f>IFERROR(([1]!s_stmnote_bank_26($B409,$A409,1,100000000)-[1]!s_stmnote_bank_26($B409,#REF!,1,100000000)+#REF!)/[1]!s_stmnote_bank_1n($B409,#REF!,1,100000000),"")</f>
        <v/>
      </c>
      <c r="G409" s="21" t="str">
        <f t="shared" si="12"/>
        <v/>
      </c>
      <c r="H409" s="18" t="str">
        <f>IFERROR([1]!s_stmnote_bank($B409,"34",$A409,100000000)/[1]!s_stmnote_bank_1n(B409,$A409,1,100000000),"")</f>
        <v/>
      </c>
      <c r="I409" s="25">
        <f>[1]!b_stm07_bs(B409,74,$A409,1,100000000)</f>
        <v>0</v>
      </c>
      <c r="J409" s="25">
        <f>[1]!b_stm07_bs(B409,109,$A409,1,100000000)</f>
        <v>0</v>
      </c>
      <c r="K409" s="10">
        <f>[1]!s_stmnote_bank_5n(B409,$A409,1)</f>
        <v>0</v>
      </c>
      <c r="L409" s="25">
        <f>[1]!s_stmnote_bank_23n(B409,$A409,1)</f>
        <v>0</v>
      </c>
      <c r="M409" s="25">
        <f>[1]!s_stmnote_bank_capadequacyratio(B409,$A409,1)</f>
        <v>0</v>
      </c>
      <c r="N409" s="25">
        <f>[1]!s_stmnote_bank_capadequacyratio_ct1(B409,$A409,1)</f>
        <v>0</v>
      </c>
      <c r="O409" s="6">
        <f>IF(OR([1]!s_fa_roe(B409,20201231)="0",[1]!s_fa_roe(B409,20211231)="0",[1]!s_fa_roe(B409,20221231)="0"),"",IFERROR(([1]!s_fa_roe(B409,20221231)+[1]!s_fa_roe(B409,20201231)+[1]!s_fa_roe(B409,20211231))/3,""))</f>
        <v>0</v>
      </c>
      <c r="P409" s="28" t="str">
        <f>IFERROR(([1]!s_stmnote_bank_65(B409,$A409,1,2,4,100000000)+[1]!s_stmnote_bank_65(B409,$A409,1,2,6,100000000))/[1]!s_stmnote_bank_1n(B409,$A409,1,100000000),"")</f>
        <v/>
      </c>
      <c r="Q409" s="28" t="str">
        <f>IFERROR([1]!s_stmnote_bank_614(B409,$A409,1,2,100000000)/[1]!s_stmnote_bank_647(B409,$A409,1,2,100000000),"")</f>
        <v/>
      </c>
      <c r="R409" s="28" t="str">
        <f>IFERROR(([1]!b_stm07_bs(B409,104,$A409,1,100000000)+[1]!b_stm07_bs(B409,106,$A409,1,100000000)+[1]!b_stm07_bs(B409,76,$A409,1,100000000)+[1]!b_stm07_bs(B409,108,$A409,1,100000000)+[1]!b_stm07_bs(B409,95,$A409,1,100000000))/[1]!b_stm07_bs(B409,128,$A409,1,100000000),"")</f>
        <v/>
      </c>
      <c r="S409" s="28" t="str">
        <f>IFERROR(([1]!s_stmnote_bank_614(B409,$A409,1,2,100000000)+[1]!b_stm07_bs(B409,104,$A409,1,100000000)+[1]!b_stm07_bs(B409,106,$A409,1,100000000)+[1]!b_stm07_bs(B409,76,$A409,1,100000000)+[1]!b_stm07_bs(B409,108,$A409,1,100000000)+[1]!b_stm07_bs(B409,95,$A409,1,100000000))/[1]!b_stm07_bs(B409,128,$A409,1,100000000),"")</f>
        <v/>
      </c>
      <c r="T409" s="11">
        <f>[1]!b_issuer_shareholder(B409,"",1)</f>
        <v>0</v>
      </c>
      <c r="U409" s="10">
        <f>[1]!b_issuer_propofshareholder(B409,"",1)</f>
        <v>0</v>
      </c>
      <c r="V409" s="33" t="str">
        <f t="shared" si="13"/>
        <v>0</v>
      </c>
      <c r="W409" s="33">
        <f>[1]!s_info_city(B409)</f>
        <v>0</v>
      </c>
      <c r="X409" s="10">
        <f>IF([1]!s_stmnote_bank_17n(B409,$A409,1)="0","",[1]!s_stmnote_bank_17n(B409,$A409,1))</f>
        <v>0</v>
      </c>
      <c r="Y409" s="10">
        <f>IF([1]!s_stmnote_bank_18n(B409,$A409,1)="0","",[1]!s_stmnote_bank_18n(B409,$A409,1))</f>
        <v>0</v>
      </c>
      <c r="Z409" s="41">
        <f>IF([1]!s_stmnote_bank_58(B409,$A409,1)="0","",[1]!s_stmnote_bank_58(B409,$A409,1))</f>
        <v>0</v>
      </c>
      <c r="AA409" s="52">
        <f>IF([1]!s_stmnote_bank_60(B409,$A409,1)="0","",[1]!s_stmnote_bank_60(B409,$A409,1))</f>
        <v>0</v>
      </c>
      <c r="AB409" s="52">
        <f>[1]!s_stmnote_bank_5444(B409,$A409,1)</f>
        <v>0</v>
      </c>
      <c r="AC409" s="38">
        <f>[1]!s_stmnote_bank_129n($B409,$A409,1)</f>
        <v>0</v>
      </c>
      <c r="AD409" s="54">
        <f>[1]!s_stmnote_bank_30(B409,$A409,1)</f>
        <v>0</v>
      </c>
    </row>
    <row r="410" spans="1:30" ht="24">
      <c r="A410" s="1" t="s">
        <v>1110</v>
      </c>
      <c r="B410" s="87" t="s">
        <v>1518</v>
      </c>
      <c r="C410" s="8">
        <f>IF([1]!b_info_issuer(B410)="0","",IFERROR([1]!b_info_issuer(B410),""))</f>
        <v>0</v>
      </c>
      <c r="D410" s="11">
        <f>IF([1]!b_info_latestissurercreditrating(B410)="0","",IFERROR([1]!b_info_latestissurercreditrating(B410),""))</f>
        <v>0</v>
      </c>
      <c r="E410" s="27" t="str">
        <f>IFERROR(([1]!b_stm07_bs($B410,47,$A410,1,100000000))/[1]!b_stm07_bs($B410,109,$A410,1,100000000),"")</f>
        <v/>
      </c>
      <c r="F410" s="18" t="str">
        <f>IFERROR(([1]!s_stmnote_bank_26($B410,$A410,1,100000000)-[1]!s_stmnote_bank_26($B410,#REF!,1,100000000)+#REF!)/[1]!s_stmnote_bank_1n($B410,#REF!,1,100000000),"")</f>
        <v/>
      </c>
      <c r="G410" s="21" t="str">
        <f t="shared" si="12"/>
        <v/>
      </c>
      <c r="H410" s="18" t="str">
        <f>IFERROR([1]!s_stmnote_bank($B410,"34",$A410,100000000)/[1]!s_stmnote_bank_1n(B410,$A410,1,100000000),"")</f>
        <v/>
      </c>
      <c r="I410" s="25">
        <f>[1]!b_stm07_bs(B410,74,$A410,1,100000000)</f>
        <v>0</v>
      </c>
      <c r="J410" s="25">
        <f>[1]!b_stm07_bs(B410,109,$A410,1,100000000)</f>
        <v>0</v>
      </c>
      <c r="K410" s="10">
        <f>[1]!s_stmnote_bank_5n(B410,$A410,1)</f>
        <v>0</v>
      </c>
      <c r="L410" s="25">
        <f>[1]!s_stmnote_bank_23n(B410,$A410,1)</f>
        <v>0</v>
      </c>
      <c r="M410" s="25">
        <f>[1]!s_stmnote_bank_capadequacyratio(B410,$A410,1)</f>
        <v>0</v>
      </c>
      <c r="N410" s="25">
        <f>[1]!s_stmnote_bank_capadequacyratio_ct1(B410,$A410,1)</f>
        <v>0</v>
      </c>
      <c r="O410" s="6">
        <f>IF(OR([1]!s_fa_roe(B410,20201231)="0",[1]!s_fa_roe(B410,20211231)="0",[1]!s_fa_roe(B410,20221231)="0"),"",IFERROR(([1]!s_fa_roe(B410,20221231)+[1]!s_fa_roe(B410,20201231)+[1]!s_fa_roe(B410,20211231))/3,""))</f>
        <v>0</v>
      </c>
      <c r="P410" s="28" t="str">
        <f>IFERROR(([1]!s_stmnote_bank_65(B410,$A410,1,2,4,100000000)+[1]!s_stmnote_bank_65(B410,$A410,1,2,6,100000000))/[1]!s_stmnote_bank_1n(B410,$A410,1,100000000),"")</f>
        <v/>
      </c>
      <c r="Q410" s="28" t="str">
        <f>IFERROR([1]!s_stmnote_bank_614(B410,$A410,1,2,100000000)/[1]!s_stmnote_bank_647(B410,$A410,1,2,100000000),"")</f>
        <v/>
      </c>
      <c r="R410" s="28" t="str">
        <f>IFERROR(([1]!b_stm07_bs(B410,104,$A410,1,100000000)+[1]!b_stm07_bs(B410,106,$A410,1,100000000)+[1]!b_stm07_bs(B410,76,$A410,1,100000000)+[1]!b_stm07_bs(B410,108,$A410,1,100000000)+[1]!b_stm07_bs(B410,95,$A410,1,100000000))/[1]!b_stm07_bs(B410,128,$A410,1,100000000),"")</f>
        <v/>
      </c>
      <c r="S410" s="28" t="str">
        <f>IFERROR(([1]!s_stmnote_bank_614(B410,$A410,1,2,100000000)+[1]!b_stm07_bs(B410,104,$A410,1,100000000)+[1]!b_stm07_bs(B410,106,$A410,1,100000000)+[1]!b_stm07_bs(B410,76,$A410,1,100000000)+[1]!b_stm07_bs(B410,108,$A410,1,100000000)+[1]!b_stm07_bs(B410,95,$A410,1,100000000))/[1]!b_stm07_bs(B410,128,$A410,1,100000000),"")</f>
        <v/>
      </c>
      <c r="T410" s="11">
        <f>[1]!b_issuer_shareholder(B410,"",1)</f>
        <v>0</v>
      </c>
      <c r="U410" s="10">
        <f>[1]!b_issuer_propofshareholder(B410,"",1)</f>
        <v>0</v>
      </c>
      <c r="V410" s="33" t="str">
        <f t="shared" si="13"/>
        <v>0</v>
      </c>
      <c r="W410" s="33">
        <f>[1]!s_info_city(B410)</f>
        <v>0</v>
      </c>
      <c r="X410" s="10">
        <f>IF([1]!s_stmnote_bank_17n(B410,$A410,1)="0","",[1]!s_stmnote_bank_17n(B410,$A410,1))</f>
        <v>0</v>
      </c>
      <c r="Y410" s="10">
        <f>IF([1]!s_stmnote_bank_18n(B410,$A410,1)="0","",[1]!s_stmnote_bank_18n(B410,$A410,1))</f>
        <v>0</v>
      </c>
      <c r="Z410" s="41">
        <f>IF([1]!s_stmnote_bank_58(B410,$A410,1)="0","",[1]!s_stmnote_bank_58(B410,$A410,1))</f>
        <v>0</v>
      </c>
      <c r="AA410" s="52">
        <f>IF([1]!s_stmnote_bank_60(B410,$A410,1)="0","",[1]!s_stmnote_bank_60(B410,$A410,1))</f>
        <v>0</v>
      </c>
      <c r="AB410" s="52">
        <f>[1]!s_stmnote_bank_5444(B410,$A410,1)</f>
        <v>0</v>
      </c>
      <c r="AC410" s="38">
        <f>[1]!s_stmnote_bank_129n($B410,$A410,1)</f>
        <v>0</v>
      </c>
      <c r="AD410" s="54">
        <f>[1]!s_stmnote_bank_30(B410,$A410,1)</f>
        <v>0</v>
      </c>
    </row>
    <row r="411" spans="1:30" ht="24">
      <c r="A411" s="1" t="s">
        <v>1110</v>
      </c>
      <c r="B411" s="87" t="s">
        <v>1519</v>
      </c>
      <c r="C411" s="8">
        <f>IF([1]!b_info_issuer(B411)="0","",IFERROR([1]!b_info_issuer(B411),""))</f>
        <v>0</v>
      </c>
      <c r="D411" s="11">
        <f>IF([1]!b_info_latestissurercreditrating(B411)="0","",IFERROR([1]!b_info_latestissurercreditrating(B411),""))</f>
        <v>0</v>
      </c>
      <c r="E411" s="27" t="str">
        <f>IFERROR(([1]!b_stm07_bs($B411,47,$A411,1,100000000))/[1]!b_stm07_bs($B411,109,$A411,1,100000000),"")</f>
        <v/>
      </c>
      <c r="F411" s="18" t="str">
        <f>IFERROR(([1]!s_stmnote_bank_26($B411,$A411,1,100000000)-[1]!s_stmnote_bank_26($B411,#REF!,1,100000000)+#REF!)/[1]!s_stmnote_bank_1n($B411,#REF!,1,100000000),"")</f>
        <v/>
      </c>
      <c r="G411" s="21" t="str">
        <f t="shared" si="12"/>
        <v/>
      </c>
      <c r="H411" s="18" t="str">
        <f>IFERROR([1]!s_stmnote_bank($B411,"34",$A411,100000000)/[1]!s_stmnote_bank_1n(B411,$A411,1,100000000),"")</f>
        <v/>
      </c>
      <c r="I411" s="25">
        <f>[1]!b_stm07_bs(B411,74,$A411,1,100000000)</f>
        <v>0</v>
      </c>
      <c r="J411" s="25">
        <f>[1]!b_stm07_bs(B411,109,$A411,1,100000000)</f>
        <v>0</v>
      </c>
      <c r="K411" s="10">
        <f>[1]!s_stmnote_bank_5n(B411,$A411,1)</f>
        <v>0</v>
      </c>
      <c r="L411" s="25">
        <f>[1]!s_stmnote_bank_23n(B411,$A411,1)</f>
        <v>0</v>
      </c>
      <c r="M411" s="25">
        <f>[1]!s_stmnote_bank_capadequacyratio(B411,$A411,1)</f>
        <v>0</v>
      </c>
      <c r="N411" s="25">
        <f>[1]!s_stmnote_bank_capadequacyratio_ct1(B411,$A411,1)</f>
        <v>0</v>
      </c>
      <c r="O411" s="6">
        <f>IF(OR([1]!s_fa_roe(B411,20201231)="0",[1]!s_fa_roe(B411,20211231)="0",[1]!s_fa_roe(B411,20221231)="0"),"",IFERROR(([1]!s_fa_roe(B411,20221231)+[1]!s_fa_roe(B411,20201231)+[1]!s_fa_roe(B411,20211231))/3,""))</f>
        <v>0</v>
      </c>
      <c r="P411" s="28" t="str">
        <f>IFERROR(([1]!s_stmnote_bank_65(B411,$A411,1,2,4,100000000)+[1]!s_stmnote_bank_65(B411,$A411,1,2,6,100000000))/[1]!s_stmnote_bank_1n(B411,$A411,1,100000000),"")</f>
        <v/>
      </c>
      <c r="Q411" s="28" t="str">
        <f>IFERROR([1]!s_stmnote_bank_614(B411,$A411,1,2,100000000)/[1]!s_stmnote_bank_647(B411,$A411,1,2,100000000),"")</f>
        <v/>
      </c>
      <c r="R411" s="28" t="str">
        <f>IFERROR(([1]!b_stm07_bs(B411,104,$A411,1,100000000)+[1]!b_stm07_bs(B411,106,$A411,1,100000000)+[1]!b_stm07_bs(B411,76,$A411,1,100000000)+[1]!b_stm07_bs(B411,108,$A411,1,100000000)+[1]!b_stm07_bs(B411,95,$A411,1,100000000))/[1]!b_stm07_bs(B411,128,$A411,1,100000000),"")</f>
        <v/>
      </c>
      <c r="S411" s="28" t="str">
        <f>IFERROR(([1]!s_stmnote_bank_614(B411,$A411,1,2,100000000)+[1]!b_stm07_bs(B411,104,$A411,1,100000000)+[1]!b_stm07_bs(B411,106,$A411,1,100000000)+[1]!b_stm07_bs(B411,76,$A411,1,100000000)+[1]!b_stm07_bs(B411,108,$A411,1,100000000)+[1]!b_stm07_bs(B411,95,$A411,1,100000000))/[1]!b_stm07_bs(B411,128,$A411,1,100000000),"")</f>
        <v/>
      </c>
      <c r="T411" s="11">
        <f>[1]!b_issuer_shareholder(B411,"",1)</f>
        <v>0</v>
      </c>
      <c r="U411" s="10">
        <f>[1]!b_issuer_propofshareholder(B411,"",1)</f>
        <v>0</v>
      </c>
      <c r="V411" s="33" t="str">
        <f t="shared" si="13"/>
        <v>0</v>
      </c>
      <c r="W411" s="33">
        <f>[1]!s_info_city(B411)</f>
        <v>0</v>
      </c>
      <c r="X411" s="10">
        <f>IF([1]!s_stmnote_bank_17n(B411,$A411,1)="0","",[1]!s_stmnote_bank_17n(B411,$A411,1))</f>
        <v>0</v>
      </c>
      <c r="Y411" s="10">
        <f>IF([1]!s_stmnote_bank_18n(B411,$A411,1)="0","",[1]!s_stmnote_bank_18n(B411,$A411,1))</f>
        <v>0</v>
      </c>
      <c r="Z411" s="41">
        <f>IF([1]!s_stmnote_bank_58(B411,$A411,1)="0","",[1]!s_stmnote_bank_58(B411,$A411,1))</f>
        <v>0</v>
      </c>
      <c r="AA411" s="52">
        <f>IF([1]!s_stmnote_bank_60(B411,$A411,1)="0","",[1]!s_stmnote_bank_60(B411,$A411,1))</f>
        <v>0</v>
      </c>
      <c r="AB411" s="52">
        <f>[1]!s_stmnote_bank_5444(B411,$A411,1)</f>
        <v>0</v>
      </c>
      <c r="AC411" s="38">
        <f>[1]!s_stmnote_bank_129n($B411,$A411,1)</f>
        <v>0</v>
      </c>
      <c r="AD411" s="54">
        <f>[1]!s_stmnote_bank_30(B411,$A411,1)</f>
        <v>0</v>
      </c>
    </row>
    <row r="412" spans="1:30" ht="24">
      <c r="A412" s="1" t="s">
        <v>1110</v>
      </c>
      <c r="B412" s="87" t="s">
        <v>1520</v>
      </c>
      <c r="C412" s="8">
        <f>IF([1]!b_info_issuer(B412)="0","",IFERROR([1]!b_info_issuer(B412),""))</f>
        <v>0</v>
      </c>
      <c r="D412" s="11">
        <f>IF([1]!b_info_latestissurercreditrating(B412)="0","",IFERROR([1]!b_info_latestissurercreditrating(B412),""))</f>
        <v>0</v>
      </c>
      <c r="E412" s="27" t="str">
        <f>IFERROR(([1]!b_stm07_bs($B412,47,$A412,1,100000000))/[1]!b_stm07_bs($B412,109,$A412,1,100000000),"")</f>
        <v/>
      </c>
      <c r="F412" s="18" t="str">
        <f>IFERROR(([1]!s_stmnote_bank_26($B412,$A412,1,100000000)-[1]!s_stmnote_bank_26($B412,#REF!,1,100000000)+#REF!)/[1]!s_stmnote_bank_1n($B412,#REF!,1,100000000),"")</f>
        <v/>
      </c>
      <c r="G412" s="21" t="str">
        <f t="shared" si="12"/>
        <v/>
      </c>
      <c r="H412" s="18" t="str">
        <f>IFERROR([1]!s_stmnote_bank($B412,"34",$A412,100000000)/[1]!s_stmnote_bank_1n(B412,$A412,1,100000000),"")</f>
        <v/>
      </c>
      <c r="I412" s="25">
        <f>[1]!b_stm07_bs(B412,74,$A412,1,100000000)</f>
        <v>0</v>
      </c>
      <c r="J412" s="25">
        <f>[1]!b_stm07_bs(B412,109,$A412,1,100000000)</f>
        <v>0</v>
      </c>
      <c r="K412" s="10">
        <f>[1]!s_stmnote_bank_5n(B412,$A412,1)</f>
        <v>0</v>
      </c>
      <c r="L412" s="25">
        <f>[1]!s_stmnote_bank_23n(B412,$A412,1)</f>
        <v>0</v>
      </c>
      <c r="M412" s="25">
        <f>[1]!s_stmnote_bank_capadequacyratio(B412,$A412,1)</f>
        <v>0</v>
      </c>
      <c r="N412" s="25">
        <f>[1]!s_stmnote_bank_capadequacyratio_ct1(B412,$A412,1)</f>
        <v>0</v>
      </c>
      <c r="O412" s="6">
        <f>IF(OR([1]!s_fa_roe(B412,20201231)="0",[1]!s_fa_roe(B412,20211231)="0",[1]!s_fa_roe(B412,20221231)="0"),"",IFERROR(([1]!s_fa_roe(B412,20221231)+[1]!s_fa_roe(B412,20201231)+[1]!s_fa_roe(B412,20211231))/3,""))</f>
        <v>0</v>
      </c>
      <c r="P412" s="28" t="str">
        <f>IFERROR(([1]!s_stmnote_bank_65(B412,$A412,1,2,4,100000000)+[1]!s_stmnote_bank_65(B412,$A412,1,2,6,100000000))/[1]!s_stmnote_bank_1n(B412,$A412,1,100000000),"")</f>
        <v/>
      </c>
      <c r="Q412" s="28" t="str">
        <f>IFERROR([1]!s_stmnote_bank_614(B412,$A412,1,2,100000000)/[1]!s_stmnote_bank_647(B412,$A412,1,2,100000000),"")</f>
        <v/>
      </c>
      <c r="R412" s="28" t="str">
        <f>IFERROR(([1]!b_stm07_bs(B412,104,$A412,1,100000000)+[1]!b_stm07_bs(B412,106,$A412,1,100000000)+[1]!b_stm07_bs(B412,76,$A412,1,100000000)+[1]!b_stm07_bs(B412,108,$A412,1,100000000)+[1]!b_stm07_bs(B412,95,$A412,1,100000000))/[1]!b_stm07_bs(B412,128,$A412,1,100000000),"")</f>
        <v/>
      </c>
      <c r="S412" s="28" t="str">
        <f>IFERROR(([1]!s_stmnote_bank_614(B412,$A412,1,2,100000000)+[1]!b_stm07_bs(B412,104,$A412,1,100000000)+[1]!b_stm07_bs(B412,106,$A412,1,100000000)+[1]!b_stm07_bs(B412,76,$A412,1,100000000)+[1]!b_stm07_bs(B412,108,$A412,1,100000000)+[1]!b_stm07_bs(B412,95,$A412,1,100000000))/[1]!b_stm07_bs(B412,128,$A412,1,100000000),"")</f>
        <v/>
      </c>
      <c r="T412" s="11">
        <f>[1]!b_issuer_shareholder(B412,"",1)</f>
        <v>0</v>
      </c>
      <c r="U412" s="10">
        <f>[1]!b_issuer_propofshareholder(B412,"",1)</f>
        <v>0</v>
      </c>
      <c r="V412" s="33" t="str">
        <f t="shared" si="13"/>
        <v>0</v>
      </c>
      <c r="W412" s="33">
        <f>[1]!s_info_city(B412)</f>
        <v>0</v>
      </c>
      <c r="X412" s="10">
        <f>IF([1]!s_stmnote_bank_17n(B412,$A412,1)="0","",[1]!s_stmnote_bank_17n(B412,$A412,1))</f>
        <v>0</v>
      </c>
      <c r="Y412" s="10">
        <f>IF([1]!s_stmnote_bank_18n(B412,$A412,1)="0","",[1]!s_stmnote_bank_18n(B412,$A412,1))</f>
        <v>0</v>
      </c>
      <c r="Z412" s="41">
        <f>IF([1]!s_stmnote_bank_58(B412,$A412,1)="0","",[1]!s_stmnote_bank_58(B412,$A412,1))</f>
        <v>0</v>
      </c>
      <c r="AA412" s="52">
        <f>IF([1]!s_stmnote_bank_60(B412,$A412,1)="0","",[1]!s_stmnote_bank_60(B412,$A412,1))</f>
        <v>0</v>
      </c>
      <c r="AB412" s="52">
        <f>[1]!s_stmnote_bank_5444(B412,$A412,1)</f>
        <v>0</v>
      </c>
      <c r="AC412" s="38">
        <f>[1]!s_stmnote_bank_129n($B412,$A412,1)</f>
        <v>0</v>
      </c>
      <c r="AD412" s="54">
        <f>[1]!s_stmnote_bank_30(B412,$A412,1)</f>
        <v>0</v>
      </c>
    </row>
    <row r="413" spans="1:30" ht="24">
      <c r="A413" s="1" t="s">
        <v>1110</v>
      </c>
      <c r="B413" s="87" t="s">
        <v>1521</v>
      </c>
      <c r="C413" s="8">
        <f>IF([1]!b_info_issuer(B413)="0","",IFERROR([1]!b_info_issuer(B413),""))</f>
        <v>0</v>
      </c>
      <c r="D413" s="11">
        <f>IF([1]!b_info_latestissurercreditrating(B413)="0","",IFERROR([1]!b_info_latestissurercreditrating(B413),""))</f>
        <v>0</v>
      </c>
      <c r="E413" s="27" t="str">
        <f>IFERROR(([1]!b_stm07_bs($B413,47,$A413,1,100000000))/[1]!b_stm07_bs($B413,109,$A413,1,100000000),"")</f>
        <v/>
      </c>
      <c r="F413" s="18" t="str">
        <f>IFERROR(([1]!s_stmnote_bank_26($B413,$A413,1,100000000)-[1]!s_stmnote_bank_26($B413,#REF!,1,100000000)+#REF!)/[1]!s_stmnote_bank_1n($B413,#REF!,1,100000000),"")</f>
        <v/>
      </c>
      <c r="G413" s="21" t="str">
        <f t="shared" si="12"/>
        <v/>
      </c>
      <c r="H413" s="18" t="str">
        <f>IFERROR([1]!s_stmnote_bank($B413,"34",$A413,100000000)/[1]!s_stmnote_bank_1n(B413,$A413,1,100000000),"")</f>
        <v/>
      </c>
      <c r="I413" s="25">
        <f>[1]!b_stm07_bs(B413,74,$A413,1,100000000)</f>
        <v>0</v>
      </c>
      <c r="J413" s="25">
        <f>[1]!b_stm07_bs(B413,109,$A413,1,100000000)</f>
        <v>0</v>
      </c>
      <c r="K413" s="10">
        <f>[1]!s_stmnote_bank_5n(B413,$A413,1)</f>
        <v>0</v>
      </c>
      <c r="L413" s="25">
        <f>[1]!s_stmnote_bank_23n(B413,$A413,1)</f>
        <v>0</v>
      </c>
      <c r="M413" s="25">
        <f>[1]!s_stmnote_bank_capadequacyratio(B413,$A413,1)</f>
        <v>0</v>
      </c>
      <c r="N413" s="25">
        <f>[1]!s_stmnote_bank_capadequacyratio_ct1(B413,$A413,1)</f>
        <v>0</v>
      </c>
      <c r="O413" s="6">
        <f>IF(OR([1]!s_fa_roe(B413,20201231)="0",[1]!s_fa_roe(B413,20211231)="0",[1]!s_fa_roe(B413,20221231)="0"),"",IFERROR(([1]!s_fa_roe(B413,20221231)+[1]!s_fa_roe(B413,20201231)+[1]!s_fa_roe(B413,20211231))/3,""))</f>
        <v>0</v>
      </c>
      <c r="P413" s="28" t="str">
        <f>IFERROR(([1]!s_stmnote_bank_65(B413,$A413,1,2,4,100000000)+[1]!s_stmnote_bank_65(B413,$A413,1,2,6,100000000))/[1]!s_stmnote_bank_1n(B413,$A413,1,100000000),"")</f>
        <v/>
      </c>
      <c r="Q413" s="28" t="str">
        <f>IFERROR([1]!s_stmnote_bank_614(B413,$A413,1,2,100000000)/[1]!s_stmnote_bank_647(B413,$A413,1,2,100000000),"")</f>
        <v/>
      </c>
      <c r="R413" s="28" t="str">
        <f>IFERROR(([1]!b_stm07_bs(B413,104,$A413,1,100000000)+[1]!b_stm07_bs(B413,106,$A413,1,100000000)+[1]!b_stm07_bs(B413,76,$A413,1,100000000)+[1]!b_stm07_bs(B413,108,$A413,1,100000000)+[1]!b_stm07_bs(B413,95,$A413,1,100000000))/[1]!b_stm07_bs(B413,128,$A413,1,100000000),"")</f>
        <v/>
      </c>
      <c r="S413" s="28" t="str">
        <f>IFERROR(([1]!s_stmnote_bank_614(B413,$A413,1,2,100000000)+[1]!b_stm07_bs(B413,104,$A413,1,100000000)+[1]!b_stm07_bs(B413,106,$A413,1,100000000)+[1]!b_stm07_bs(B413,76,$A413,1,100000000)+[1]!b_stm07_bs(B413,108,$A413,1,100000000)+[1]!b_stm07_bs(B413,95,$A413,1,100000000))/[1]!b_stm07_bs(B413,128,$A413,1,100000000),"")</f>
        <v/>
      </c>
      <c r="T413" s="11">
        <f>[1]!b_issuer_shareholder(B413,"",1)</f>
        <v>0</v>
      </c>
      <c r="U413" s="10">
        <f>[1]!b_issuer_propofshareholder(B413,"",1)</f>
        <v>0</v>
      </c>
      <c r="V413" s="33" t="str">
        <f t="shared" si="13"/>
        <v>0</v>
      </c>
      <c r="W413" s="33">
        <f>[1]!s_info_city(B413)</f>
        <v>0</v>
      </c>
      <c r="X413" s="10">
        <f>IF([1]!s_stmnote_bank_17n(B413,$A413,1)="0","",[1]!s_stmnote_bank_17n(B413,$A413,1))</f>
        <v>0</v>
      </c>
      <c r="Y413" s="10">
        <f>IF([1]!s_stmnote_bank_18n(B413,$A413,1)="0","",[1]!s_stmnote_bank_18n(B413,$A413,1))</f>
        <v>0</v>
      </c>
      <c r="Z413" s="41">
        <f>IF([1]!s_stmnote_bank_58(B413,$A413,1)="0","",[1]!s_stmnote_bank_58(B413,$A413,1))</f>
        <v>0</v>
      </c>
      <c r="AA413" s="52">
        <f>IF([1]!s_stmnote_bank_60(B413,$A413,1)="0","",[1]!s_stmnote_bank_60(B413,$A413,1))</f>
        <v>0</v>
      </c>
      <c r="AB413" s="52">
        <f>[1]!s_stmnote_bank_5444(B413,$A413,1)</f>
        <v>0</v>
      </c>
      <c r="AC413" s="38">
        <f>[1]!s_stmnote_bank_129n($B413,$A413,1)</f>
        <v>0</v>
      </c>
      <c r="AD413" s="54">
        <f>[1]!s_stmnote_bank_30(B413,$A413,1)</f>
        <v>0</v>
      </c>
    </row>
    <row r="414" spans="1:30" ht="24">
      <c r="A414" s="1" t="s">
        <v>1110</v>
      </c>
      <c r="B414" s="87" t="s">
        <v>1522</v>
      </c>
      <c r="C414" s="8">
        <f>IF([1]!b_info_issuer(B414)="0","",IFERROR([1]!b_info_issuer(B414),""))</f>
        <v>0</v>
      </c>
      <c r="D414" s="11">
        <f>IF([1]!b_info_latestissurercreditrating(B414)="0","",IFERROR([1]!b_info_latestissurercreditrating(B414),""))</f>
        <v>0</v>
      </c>
      <c r="E414" s="27" t="str">
        <f>IFERROR(([1]!b_stm07_bs($B414,47,$A414,1,100000000))/[1]!b_stm07_bs($B414,109,$A414,1,100000000),"")</f>
        <v/>
      </c>
      <c r="F414" s="18" t="str">
        <f>IFERROR(([1]!s_stmnote_bank_26($B414,$A414,1,100000000)-[1]!s_stmnote_bank_26($B414,#REF!,1,100000000)+#REF!)/[1]!s_stmnote_bank_1n($B414,#REF!,1,100000000),"")</f>
        <v/>
      </c>
      <c r="G414" s="21" t="str">
        <f t="shared" si="12"/>
        <v/>
      </c>
      <c r="H414" s="18" t="str">
        <f>IFERROR([1]!s_stmnote_bank($B414,"34",$A414,100000000)/[1]!s_stmnote_bank_1n(B414,$A414,1,100000000),"")</f>
        <v/>
      </c>
      <c r="I414" s="25">
        <f>[1]!b_stm07_bs(B414,74,$A414,1,100000000)</f>
        <v>0</v>
      </c>
      <c r="J414" s="25">
        <f>[1]!b_stm07_bs(B414,109,$A414,1,100000000)</f>
        <v>0</v>
      </c>
      <c r="K414" s="10">
        <f>[1]!s_stmnote_bank_5n(B414,$A414,1)</f>
        <v>0</v>
      </c>
      <c r="L414" s="25">
        <f>[1]!s_stmnote_bank_23n(B414,$A414,1)</f>
        <v>0</v>
      </c>
      <c r="M414" s="25">
        <f>[1]!s_stmnote_bank_capadequacyratio(B414,$A414,1)</f>
        <v>0</v>
      </c>
      <c r="N414" s="25">
        <f>[1]!s_stmnote_bank_capadequacyratio_ct1(B414,$A414,1)</f>
        <v>0</v>
      </c>
      <c r="O414" s="6">
        <f>IF(OR([1]!s_fa_roe(B414,20201231)="0",[1]!s_fa_roe(B414,20211231)="0",[1]!s_fa_roe(B414,20221231)="0"),"",IFERROR(([1]!s_fa_roe(B414,20221231)+[1]!s_fa_roe(B414,20201231)+[1]!s_fa_roe(B414,20211231))/3,""))</f>
        <v>0</v>
      </c>
      <c r="P414" s="28" t="str">
        <f>IFERROR(([1]!s_stmnote_bank_65(B414,$A414,1,2,4,100000000)+[1]!s_stmnote_bank_65(B414,$A414,1,2,6,100000000))/[1]!s_stmnote_bank_1n(B414,$A414,1,100000000),"")</f>
        <v/>
      </c>
      <c r="Q414" s="28" t="str">
        <f>IFERROR([1]!s_stmnote_bank_614(B414,$A414,1,2,100000000)/[1]!s_stmnote_bank_647(B414,$A414,1,2,100000000),"")</f>
        <v/>
      </c>
      <c r="R414" s="28" t="str">
        <f>IFERROR(([1]!b_stm07_bs(B414,104,$A414,1,100000000)+[1]!b_stm07_bs(B414,106,$A414,1,100000000)+[1]!b_stm07_bs(B414,76,$A414,1,100000000)+[1]!b_stm07_bs(B414,108,$A414,1,100000000)+[1]!b_stm07_bs(B414,95,$A414,1,100000000))/[1]!b_stm07_bs(B414,128,$A414,1,100000000),"")</f>
        <v/>
      </c>
      <c r="S414" s="28" t="str">
        <f>IFERROR(([1]!s_stmnote_bank_614(B414,$A414,1,2,100000000)+[1]!b_stm07_bs(B414,104,$A414,1,100000000)+[1]!b_stm07_bs(B414,106,$A414,1,100000000)+[1]!b_stm07_bs(B414,76,$A414,1,100000000)+[1]!b_stm07_bs(B414,108,$A414,1,100000000)+[1]!b_stm07_bs(B414,95,$A414,1,100000000))/[1]!b_stm07_bs(B414,128,$A414,1,100000000),"")</f>
        <v/>
      </c>
      <c r="T414" s="11">
        <f>[1]!b_issuer_shareholder(B414,"",1)</f>
        <v>0</v>
      </c>
      <c r="U414" s="10">
        <f>[1]!b_issuer_propofshareholder(B414,"",1)</f>
        <v>0</v>
      </c>
      <c r="V414" s="33" t="str">
        <f t="shared" si="13"/>
        <v>0</v>
      </c>
      <c r="W414" s="33">
        <f>[1]!s_info_city(B414)</f>
        <v>0</v>
      </c>
      <c r="X414" s="10">
        <f>IF([1]!s_stmnote_bank_17n(B414,$A414,1)="0","",[1]!s_stmnote_bank_17n(B414,$A414,1))</f>
        <v>0</v>
      </c>
      <c r="Y414" s="10">
        <f>IF([1]!s_stmnote_bank_18n(B414,$A414,1)="0","",[1]!s_stmnote_bank_18n(B414,$A414,1))</f>
        <v>0</v>
      </c>
      <c r="Z414" s="41">
        <f>IF([1]!s_stmnote_bank_58(B414,$A414,1)="0","",[1]!s_stmnote_bank_58(B414,$A414,1))</f>
        <v>0</v>
      </c>
      <c r="AA414" s="52">
        <f>IF([1]!s_stmnote_bank_60(B414,$A414,1)="0","",[1]!s_stmnote_bank_60(B414,$A414,1))</f>
        <v>0</v>
      </c>
      <c r="AB414" s="52">
        <f>[1]!s_stmnote_bank_5444(B414,$A414,1)</f>
        <v>0</v>
      </c>
      <c r="AC414" s="38">
        <f>[1]!s_stmnote_bank_129n($B414,$A414,1)</f>
        <v>0</v>
      </c>
      <c r="AD414" s="54">
        <f>[1]!s_stmnote_bank_30(B414,$A414,1)</f>
        <v>0</v>
      </c>
    </row>
    <row r="415" spans="1:30" ht="24">
      <c r="A415" s="1" t="s">
        <v>1110</v>
      </c>
      <c r="B415" s="87" t="s">
        <v>1523</v>
      </c>
      <c r="C415" s="8">
        <f>IF([1]!b_info_issuer(B415)="0","",IFERROR([1]!b_info_issuer(B415),""))</f>
        <v>0</v>
      </c>
      <c r="D415" s="11">
        <f>IF([1]!b_info_latestissurercreditrating(B415)="0","",IFERROR([1]!b_info_latestissurercreditrating(B415),""))</f>
        <v>0</v>
      </c>
      <c r="E415" s="27" t="str">
        <f>IFERROR(([1]!b_stm07_bs($B415,47,$A415,1,100000000))/[1]!b_stm07_bs($B415,109,$A415,1,100000000),"")</f>
        <v/>
      </c>
      <c r="F415" s="18" t="str">
        <f>IFERROR(([1]!s_stmnote_bank_26($B415,$A415,1,100000000)-[1]!s_stmnote_bank_26($B415,#REF!,1,100000000)+#REF!)/[1]!s_stmnote_bank_1n($B415,#REF!,1,100000000),"")</f>
        <v/>
      </c>
      <c r="G415" s="21" t="str">
        <f t="shared" si="12"/>
        <v/>
      </c>
      <c r="H415" s="18" t="str">
        <f>IFERROR([1]!s_stmnote_bank($B415,"34",$A415,100000000)/[1]!s_stmnote_bank_1n(B415,$A415,1,100000000),"")</f>
        <v/>
      </c>
      <c r="I415" s="25">
        <f>[1]!b_stm07_bs(B415,74,$A415,1,100000000)</f>
        <v>0</v>
      </c>
      <c r="J415" s="25">
        <f>[1]!b_stm07_bs(B415,109,$A415,1,100000000)</f>
        <v>0</v>
      </c>
      <c r="K415" s="10">
        <f>[1]!s_stmnote_bank_5n(B415,$A415,1)</f>
        <v>0</v>
      </c>
      <c r="L415" s="25">
        <f>[1]!s_stmnote_bank_23n(B415,$A415,1)</f>
        <v>0</v>
      </c>
      <c r="M415" s="25">
        <f>[1]!s_stmnote_bank_capadequacyratio(B415,$A415,1)</f>
        <v>0</v>
      </c>
      <c r="N415" s="25">
        <f>[1]!s_stmnote_bank_capadequacyratio_ct1(B415,$A415,1)</f>
        <v>0</v>
      </c>
      <c r="O415" s="6">
        <f>IF(OR([1]!s_fa_roe(B415,20201231)="0",[1]!s_fa_roe(B415,20211231)="0",[1]!s_fa_roe(B415,20221231)="0"),"",IFERROR(([1]!s_fa_roe(B415,20221231)+[1]!s_fa_roe(B415,20201231)+[1]!s_fa_roe(B415,20211231))/3,""))</f>
        <v>0</v>
      </c>
      <c r="P415" s="28" t="str">
        <f>IFERROR(([1]!s_stmnote_bank_65(B415,$A415,1,2,4,100000000)+[1]!s_stmnote_bank_65(B415,$A415,1,2,6,100000000))/[1]!s_stmnote_bank_1n(B415,$A415,1,100000000),"")</f>
        <v/>
      </c>
      <c r="Q415" s="28" t="str">
        <f>IFERROR([1]!s_stmnote_bank_614(B415,$A415,1,2,100000000)/[1]!s_stmnote_bank_647(B415,$A415,1,2,100000000),"")</f>
        <v/>
      </c>
      <c r="R415" s="28" t="str">
        <f>IFERROR(([1]!b_stm07_bs(B415,104,$A415,1,100000000)+[1]!b_stm07_bs(B415,106,$A415,1,100000000)+[1]!b_stm07_bs(B415,76,$A415,1,100000000)+[1]!b_stm07_bs(B415,108,$A415,1,100000000)+[1]!b_stm07_bs(B415,95,$A415,1,100000000))/[1]!b_stm07_bs(B415,128,$A415,1,100000000),"")</f>
        <v/>
      </c>
      <c r="S415" s="28" t="str">
        <f>IFERROR(([1]!s_stmnote_bank_614(B415,$A415,1,2,100000000)+[1]!b_stm07_bs(B415,104,$A415,1,100000000)+[1]!b_stm07_bs(B415,106,$A415,1,100000000)+[1]!b_stm07_bs(B415,76,$A415,1,100000000)+[1]!b_stm07_bs(B415,108,$A415,1,100000000)+[1]!b_stm07_bs(B415,95,$A415,1,100000000))/[1]!b_stm07_bs(B415,128,$A415,1,100000000),"")</f>
        <v/>
      </c>
      <c r="T415" s="11">
        <f>[1]!b_issuer_shareholder(B415,"",1)</f>
        <v>0</v>
      </c>
      <c r="U415" s="10">
        <f>[1]!b_issuer_propofshareholder(B415,"",1)</f>
        <v>0</v>
      </c>
      <c r="V415" s="33" t="str">
        <f t="shared" si="13"/>
        <v>0</v>
      </c>
      <c r="W415" s="33">
        <f>[1]!s_info_city(B415)</f>
        <v>0</v>
      </c>
      <c r="X415" s="10">
        <f>IF([1]!s_stmnote_bank_17n(B415,$A415,1)="0","",[1]!s_stmnote_bank_17n(B415,$A415,1))</f>
        <v>0</v>
      </c>
      <c r="Y415" s="10">
        <f>IF([1]!s_stmnote_bank_18n(B415,$A415,1)="0","",[1]!s_stmnote_bank_18n(B415,$A415,1))</f>
        <v>0</v>
      </c>
      <c r="Z415" s="41">
        <f>IF([1]!s_stmnote_bank_58(B415,$A415,1)="0","",[1]!s_stmnote_bank_58(B415,$A415,1))</f>
        <v>0</v>
      </c>
      <c r="AA415" s="52">
        <f>IF([1]!s_stmnote_bank_60(B415,$A415,1)="0","",[1]!s_stmnote_bank_60(B415,$A415,1))</f>
        <v>0</v>
      </c>
      <c r="AB415" s="52">
        <f>[1]!s_stmnote_bank_5444(B415,$A415,1)</f>
        <v>0</v>
      </c>
      <c r="AC415" s="38">
        <f>[1]!s_stmnote_bank_129n($B415,$A415,1)</f>
        <v>0</v>
      </c>
      <c r="AD415" s="54">
        <f>[1]!s_stmnote_bank_30(B415,$A415,1)</f>
        <v>0</v>
      </c>
    </row>
    <row r="416" spans="1:30" ht="24">
      <c r="A416" s="1" t="s">
        <v>1110</v>
      </c>
      <c r="B416" s="87" t="s">
        <v>1524</v>
      </c>
      <c r="C416" s="8">
        <f>IF([1]!b_info_issuer(B416)="0","",IFERROR([1]!b_info_issuer(B416),""))</f>
        <v>0</v>
      </c>
      <c r="D416" s="11">
        <f>IF([1]!b_info_latestissurercreditrating(B416)="0","",IFERROR([1]!b_info_latestissurercreditrating(B416),""))</f>
        <v>0</v>
      </c>
      <c r="E416" s="27" t="str">
        <f>IFERROR(([1]!b_stm07_bs($B416,47,$A416,1,100000000))/[1]!b_stm07_bs($B416,109,$A416,1,100000000),"")</f>
        <v/>
      </c>
      <c r="F416" s="18" t="str">
        <f>IFERROR(([1]!s_stmnote_bank_26($B416,$A416,1,100000000)-[1]!s_stmnote_bank_26($B416,#REF!,1,100000000)+#REF!)/[1]!s_stmnote_bank_1n($B416,#REF!,1,100000000),"")</f>
        <v/>
      </c>
      <c r="G416" s="21" t="str">
        <f t="shared" si="12"/>
        <v/>
      </c>
      <c r="H416" s="18" t="str">
        <f>IFERROR([1]!s_stmnote_bank($B416,"34",$A416,100000000)/[1]!s_stmnote_bank_1n(B416,$A416,1,100000000),"")</f>
        <v/>
      </c>
      <c r="I416" s="25">
        <f>[1]!b_stm07_bs(B416,74,$A416,1,100000000)</f>
        <v>0</v>
      </c>
      <c r="J416" s="25">
        <f>[1]!b_stm07_bs(B416,109,$A416,1,100000000)</f>
        <v>0</v>
      </c>
      <c r="K416" s="10">
        <f>[1]!s_stmnote_bank_5n(B416,$A416,1)</f>
        <v>0</v>
      </c>
      <c r="L416" s="25">
        <f>[1]!s_stmnote_bank_23n(B416,$A416,1)</f>
        <v>0</v>
      </c>
      <c r="M416" s="25">
        <f>[1]!s_stmnote_bank_capadequacyratio(B416,$A416,1)</f>
        <v>0</v>
      </c>
      <c r="N416" s="25">
        <f>[1]!s_stmnote_bank_capadequacyratio_ct1(B416,$A416,1)</f>
        <v>0</v>
      </c>
      <c r="O416" s="6">
        <f>IF(OR([1]!s_fa_roe(B416,20201231)="0",[1]!s_fa_roe(B416,20211231)="0",[1]!s_fa_roe(B416,20221231)="0"),"",IFERROR(([1]!s_fa_roe(B416,20221231)+[1]!s_fa_roe(B416,20201231)+[1]!s_fa_roe(B416,20211231))/3,""))</f>
        <v>0</v>
      </c>
      <c r="P416" s="28" t="str">
        <f>IFERROR(([1]!s_stmnote_bank_65(B416,$A416,1,2,4,100000000)+[1]!s_stmnote_bank_65(B416,$A416,1,2,6,100000000))/[1]!s_stmnote_bank_1n(B416,$A416,1,100000000),"")</f>
        <v/>
      </c>
      <c r="Q416" s="28" t="str">
        <f>IFERROR([1]!s_stmnote_bank_614(B416,$A416,1,2,100000000)/[1]!s_stmnote_bank_647(B416,$A416,1,2,100000000),"")</f>
        <v/>
      </c>
      <c r="R416" s="28" t="str">
        <f>IFERROR(([1]!b_stm07_bs(B416,104,$A416,1,100000000)+[1]!b_stm07_bs(B416,106,$A416,1,100000000)+[1]!b_stm07_bs(B416,76,$A416,1,100000000)+[1]!b_stm07_bs(B416,108,$A416,1,100000000)+[1]!b_stm07_bs(B416,95,$A416,1,100000000))/[1]!b_stm07_bs(B416,128,$A416,1,100000000),"")</f>
        <v/>
      </c>
      <c r="S416" s="28" t="str">
        <f>IFERROR(([1]!s_stmnote_bank_614(B416,$A416,1,2,100000000)+[1]!b_stm07_bs(B416,104,$A416,1,100000000)+[1]!b_stm07_bs(B416,106,$A416,1,100000000)+[1]!b_stm07_bs(B416,76,$A416,1,100000000)+[1]!b_stm07_bs(B416,108,$A416,1,100000000)+[1]!b_stm07_bs(B416,95,$A416,1,100000000))/[1]!b_stm07_bs(B416,128,$A416,1,100000000),"")</f>
        <v/>
      </c>
      <c r="T416" s="11">
        <f>[1]!b_issuer_shareholder(B416,"",1)</f>
        <v>0</v>
      </c>
      <c r="U416" s="10">
        <f>[1]!b_issuer_propofshareholder(B416,"",1)</f>
        <v>0</v>
      </c>
      <c r="V416" s="33" t="str">
        <f t="shared" si="13"/>
        <v>0</v>
      </c>
      <c r="W416" s="33">
        <f>[1]!s_info_city(B416)</f>
        <v>0</v>
      </c>
      <c r="X416" s="10">
        <f>IF([1]!s_stmnote_bank_17n(B416,$A416,1)="0","",[1]!s_stmnote_bank_17n(B416,$A416,1))</f>
        <v>0</v>
      </c>
      <c r="Y416" s="10">
        <f>IF([1]!s_stmnote_bank_18n(B416,$A416,1)="0","",[1]!s_stmnote_bank_18n(B416,$A416,1))</f>
        <v>0</v>
      </c>
      <c r="Z416" s="41">
        <f>IF([1]!s_stmnote_bank_58(B416,$A416,1)="0","",[1]!s_stmnote_bank_58(B416,$A416,1))</f>
        <v>0</v>
      </c>
      <c r="AA416" s="52">
        <f>IF([1]!s_stmnote_bank_60(B416,$A416,1)="0","",[1]!s_stmnote_bank_60(B416,$A416,1))</f>
        <v>0</v>
      </c>
      <c r="AB416" s="52">
        <f>[1]!s_stmnote_bank_5444(B416,$A416,1)</f>
        <v>0</v>
      </c>
      <c r="AC416" s="38">
        <f>[1]!s_stmnote_bank_129n($B416,$A416,1)</f>
        <v>0</v>
      </c>
      <c r="AD416" s="54">
        <f>[1]!s_stmnote_bank_30(B416,$A416,1)</f>
        <v>0</v>
      </c>
    </row>
    <row r="417" spans="1:30" ht="24">
      <c r="A417" s="1" t="s">
        <v>1110</v>
      </c>
      <c r="B417" s="87" t="s">
        <v>1525</v>
      </c>
      <c r="C417" s="8">
        <f>IF([1]!b_info_issuer(B417)="0","",IFERROR([1]!b_info_issuer(B417),""))</f>
        <v>0</v>
      </c>
      <c r="D417" s="11">
        <f>IF([1]!b_info_latestissurercreditrating(B417)="0","",IFERROR([1]!b_info_latestissurercreditrating(B417),""))</f>
        <v>0</v>
      </c>
      <c r="E417" s="27" t="str">
        <f>IFERROR(([1]!b_stm07_bs($B417,47,$A417,1,100000000))/[1]!b_stm07_bs($B417,109,$A417,1,100000000),"")</f>
        <v/>
      </c>
      <c r="F417" s="18" t="str">
        <f>IFERROR(([1]!s_stmnote_bank_26($B417,$A417,1,100000000)-[1]!s_stmnote_bank_26($B417,#REF!,1,100000000)+#REF!)/[1]!s_stmnote_bank_1n($B417,#REF!,1,100000000),"")</f>
        <v/>
      </c>
      <c r="G417" s="21" t="str">
        <f t="shared" si="12"/>
        <v/>
      </c>
      <c r="H417" s="18" t="str">
        <f>IFERROR([1]!s_stmnote_bank($B417,"34",$A417,100000000)/[1]!s_stmnote_bank_1n(B417,$A417,1,100000000),"")</f>
        <v/>
      </c>
      <c r="I417" s="25">
        <f>[1]!b_stm07_bs(B417,74,$A417,1,100000000)</f>
        <v>0</v>
      </c>
      <c r="J417" s="25">
        <f>[1]!b_stm07_bs(B417,109,$A417,1,100000000)</f>
        <v>0</v>
      </c>
      <c r="K417" s="10">
        <f>[1]!s_stmnote_bank_5n(B417,$A417,1)</f>
        <v>0</v>
      </c>
      <c r="L417" s="25">
        <f>[1]!s_stmnote_bank_23n(B417,$A417,1)</f>
        <v>0</v>
      </c>
      <c r="M417" s="25">
        <f>[1]!s_stmnote_bank_capadequacyratio(B417,$A417,1)</f>
        <v>0</v>
      </c>
      <c r="N417" s="25">
        <f>[1]!s_stmnote_bank_capadequacyratio_ct1(B417,$A417,1)</f>
        <v>0</v>
      </c>
      <c r="O417" s="6">
        <f>IF(OR([1]!s_fa_roe(B417,20201231)="0",[1]!s_fa_roe(B417,20211231)="0",[1]!s_fa_roe(B417,20221231)="0"),"",IFERROR(([1]!s_fa_roe(B417,20221231)+[1]!s_fa_roe(B417,20201231)+[1]!s_fa_roe(B417,20211231))/3,""))</f>
        <v>0</v>
      </c>
      <c r="P417" s="28" t="str">
        <f>IFERROR(([1]!s_stmnote_bank_65(B417,$A417,1,2,4,100000000)+[1]!s_stmnote_bank_65(B417,$A417,1,2,6,100000000))/[1]!s_stmnote_bank_1n(B417,$A417,1,100000000),"")</f>
        <v/>
      </c>
      <c r="Q417" s="28" t="str">
        <f>IFERROR([1]!s_stmnote_bank_614(B417,$A417,1,2,100000000)/[1]!s_stmnote_bank_647(B417,$A417,1,2,100000000),"")</f>
        <v/>
      </c>
      <c r="R417" s="28" t="str">
        <f>IFERROR(([1]!b_stm07_bs(B417,104,$A417,1,100000000)+[1]!b_stm07_bs(B417,106,$A417,1,100000000)+[1]!b_stm07_bs(B417,76,$A417,1,100000000)+[1]!b_stm07_bs(B417,108,$A417,1,100000000)+[1]!b_stm07_bs(B417,95,$A417,1,100000000))/[1]!b_stm07_bs(B417,128,$A417,1,100000000),"")</f>
        <v/>
      </c>
      <c r="S417" s="28" t="str">
        <f>IFERROR(([1]!s_stmnote_bank_614(B417,$A417,1,2,100000000)+[1]!b_stm07_bs(B417,104,$A417,1,100000000)+[1]!b_stm07_bs(B417,106,$A417,1,100000000)+[1]!b_stm07_bs(B417,76,$A417,1,100000000)+[1]!b_stm07_bs(B417,108,$A417,1,100000000)+[1]!b_stm07_bs(B417,95,$A417,1,100000000))/[1]!b_stm07_bs(B417,128,$A417,1,100000000),"")</f>
        <v/>
      </c>
      <c r="T417" s="11">
        <f>[1]!b_issuer_shareholder(B417,"",1)</f>
        <v>0</v>
      </c>
      <c r="U417" s="10">
        <f>[1]!b_issuer_propofshareholder(B417,"",1)</f>
        <v>0</v>
      </c>
      <c r="V417" s="33" t="str">
        <f t="shared" si="13"/>
        <v>0</v>
      </c>
      <c r="W417" s="33">
        <f>[1]!s_info_city(B417)</f>
        <v>0</v>
      </c>
      <c r="X417" s="10">
        <f>IF([1]!s_stmnote_bank_17n(B417,$A417,1)="0","",[1]!s_stmnote_bank_17n(B417,$A417,1))</f>
        <v>0</v>
      </c>
      <c r="Y417" s="10">
        <f>IF([1]!s_stmnote_bank_18n(B417,$A417,1)="0","",[1]!s_stmnote_bank_18n(B417,$A417,1))</f>
        <v>0</v>
      </c>
      <c r="Z417" s="41">
        <f>IF([1]!s_stmnote_bank_58(B417,$A417,1)="0","",[1]!s_stmnote_bank_58(B417,$A417,1))</f>
        <v>0</v>
      </c>
      <c r="AA417" s="52">
        <f>IF([1]!s_stmnote_bank_60(B417,$A417,1)="0","",[1]!s_stmnote_bank_60(B417,$A417,1))</f>
        <v>0</v>
      </c>
      <c r="AB417" s="52">
        <f>[1]!s_stmnote_bank_5444(B417,$A417,1)</f>
        <v>0</v>
      </c>
      <c r="AC417" s="38">
        <f>[1]!s_stmnote_bank_129n($B417,$A417,1)</f>
        <v>0</v>
      </c>
      <c r="AD417" s="54">
        <f>[1]!s_stmnote_bank_30(B417,$A417,1)</f>
        <v>0</v>
      </c>
    </row>
    <row r="418" spans="1:30" ht="24">
      <c r="A418" s="1" t="s">
        <v>1110</v>
      </c>
      <c r="B418" s="87" t="s">
        <v>1526</v>
      </c>
      <c r="C418" s="8">
        <f>IF([1]!b_info_issuer(B418)="0","",IFERROR([1]!b_info_issuer(B418),""))</f>
        <v>0</v>
      </c>
      <c r="D418" s="11">
        <f>IF([1]!b_info_latestissurercreditrating(B418)="0","",IFERROR([1]!b_info_latestissurercreditrating(B418),""))</f>
        <v>0</v>
      </c>
      <c r="E418" s="27" t="str">
        <f>IFERROR(([1]!b_stm07_bs($B418,47,$A418,1,100000000))/[1]!b_stm07_bs($B418,109,$A418,1,100000000),"")</f>
        <v/>
      </c>
      <c r="F418" s="18" t="str">
        <f>IFERROR(([1]!s_stmnote_bank_26($B418,$A418,1,100000000)-[1]!s_stmnote_bank_26($B418,#REF!,1,100000000)+#REF!)/[1]!s_stmnote_bank_1n($B418,#REF!,1,100000000),"")</f>
        <v/>
      </c>
      <c r="G418" s="21" t="str">
        <f t="shared" si="12"/>
        <v/>
      </c>
      <c r="H418" s="18" t="str">
        <f>IFERROR([1]!s_stmnote_bank($B418,"34",$A418,100000000)/[1]!s_stmnote_bank_1n(B418,$A418,1,100000000),"")</f>
        <v/>
      </c>
      <c r="I418" s="25">
        <f>[1]!b_stm07_bs(B418,74,$A418,1,100000000)</f>
        <v>0</v>
      </c>
      <c r="J418" s="25">
        <f>[1]!b_stm07_bs(B418,109,$A418,1,100000000)</f>
        <v>0</v>
      </c>
      <c r="K418" s="10">
        <f>[1]!s_stmnote_bank_5n(B418,$A418,1)</f>
        <v>0</v>
      </c>
      <c r="L418" s="25">
        <f>[1]!s_stmnote_bank_23n(B418,$A418,1)</f>
        <v>0</v>
      </c>
      <c r="M418" s="25">
        <f>[1]!s_stmnote_bank_capadequacyratio(B418,$A418,1)</f>
        <v>0</v>
      </c>
      <c r="N418" s="25">
        <f>[1]!s_stmnote_bank_capadequacyratio_ct1(B418,$A418,1)</f>
        <v>0</v>
      </c>
      <c r="O418" s="6">
        <f>IF(OR([1]!s_fa_roe(B418,20201231)="0",[1]!s_fa_roe(B418,20211231)="0",[1]!s_fa_roe(B418,20221231)="0"),"",IFERROR(([1]!s_fa_roe(B418,20221231)+[1]!s_fa_roe(B418,20201231)+[1]!s_fa_roe(B418,20211231))/3,""))</f>
        <v>0</v>
      </c>
      <c r="P418" s="28" t="str">
        <f>IFERROR(([1]!s_stmnote_bank_65(B418,$A418,1,2,4,100000000)+[1]!s_stmnote_bank_65(B418,$A418,1,2,6,100000000))/[1]!s_stmnote_bank_1n(B418,$A418,1,100000000),"")</f>
        <v/>
      </c>
      <c r="Q418" s="28" t="str">
        <f>IFERROR([1]!s_stmnote_bank_614(B418,$A418,1,2,100000000)/[1]!s_stmnote_bank_647(B418,$A418,1,2,100000000),"")</f>
        <v/>
      </c>
      <c r="R418" s="28" t="str">
        <f>IFERROR(([1]!b_stm07_bs(B418,104,$A418,1,100000000)+[1]!b_stm07_bs(B418,106,$A418,1,100000000)+[1]!b_stm07_bs(B418,76,$A418,1,100000000)+[1]!b_stm07_bs(B418,108,$A418,1,100000000)+[1]!b_stm07_bs(B418,95,$A418,1,100000000))/[1]!b_stm07_bs(B418,128,$A418,1,100000000),"")</f>
        <v/>
      </c>
      <c r="S418" s="28" t="str">
        <f>IFERROR(([1]!s_stmnote_bank_614(B418,$A418,1,2,100000000)+[1]!b_stm07_bs(B418,104,$A418,1,100000000)+[1]!b_stm07_bs(B418,106,$A418,1,100000000)+[1]!b_stm07_bs(B418,76,$A418,1,100000000)+[1]!b_stm07_bs(B418,108,$A418,1,100000000)+[1]!b_stm07_bs(B418,95,$A418,1,100000000))/[1]!b_stm07_bs(B418,128,$A418,1,100000000),"")</f>
        <v/>
      </c>
      <c r="T418" s="11">
        <f>[1]!b_issuer_shareholder(B418,"",1)</f>
        <v>0</v>
      </c>
      <c r="U418" s="10">
        <f>[1]!b_issuer_propofshareholder(B418,"",1)</f>
        <v>0</v>
      </c>
      <c r="V418" s="33" t="str">
        <f t="shared" si="13"/>
        <v>0</v>
      </c>
      <c r="W418" s="33">
        <f>[1]!s_info_city(B418)</f>
        <v>0</v>
      </c>
      <c r="X418" s="10">
        <f>IF([1]!s_stmnote_bank_17n(B418,$A418,1)="0","",[1]!s_stmnote_bank_17n(B418,$A418,1))</f>
        <v>0</v>
      </c>
      <c r="Y418" s="10">
        <f>IF([1]!s_stmnote_bank_18n(B418,$A418,1)="0","",[1]!s_stmnote_bank_18n(B418,$A418,1))</f>
        <v>0</v>
      </c>
      <c r="Z418" s="41">
        <f>IF([1]!s_stmnote_bank_58(B418,$A418,1)="0","",[1]!s_stmnote_bank_58(B418,$A418,1))</f>
        <v>0</v>
      </c>
      <c r="AA418" s="52">
        <f>IF([1]!s_stmnote_bank_60(B418,$A418,1)="0","",[1]!s_stmnote_bank_60(B418,$A418,1))</f>
        <v>0</v>
      </c>
      <c r="AB418" s="52">
        <f>[1]!s_stmnote_bank_5444(B418,$A418,1)</f>
        <v>0</v>
      </c>
      <c r="AC418" s="38">
        <f>[1]!s_stmnote_bank_129n($B418,$A418,1)</f>
        <v>0</v>
      </c>
      <c r="AD418" s="54">
        <f>[1]!s_stmnote_bank_30(B418,$A418,1)</f>
        <v>0</v>
      </c>
    </row>
    <row r="419" spans="1:30" ht="24">
      <c r="A419" s="1" t="s">
        <v>1110</v>
      </c>
      <c r="B419" s="87" t="s">
        <v>1527</v>
      </c>
      <c r="C419" s="8">
        <f>IF([1]!b_info_issuer(B419)="0","",IFERROR([1]!b_info_issuer(B419),""))</f>
        <v>0</v>
      </c>
      <c r="D419" s="11">
        <f>IF([1]!b_info_latestissurercreditrating(B419)="0","",IFERROR([1]!b_info_latestissurercreditrating(B419),""))</f>
        <v>0</v>
      </c>
      <c r="E419" s="27" t="str">
        <f>IFERROR(([1]!b_stm07_bs($B419,47,$A419,1,100000000))/[1]!b_stm07_bs($B419,109,$A419,1,100000000),"")</f>
        <v/>
      </c>
      <c r="F419" s="18" t="str">
        <f>IFERROR(([1]!s_stmnote_bank_26($B419,$A419,1,100000000)-[1]!s_stmnote_bank_26($B419,#REF!,1,100000000)+#REF!)/[1]!s_stmnote_bank_1n($B419,#REF!,1,100000000),"")</f>
        <v/>
      </c>
      <c r="G419" s="21" t="str">
        <f t="shared" si="12"/>
        <v/>
      </c>
      <c r="H419" s="18" t="str">
        <f>IFERROR([1]!s_stmnote_bank($B419,"34",$A419,100000000)/[1]!s_stmnote_bank_1n(B419,$A419,1,100000000),"")</f>
        <v/>
      </c>
      <c r="I419" s="25">
        <f>[1]!b_stm07_bs(B419,74,$A419,1,100000000)</f>
        <v>0</v>
      </c>
      <c r="J419" s="25">
        <f>[1]!b_stm07_bs(B419,109,$A419,1,100000000)</f>
        <v>0</v>
      </c>
      <c r="K419" s="10">
        <f>[1]!s_stmnote_bank_5n(B419,$A419,1)</f>
        <v>0</v>
      </c>
      <c r="L419" s="25">
        <f>[1]!s_stmnote_bank_23n(B419,$A419,1)</f>
        <v>0</v>
      </c>
      <c r="M419" s="25">
        <f>[1]!s_stmnote_bank_capadequacyratio(B419,$A419,1)</f>
        <v>0</v>
      </c>
      <c r="N419" s="25">
        <f>[1]!s_stmnote_bank_capadequacyratio_ct1(B419,$A419,1)</f>
        <v>0</v>
      </c>
      <c r="O419" s="6">
        <f>IF(OR([1]!s_fa_roe(B419,20201231)="0",[1]!s_fa_roe(B419,20211231)="0",[1]!s_fa_roe(B419,20221231)="0"),"",IFERROR(([1]!s_fa_roe(B419,20221231)+[1]!s_fa_roe(B419,20201231)+[1]!s_fa_roe(B419,20211231))/3,""))</f>
        <v>0</v>
      </c>
      <c r="P419" s="28" t="str">
        <f>IFERROR(([1]!s_stmnote_bank_65(B419,$A419,1,2,4,100000000)+[1]!s_stmnote_bank_65(B419,$A419,1,2,6,100000000))/[1]!s_stmnote_bank_1n(B419,$A419,1,100000000),"")</f>
        <v/>
      </c>
      <c r="Q419" s="28" t="str">
        <f>IFERROR([1]!s_stmnote_bank_614(B419,$A419,1,2,100000000)/[1]!s_stmnote_bank_647(B419,$A419,1,2,100000000),"")</f>
        <v/>
      </c>
      <c r="R419" s="28" t="str">
        <f>IFERROR(([1]!b_stm07_bs(B419,104,$A419,1,100000000)+[1]!b_stm07_bs(B419,106,$A419,1,100000000)+[1]!b_stm07_bs(B419,76,$A419,1,100000000)+[1]!b_stm07_bs(B419,108,$A419,1,100000000)+[1]!b_stm07_bs(B419,95,$A419,1,100000000))/[1]!b_stm07_bs(B419,128,$A419,1,100000000),"")</f>
        <v/>
      </c>
      <c r="S419" s="28" t="str">
        <f>IFERROR(([1]!s_stmnote_bank_614(B419,$A419,1,2,100000000)+[1]!b_stm07_bs(B419,104,$A419,1,100000000)+[1]!b_stm07_bs(B419,106,$A419,1,100000000)+[1]!b_stm07_bs(B419,76,$A419,1,100000000)+[1]!b_stm07_bs(B419,108,$A419,1,100000000)+[1]!b_stm07_bs(B419,95,$A419,1,100000000))/[1]!b_stm07_bs(B419,128,$A419,1,100000000),"")</f>
        <v/>
      </c>
      <c r="T419" s="11">
        <f>[1]!b_issuer_shareholder(B419,"",1)</f>
        <v>0</v>
      </c>
      <c r="U419" s="10">
        <f>[1]!b_issuer_propofshareholder(B419,"",1)</f>
        <v>0</v>
      </c>
      <c r="V419" s="33" t="str">
        <f t="shared" si="13"/>
        <v>0</v>
      </c>
      <c r="W419" s="33">
        <f>[1]!s_info_city(B419)</f>
        <v>0</v>
      </c>
      <c r="X419" s="10">
        <f>IF([1]!s_stmnote_bank_17n(B419,$A419,1)="0","",[1]!s_stmnote_bank_17n(B419,$A419,1))</f>
        <v>0</v>
      </c>
      <c r="Y419" s="10">
        <f>IF([1]!s_stmnote_bank_18n(B419,$A419,1)="0","",[1]!s_stmnote_bank_18n(B419,$A419,1))</f>
        <v>0</v>
      </c>
      <c r="Z419" s="41">
        <f>IF([1]!s_stmnote_bank_58(B419,$A419,1)="0","",[1]!s_stmnote_bank_58(B419,$A419,1))</f>
        <v>0</v>
      </c>
      <c r="AA419" s="52">
        <f>IF([1]!s_stmnote_bank_60(B419,$A419,1)="0","",[1]!s_stmnote_bank_60(B419,$A419,1))</f>
        <v>0</v>
      </c>
      <c r="AB419" s="52">
        <f>[1]!s_stmnote_bank_5444(B419,$A419,1)</f>
        <v>0</v>
      </c>
      <c r="AC419" s="38">
        <f>[1]!s_stmnote_bank_129n($B419,$A419,1)</f>
        <v>0</v>
      </c>
      <c r="AD419" s="54">
        <f>[1]!s_stmnote_bank_30(B419,$A419,1)</f>
        <v>0</v>
      </c>
    </row>
    <row r="420" spans="1:30" ht="24">
      <c r="A420" s="1" t="s">
        <v>1110</v>
      </c>
      <c r="B420" s="87" t="s">
        <v>1528</v>
      </c>
      <c r="C420" s="8">
        <f>IF([1]!b_info_issuer(B420)="0","",IFERROR([1]!b_info_issuer(B420),""))</f>
        <v>0</v>
      </c>
      <c r="D420" s="11">
        <f>IF([1]!b_info_latestissurercreditrating(B420)="0","",IFERROR([1]!b_info_latestissurercreditrating(B420),""))</f>
        <v>0</v>
      </c>
      <c r="E420" s="27" t="str">
        <f>IFERROR(([1]!b_stm07_bs($B420,47,$A420,1,100000000))/[1]!b_stm07_bs($B420,109,$A420,1,100000000),"")</f>
        <v/>
      </c>
      <c r="F420" s="18" t="str">
        <f>IFERROR(([1]!s_stmnote_bank_26($B420,$A420,1,100000000)-[1]!s_stmnote_bank_26($B420,#REF!,1,100000000)+#REF!)/[1]!s_stmnote_bank_1n($B420,#REF!,1,100000000),"")</f>
        <v/>
      </c>
      <c r="G420" s="21" t="str">
        <f t="shared" si="12"/>
        <v/>
      </c>
      <c r="H420" s="18" t="str">
        <f>IFERROR([1]!s_stmnote_bank($B420,"34",$A420,100000000)/[1]!s_stmnote_bank_1n(B420,$A420,1,100000000),"")</f>
        <v/>
      </c>
      <c r="I420" s="25">
        <f>[1]!b_stm07_bs(B420,74,$A420,1,100000000)</f>
        <v>0</v>
      </c>
      <c r="J420" s="25">
        <f>[1]!b_stm07_bs(B420,109,$A420,1,100000000)</f>
        <v>0</v>
      </c>
      <c r="K420" s="10">
        <f>[1]!s_stmnote_bank_5n(B420,$A420,1)</f>
        <v>0</v>
      </c>
      <c r="L420" s="25">
        <f>[1]!s_stmnote_bank_23n(B420,$A420,1)</f>
        <v>0</v>
      </c>
      <c r="M420" s="25">
        <f>[1]!s_stmnote_bank_capadequacyratio(B420,$A420,1)</f>
        <v>0</v>
      </c>
      <c r="N420" s="25">
        <f>[1]!s_stmnote_bank_capadequacyratio_ct1(B420,$A420,1)</f>
        <v>0</v>
      </c>
      <c r="O420" s="6">
        <f>IF(OR([1]!s_fa_roe(B420,20201231)="0",[1]!s_fa_roe(B420,20211231)="0",[1]!s_fa_roe(B420,20221231)="0"),"",IFERROR(([1]!s_fa_roe(B420,20221231)+[1]!s_fa_roe(B420,20201231)+[1]!s_fa_roe(B420,20211231))/3,""))</f>
        <v>0</v>
      </c>
      <c r="P420" s="28" t="str">
        <f>IFERROR(([1]!s_stmnote_bank_65(B420,$A420,1,2,4,100000000)+[1]!s_stmnote_bank_65(B420,$A420,1,2,6,100000000))/[1]!s_stmnote_bank_1n(B420,$A420,1,100000000),"")</f>
        <v/>
      </c>
      <c r="Q420" s="28" t="str">
        <f>IFERROR([1]!s_stmnote_bank_614(B420,$A420,1,2,100000000)/[1]!s_stmnote_bank_647(B420,$A420,1,2,100000000),"")</f>
        <v/>
      </c>
      <c r="R420" s="28" t="str">
        <f>IFERROR(([1]!b_stm07_bs(B420,104,$A420,1,100000000)+[1]!b_stm07_bs(B420,106,$A420,1,100000000)+[1]!b_stm07_bs(B420,76,$A420,1,100000000)+[1]!b_stm07_bs(B420,108,$A420,1,100000000)+[1]!b_stm07_bs(B420,95,$A420,1,100000000))/[1]!b_stm07_bs(B420,128,$A420,1,100000000),"")</f>
        <v/>
      </c>
      <c r="S420" s="28" t="str">
        <f>IFERROR(([1]!s_stmnote_bank_614(B420,$A420,1,2,100000000)+[1]!b_stm07_bs(B420,104,$A420,1,100000000)+[1]!b_stm07_bs(B420,106,$A420,1,100000000)+[1]!b_stm07_bs(B420,76,$A420,1,100000000)+[1]!b_stm07_bs(B420,108,$A420,1,100000000)+[1]!b_stm07_bs(B420,95,$A420,1,100000000))/[1]!b_stm07_bs(B420,128,$A420,1,100000000),"")</f>
        <v/>
      </c>
      <c r="T420" s="11">
        <f>[1]!b_issuer_shareholder(B420,"",1)</f>
        <v>0</v>
      </c>
      <c r="U420" s="10">
        <f>[1]!b_issuer_propofshareholder(B420,"",1)</f>
        <v>0</v>
      </c>
      <c r="V420" s="33" t="str">
        <f t="shared" si="13"/>
        <v>0</v>
      </c>
      <c r="W420" s="33">
        <f>[1]!s_info_city(B420)</f>
        <v>0</v>
      </c>
      <c r="X420" s="10">
        <f>IF([1]!s_stmnote_bank_17n(B420,$A420,1)="0","",[1]!s_stmnote_bank_17n(B420,$A420,1))</f>
        <v>0</v>
      </c>
      <c r="Y420" s="10">
        <f>IF([1]!s_stmnote_bank_18n(B420,$A420,1)="0","",[1]!s_stmnote_bank_18n(B420,$A420,1))</f>
        <v>0</v>
      </c>
      <c r="Z420" s="41">
        <f>IF([1]!s_stmnote_bank_58(B420,$A420,1)="0","",[1]!s_stmnote_bank_58(B420,$A420,1))</f>
        <v>0</v>
      </c>
      <c r="AA420" s="52">
        <f>IF([1]!s_stmnote_bank_60(B420,$A420,1)="0","",[1]!s_stmnote_bank_60(B420,$A420,1))</f>
        <v>0</v>
      </c>
      <c r="AB420" s="52">
        <f>[1]!s_stmnote_bank_5444(B420,$A420,1)</f>
        <v>0</v>
      </c>
      <c r="AC420" s="38">
        <f>[1]!s_stmnote_bank_129n($B420,$A420,1)</f>
        <v>0</v>
      </c>
      <c r="AD420" s="54">
        <f>[1]!s_stmnote_bank_30(B420,$A420,1)</f>
        <v>0</v>
      </c>
    </row>
    <row r="421" spans="1:30" ht="24">
      <c r="A421" s="1" t="s">
        <v>1110</v>
      </c>
      <c r="B421" s="87" t="s">
        <v>1529</v>
      </c>
      <c r="C421" s="8">
        <f>IF([1]!b_info_issuer(B421)="0","",IFERROR([1]!b_info_issuer(B421),""))</f>
        <v>0</v>
      </c>
      <c r="D421" s="11">
        <f>IF([1]!b_info_latestissurercreditrating(B421)="0","",IFERROR([1]!b_info_latestissurercreditrating(B421),""))</f>
        <v>0</v>
      </c>
      <c r="E421" s="27" t="str">
        <f>IFERROR(([1]!b_stm07_bs($B421,47,$A421,1,100000000))/[1]!b_stm07_bs($B421,109,$A421,1,100000000),"")</f>
        <v/>
      </c>
      <c r="F421" s="18" t="str">
        <f>IFERROR(([1]!s_stmnote_bank_26($B421,$A421,1,100000000)-[1]!s_stmnote_bank_26($B421,#REF!,1,100000000)+#REF!)/[1]!s_stmnote_bank_1n($B421,#REF!,1,100000000),"")</f>
        <v/>
      </c>
      <c r="G421" s="21" t="str">
        <f t="shared" si="12"/>
        <v/>
      </c>
      <c r="H421" s="18" t="str">
        <f>IFERROR([1]!s_stmnote_bank($B421,"34",$A421,100000000)/[1]!s_stmnote_bank_1n(B421,$A421,1,100000000),"")</f>
        <v/>
      </c>
      <c r="I421" s="25">
        <f>[1]!b_stm07_bs(B421,74,$A421,1,100000000)</f>
        <v>0</v>
      </c>
      <c r="J421" s="25">
        <f>[1]!b_stm07_bs(B421,109,$A421,1,100000000)</f>
        <v>0</v>
      </c>
      <c r="K421" s="10">
        <f>[1]!s_stmnote_bank_5n(B421,$A421,1)</f>
        <v>0</v>
      </c>
      <c r="L421" s="25">
        <f>[1]!s_stmnote_bank_23n(B421,$A421,1)</f>
        <v>0</v>
      </c>
      <c r="M421" s="25">
        <f>[1]!s_stmnote_bank_capadequacyratio(B421,$A421,1)</f>
        <v>0</v>
      </c>
      <c r="N421" s="25">
        <f>[1]!s_stmnote_bank_capadequacyratio_ct1(B421,$A421,1)</f>
        <v>0</v>
      </c>
      <c r="O421" s="6">
        <f>IF(OR([1]!s_fa_roe(B421,20201231)="0",[1]!s_fa_roe(B421,20211231)="0",[1]!s_fa_roe(B421,20221231)="0"),"",IFERROR(([1]!s_fa_roe(B421,20221231)+[1]!s_fa_roe(B421,20201231)+[1]!s_fa_roe(B421,20211231))/3,""))</f>
        <v>0</v>
      </c>
      <c r="P421" s="28" t="str">
        <f>IFERROR(([1]!s_stmnote_bank_65(B421,$A421,1,2,4,100000000)+[1]!s_stmnote_bank_65(B421,$A421,1,2,6,100000000))/[1]!s_stmnote_bank_1n(B421,$A421,1,100000000),"")</f>
        <v/>
      </c>
      <c r="Q421" s="28" t="str">
        <f>IFERROR([1]!s_stmnote_bank_614(B421,$A421,1,2,100000000)/[1]!s_stmnote_bank_647(B421,$A421,1,2,100000000),"")</f>
        <v/>
      </c>
      <c r="R421" s="28" t="str">
        <f>IFERROR(([1]!b_stm07_bs(B421,104,$A421,1,100000000)+[1]!b_stm07_bs(B421,106,$A421,1,100000000)+[1]!b_stm07_bs(B421,76,$A421,1,100000000)+[1]!b_stm07_bs(B421,108,$A421,1,100000000)+[1]!b_stm07_bs(B421,95,$A421,1,100000000))/[1]!b_stm07_bs(B421,128,$A421,1,100000000),"")</f>
        <v/>
      </c>
      <c r="S421" s="28" t="str">
        <f>IFERROR(([1]!s_stmnote_bank_614(B421,$A421,1,2,100000000)+[1]!b_stm07_bs(B421,104,$A421,1,100000000)+[1]!b_stm07_bs(B421,106,$A421,1,100000000)+[1]!b_stm07_bs(B421,76,$A421,1,100000000)+[1]!b_stm07_bs(B421,108,$A421,1,100000000)+[1]!b_stm07_bs(B421,95,$A421,1,100000000))/[1]!b_stm07_bs(B421,128,$A421,1,100000000),"")</f>
        <v/>
      </c>
      <c r="T421" s="11">
        <f>[1]!b_issuer_shareholder(B421,"",1)</f>
        <v>0</v>
      </c>
      <c r="U421" s="10">
        <f>[1]!b_issuer_propofshareholder(B421,"",1)</f>
        <v>0</v>
      </c>
      <c r="V421" s="33" t="str">
        <f t="shared" si="13"/>
        <v>0</v>
      </c>
      <c r="W421" s="33">
        <f>[1]!s_info_city(B421)</f>
        <v>0</v>
      </c>
      <c r="X421" s="10">
        <f>IF([1]!s_stmnote_bank_17n(B421,$A421,1)="0","",[1]!s_stmnote_bank_17n(B421,$A421,1))</f>
        <v>0</v>
      </c>
      <c r="Y421" s="10">
        <f>IF([1]!s_stmnote_bank_18n(B421,$A421,1)="0","",[1]!s_stmnote_bank_18n(B421,$A421,1))</f>
        <v>0</v>
      </c>
      <c r="Z421" s="41">
        <f>IF([1]!s_stmnote_bank_58(B421,$A421,1)="0","",[1]!s_stmnote_bank_58(B421,$A421,1))</f>
        <v>0</v>
      </c>
      <c r="AA421" s="52">
        <f>IF([1]!s_stmnote_bank_60(B421,$A421,1)="0","",[1]!s_stmnote_bank_60(B421,$A421,1))</f>
        <v>0</v>
      </c>
      <c r="AB421" s="52">
        <f>[1]!s_stmnote_bank_5444(B421,$A421,1)</f>
        <v>0</v>
      </c>
      <c r="AC421" s="38">
        <f>[1]!s_stmnote_bank_129n($B421,$A421,1)</f>
        <v>0</v>
      </c>
      <c r="AD421" s="54">
        <f>[1]!s_stmnote_bank_30(B421,$A421,1)</f>
        <v>0</v>
      </c>
    </row>
    <row r="422" spans="1:30" ht="24">
      <c r="A422" s="1" t="s">
        <v>1110</v>
      </c>
      <c r="B422" s="87" t="s">
        <v>1530</v>
      </c>
      <c r="C422" s="8">
        <f>IF([1]!b_info_issuer(B422)="0","",IFERROR([1]!b_info_issuer(B422),""))</f>
        <v>0</v>
      </c>
      <c r="D422" s="11">
        <f>IF([1]!b_info_latestissurercreditrating(B422)="0","",IFERROR([1]!b_info_latestissurercreditrating(B422),""))</f>
        <v>0</v>
      </c>
      <c r="E422" s="27" t="str">
        <f>IFERROR(([1]!b_stm07_bs($B422,47,$A422,1,100000000))/[1]!b_stm07_bs($B422,109,$A422,1,100000000),"")</f>
        <v/>
      </c>
      <c r="F422" s="18" t="str">
        <f>IFERROR(([1]!s_stmnote_bank_26($B422,$A422,1,100000000)-[1]!s_stmnote_bank_26($B422,#REF!,1,100000000)+#REF!)/[1]!s_stmnote_bank_1n($B422,#REF!,1,100000000),"")</f>
        <v/>
      </c>
      <c r="G422" s="21" t="str">
        <f t="shared" si="12"/>
        <v/>
      </c>
      <c r="H422" s="18" t="str">
        <f>IFERROR([1]!s_stmnote_bank($B422,"34",$A422,100000000)/[1]!s_stmnote_bank_1n(B422,$A422,1,100000000),"")</f>
        <v/>
      </c>
      <c r="I422" s="25">
        <f>[1]!b_stm07_bs(B422,74,$A422,1,100000000)</f>
        <v>0</v>
      </c>
      <c r="J422" s="25">
        <f>[1]!b_stm07_bs(B422,109,$A422,1,100000000)</f>
        <v>0</v>
      </c>
      <c r="K422" s="10">
        <f>[1]!s_stmnote_bank_5n(B422,$A422,1)</f>
        <v>0</v>
      </c>
      <c r="L422" s="25">
        <f>[1]!s_stmnote_bank_23n(B422,$A422,1)</f>
        <v>0</v>
      </c>
      <c r="M422" s="25">
        <f>[1]!s_stmnote_bank_capadequacyratio(B422,$A422,1)</f>
        <v>0</v>
      </c>
      <c r="N422" s="25">
        <f>[1]!s_stmnote_bank_capadequacyratio_ct1(B422,$A422,1)</f>
        <v>0</v>
      </c>
      <c r="O422" s="6">
        <f>IF(OR([1]!s_fa_roe(B422,20201231)="0",[1]!s_fa_roe(B422,20211231)="0",[1]!s_fa_roe(B422,20221231)="0"),"",IFERROR(([1]!s_fa_roe(B422,20221231)+[1]!s_fa_roe(B422,20201231)+[1]!s_fa_roe(B422,20211231))/3,""))</f>
        <v>0</v>
      </c>
      <c r="P422" s="28" t="str">
        <f>IFERROR(([1]!s_stmnote_bank_65(B422,$A422,1,2,4,100000000)+[1]!s_stmnote_bank_65(B422,$A422,1,2,6,100000000))/[1]!s_stmnote_bank_1n(B422,$A422,1,100000000),"")</f>
        <v/>
      </c>
      <c r="Q422" s="28" t="str">
        <f>IFERROR([1]!s_stmnote_bank_614(B422,$A422,1,2,100000000)/[1]!s_stmnote_bank_647(B422,$A422,1,2,100000000),"")</f>
        <v/>
      </c>
      <c r="R422" s="28" t="str">
        <f>IFERROR(([1]!b_stm07_bs(B422,104,$A422,1,100000000)+[1]!b_stm07_bs(B422,106,$A422,1,100000000)+[1]!b_stm07_bs(B422,76,$A422,1,100000000)+[1]!b_stm07_bs(B422,108,$A422,1,100000000)+[1]!b_stm07_bs(B422,95,$A422,1,100000000))/[1]!b_stm07_bs(B422,128,$A422,1,100000000),"")</f>
        <v/>
      </c>
      <c r="S422" s="28" t="str">
        <f>IFERROR(([1]!s_stmnote_bank_614(B422,$A422,1,2,100000000)+[1]!b_stm07_bs(B422,104,$A422,1,100000000)+[1]!b_stm07_bs(B422,106,$A422,1,100000000)+[1]!b_stm07_bs(B422,76,$A422,1,100000000)+[1]!b_stm07_bs(B422,108,$A422,1,100000000)+[1]!b_stm07_bs(B422,95,$A422,1,100000000))/[1]!b_stm07_bs(B422,128,$A422,1,100000000),"")</f>
        <v/>
      </c>
      <c r="T422" s="11">
        <f>[1]!b_issuer_shareholder(B422,"",1)</f>
        <v>0</v>
      </c>
      <c r="U422" s="10">
        <f>[1]!b_issuer_propofshareholder(B422,"",1)</f>
        <v>0</v>
      </c>
      <c r="V422" s="33" t="str">
        <f t="shared" si="13"/>
        <v>0</v>
      </c>
      <c r="W422" s="33">
        <f>[1]!s_info_city(B422)</f>
        <v>0</v>
      </c>
      <c r="X422" s="10">
        <f>IF([1]!s_stmnote_bank_17n(B422,$A422,1)="0","",[1]!s_stmnote_bank_17n(B422,$A422,1))</f>
        <v>0</v>
      </c>
      <c r="Y422" s="10">
        <f>IF([1]!s_stmnote_bank_18n(B422,$A422,1)="0","",[1]!s_stmnote_bank_18n(B422,$A422,1))</f>
        <v>0</v>
      </c>
      <c r="Z422" s="41">
        <f>IF([1]!s_stmnote_bank_58(B422,$A422,1)="0","",[1]!s_stmnote_bank_58(B422,$A422,1))</f>
        <v>0</v>
      </c>
      <c r="AA422" s="52">
        <f>IF([1]!s_stmnote_bank_60(B422,$A422,1)="0","",[1]!s_stmnote_bank_60(B422,$A422,1))</f>
        <v>0</v>
      </c>
      <c r="AB422" s="52">
        <f>[1]!s_stmnote_bank_5444(B422,$A422,1)</f>
        <v>0</v>
      </c>
      <c r="AC422" s="38">
        <f>[1]!s_stmnote_bank_129n($B422,$A422,1)</f>
        <v>0</v>
      </c>
      <c r="AD422" s="54">
        <f>[1]!s_stmnote_bank_30(B422,$A422,1)</f>
        <v>0</v>
      </c>
    </row>
    <row r="423" spans="1:30" ht="24">
      <c r="A423" s="1" t="s">
        <v>1110</v>
      </c>
      <c r="B423" s="87" t="s">
        <v>1531</v>
      </c>
      <c r="C423" s="8">
        <f>IF([1]!b_info_issuer(B423)="0","",IFERROR([1]!b_info_issuer(B423),""))</f>
        <v>0</v>
      </c>
      <c r="D423" s="11">
        <f>IF([1]!b_info_latestissurercreditrating(B423)="0","",IFERROR([1]!b_info_latestissurercreditrating(B423),""))</f>
        <v>0</v>
      </c>
      <c r="E423" s="27" t="str">
        <f>IFERROR(([1]!b_stm07_bs($B423,47,$A423,1,100000000))/[1]!b_stm07_bs($B423,109,$A423,1,100000000),"")</f>
        <v/>
      </c>
      <c r="F423" s="18" t="str">
        <f>IFERROR(([1]!s_stmnote_bank_26($B423,$A423,1,100000000)-[1]!s_stmnote_bank_26($B423,#REF!,1,100000000)+#REF!)/[1]!s_stmnote_bank_1n($B423,#REF!,1,100000000),"")</f>
        <v/>
      </c>
      <c r="G423" s="21" t="str">
        <f t="shared" si="12"/>
        <v/>
      </c>
      <c r="H423" s="18" t="str">
        <f>IFERROR([1]!s_stmnote_bank($B423,"34",$A423,100000000)/[1]!s_stmnote_bank_1n(B423,$A423,1,100000000),"")</f>
        <v/>
      </c>
      <c r="I423" s="25">
        <f>[1]!b_stm07_bs(B423,74,$A423,1,100000000)</f>
        <v>0</v>
      </c>
      <c r="J423" s="25">
        <f>[1]!b_stm07_bs(B423,109,$A423,1,100000000)</f>
        <v>0</v>
      </c>
      <c r="K423" s="10">
        <f>[1]!s_stmnote_bank_5n(B423,$A423,1)</f>
        <v>0</v>
      </c>
      <c r="L423" s="25">
        <f>[1]!s_stmnote_bank_23n(B423,$A423,1)</f>
        <v>0</v>
      </c>
      <c r="M423" s="25">
        <f>[1]!s_stmnote_bank_capadequacyratio(B423,$A423,1)</f>
        <v>0</v>
      </c>
      <c r="N423" s="25">
        <f>[1]!s_stmnote_bank_capadequacyratio_ct1(B423,$A423,1)</f>
        <v>0</v>
      </c>
      <c r="O423" s="6">
        <f>IF(OR([1]!s_fa_roe(B423,20201231)="0",[1]!s_fa_roe(B423,20211231)="0",[1]!s_fa_roe(B423,20221231)="0"),"",IFERROR(([1]!s_fa_roe(B423,20221231)+[1]!s_fa_roe(B423,20201231)+[1]!s_fa_roe(B423,20211231))/3,""))</f>
        <v>0</v>
      </c>
      <c r="P423" s="28" t="str">
        <f>IFERROR(([1]!s_stmnote_bank_65(B423,$A423,1,2,4,100000000)+[1]!s_stmnote_bank_65(B423,$A423,1,2,6,100000000))/[1]!s_stmnote_bank_1n(B423,$A423,1,100000000),"")</f>
        <v/>
      </c>
      <c r="Q423" s="28" t="str">
        <f>IFERROR([1]!s_stmnote_bank_614(B423,$A423,1,2,100000000)/[1]!s_stmnote_bank_647(B423,$A423,1,2,100000000),"")</f>
        <v/>
      </c>
      <c r="R423" s="28" t="str">
        <f>IFERROR(([1]!b_stm07_bs(B423,104,$A423,1,100000000)+[1]!b_stm07_bs(B423,106,$A423,1,100000000)+[1]!b_stm07_bs(B423,76,$A423,1,100000000)+[1]!b_stm07_bs(B423,108,$A423,1,100000000)+[1]!b_stm07_bs(B423,95,$A423,1,100000000))/[1]!b_stm07_bs(B423,128,$A423,1,100000000),"")</f>
        <v/>
      </c>
      <c r="S423" s="28" t="str">
        <f>IFERROR(([1]!s_stmnote_bank_614(B423,$A423,1,2,100000000)+[1]!b_stm07_bs(B423,104,$A423,1,100000000)+[1]!b_stm07_bs(B423,106,$A423,1,100000000)+[1]!b_stm07_bs(B423,76,$A423,1,100000000)+[1]!b_stm07_bs(B423,108,$A423,1,100000000)+[1]!b_stm07_bs(B423,95,$A423,1,100000000))/[1]!b_stm07_bs(B423,128,$A423,1,100000000),"")</f>
        <v/>
      </c>
      <c r="T423" s="11">
        <f>[1]!b_issuer_shareholder(B423,"",1)</f>
        <v>0</v>
      </c>
      <c r="U423" s="10">
        <f>[1]!b_issuer_propofshareholder(B423,"",1)</f>
        <v>0</v>
      </c>
      <c r="V423" s="33" t="str">
        <f t="shared" si="13"/>
        <v>0</v>
      </c>
      <c r="W423" s="33">
        <f>[1]!s_info_city(B423)</f>
        <v>0</v>
      </c>
      <c r="X423" s="10">
        <f>IF([1]!s_stmnote_bank_17n(B423,$A423,1)="0","",[1]!s_stmnote_bank_17n(B423,$A423,1))</f>
        <v>0</v>
      </c>
      <c r="Y423" s="10">
        <f>IF([1]!s_stmnote_bank_18n(B423,$A423,1)="0","",[1]!s_stmnote_bank_18n(B423,$A423,1))</f>
        <v>0</v>
      </c>
      <c r="Z423" s="41">
        <f>IF([1]!s_stmnote_bank_58(B423,$A423,1)="0","",[1]!s_stmnote_bank_58(B423,$A423,1))</f>
        <v>0</v>
      </c>
      <c r="AA423" s="52">
        <f>IF([1]!s_stmnote_bank_60(B423,$A423,1)="0","",[1]!s_stmnote_bank_60(B423,$A423,1))</f>
        <v>0</v>
      </c>
      <c r="AB423" s="52">
        <f>[1]!s_stmnote_bank_5444(B423,$A423,1)</f>
        <v>0</v>
      </c>
      <c r="AC423" s="38">
        <f>[1]!s_stmnote_bank_129n($B423,$A423,1)</f>
        <v>0</v>
      </c>
      <c r="AD423" s="54">
        <f>[1]!s_stmnote_bank_30(B423,$A423,1)</f>
        <v>0</v>
      </c>
    </row>
    <row r="424" spans="1:30" ht="24">
      <c r="A424" s="1" t="s">
        <v>1110</v>
      </c>
      <c r="B424" s="87" t="s">
        <v>1532</v>
      </c>
      <c r="C424" s="8">
        <f>IF([1]!b_info_issuer(B424)="0","",IFERROR([1]!b_info_issuer(B424),""))</f>
        <v>0</v>
      </c>
      <c r="D424" s="11">
        <f>IF([1]!b_info_latestissurercreditrating(B424)="0","",IFERROR([1]!b_info_latestissurercreditrating(B424),""))</f>
        <v>0</v>
      </c>
      <c r="E424" s="27" t="str">
        <f>IFERROR(([1]!b_stm07_bs($B424,47,$A424,1,100000000))/[1]!b_stm07_bs($B424,109,$A424,1,100000000),"")</f>
        <v/>
      </c>
      <c r="F424" s="18" t="str">
        <f>IFERROR(([1]!s_stmnote_bank_26($B424,$A424,1,100000000)-[1]!s_stmnote_bank_26($B424,#REF!,1,100000000)+#REF!)/[1]!s_stmnote_bank_1n($B424,#REF!,1,100000000),"")</f>
        <v/>
      </c>
      <c r="G424" s="21" t="str">
        <f t="shared" si="12"/>
        <v/>
      </c>
      <c r="H424" s="18" t="str">
        <f>IFERROR([1]!s_stmnote_bank($B424,"34",$A424,100000000)/[1]!s_stmnote_bank_1n(B424,$A424,1,100000000),"")</f>
        <v/>
      </c>
      <c r="I424" s="25">
        <f>[1]!b_stm07_bs(B424,74,$A424,1,100000000)</f>
        <v>0</v>
      </c>
      <c r="J424" s="25">
        <f>[1]!b_stm07_bs(B424,109,$A424,1,100000000)</f>
        <v>0</v>
      </c>
      <c r="K424" s="10">
        <f>[1]!s_stmnote_bank_5n(B424,$A424,1)</f>
        <v>0</v>
      </c>
      <c r="L424" s="25">
        <f>[1]!s_stmnote_bank_23n(B424,$A424,1)</f>
        <v>0</v>
      </c>
      <c r="M424" s="25">
        <f>[1]!s_stmnote_bank_capadequacyratio(B424,$A424,1)</f>
        <v>0</v>
      </c>
      <c r="N424" s="25">
        <f>[1]!s_stmnote_bank_capadequacyratio_ct1(B424,$A424,1)</f>
        <v>0</v>
      </c>
      <c r="O424" s="6">
        <f>IF(OR([1]!s_fa_roe(B424,20201231)="0",[1]!s_fa_roe(B424,20211231)="0",[1]!s_fa_roe(B424,20221231)="0"),"",IFERROR(([1]!s_fa_roe(B424,20221231)+[1]!s_fa_roe(B424,20201231)+[1]!s_fa_roe(B424,20211231))/3,""))</f>
        <v>0</v>
      </c>
      <c r="P424" s="28" t="str">
        <f>IFERROR(([1]!s_stmnote_bank_65(B424,$A424,1,2,4,100000000)+[1]!s_stmnote_bank_65(B424,$A424,1,2,6,100000000))/[1]!s_stmnote_bank_1n(B424,$A424,1,100000000),"")</f>
        <v/>
      </c>
      <c r="Q424" s="28" t="str">
        <f>IFERROR([1]!s_stmnote_bank_614(B424,$A424,1,2,100000000)/[1]!s_stmnote_bank_647(B424,$A424,1,2,100000000),"")</f>
        <v/>
      </c>
      <c r="R424" s="28" t="str">
        <f>IFERROR(([1]!b_stm07_bs(B424,104,$A424,1,100000000)+[1]!b_stm07_bs(B424,106,$A424,1,100000000)+[1]!b_stm07_bs(B424,76,$A424,1,100000000)+[1]!b_stm07_bs(B424,108,$A424,1,100000000)+[1]!b_stm07_bs(B424,95,$A424,1,100000000))/[1]!b_stm07_bs(B424,128,$A424,1,100000000),"")</f>
        <v/>
      </c>
      <c r="S424" s="28" t="str">
        <f>IFERROR(([1]!s_stmnote_bank_614(B424,$A424,1,2,100000000)+[1]!b_stm07_bs(B424,104,$A424,1,100000000)+[1]!b_stm07_bs(B424,106,$A424,1,100000000)+[1]!b_stm07_bs(B424,76,$A424,1,100000000)+[1]!b_stm07_bs(B424,108,$A424,1,100000000)+[1]!b_stm07_bs(B424,95,$A424,1,100000000))/[1]!b_stm07_bs(B424,128,$A424,1,100000000),"")</f>
        <v/>
      </c>
      <c r="T424" s="11">
        <f>[1]!b_issuer_shareholder(B424,"",1)</f>
        <v>0</v>
      </c>
      <c r="U424" s="10">
        <f>[1]!b_issuer_propofshareholder(B424,"",1)</f>
        <v>0</v>
      </c>
      <c r="V424" s="33" t="str">
        <f t="shared" si="13"/>
        <v>0</v>
      </c>
      <c r="W424" s="33">
        <f>[1]!s_info_city(B424)</f>
        <v>0</v>
      </c>
      <c r="X424" s="10">
        <f>IF([1]!s_stmnote_bank_17n(B424,$A424,1)="0","",[1]!s_stmnote_bank_17n(B424,$A424,1))</f>
        <v>0</v>
      </c>
      <c r="Y424" s="10">
        <f>IF([1]!s_stmnote_bank_18n(B424,$A424,1)="0","",[1]!s_stmnote_bank_18n(B424,$A424,1))</f>
        <v>0</v>
      </c>
      <c r="Z424" s="41">
        <f>IF([1]!s_stmnote_bank_58(B424,$A424,1)="0","",[1]!s_stmnote_bank_58(B424,$A424,1))</f>
        <v>0</v>
      </c>
      <c r="AA424" s="52">
        <f>IF([1]!s_stmnote_bank_60(B424,$A424,1)="0","",[1]!s_stmnote_bank_60(B424,$A424,1))</f>
        <v>0</v>
      </c>
      <c r="AB424" s="52">
        <f>[1]!s_stmnote_bank_5444(B424,$A424,1)</f>
        <v>0</v>
      </c>
      <c r="AC424" s="38">
        <f>[1]!s_stmnote_bank_129n($B424,$A424,1)</f>
        <v>0</v>
      </c>
      <c r="AD424" s="54">
        <f>[1]!s_stmnote_bank_30(B424,$A424,1)</f>
        <v>0</v>
      </c>
    </row>
    <row r="425" spans="1:30" ht="24">
      <c r="A425" s="1" t="s">
        <v>1110</v>
      </c>
      <c r="B425" s="87" t="s">
        <v>1533</v>
      </c>
      <c r="C425" s="8">
        <f>IF([1]!b_info_issuer(B425)="0","",IFERROR([1]!b_info_issuer(B425),""))</f>
        <v>0</v>
      </c>
      <c r="D425" s="11">
        <f>IF([1]!b_info_latestissurercreditrating(B425)="0","",IFERROR([1]!b_info_latestissurercreditrating(B425),""))</f>
        <v>0</v>
      </c>
      <c r="E425" s="27" t="str">
        <f>IFERROR(([1]!b_stm07_bs($B425,47,$A425,1,100000000))/[1]!b_stm07_bs($B425,109,$A425,1,100000000),"")</f>
        <v/>
      </c>
      <c r="F425" s="18" t="str">
        <f>IFERROR(([1]!s_stmnote_bank_26($B425,$A425,1,100000000)-[1]!s_stmnote_bank_26($B425,#REF!,1,100000000)+#REF!)/[1]!s_stmnote_bank_1n($B425,#REF!,1,100000000),"")</f>
        <v/>
      </c>
      <c r="G425" s="21" t="str">
        <f t="shared" si="12"/>
        <v/>
      </c>
      <c r="H425" s="18" t="str">
        <f>IFERROR([1]!s_stmnote_bank($B425,"34",$A425,100000000)/[1]!s_stmnote_bank_1n(B425,$A425,1,100000000),"")</f>
        <v/>
      </c>
      <c r="I425" s="25">
        <f>[1]!b_stm07_bs(B425,74,$A425,1,100000000)</f>
        <v>0</v>
      </c>
      <c r="J425" s="25">
        <f>[1]!b_stm07_bs(B425,109,$A425,1,100000000)</f>
        <v>0</v>
      </c>
      <c r="K425" s="10">
        <f>[1]!s_stmnote_bank_5n(B425,$A425,1)</f>
        <v>0</v>
      </c>
      <c r="L425" s="25">
        <f>[1]!s_stmnote_bank_23n(B425,$A425,1)</f>
        <v>0</v>
      </c>
      <c r="M425" s="25">
        <f>[1]!s_stmnote_bank_capadequacyratio(B425,$A425,1)</f>
        <v>0</v>
      </c>
      <c r="N425" s="25">
        <f>[1]!s_stmnote_bank_capadequacyratio_ct1(B425,$A425,1)</f>
        <v>0</v>
      </c>
      <c r="O425" s="6">
        <f>IF(OR([1]!s_fa_roe(B425,20201231)="0",[1]!s_fa_roe(B425,20211231)="0",[1]!s_fa_roe(B425,20221231)="0"),"",IFERROR(([1]!s_fa_roe(B425,20221231)+[1]!s_fa_roe(B425,20201231)+[1]!s_fa_roe(B425,20211231))/3,""))</f>
        <v>0</v>
      </c>
      <c r="P425" s="28" t="str">
        <f>IFERROR(([1]!s_stmnote_bank_65(B425,$A425,1,2,4,100000000)+[1]!s_stmnote_bank_65(B425,$A425,1,2,6,100000000))/[1]!s_stmnote_bank_1n(B425,$A425,1,100000000),"")</f>
        <v/>
      </c>
      <c r="Q425" s="28" t="str">
        <f>IFERROR([1]!s_stmnote_bank_614(B425,$A425,1,2,100000000)/[1]!s_stmnote_bank_647(B425,$A425,1,2,100000000),"")</f>
        <v/>
      </c>
      <c r="R425" s="28" t="str">
        <f>IFERROR(([1]!b_stm07_bs(B425,104,$A425,1,100000000)+[1]!b_stm07_bs(B425,106,$A425,1,100000000)+[1]!b_stm07_bs(B425,76,$A425,1,100000000)+[1]!b_stm07_bs(B425,108,$A425,1,100000000)+[1]!b_stm07_bs(B425,95,$A425,1,100000000))/[1]!b_stm07_bs(B425,128,$A425,1,100000000),"")</f>
        <v/>
      </c>
      <c r="S425" s="28" t="str">
        <f>IFERROR(([1]!s_stmnote_bank_614(B425,$A425,1,2,100000000)+[1]!b_stm07_bs(B425,104,$A425,1,100000000)+[1]!b_stm07_bs(B425,106,$A425,1,100000000)+[1]!b_stm07_bs(B425,76,$A425,1,100000000)+[1]!b_stm07_bs(B425,108,$A425,1,100000000)+[1]!b_stm07_bs(B425,95,$A425,1,100000000))/[1]!b_stm07_bs(B425,128,$A425,1,100000000),"")</f>
        <v/>
      </c>
      <c r="T425" s="11">
        <f>[1]!b_issuer_shareholder(B425,"",1)</f>
        <v>0</v>
      </c>
      <c r="U425" s="10">
        <f>[1]!b_issuer_propofshareholder(B425,"",1)</f>
        <v>0</v>
      </c>
      <c r="V425" s="33" t="str">
        <f t="shared" si="13"/>
        <v>0</v>
      </c>
      <c r="W425" s="33">
        <f>[1]!s_info_city(B425)</f>
        <v>0</v>
      </c>
      <c r="X425" s="10">
        <f>IF([1]!s_stmnote_bank_17n(B425,$A425,1)="0","",[1]!s_stmnote_bank_17n(B425,$A425,1))</f>
        <v>0</v>
      </c>
      <c r="Y425" s="10">
        <f>IF([1]!s_stmnote_bank_18n(B425,$A425,1)="0","",[1]!s_stmnote_bank_18n(B425,$A425,1))</f>
        <v>0</v>
      </c>
      <c r="Z425" s="41">
        <f>IF([1]!s_stmnote_bank_58(B425,$A425,1)="0","",[1]!s_stmnote_bank_58(B425,$A425,1))</f>
        <v>0</v>
      </c>
      <c r="AA425" s="52">
        <f>IF([1]!s_stmnote_bank_60(B425,$A425,1)="0","",[1]!s_stmnote_bank_60(B425,$A425,1))</f>
        <v>0</v>
      </c>
      <c r="AB425" s="52">
        <f>[1]!s_stmnote_bank_5444(B425,$A425,1)</f>
        <v>0</v>
      </c>
      <c r="AC425" s="38">
        <f>[1]!s_stmnote_bank_129n($B425,$A425,1)</f>
        <v>0</v>
      </c>
      <c r="AD425" s="54">
        <f>[1]!s_stmnote_bank_30(B425,$A425,1)</f>
        <v>0</v>
      </c>
    </row>
    <row r="426" spans="1:30" ht="24">
      <c r="A426" s="1" t="s">
        <v>1110</v>
      </c>
      <c r="B426" s="87" t="s">
        <v>1534</v>
      </c>
      <c r="C426" s="8">
        <f>IF([1]!b_info_issuer(B426)="0","",IFERROR([1]!b_info_issuer(B426),""))</f>
        <v>0</v>
      </c>
      <c r="D426" s="11">
        <f>IF([1]!b_info_latestissurercreditrating(B426)="0","",IFERROR([1]!b_info_latestissurercreditrating(B426),""))</f>
        <v>0</v>
      </c>
      <c r="E426" s="27" t="str">
        <f>IFERROR(([1]!b_stm07_bs($B426,47,$A426,1,100000000))/[1]!b_stm07_bs($B426,109,$A426,1,100000000),"")</f>
        <v/>
      </c>
      <c r="F426" s="18" t="str">
        <f>IFERROR(([1]!s_stmnote_bank_26($B426,$A426,1,100000000)-[1]!s_stmnote_bank_26($B426,#REF!,1,100000000)+#REF!)/[1]!s_stmnote_bank_1n($B426,#REF!,1,100000000),"")</f>
        <v/>
      </c>
      <c r="G426" s="21" t="str">
        <f t="shared" si="12"/>
        <v/>
      </c>
      <c r="H426" s="18" t="str">
        <f>IFERROR([1]!s_stmnote_bank($B426,"34",$A426,100000000)/[1]!s_stmnote_bank_1n(B426,$A426,1,100000000),"")</f>
        <v/>
      </c>
      <c r="I426" s="25">
        <f>[1]!b_stm07_bs(B426,74,$A426,1,100000000)</f>
        <v>0</v>
      </c>
      <c r="J426" s="25">
        <f>[1]!b_stm07_bs(B426,109,$A426,1,100000000)</f>
        <v>0</v>
      </c>
      <c r="K426" s="10">
        <f>[1]!s_stmnote_bank_5n(B426,$A426,1)</f>
        <v>0</v>
      </c>
      <c r="L426" s="25">
        <f>[1]!s_stmnote_bank_23n(B426,$A426,1)</f>
        <v>0</v>
      </c>
      <c r="M426" s="25">
        <f>[1]!s_stmnote_bank_capadequacyratio(B426,$A426,1)</f>
        <v>0</v>
      </c>
      <c r="N426" s="25">
        <f>[1]!s_stmnote_bank_capadequacyratio_ct1(B426,$A426,1)</f>
        <v>0</v>
      </c>
      <c r="O426" s="6">
        <f>IF(OR([1]!s_fa_roe(B426,20201231)="0",[1]!s_fa_roe(B426,20211231)="0",[1]!s_fa_roe(B426,20221231)="0"),"",IFERROR(([1]!s_fa_roe(B426,20221231)+[1]!s_fa_roe(B426,20201231)+[1]!s_fa_roe(B426,20211231))/3,""))</f>
        <v>0</v>
      </c>
      <c r="P426" s="28" t="str">
        <f>IFERROR(([1]!s_stmnote_bank_65(B426,$A426,1,2,4,100000000)+[1]!s_stmnote_bank_65(B426,$A426,1,2,6,100000000))/[1]!s_stmnote_bank_1n(B426,$A426,1,100000000),"")</f>
        <v/>
      </c>
      <c r="Q426" s="28" t="str">
        <f>IFERROR([1]!s_stmnote_bank_614(B426,$A426,1,2,100000000)/[1]!s_stmnote_bank_647(B426,$A426,1,2,100000000),"")</f>
        <v/>
      </c>
      <c r="R426" s="28" t="str">
        <f>IFERROR(([1]!b_stm07_bs(B426,104,$A426,1,100000000)+[1]!b_stm07_bs(B426,106,$A426,1,100000000)+[1]!b_stm07_bs(B426,76,$A426,1,100000000)+[1]!b_stm07_bs(B426,108,$A426,1,100000000)+[1]!b_stm07_bs(B426,95,$A426,1,100000000))/[1]!b_stm07_bs(B426,128,$A426,1,100000000),"")</f>
        <v/>
      </c>
      <c r="S426" s="28" t="str">
        <f>IFERROR(([1]!s_stmnote_bank_614(B426,$A426,1,2,100000000)+[1]!b_stm07_bs(B426,104,$A426,1,100000000)+[1]!b_stm07_bs(B426,106,$A426,1,100000000)+[1]!b_stm07_bs(B426,76,$A426,1,100000000)+[1]!b_stm07_bs(B426,108,$A426,1,100000000)+[1]!b_stm07_bs(B426,95,$A426,1,100000000))/[1]!b_stm07_bs(B426,128,$A426,1,100000000),"")</f>
        <v/>
      </c>
      <c r="T426" s="11">
        <f>[1]!b_issuer_shareholder(B426,"",1)</f>
        <v>0</v>
      </c>
      <c r="U426" s="10">
        <f>[1]!b_issuer_propofshareholder(B426,"",1)</f>
        <v>0</v>
      </c>
      <c r="V426" s="33" t="str">
        <f t="shared" si="13"/>
        <v>0</v>
      </c>
      <c r="W426" s="33">
        <f>[1]!s_info_city(B426)</f>
        <v>0</v>
      </c>
      <c r="X426" s="10">
        <f>IF([1]!s_stmnote_bank_17n(B426,$A426,1)="0","",[1]!s_stmnote_bank_17n(B426,$A426,1))</f>
        <v>0</v>
      </c>
      <c r="Y426" s="10">
        <f>IF([1]!s_stmnote_bank_18n(B426,$A426,1)="0","",[1]!s_stmnote_bank_18n(B426,$A426,1))</f>
        <v>0</v>
      </c>
      <c r="Z426" s="41">
        <f>IF([1]!s_stmnote_bank_58(B426,$A426,1)="0","",[1]!s_stmnote_bank_58(B426,$A426,1))</f>
        <v>0</v>
      </c>
      <c r="AA426" s="52">
        <f>IF([1]!s_stmnote_bank_60(B426,$A426,1)="0","",[1]!s_stmnote_bank_60(B426,$A426,1))</f>
        <v>0</v>
      </c>
      <c r="AB426" s="52">
        <f>[1]!s_stmnote_bank_5444(B426,$A426,1)</f>
        <v>0</v>
      </c>
      <c r="AC426" s="38">
        <f>[1]!s_stmnote_bank_129n($B426,$A426,1)</f>
        <v>0</v>
      </c>
      <c r="AD426" s="54">
        <f>[1]!s_stmnote_bank_30(B426,$A426,1)</f>
        <v>0</v>
      </c>
    </row>
    <row r="427" spans="1:30" ht="24">
      <c r="A427" s="1" t="s">
        <v>1110</v>
      </c>
      <c r="B427" s="87" t="s">
        <v>1535</v>
      </c>
      <c r="C427" s="8">
        <f>IF([1]!b_info_issuer(B427)="0","",IFERROR([1]!b_info_issuer(B427),""))</f>
        <v>0</v>
      </c>
      <c r="D427" s="11">
        <f>IF([1]!b_info_latestissurercreditrating(B427)="0","",IFERROR([1]!b_info_latestissurercreditrating(B427),""))</f>
        <v>0</v>
      </c>
      <c r="E427" s="27" t="str">
        <f>IFERROR(([1]!b_stm07_bs($B427,47,$A427,1,100000000))/[1]!b_stm07_bs($B427,109,$A427,1,100000000),"")</f>
        <v/>
      </c>
      <c r="F427" s="18" t="str">
        <f>IFERROR(([1]!s_stmnote_bank_26($B427,$A427,1,100000000)-[1]!s_stmnote_bank_26($B427,#REF!,1,100000000)+#REF!)/[1]!s_stmnote_bank_1n($B427,#REF!,1,100000000),"")</f>
        <v/>
      </c>
      <c r="G427" s="21" t="str">
        <f t="shared" si="12"/>
        <v/>
      </c>
      <c r="H427" s="18" t="str">
        <f>IFERROR([1]!s_stmnote_bank($B427,"34",$A427,100000000)/[1]!s_stmnote_bank_1n(B427,$A427,1,100000000),"")</f>
        <v/>
      </c>
      <c r="I427" s="25">
        <f>[1]!b_stm07_bs(B427,74,$A427,1,100000000)</f>
        <v>0</v>
      </c>
      <c r="J427" s="25">
        <f>[1]!b_stm07_bs(B427,109,$A427,1,100000000)</f>
        <v>0</v>
      </c>
      <c r="K427" s="10">
        <f>[1]!s_stmnote_bank_5n(B427,$A427,1)</f>
        <v>0</v>
      </c>
      <c r="L427" s="25">
        <f>[1]!s_stmnote_bank_23n(B427,$A427,1)</f>
        <v>0</v>
      </c>
      <c r="M427" s="25">
        <f>[1]!s_stmnote_bank_capadequacyratio(B427,$A427,1)</f>
        <v>0</v>
      </c>
      <c r="N427" s="25">
        <f>[1]!s_stmnote_bank_capadequacyratio_ct1(B427,$A427,1)</f>
        <v>0</v>
      </c>
      <c r="O427" s="6">
        <f>IF(OR([1]!s_fa_roe(B427,20201231)="0",[1]!s_fa_roe(B427,20211231)="0",[1]!s_fa_roe(B427,20221231)="0"),"",IFERROR(([1]!s_fa_roe(B427,20221231)+[1]!s_fa_roe(B427,20201231)+[1]!s_fa_roe(B427,20211231))/3,""))</f>
        <v>0</v>
      </c>
      <c r="P427" s="28" t="str">
        <f>IFERROR(([1]!s_stmnote_bank_65(B427,$A427,1,2,4,100000000)+[1]!s_stmnote_bank_65(B427,$A427,1,2,6,100000000))/[1]!s_stmnote_bank_1n(B427,$A427,1,100000000),"")</f>
        <v/>
      </c>
      <c r="Q427" s="28" t="str">
        <f>IFERROR([1]!s_stmnote_bank_614(B427,$A427,1,2,100000000)/[1]!s_stmnote_bank_647(B427,$A427,1,2,100000000),"")</f>
        <v/>
      </c>
      <c r="R427" s="28" t="str">
        <f>IFERROR(([1]!b_stm07_bs(B427,104,$A427,1,100000000)+[1]!b_stm07_bs(B427,106,$A427,1,100000000)+[1]!b_stm07_bs(B427,76,$A427,1,100000000)+[1]!b_stm07_bs(B427,108,$A427,1,100000000)+[1]!b_stm07_bs(B427,95,$A427,1,100000000))/[1]!b_stm07_bs(B427,128,$A427,1,100000000),"")</f>
        <v/>
      </c>
      <c r="S427" s="28" t="str">
        <f>IFERROR(([1]!s_stmnote_bank_614(B427,$A427,1,2,100000000)+[1]!b_stm07_bs(B427,104,$A427,1,100000000)+[1]!b_stm07_bs(B427,106,$A427,1,100000000)+[1]!b_stm07_bs(B427,76,$A427,1,100000000)+[1]!b_stm07_bs(B427,108,$A427,1,100000000)+[1]!b_stm07_bs(B427,95,$A427,1,100000000))/[1]!b_stm07_bs(B427,128,$A427,1,100000000),"")</f>
        <v/>
      </c>
      <c r="T427" s="11">
        <f>[1]!b_issuer_shareholder(B427,"",1)</f>
        <v>0</v>
      </c>
      <c r="U427" s="10">
        <f>[1]!b_issuer_propofshareholder(B427,"",1)</f>
        <v>0</v>
      </c>
      <c r="V427" s="33" t="str">
        <f t="shared" si="13"/>
        <v>0</v>
      </c>
      <c r="W427" s="33">
        <f>[1]!s_info_city(B427)</f>
        <v>0</v>
      </c>
      <c r="X427" s="10">
        <f>IF([1]!s_stmnote_bank_17n(B427,$A427,1)="0","",[1]!s_stmnote_bank_17n(B427,$A427,1))</f>
        <v>0</v>
      </c>
      <c r="Y427" s="10">
        <f>IF([1]!s_stmnote_bank_18n(B427,$A427,1)="0","",[1]!s_stmnote_bank_18n(B427,$A427,1))</f>
        <v>0</v>
      </c>
      <c r="Z427" s="41">
        <f>IF([1]!s_stmnote_bank_58(B427,$A427,1)="0","",[1]!s_stmnote_bank_58(B427,$A427,1))</f>
        <v>0</v>
      </c>
      <c r="AA427" s="52">
        <f>IF([1]!s_stmnote_bank_60(B427,$A427,1)="0","",[1]!s_stmnote_bank_60(B427,$A427,1))</f>
        <v>0</v>
      </c>
      <c r="AB427" s="52">
        <f>[1]!s_stmnote_bank_5444(B427,$A427,1)</f>
        <v>0</v>
      </c>
      <c r="AC427" s="38">
        <f>[1]!s_stmnote_bank_129n($B427,$A427,1)</f>
        <v>0</v>
      </c>
      <c r="AD427" s="54">
        <f>[1]!s_stmnote_bank_30(B427,$A427,1)</f>
        <v>0</v>
      </c>
    </row>
    <row r="428" spans="1:30" ht="24">
      <c r="A428" s="1" t="s">
        <v>1110</v>
      </c>
      <c r="B428" s="87" t="s">
        <v>1536</v>
      </c>
      <c r="C428" s="8">
        <f>IF([1]!b_info_issuer(B428)="0","",IFERROR([1]!b_info_issuer(B428),""))</f>
        <v>0</v>
      </c>
      <c r="D428" s="11">
        <f>IF([1]!b_info_latestissurercreditrating(B428)="0","",IFERROR([1]!b_info_latestissurercreditrating(B428),""))</f>
        <v>0</v>
      </c>
      <c r="E428" s="27" t="str">
        <f>IFERROR(([1]!b_stm07_bs($B428,47,$A428,1,100000000))/[1]!b_stm07_bs($B428,109,$A428,1,100000000),"")</f>
        <v/>
      </c>
      <c r="F428" s="18" t="str">
        <f>IFERROR(([1]!s_stmnote_bank_26($B428,$A428,1,100000000)-[1]!s_stmnote_bank_26($B428,#REF!,1,100000000)+#REF!)/[1]!s_stmnote_bank_1n($B428,#REF!,1,100000000),"")</f>
        <v/>
      </c>
      <c r="G428" s="21" t="str">
        <f t="shared" si="12"/>
        <v/>
      </c>
      <c r="H428" s="18" t="str">
        <f>IFERROR([1]!s_stmnote_bank($B428,"34",$A428,100000000)/[1]!s_stmnote_bank_1n(B428,$A428,1,100000000),"")</f>
        <v/>
      </c>
      <c r="I428" s="25">
        <f>[1]!b_stm07_bs(B428,74,$A428,1,100000000)</f>
        <v>0</v>
      </c>
      <c r="J428" s="25">
        <f>[1]!b_stm07_bs(B428,109,$A428,1,100000000)</f>
        <v>0</v>
      </c>
      <c r="K428" s="10">
        <f>[1]!s_stmnote_bank_5n(B428,$A428,1)</f>
        <v>0</v>
      </c>
      <c r="L428" s="25">
        <f>[1]!s_stmnote_bank_23n(B428,$A428,1)</f>
        <v>0</v>
      </c>
      <c r="M428" s="25">
        <f>[1]!s_stmnote_bank_capadequacyratio(B428,$A428,1)</f>
        <v>0</v>
      </c>
      <c r="N428" s="25">
        <f>[1]!s_stmnote_bank_capadequacyratio_ct1(B428,$A428,1)</f>
        <v>0</v>
      </c>
      <c r="O428" s="6">
        <f>IF(OR([1]!s_fa_roe(B428,20201231)="0",[1]!s_fa_roe(B428,20211231)="0",[1]!s_fa_roe(B428,20221231)="0"),"",IFERROR(([1]!s_fa_roe(B428,20221231)+[1]!s_fa_roe(B428,20201231)+[1]!s_fa_roe(B428,20211231))/3,""))</f>
        <v>0</v>
      </c>
      <c r="P428" s="28" t="str">
        <f>IFERROR(([1]!s_stmnote_bank_65(B428,$A428,1,2,4,100000000)+[1]!s_stmnote_bank_65(B428,$A428,1,2,6,100000000))/[1]!s_stmnote_bank_1n(B428,$A428,1,100000000),"")</f>
        <v/>
      </c>
      <c r="Q428" s="28" t="str">
        <f>IFERROR([1]!s_stmnote_bank_614(B428,$A428,1,2,100000000)/[1]!s_stmnote_bank_647(B428,$A428,1,2,100000000),"")</f>
        <v/>
      </c>
      <c r="R428" s="28" t="str">
        <f>IFERROR(([1]!b_stm07_bs(B428,104,$A428,1,100000000)+[1]!b_stm07_bs(B428,106,$A428,1,100000000)+[1]!b_stm07_bs(B428,76,$A428,1,100000000)+[1]!b_stm07_bs(B428,108,$A428,1,100000000)+[1]!b_stm07_bs(B428,95,$A428,1,100000000))/[1]!b_stm07_bs(B428,128,$A428,1,100000000),"")</f>
        <v/>
      </c>
      <c r="S428" s="28" t="str">
        <f>IFERROR(([1]!s_stmnote_bank_614(B428,$A428,1,2,100000000)+[1]!b_stm07_bs(B428,104,$A428,1,100000000)+[1]!b_stm07_bs(B428,106,$A428,1,100000000)+[1]!b_stm07_bs(B428,76,$A428,1,100000000)+[1]!b_stm07_bs(B428,108,$A428,1,100000000)+[1]!b_stm07_bs(B428,95,$A428,1,100000000))/[1]!b_stm07_bs(B428,128,$A428,1,100000000),"")</f>
        <v/>
      </c>
      <c r="T428" s="11">
        <f>[1]!b_issuer_shareholder(B428,"",1)</f>
        <v>0</v>
      </c>
      <c r="U428" s="10">
        <f>[1]!b_issuer_propofshareholder(B428,"",1)</f>
        <v>0</v>
      </c>
      <c r="V428" s="33" t="str">
        <f t="shared" si="13"/>
        <v>0</v>
      </c>
      <c r="W428" s="33">
        <f>[1]!s_info_city(B428)</f>
        <v>0</v>
      </c>
      <c r="X428" s="10">
        <f>IF([1]!s_stmnote_bank_17n(B428,$A428,1)="0","",[1]!s_stmnote_bank_17n(B428,$A428,1))</f>
        <v>0</v>
      </c>
      <c r="Y428" s="10">
        <f>IF([1]!s_stmnote_bank_18n(B428,$A428,1)="0","",[1]!s_stmnote_bank_18n(B428,$A428,1))</f>
        <v>0</v>
      </c>
      <c r="Z428" s="41">
        <f>IF([1]!s_stmnote_bank_58(B428,$A428,1)="0","",[1]!s_stmnote_bank_58(B428,$A428,1))</f>
        <v>0</v>
      </c>
      <c r="AA428" s="52">
        <f>IF([1]!s_stmnote_bank_60(B428,$A428,1)="0","",[1]!s_stmnote_bank_60(B428,$A428,1))</f>
        <v>0</v>
      </c>
      <c r="AB428" s="52">
        <f>[1]!s_stmnote_bank_5444(B428,$A428,1)</f>
        <v>0</v>
      </c>
      <c r="AC428" s="38">
        <f>[1]!s_stmnote_bank_129n($B428,$A428,1)</f>
        <v>0</v>
      </c>
      <c r="AD428" s="54">
        <f>[1]!s_stmnote_bank_30(B428,$A428,1)</f>
        <v>0</v>
      </c>
    </row>
    <row r="429" spans="1:30" ht="24">
      <c r="A429" s="1" t="s">
        <v>1110</v>
      </c>
      <c r="B429" s="87" t="s">
        <v>1537</v>
      </c>
      <c r="C429" s="8">
        <f>IF([1]!b_info_issuer(B429)="0","",IFERROR([1]!b_info_issuer(B429),""))</f>
        <v>0</v>
      </c>
      <c r="D429" s="11">
        <f>IF([1]!b_info_latestissurercreditrating(B429)="0","",IFERROR([1]!b_info_latestissurercreditrating(B429),""))</f>
        <v>0</v>
      </c>
      <c r="E429" s="27" t="str">
        <f>IFERROR(([1]!b_stm07_bs($B429,47,$A429,1,100000000))/[1]!b_stm07_bs($B429,109,$A429,1,100000000),"")</f>
        <v/>
      </c>
      <c r="F429" s="18" t="str">
        <f>IFERROR(([1]!s_stmnote_bank_26($B429,$A429,1,100000000)-[1]!s_stmnote_bank_26($B429,#REF!,1,100000000)+#REF!)/[1]!s_stmnote_bank_1n($B429,#REF!,1,100000000),"")</f>
        <v/>
      </c>
      <c r="G429" s="21" t="str">
        <f t="shared" si="12"/>
        <v/>
      </c>
      <c r="H429" s="18" t="str">
        <f>IFERROR([1]!s_stmnote_bank($B429,"34",$A429,100000000)/[1]!s_stmnote_bank_1n(B429,$A429,1,100000000),"")</f>
        <v/>
      </c>
      <c r="I429" s="25">
        <f>[1]!b_stm07_bs(B429,74,$A429,1,100000000)</f>
        <v>0</v>
      </c>
      <c r="J429" s="25">
        <f>[1]!b_stm07_bs(B429,109,$A429,1,100000000)</f>
        <v>0</v>
      </c>
      <c r="K429" s="10">
        <f>[1]!s_stmnote_bank_5n(B429,$A429,1)</f>
        <v>0</v>
      </c>
      <c r="L429" s="25">
        <f>[1]!s_stmnote_bank_23n(B429,$A429,1)</f>
        <v>0</v>
      </c>
      <c r="M429" s="25">
        <f>[1]!s_stmnote_bank_capadequacyratio(B429,$A429,1)</f>
        <v>0</v>
      </c>
      <c r="N429" s="25">
        <f>[1]!s_stmnote_bank_capadequacyratio_ct1(B429,$A429,1)</f>
        <v>0</v>
      </c>
      <c r="O429" s="6">
        <f>IF(OR([1]!s_fa_roe(B429,20201231)="0",[1]!s_fa_roe(B429,20211231)="0",[1]!s_fa_roe(B429,20221231)="0"),"",IFERROR(([1]!s_fa_roe(B429,20221231)+[1]!s_fa_roe(B429,20201231)+[1]!s_fa_roe(B429,20211231))/3,""))</f>
        <v>0</v>
      </c>
      <c r="P429" s="28" t="str">
        <f>IFERROR(([1]!s_stmnote_bank_65(B429,$A429,1,2,4,100000000)+[1]!s_stmnote_bank_65(B429,$A429,1,2,6,100000000))/[1]!s_stmnote_bank_1n(B429,$A429,1,100000000),"")</f>
        <v/>
      </c>
      <c r="Q429" s="28" t="str">
        <f>IFERROR([1]!s_stmnote_bank_614(B429,$A429,1,2,100000000)/[1]!s_stmnote_bank_647(B429,$A429,1,2,100000000),"")</f>
        <v/>
      </c>
      <c r="R429" s="28" t="str">
        <f>IFERROR(([1]!b_stm07_bs(B429,104,$A429,1,100000000)+[1]!b_stm07_bs(B429,106,$A429,1,100000000)+[1]!b_stm07_bs(B429,76,$A429,1,100000000)+[1]!b_stm07_bs(B429,108,$A429,1,100000000)+[1]!b_stm07_bs(B429,95,$A429,1,100000000))/[1]!b_stm07_bs(B429,128,$A429,1,100000000),"")</f>
        <v/>
      </c>
      <c r="S429" s="28" t="str">
        <f>IFERROR(([1]!s_stmnote_bank_614(B429,$A429,1,2,100000000)+[1]!b_stm07_bs(B429,104,$A429,1,100000000)+[1]!b_stm07_bs(B429,106,$A429,1,100000000)+[1]!b_stm07_bs(B429,76,$A429,1,100000000)+[1]!b_stm07_bs(B429,108,$A429,1,100000000)+[1]!b_stm07_bs(B429,95,$A429,1,100000000))/[1]!b_stm07_bs(B429,128,$A429,1,100000000),"")</f>
        <v/>
      </c>
      <c r="T429" s="11">
        <f>[1]!b_issuer_shareholder(B429,"",1)</f>
        <v>0</v>
      </c>
      <c r="U429" s="10">
        <f>[1]!b_issuer_propofshareholder(B429,"",1)</f>
        <v>0</v>
      </c>
      <c r="V429" s="33" t="str">
        <f t="shared" si="13"/>
        <v>0</v>
      </c>
      <c r="W429" s="33">
        <f>[1]!s_info_city(B429)</f>
        <v>0</v>
      </c>
      <c r="X429" s="10">
        <f>IF([1]!s_stmnote_bank_17n(B429,$A429,1)="0","",[1]!s_stmnote_bank_17n(B429,$A429,1))</f>
        <v>0</v>
      </c>
      <c r="Y429" s="10">
        <f>IF([1]!s_stmnote_bank_18n(B429,$A429,1)="0","",[1]!s_stmnote_bank_18n(B429,$A429,1))</f>
        <v>0</v>
      </c>
      <c r="Z429" s="41">
        <f>IF([1]!s_stmnote_bank_58(B429,$A429,1)="0","",[1]!s_stmnote_bank_58(B429,$A429,1))</f>
        <v>0</v>
      </c>
      <c r="AA429" s="52">
        <f>IF([1]!s_stmnote_bank_60(B429,$A429,1)="0","",[1]!s_stmnote_bank_60(B429,$A429,1))</f>
        <v>0</v>
      </c>
      <c r="AB429" s="52">
        <f>[1]!s_stmnote_bank_5444(B429,$A429,1)</f>
        <v>0</v>
      </c>
      <c r="AC429" s="38">
        <f>[1]!s_stmnote_bank_129n($B429,$A429,1)</f>
        <v>0</v>
      </c>
      <c r="AD429" s="54">
        <f>[1]!s_stmnote_bank_30(B429,$A429,1)</f>
        <v>0</v>
      </c>
    </row>
    <row r="430" spans="1:30" ht="24">
      <c r="A430" s="1" t="s">
        <v>1110</v>
      </c>
      <c r="B430" s="87" t="s">
        <v>1538</v>
      </c>
      <c r="C430" s="8">
        <f>IF([1]!b_info_issuer(B430)="0","",IFERROR([1]!b_info_issuer(B430),""))</f>
        <v>0</v>
      </c>
      <c r="D430" s="11">
        <f>IF([1]!b_info_latestissurercreditrating(B430)="0","",IFERROR([1]!b_info_latestissurercreditrating(B430),""))</f>
        <v>0</v>
      </c>
      <c r="E430" s="27" t="str">
        <f>IFERROR(([1]!b_stm07_bs($B430,47,$A430,1,100000000))/[1]!b_stm07_bs($B430,109,$A430,1,100000000),"")</f>
        <v/>
      </c>
      <c r="F430" s="18" t="str">
        <f>IFERROR(([1]!s_stmnote_bank_26($B430,$A430,1,100000000)-[1]!s_stmnote_bank_26($B430,#REF!,1,100000000)+#REF!)/[1]!s_stmnote_bank_1n($B430,#REF!,1,100000000),"")</f>
        <v/>
      </c>
      <c r="G430" s="21" t="str">
        <f t="shared" si="12"/>
        <v/>
      </c>
      <c r="H430" s="18" t="str">
        <f>IFERROR([1]!s_stmnote_bank($B430,"34",$A430,100000000)/[1]!s_stmnote_bank_1n(B430,$A430,1,100000000),"")</f>
        <v/>
      </c>
      <c r="I430" s="25">
        <f>[1]!b_stm07_bs(B430,74,$A430,1,100000000)</f>
        <v>0</v>
      </c>
      <c r="J430" s="25">
        <f>[1]!b_stm07_bs(B430,109,$A430,1,100000000)</f>
        <v>0</v>
      </c>
      <c r="K430" s="10">
        <f>[1]!s_stmnote_bank_5n(B430,$A430,1)</f>
        <v>0</v>
      </c>
      <c r="L430" s="25">
        <f>[1]!s_stmnote_bank_23n(B430,$A430,1)</f>
        <v>0</v>
      </c>
      <c r="M430" s="25">
        <f>[1]!s_stmnote_bank_capadequacyratio(B430,$A430,1)</f>
        <v>0</v>
      </c>
      <c r="N430" s="25">
        <f>[1]!s_stmnote_bank_capadequacyratio_ct1(B430,$A430,1)</f>
        <v>0</v>
      </c>
      <c r="O430" s="6">
        <f>IF(OR([1]!s_fa_roe(B430,20201231)="0",[1]!s_fa_roe(B430,20211231)="0",[1]!s_fa_roe(B430,20221231)="0"),"",IFERROR(([1]!s_fa_roe(B430,20221231)+[1]!s_fa_roe(B430,20201231)+[1]!s_fa_roe(B430,20211231))/3,""))</f>
        <v>0</v>
      </c>
      <c r="P430" s="28" t="str">
        <f>IFERROR(([1]!s_stmnote_bank_65(B430,$A430,1,2,4,100000000)+[1]!s_stmnote_bank_65(B430,$A430,1,2,6,100000000))/[1]!s_stmnote_bank_1n(B430,$A430,1,100000000),"")</f>
        <v/>
      </c>
      <c r="Q430" s="28" t="str">
        <f>IFERROR([1]!s_stmnote_bank_614(B430,$A430,1,2,100000000)/[1]!s_stmnote_bank_647(B430,$A430,1,2,100000000),"")</f>
        <v/>
      </c>
      <c r="R430" s="28" t="str">
        <f>IFERROR(([1]!b_stm07_bs(B430,104,$A430,1,100000000)+[1]!b_stm07_bs(B430,106,$A430,1,100000000)+[1]!b_stm07_bs(B430,76,$A430,1,100000000)+[1]!b_stm07_bs(B430,108,$A430,1,100000000)+[1]!b_stm07_bs(B430,95,$A430,1,100000000))/[1]!b_stm07_bs(B430,128,$A430,1,100000000),"")</f>
        <v/>
      </c>
      <c r="S430" s="28" t="str">
        <f>IFERROR(([1]!s_stmnote_bank_614(B430,$A430,1,2,100000000)+[1]!b_stm07_bs(B430,104,$A430,1,100000000)+[1]!b_stm07_bs(B430,106,$A430,1,100000000)+[1]!b_stm07_bs(B430,76,$A430,1,100000000)+[1]!b_stm07_bs(B430,108,$A430,1,100000000)+[1]!b_stm07_bs(B430,95,$A430,1,100000000))/[1]!b_stm07_bs(B430,128,$A430,1,100000000),"")</f>
        <v/>
      </c>
      <c r="T430" s="11">
        <f>[1]!b_issuer_shareholder(B430,"",1)</f>
        <v>0</v>
      </c>
      <c r="U430" s="10">
        <f>[1]!b_issuer_propofshareholder(B430,"",1)</f>
        <v>0</v>
      </c>
      <c r="V430" s="33" t="str">
        <f t="shared" si="13"/>
        <v>0</v>
      </c>
      <c r="W430" s="33">
        <f>[1]!s_info_city(B430)</f>
        <v>0</v>
      </c>
      <c r="X430" s="10">
        <f>IF([1]!s_stmnote_bank_17n(B430,$A430,1)="0","",[1]!s_stmnote_bank_17n(B430,$A430,1))</f>
        <v>0</v>
      </c>
      <c r="Y430" s="10">
        <f>IF([1]!s_stmnote_bank_18n(B430,$A430,1)="0","",[1]!s_stmnote_bank_18n(B430,$A430,1))</f>
        <v>0</v>
      </c>
      <c r="Z430" s="41">
        <f>IF([1]!s_stmnote_bank_58(B430,$A430,1)="0","",[1]!s_stmnote_bank_58(B430,$A430,1))</f>
        <v>0</v>
      </c>
      <c r="AA430" s="52">
        <f>IF([1]!s_stmnote_bank_60(B430,$A430,1)="0","",[1]!s_stmnote_bank_60(B430,$A430,1))</f>
        <v>0</v>
      </c>
      <c r="AB430" s="52">
        <f>[1]!s_stmnote_bank_5444(B430,$A430,1)</f>
        <v>0</v>
      </c>
      <c r="AC430" s="38">
        <f>[1]!s_stmnote_bank_129n($B430,$A430,1)</f>
        <v>0</v>
      </c>
      <c r="AD430" s="54">
        <f>[1]!s_stmnote_bank_30(B430,$A430,1)</f>
        <v>0</v>
      </c>
    </row>
    <row r="431" spans="1:30" ht="24">
      <c r="A431" s="1" t="s">
        <v>1110</v>
      </c>
      <c r="B431" s="87" t="s">
        <v>1539</v>
      </c>
      <c r="C431" s="8">
        <f>IF([1]!b_info_issuer(B431)="0","",IFERROR([1]!b_info_issuer(B431),""))</f>
        <v>0</v>
      </c>
      <c r="D431" s="11">
        <f>IF([1]!b_info_latestissurercreditrating(B431)="0","",IFERROR([1]!b_info_latestissurercreditrating(B431),""))</f>
        <v>0</v>
      </c>
      <c r="E431" s="27" t="str">
        <f>IFERROR(([1]!b_stm07_bs($B431,47,$A431,1,100000000))/[1]!b_stm07_bs($B431,109,$A431,1,100000000),"")</f>
        <v/>
      </c>
      <c r="F431" s="18" t="str">
        <f>IFERROR(([1]!s_stmnote_bank_26($B431,$A431,1,100000000)-[1]!s_stmnote_bank_26($B431,#REF!,1,100000000)+#REF!)/[1]!s_stmnote_bank_1n($B431,#REF!,1,100000000),"")</f>
        <v/>
      </c>
      <c r="G431" s="21" t="str">
        <f t="shared" si="12"/>
        <v/>
      </c>
      <c r="H431" s="18" t="str">
        <f>IFERROR([1]!s_stmnote_bank($B431,"34",$A431,100000000)/[1]!s_stmnote_bank_1n(B431,$A431,1,100000000),"")</f>
        <v/>
      </c>
      <c r="I431" s="25">
        <f>[1]!b_stm07_bs(B431,74,$A431,1,100000000)</f>
        <v>0</v>
      </c>
      <c r="J431" s="25">
        <f>[1]!b_stm07_bs(B431,109,$A431,1,100000000)</f>
        <v>0</v>
      </c>
      <c r="K431" s="10">
        <f>[1]!s_stmnote_bank_5n(B431,$A431,1)</f>
        <v>0</v>
      </c>
      <c r="L431" s="25">
        <f>[1]!s_stmnote_bank_23n(B431,$A431,1)</f>
        <v>0</v>
      </c>
      <c r="M431" s="25">
        <f>[1]!s_stmnote_bank_capadequacyratio(B431,$A431,1)</f>
        <v>0</v>
      </c>
      <c r="N431" s="25">
        <f>[1]!s_stmnote_bank_capadequacyratio_ct1(B431,$A431,1)</f>
        <v>0</v>
      </c>
      <c r="O431" s="6">
        <f>IF(OR([1]!s_fa_roe(B431,20201231)="0",[1]!s_fa_roe(B431,20211231)="0",[1]!s_fa_roe(B431,20221231)="0"),"",IFERROR(([1]!s_fa_roe(B431,20221231)+[1]!s_fa_roe(B431,20201231)+[1]!s_fa_roe(B431,20211231))/3,""))</f>
        <v>0</v>
      </c>
      <c r="P431" s="28" t="str">
        <f>IFERROR(([1]!s_stmnote_bank_65(B431,$A431,1,2,4,100000000)+[1]!s_stmnote_bank_65(B431,$A431,1,2,6,100000000))/[1]!s_stmnote_bank_1n(B431,$A431,1,100000000),"")</f>
        <v/>
      </c>
      <c r="Q431" s="28" t="str">
        <f>IFERROR([1]!s_stmnote_bank_614(B431,$A431,1,2,100000000)/[1]!s_stmnote_bank_647(B431,$A431,1,2,100000000),"")</f>
        <v/>
      </c>
      <c r="R431" s="28" t="str">
        <f>IFERROR(([1]!b_stm07_bs(B431,104,$A431,1,100000000)+[1]!b_stm07_bs(B431,106,$A431,1,100000000)+[1]!b_stm07_bs(B431,76,$A431,1,100000000)+[1]!b_stm07_bs(B431,108,$A431,1,100000000)+[1]!b_stm07_bs(B431,95,$A431,1,100000000))/[1]!b_stm07_bs(B431,128,$A431,1,100000000),"")</f>
        <v/>
      </c>
      <c r="S431" s="28" t="str">
        <f>IFERROR(([1]!s_stmnote_bank_614(B431,$A431,1,2,100000000)+[1]!b_stm07_bs(B431,104,$A431,1,100000000)+[1]!b_stm07_bs(B431,106,$A431,1,100000000)+[1]!b_stm07_bs(B431,76,$A431,1,100000000)+[1]!b_stm07_bs(B431,108,$A431,1,100000000)+[1]!b_stm07_bs(B431,95,$A431,1,100000000))/[1]!b_stm07_bs(B431,128,$A431,1,100000000),"")</f>
        <v/>
      </c>
      <c r="T431" s="11">
        <f>[1]!b_issuer_shareholder(B431,"",1)</f>
        <v>0</v>
      </c>
      <c r="U431" s="10">
        <f>[1]!b_issuer_propofshareholder(B431,"",1)</f>
        <v>0</v>
      </c>
      <c r="V431" s="33" t="str">
        <f t="shared" si="13"/>
        <v>0</v>
      </c>
      <c r="W431" s="33">
        <f>[1]!s_info_city(B431)</f>
        <v>0</v>
      </c>
      <c r="X431" s="10">
        <f>IF([1]!s_stmnote_bank_17n(B431,$A431,1)="0","",[1]!s_stmnote_bank_17n(B431,$A431,1))</f>
        <v>0</v>
      </c>
      <c r="Y431" s="10">
        <f>IF([1]!s_stmnote_bank_18n(B431,$A431,1)="0","",[1]!s_stmnote_bank_18n(B431,$A431,1))</f>
        <v>0</v>
      </c>
      <c r="Z431" s="41">
        <f>IF([1]!s_stmnote_bank_58(B431,$A431,1)="0","",[1]!s_stmnote_bank_58(B431,$A431,1))</f>
        <v>0</v>
      </c>
      <c r="AA431" s="52">
        <f>IF([1]!s_stmnote_bank_60(B431,$A431,1)="0","",[1]!s_stmnote_bank_60(B431,$A431,1))</f>
        <v>0</v>
      </c>
      <c r="AB431" s="52">
        <f>[1]!s_stmnote_bank_5444(B431,$A431,1)</f>
        <v>0</v>
      </c>
      <c r="AC431" s="38">
        <f>[1]!s_stmnote_bank_129n($B431,$A431,1)</f>
        <v>0</v>
      </c>
      <c r="AD431" s="54">
        <f>[1]!s_stmnote_bank_30(B431,$A431,1)</f>
        <v>0</v>
      </c>
    </row>
    <row r="432" spans="1:30" ht="24">
      <c r="A432" s="1" t="s">
        <v>1110</v>
      </c>
      <c r="B432" s="87" t="s">
        <v>1540</v>
      </c>
      <c r="C432" s="8">
        <f>IF([1]!b_info_issuer(B432)="0","",IFERROR([1]!b_info_issuer(B432),""))</f>
        <v>0</v>
      </c>
      <c r="D432" s="11">
        <f>IF([1]!b_info_latestissurercreditrating(B432)="0","",IFERROR([1]!b_info_latestissurercreditrating(B432),""))</f>
        <v>0</v>
      </c>
      <c r="E432" s="27" t="str">
        <f>IFERROR(([1]!b_stm07_bs($B432,47,$A432,1,100000000))/[1]!b_stm07_bs($B432,109,$A432,1,100000000),"")</f>
        <v/>
      </c>
      <c r="F432" s="18" t="str">
        <f>IFERROR(([1]!s_stmnote_bank_26($B432,$A432,1,100000000)-[1]!s_stmnote_bank_26($B432,#REF!,1,100000000)+#REF!)/[1]!s_stmnote_bank_1n($B432,#REF!,1,100000000),"")</f>
        <v/>
      </c>
      <c r="G432" s="21" t="str">
        <f t="shared" si="12"/>
        <v/>
      </c>
      <c r="H432" s="18" t="str">
        <f>IFERROR([1]!s_stmnote_bank($B432,"34",$A432,100000000)/[1]!s_stmnote_bank_1n(B432,$A432,1,100000000),"")</f>
        <v/>
      </c>
      <c r="I432" s="25">
        <f>[1]!b_stm07_bs(B432,74,$A432,1,100000000)</f>
        <v>0</v>
      </c>
      <c r="J432" s="25">
        <f>[1]!b_stm07_bs(B432,109,$A432,1,100000000)</f>
        <v>0</v>
      </c>
      <c r="K432" s="10">
        <f>[1]!s_stmnote_bank_5n(B432,$A432,1)</f>
        <v>0</v>
      </c>
      <c r="L432" s="25">
        <f>[1]!s_stmnote_bank_23n(B432,$A432,1)</f>
        <v>0</v>
      </c>
      <c r="M432" s="25">
        <f>[1]!s_stmnote_bank_capadequacyratio(B432,$A432,1)</f>
        <v>0</v>
      </c>
      <c r="N432" s="25">
        <f>[1]!s_stmnote_bank_capadequacyratio_ct1(B432,$A432,1)</f>
        <v>0</v>
      </c>
      <c r="O432" s="6">
        <f>IF(OR([1]!s_fa_roe(B432,20201231)="0",[1]!s_fa_roe(B432,20211231)="0",[1]!s_fa_roe(B432,20221231)="0"),"",IFERROR(([1]!s_fa_roe(B432,20221231)+[1]!s_fa_roe(B432,20201231)+[1]!s_fa_roe(B432,20211231))/3,""))</f>
        <v>0</v>
      </c>
      <c r="P432" s="28" t="str">
        <f>IFERROR(([1]!s_stmnote_bank_65(B432,$A432,1,2,4,100000000)+[1]!s_stmnote_bank_65(B432,$A432,1,2,6,100000000))/[1]!s_stmnote_bank_1n(B432,$A432,1,100000000),"")</f>
        <v/>
      </c>
      <c r="Q432" s="28" t="str">
        <f>IFERROR([1]!s_stmnote_bank_614(B432,$A432,1,2,100000000)/[1]!s_stmnote_bank_647(B432,$A432,1,2,100000000),"")</f>
        <v/>
      </c>
      <c r="R432" s="28" t="str">
        <f>IFERROR(([1]!b_stm07_bs(B432,104,$A432,1,100000000)+[1]!b_stm07_bs(B432,106,$A432,1,100000000)+[1]!b_stm07_bs(B432,76,$A432,1,100000000)+[1]!b_stm07_bs(B432,108,$A432,1,100000000)+[1]!b_stm07_bs(B432,95,$A432,1,100000000))/[1]!b_stm07_bs(B432,128,$A432,1,100000000),"")</f>
        <v/>
      </c>
      <c r="S432" s="28" t="str">
        <f>IFERROR(([1]!s_stmnote_bank_614(B432,$A432,1,2,100000000)+[1]!b_stm07_bs(B432,104,$A432,1,100000000)+[1]!b_stm07_bs(B432,106,$A432,1,100000000)+[1]!b_stm07_bs(B432,76,$A432,1,100000000)+[1]!b_stm07_bs(B432,108,$A432,1,100000000)+[1]!b_stm07_bs(B432,95,$A432,1,100000000))/[1]!b_stm07_bs(B432,128,$A432,1,100000000),"")</f>
        <v/>
      </c>
      <c r="T432" s="11">
        <f>[1]!b_issuer_shareholder(B432,"",1)</f>
        <v>0</v>
      </c>
      <c r="U432" s="10">
        <f>[1]!b_issuer_propofshareholder(B432,"",1)</f>
        <v>0</v>
      </c>
      <c r="V432" s="33" t="str">
        <f t="shared" si="13"/>
        <v>0</v>
      </c>
      <c r="W432" s="33">
        <f>[1]!s_info_city(B432)</f>
        <v>0</v>
      </c>
      <c r="X432" s="10">
        <f>IF([1]!s_stmnote_bank_17n(B432,$A432,1)="0","",[1]!s_stmnote_bank_17n(B432,$A432,1))</f>
        <v>0</v>
      </c>
      <c r="Y432" s="10">
        <f>IF([1]!s_stmnote_bank_18n(B432,$A432,1)="0","",[1]!s_stmnote_bank_18n(B432,$A432,1))</f>
        <v>0</v>
      </c>
      <c r="Z432" s="41">
        <f>IF([1]!s_stmnote_bank_58(B432,$A432,1)="0","",[1]!s_stmnote_bank_58(B432,$A432,1))</f>
        <v>0</v>
      </c>
      <c r="AA432" s="52">
        <f>IF([1]!s_stmnote_bank_60(B432,$A432,1)="0","",[1]!s_stmnote_bank_60(B432,$A432,1))</f>
        <v>0</v>
      </c>
      <c r="AB432" s="52">
        <f>[1]!s_stmnote_bank_5444(B432,$A432,1)</f>
        <v>0</v>
      </c>
      <c r="AC432" s="38">
        <f>[1]!s_stmnote_bank_129n($B432,$A432,1)</f>
        <v>0</v>
      </c>
      <c r="AD432" s="54">
        <f>[1]!s_stmnote_bank_30(B432,$A432,1)</f>
        <v>0</v>
      </c>
    </row>
    <row r="433" spans="1:30" ht="24">
      <c r="A433" s="1" t="s">
        <v>1110</v>
      </c>
      <c r="B433" s="87" t="s">
        <v>1541</v>
      </c>
      <c r="C433" s="8">
        <f>IF([1]!b_info_issuer(B433)="0","",IFERROR([1]!b_info_issuer(B433),""))</f>
        <v>0</v>
      </c>
      <c r="D433" s="11">
        <f>IF([1]!b_info_latestissurercreditrating(B433)="0","",IFERROR([1]!b_info_latestissurercreditrating(B433),""))</f>
        <v>0</v>
      </c>
      <c r="E433" s="27" t="str">
        <f>IFERROR(([1]!b_stm07_bs($B433,47,$A433,1,100000000))/[1]!b_stm07_bs($B433,109,$A433,1,100000000),"")</f>
        <v/>
      </c>
      <c r="F433" s="18" t="str">
        <f>IFERROR(([1]!s_stmnote_bank_26($B433,$A433,1,100000000)-[1]!s_stmnote_bank_26($B433,#REF!,1,100000000)+#REF!)/[1]!s_stmnote_bank_1n($B433,#REF!,1,100000000),"")</f>
        <v/>
      </c>
      <c r="G433" s="21" t="str">
        <f t="shared" si="12"/>
        <v/>
      </c>
      <c r="H433" s="18" t="str">
        <f>IFERROR([1]!s_stmnote_bank($B433,"34",$A433,100000000)/[1]!s_stmnote_bank_1n(B433,$A433,1,100000000),"")</f>
        <v/>
      </c>
      <c r="I433" s="25">
        <f>[1]!b_stm07_bs(B433,74,$A433,1,100000000)</f>
        <v>0</v>
      </c>
      <c r="J433" s="25">
        <f>[1]!b_stm07_bs(B433,109,$A433,1,100000000)</f>
        <v>0</v>
      </c>
      <c r="K433" s="10">
        <f>[1]!s_stmnote_bank_5n(B433,$A433,1)</f>
        <v>0</v>
      </c>
      <c r="L433" s="25">
        <f>[1]!s_stmnote_bank_23n(B433,$A433,1)</f>
        <v>0</v>
      </c>
      <c r="M433" s="25">
        <f>[1]!s_stmnote_bank_capadequacyratio(B433,$A433,1)</f>
        <v>0</v>
      </c>
      <c r="N433" s="25">
        <f>[1]!s_stmnote_bank_capadequacyratio_ct1(B433,$A433,1)</f>
        <v>0</v>
      </c>
      <c r="O433" s="6">
        <f>IF(OR([1]!s_fa_roe(B433,20201231)="0",[1]!s_fa_roe(B433,20211231)="0",[1]!s_fa_roe(B433,20221231)="0"),"",IFERROR(([1]!s_fa_roe(B433,20221231)+[1]!s_fa_roe(B433,20201231)+[1]!s_fa_roe(B433,20211231))/3,""))</f>
        <v>0</v>
      </c>
      <c r="P433" s="28" t="str">
        <f>IFERROR(([1]!s_stmnote_bank_65(B433,$A433,1,2,4,100000000)+[1]!s_stmnote_bank_65(B433,$A433,1,2,6,100000000))/[1]!s_stmnote_bank_1n(B433,$A433,1,100000000),"")</f>
        <v/>
      </c>
      <c r="Q433" s="28" t="str">
        <f>IFERROR([1]!s_stmnote_bank_614(B433,$A433,1,2,100000000)/[1]!s_stmnote_bank_647(B433,$A433,1,2,100000000),"")</f>
        <v/>
      </c>
      <c r="R433" s="28" t="str">
        <f>IFERROR(([1]!b_stm07_bs(B433,104,$A433,1,100000000)+[1]!b_stm07_bs(B433,106,$A433,1,100000000)+[1]!b_stm07_bs(B433,76,$A433,1,100000000)+[1]!b_stm07_bs(B433,108,$A433,1,100000000)+[1]!b_stm07_bs(B433,95,$A433,1,100000000))/[1]!b_stm07_bs(B433,128,$A433,1,100000000),"")</f>
        <v/>
      </c>
      <c r="S433" s="28" t="str">
        <f>IFERROR(([1]!s_stmnote_bank_614(B433,$A433,1,2,100000000)+[1]!b_stm07_bs(B433,104,$A433,1,100000000)+[1]!b_stm07_bs(B433,106,$A433,1,100000000)+[1]!b_stm07_bs(B433,76,$A433,1,100000000)+[1]!b_stm07_bs(B433,108,$A433,1,100000000)+[1]!b_stm07_bs(B433,95,$A433,1,100000000))/[1]!b_stm07_bs(B433,128,$A433,1,100000000),"")</f>
        <v/>
      </c>
      <c r="T433" s="11">
        <f>[1]!b_issuer_shareholder(B433,"",1)</f>
        <v>0</v>
      </c>
      <c r="U433" s="10">
        <f>[1]!b_issuer_propofshareholder(B433,"",1)</f>
        <v>0</v>
      </c>
      <c r="V433" s="33" t="str">
        <f t="shared" si="13"/>
        <v>0</v>
      </c>
      <c r="W433" s="33">
        <f>[1]!s_info_city(B433)</f>
        <v>0</v>
      </c>
      <c r="X433" s="10">
        <f>IF([1]!s_stmnote_bank_17n(B433,$A433,1)="0","",[1]!s_stmnote_bank_17n(B433,$A433,1))</f>
        <v>0</v>
      </c>
      <c r="Y433" s="10">
        <f>IF([1]!s_stmnote_bank_18n(B433,$A433,1)="0","",[1]!s_stmnote_bank_18n(B433,$A433,1))</f>
        <v>0</v>
      </c>
      <c r="Z433" s="41">
        <f>IF([1]!s_stmnote_bank_58(B433,$A433,1)="0","",[1]!s_stmnote_bank_58(B433,$A433,1))</f>
        <v>0</v>
      </c>
      <c r="AA433" s="52">
        <f>IF([1]!s_stmnote_bank_60(B433,$A433,1)="0","",[1]!s_stmnote_bank_60(B433,$A433,1))</f>
        <v>0</v>
      </c>
      <c r="AB433" s="52">
        <f>[1]!s_stmnote_bank_5444(B433,$A433,1)</f>
        <v>0</v>
      </c>
      <c r="AC433" s="38">
        <f>[1]!s_stmnote_bank_129n($B433,$A433,1)</f>
        <v>0</v>
      </c>
      <c r="AD433" s="54">
        <f>[1]!s_stmnote_bank_30(B433,$A433,1)</f>
        <v>0</v>
      </c>
    </row>
    <row r="434" spans="1:30" ht="24">
      <c r="A434" s="1" t="s">
        <v>1110</v>
      </c>
      <c r="B434" s="87" t="s">
        <v>1542</v>
      </c>
      <c r="C434" s="8">
        <f>IF([1]!b_info_issuer(B434)="0","",IFERROR([1]!b_info_issuer(B434),""))</f>
        <v>0</v>
      </c>
      <c r="D434" s="11">
        <f>IF([1]!b_info_latestissurercreditrating(B434)="0","",IFERROR([1]!b_info_latestissurercreditrating(B434),""))</f>
        <v>0</v>
      </c>
      <c r="E434" s="27" t="str">
        <f>IFERROR(([1]!b_stm07_bs($B434,47,$A434,1,100000000))/[1]!b_stm07_bs($B434,109,$A434,1,100000000),"")</f>
        <v/>
      </c>
      <c r="F434" s="18" t="str">
        <f>IFERROR(([1]!s_stmnote_bank_26($B434,$A434,1,100000000)-[1]!s_stmnote_bank_26($B434,#REF!,1,100000000)+#REF!)/[1]!s_stmnote_bank_1n($B434,#REF!,1,100000000),"")</f>
        <v/>
      </c>
      <c r="G434" s="21" t="str">
        <f t="shared" si="12"/>
        <v/>
      </c>
      <c r="H434" s="18" t="str">
        <f>IFERROR([1]!s_stmnote_bank($B434,"34",$A434,100000000)/[1]!s_stmnote_bank_1n(B434,$A434,1,100000000),"")</f>
        <v/>
      </c>
      <c r="I434" s="25">
        <f>[1]!b_stm07_bs(B434,74,$A434,1,100000000)</f>
        <v>0</v>
      </c>
      <c r="J434" s="25">
        <f>[1]!b_stm07_bs(B434,109,$A434,1,100000000)</f>
        <v>0</v>
      </c>
      <c r="K434" s="10">
        <f>[1]!s_stmnote_bank_5n(B434,$A434,1)</f>
        <v>0</v>
      </c>
      <c r="L434" s="25">
        <f>[1]!s_stmnote_bank_23n(B434,$A434,1)</f>
        <v>0</v>
      </c>
      <c r="M434" s="25">
        <f>[1]!s_stmnote_bank_capadequacyratio(B434,$A434,1)</f>
        <v>0</v>
      </c>
      <c r="N434" s="25">
        <f>[1]!s_stmnote_bank_capadequacyratio_ct1(B434,$A434,1)</f>
        <v>0</v>
      </c>
      <c r="O434" s="6">
        <f>IF(OR([1]!s_fa_roe(B434,20201231)="0",[1]!s_fa_roe(B434,20211231)="0",[1]!s_fa_roe(B434,20221231)="0"),"",IFERROR(([1]!s_fa_roe(B434,20221231)+[1]!s_fa_roe(B434,20201231)+[1]!s_fa_roe(B434,20211231))/3,""))</f>
        <v>0</v>
      </c>
      <c r="P434" s="28" t="str">
        <f>IFERROR(([1]!s_stmnote_bank_65(B434,$A434,1,2,4,100000000)+[1]!s_stmnote_bank_65(B434,$A434,1,2,6,100000000))/[1]!s_stmnote_bank_1n(B434,$A434,1,100000000),"")</f>
        <v/>
      </c>
      <c r="Q434" s="28" t="str">
        <f>IFERROR([1]!s_stmnote_bank_614(B434,$A434,1,2,100000000)/[1]!s_stmnote_bank_647(B434,$A434,1,2,100000000),"")</f>
        <v/>
      </c>
      <c r="R434" s="28" t="str">
        <f>IFERROR(([1]!b_stm07_bs(B434,104,$A434,1,100000000)+[1]!b_stm07_bs(B434,106,$A434,1,100000000)+[1]!b_stm07_bs(B434,76,$A434,1,100000000)+[1]!b_stm07_bs(B434,108,$A434,1,100000000)+[1]!b_stm07_bs(B434,95,$A434,1,100000000))/[1]!b_stm07_bs(B434,128,$A434,1,100000000),"")</f>
        <v/>
      </c>
      <c r="S434" s="28" t="str">
        <f>IFERROR(([1]!s_stmnote_bank_614(B434,$A434,1,2,100000000)+[1]!b_stm07_bs(B434,104,$A434,1,100000000)+[1]!b_stm07_bs(B434,106,$A434,1,100000000)+[1]!b_stm07_bs(B434,76,$A434,1,100000000)+[1]!b_stm07_bs(B434,108,$A434,1,100000000)+[1]!b_stm07_bs(B434,95,$A434,1,100000000))/[1]!b_stm07_bs(B434,128,$A434,1,100000000),"")</f>
        <v/>
      </c>
      <c r="T434" s="11">
        <f>[1]!b_issuer_shareholder(B434,"",1)</f>
        <v>0</v>
      </c>
      <c r="U434" s="10">
        <f>[1]!b_issuer_propofshareholder(B434,"",1)</f>
        <v>0</v>
      </c>
      <c r="V434" s="33" t="str">
        <f t="shared" si="13"/>
        <v>0</v>
      </c>
      <c r="W434" s="33">
        <f>[1]!s_info_city(B434)</f>
        <v>0</v>
      </c>
      <c r="X434" s="10">
        <f>IF([1]!s_stmnote_bank_17n(B434,$A434,1)="0","",[1]!s_stmnote_bank_17n(B434,$A434,1))</f>
        <v>0</v>
      </c>
      <c r="Y434" s="10">
        <f>IF([1]!s_stmnote_bank_18n(B434,$A434,1)="0","",[1]!s_stmnote_bank_18n(B434,$A434,1))</f>
        <v>0</v>
      </c>
      <c r="Z434" s="41">
        <f>IF([1]!s_stmnote_bank_58(B434,$A434,1)="0","",[1]!s_stmnote_bank_58(B434,$A434,1))</f>
        <v>0</v>
      </c>
      <c r="AA434" s="52">
        <f>IF([1]!s_stmnote_bank_60(B434,$A434,1)="0","",[1]!s_stmnote_bank_60(B434,$A434,1))</f>
        <v>0</v>
      </c>
      <c r="AB434" s="52">
        <f>[1]!s_stmnote_bank_5444(B434,$A434,1)</f>
        <v>0</v>
      </c>
      <c r="AC434" s="38">
        <f>[1]!s_stmnote_bank_129n($B434,$A434,1)</f>
        <v>0</v>
      </c>
      <c r="AD434" s="54">
        <f>[1]!s_stmnote_bank_30(B434,$A434,1)</f>
        <v>0</v>
      </c>
    </row>
    <row r="435" spans="1:30" ht="24">
      <c r="A435" s="1" t="s">
        <v>1110</v>
      </c>
      <c r="B435" s="87" t="s">
        <v>1543</v>
      </c>
      <c r="C435" s="8">
        <f>IF([1]!b_info_issuer(B435)="0","",IFERROR([1]!b_info_issuer(B435),""))</f>
        <v>0</v>
      </c>
      <c r="D435" s="11">
        <f>IF([1]!b_info_latestissurercreditrating(B435)="0","",IFERROR([1]!b_info_latestissurercreditrating(B435),""))</f>
        <v>0</v>
      </c>
      <c r="E435" s="27" t="str">
        <f>IFERROR(([1]!b_stm07_bs($B435,47,$A435,1,100000000))/[1]!b_stm07_bs($B435,109,$A435,1,100000000),"")</f>
        <v/>
      </c>
      <c r="F435" s="18" t="str">
        <f>IFERROR(([1]!s_stmnote_bank_26($B435,$A435,1,100000000)-[1]!s_stmnote_bank_26($B435,#REF!,1,100000000)+#REF!)/[1]!s_stmnote_bank_1n($B435,#REF!,1,100000000),"")</f>
        <v/>
      </c>
      <c r="G435" s="21" t="str">
        <f t="shared" si="12"/>
        <v/>
      </c>
      <c r="H435" s="18" t="str">
        <f>IFERROR([1]!s_stmnote_bank($B435,"34",$A435,100000000)/[1]!s_stmnote_bank_1n(B435,$A435,1,100000000),"")</f>
        <v/>
      </c>
      <c r="I435" s="25">
        <f>[1]!b_stm07_bs(B435,74,$A435,1,100000000)</f>
        <v>0</v>
      </c>
      <c r="J435" s="25">
        <f>[1]!b_stm07_bs(B435,109,$A435,1,100000000)</f>
        <v>0</v>
      </c>
      <c r="K435" s="10">
        <f>[1]!s_stmnote_bank_5n(B435,$A435,1)</f>
        <v>0</v>
      </c>
      <c r="L435" s="25">
        <f>[1]!s_stmnote_bank_23n(B435,$A435,1)</f>
        <v>0</v>
      </c>
      <c r="M435" s="25">
        <f>[1]!s_stmnote_bank_capadequacyratio(B435,$A435,1)</f>
        <v>0</v>
      </c>
      <c r="N435" s="25">
        <f>[1]!s_stmnote_bank_capadequacyratio_ct1(B435,$A435,1)</f>
        <v>0</v>
      </c>
      <c r="O435" s="6">
        <f>IF(OR([1]!s_fa_roe(B435,20201231)="0",[1]!s_fa_roe(B435,20211231)="0",[1]!s_fa_roe(B435,20221231)="0"),"",IFERROR(([1]!s_fa_roe(B435,20221231)+[1]!s_fa_roe(B435,20201231)+[1]!s_fa_roe(B435,20211231))/3,""))</f>
        <v>0</v>
      </c>
      <c r="P435" s="28" t="str">
        <f>IFERROR(([1]!s_stmnote_bank_65(B435,$A435,1,2,4,100000000)+[1]!s_stmnote_bank_65(B435,$A435,1,2,6,100000000))/[1]!s_stmnote_bank_1n(B435,$A435,1,100000000),"")</f>
        <v/>
      </c>
      <c r="Q435" s="28" t="str">
        <f>IFERROR([1]!s_stmnote_bank_614(B435,$A435,1,2,100000000)/[1]!s_stmnote_bank_647(B435,$A435,1,2,100000000),"")</f>
        <v/>
      </c>
      <c r="R435" s="28" t="str">
        <f>IFERROR(([1]!b_stm07_bs(B435,104,$A435,1,100000000)+[1]!b_stm07_bs(B435,106,$A435,1,100000000)+[1]!b_stm07_bs(B435,76,$A435,1,100000000)+[1]!b_stm07_bs(B435,108,$A435,1,100000000)+[1]!b_stm07_bs(B435,95,$A435,1,100000000))/[1]!b_stm07_bs(B435,128,$A435,1,100000000),"")</f>
        <v/>
      </c>
      <c r="S435" s="28" t="str">
        <f>IFERROR(([1]!s_stmnote_bank_614(B435,$A435,1,2,100000000)+[1]!b_stm07_bs(B435,104,$A435,1,100000000)+[1]!b_stm07_bs(B435,106,$A435,1,100000000)+[1]!b_stm07_bs(B435,76,$A435,1,100000000)+[1]!b_stm07_bs(B435,108,$A435,1,100000000)+[1]!b_stm07_bs(B435,95,$A435,1,100000000))/[1]!b_stm07_bs(B435,128,$A435,1,100000000),"")</f>
        <v/>
      </c>
      <c r="T435" s="11">
        <f>[1]!b_issuer_shareholder(B435,"",1)</f>
        <v>0</v>
      </c>
      <c r="U435" s="10">
        <f>[1]!b_issuer_propofshareholder(B435,"",1)</f>
        <v>0</v>
      </c>
      <c r="V435" s="33" t="str">
        <f t="shared" si="13"/>
        <v>0</v>
      </c>
      <c r="W435" s="33">
        <f>[1]!s_info_city(B435)</f>
        <v>0</v>
      </c>
      <c r="X435" s="10">
        <f>IF([1]!s_stmnote_bank_17n(B435,$A435,1)="0","",[1]!s_stmnote_bank_17n(B435,$A435,1))</f>
        <v>0</v>
      </c>
      <c r="Y435" s="10">
        <f>IF([1]!s_stmnote_bank_18n(B435,$A435,1)="0","",[1]!s_stmnote_bank_18n(B435,$A435,1))</f>
        <v>0</v>
      </c>
      <c r="Z435" s="41">
        <f>IF([1]!s_stmnote_bank_58(B435,$A435,1)="0","",[1]!s_stmnote_bank_58(B435,$A435,1))</f>
        <v>0</v>
      </c>
      <c r="AA435" s="52">
        <f>IF([1]!s_stmnote_bank_60(B435,$A435,1)="0","",[1]!s_stmnote_bank_60(B435,$A435,1))</f>
        <v>0</v>
      </c>
      <c r="AB435" s="52">
        <f>[1]!s_stmnote_bank_5444(B435,$A435,1)</f>
        <v>0</v>
      </c>
      <c r="AC435" s="38">
        <f>[1]!s_stmnote_bank_129n($B435,$A435,1)</f>
        <v>0</v>
      </c>
      <c r="AD435" s="54">
        <f>[1]!s_stmnote_bank_30(B435,$A435,1)</f>
        <v>0</v>
      </c>
    </row>
    <row r="436" spans="1:30" ht="24">
      <c r="A436" s="1" t="s">
        <v>1110</v>
      </c>
      <c r="B436" s="87" t="s">
        <v>1544</v>
      </c>
      <c r="C436" s="8">
        <f>IF([1]!b_info_issuer(B436)="0","",IFERROR([1]!b_info_issuer(B436),""))</f>
        <v>0</v>
      </c>
      <c r="D436" s="11">
        <f>IF([1]!b_info_latestissurercreditrating(B436)="0","",IFERROR([1]!b_info_latestissurercreditrating(B436),""))</f>
        <v>0</v>
      </c>
      <c r="E436" s="27" t="str">
        <f>IFERROR(([1]!b_stm07_bs($B436,47,$A436,1,100000000))/[1]!b_stm07_bs($B436,109,$A436,1,100000000),"")</f>
        <v/>
      </c>
      <c r="F436" s="18" t="str">
        <f>IFERROR(([1]!s_stmnote_bank_26($B436,$A436,1,100000000)-[1]!s_stmnote_bank_26($B436,#REF!,1,100000000)+#REF!)/[1]!s_stmnote_bank_1n($B436,#REF!,1,100000000),"")</f>
        <v/>
      </c>
      <c r="G436" s="21" t="str">
        <f t="shared" si="12"/>
        <v/>
      </c>
      <c r="H436" s="18" t="str">
        <f>IFERROR([1]!s_stmnote_bank($B436,"34",$A436,100000000)/[1]!s_stmnote_bank_1n(B436,$A436,1,100000000),"")</f>
        <v/>
      </c>
      <c r="I436" s="25">
        <f>[1]!b_stm07_bs(B436,74,$A436,1,100000000)</f>
        <v>0</v>
      </c>
      <c r="J436" s="25">
        <f>[1]!b_stm07_bs(B436,109,$A436,1,100000000)</f>
        <v>0</v>
      </c>
      <c r="K436" s="10">
        <f>[1]!s_stmnote_bank_5n(B436,$A436,1)</f>
        <v>0</v>
      </c>
      <c r="L436" s="25">
        <f>[1]!s_stmnote_bank_23n(B436,$A436,1)</f>
        <v>0</v>
      </c>
      <c r="M436" s="25">
        <f>[1]!s_stmnote_bank_capadequacyratio(B436,$A436,1)</f>
        <v>0</v>
      </c>
      <c r="N436" s="25">
        <f>[1]!s_stmnote_bank_capadequacyratio_ct1(B436,$A436,1)</f>
        <v>0</v>
      </c>
      <c r="O436" s="6">
        <f>IF(OR([1]!s_fa_roe(B436,20201231)="0",[1]!s_fa_roe(B436,20211231)="0",[1]!s_fa_roe(B436,20221231)="0"),"",IFERROR(([1]!s_fa_roe(B436,20221231)+[1]!s_fa_roe(B436,20201231)+[1]!s_fa_roe(B436,20211231))/3,""))</f>
        <v>0</v>
      </c>
      <c r="P436" s="28" t="str">
        <f>IFERROR(([1]!s_stmnote_bank_65(B436,$A436,1,2,4,100000000)+[1]!s_stmnote_bank_65(B436,$A436,1,2,6,100000000))/[1]!s_stmnote_bank_1n(B436,$A436,1,100000000),"")</f>
        <v/>
      </c>
      <c r="Q436" s="28" t="str">
        <f>IFERROR([1]!s_stmnote_bank_614(B436,$A436,1,2,100000000)/[1]!s_stmnote_bank_647(B436,$A436,1,2,100000000),"")</f>
        <v/>
      </c>
      <c r="R436" s="28" t="str">
        <f>IFERROR(([1]!b_stm07_bs(B436,104,$A436,1,100000000)+[1]!b_stm07_bs(B436,106,$A436,1,100000000)+[1]!b_stm07_bs(B436,76,$A436,1,100000000)+[1]!b_stm07_bs(B436,108,$A436,1,100000000)+[1]!b_stm07_bs(B436,95,$A436,1,100000000))/[1]!b_stm07_bs(B436,128,$A436,1,100000000),"")</f>
        <v/>
      </c>
      <c r="S436" s="28" t="str">
        <f>IFERROR(([1]!s_stmnote_bank_614(B436,$A436,1,2,100000000)+[1]!b_stm07_bs(B436,104,$A436,1,100000000)+[1]!b_stm07_bs(B436,106,$A436,1,100000000)+[1]!b_stm07_bs(B436,76,$A436,1,100000000)+[1]!b_stm07_bs(B436,108,$A436,1,100000000)+[1]!b_stm07_bs(B436,95,$A436,1,100000000))/[1]!b_stm07_bs(B436,128,$A436,1,100000000),"")</f>
        <v/>
      </c>
      <c r="T436" s="11">
        <f>[1]!b_issuer_shareholder(B436,"",1)</f>
        <v>0</v>
      </c>
      <c r="U436" s="10">
        <f>[1]!b_issuer_propofshareholder(B436,"",1)</f>
        <v>0</v>
      </c>
      <c r="V436" s="33" t="str">
        <f t="shared" si="13"/>
        <v>0</v>
      </c>
      <c r="W436" s="33">
        <f>[1]!s_info_city(B436)</f>
        <v>0</v>
      </c>
      <c r="X436" s="10">
        <f>IF([1]!s_stmnote_bank_17n(B436,$A436,1)="0","",[1]!s_stmnote_bank_17n(B436,$A436,1))</f>
        <v>0</v>
      </c>
      <c r="Y436" s="10">
        <f>IF([1]!s_stmnote_bank_18n(B436,$A436,1)="0","",[1]!s_stmnote_bank_18n(B436,$A436,1))</f>
        <v>0</v>
      </c>
      <c r="Z436" s="41">
        <f>IF([1]!s_stmnote_bank_58(B436,$A436,1)="0","",[1]!s_stmnote_bank_58(B436,$A436,1))</f>
        <v>0</v>
      </c>
      <c r="AA436" s="52">
        <f>IF([1]!s_stmnote_bank_60(B436,$A436,1)="0","",[1]!s_stmnote_bank_60(B436,$A436,1))</f>
        <v>0</v>
      </c>
      <c r="AB436" s="52">
        <f>[1]!s_stmnote_bank_5444(B436,$A436,1)</f>
        <v>0</v>
      </c>
      <c r="AC436" s="38">
        <f>[1]!s_stmnote_bank_129n($B436,$A436,1)</f>
        <v>0</v>
      </c>
      <c r="AD436" s="54">
        <f>[1]!s_stmnote_bank_30(B436,$A436,1)</f>
        <v>0</v>
      </c>
    </row>
    <row r="437" spans="1:30" ht="24">
      <c r="A437" s="1" t="s">
        <v>1110</v>
      </c>
      <c r="B437" s="87" t="s">
        <v>1545</v>
      </c>
      <c r="C437" s="8">
        <f>IF([1]!b_info_issuer(B437)="0","",IFERROR([1]!b_info_issuer(B437),""))</f>
        <v>0</v>
      </c>
      <c r="D437" s="11">
        <f>IF([1]!b_info_latestissurercreditrating(B437)="0","",IFERROR([1]!b_info_latestissurercreditrating(B437),""))</f>
        <v>0</v>
      </c>
      <c r="E437" s="27" t="str">
        <f>IFERROR(([1]!b_stm07_bs($B437,47,$A437,1,100000000))/[1]!b_stm07_bs($B437,109,$A437,1,100000000),"")</f>
        <v/>
      </c>
      <c r="F437" s="18" t="str">
        <f>IFERROR(([1]!s_stmnote_bank_26($B437,$A437,1,100000000)-[1]!s_stmnote_bank_26($B437,#REF!,1,100000000)+#REF!)/[1]!s_stmnote_bank_1n($B437,#REF!,1,100000000),"")</f>
        <v/>
      </c>
      <c r="G437" s="21" t="str">
        <f t="shared" si="12"/>
        <v/>
      </c>
      <c r="H437" s="18" t="str">
        <f>IFERROR([1]!s_stmnote_bank($B437,"34",$A437,100000000)/[1]!s_stmnote_bank_1n(B437,$A437,1,100000000),"")</f>
        <v/>
      </c>
      <c r="I437" s="25">
        <f>[1]!b_stm07_bs(B437,74,$A437,1,100000000)</f>
        <v>0</v>
      </c>
      <c r="J437" s="25">
        <f>[1]!b_stm07_bs(B437,109,$A437,1,100000000)</f>
        <v>0</v>
      </c>
      <c r="K437" s="10">
        <f>[1]!s_stmnote_bank_5n(B437,$A437,1)</f>
        <v>0</v>
      </c>
      <c r="L437" s="25">
        <f>[1]!s_stmnote_bank_23n(B437,$A437,1)</f>
        <v>0</v>
      </c>
      <c r="M437" s="25">
        <f>[1]!s_stmnote_bank_capadequacyratio(B437,$A437,1)</f>
        <v>0</v>
      </c>
      <c r="N437" s="25">
        <f>[1]!s_stmnote_bank_capadequacyratio_ct1(B437,$A437,1)</f>
        <v>0</v>
      </c>
      <c r="O437" s="6">
        <f>IF(OR([1]!s_fa_roe(B437,20201231)="0",[1]!s_fa_roe(B437,20211231)="0",[1]!s_fa_roe(B437,20221231)="0"),"",IFERROR(([1]!s_fa_roe(B437,20221231)+[1]!s_fa_roe(B437,20201231)+[1]!s_fa_roe(B437,20211231))/3,""))</f>
        <v>0</v>
      </c>
      <c r="P437" s="28" t="str">
        <f>IFERROR(([1]!s_stmnote_bank_65(B437,$A437,1,2,4,100000000)+[1]!s_stmnote_bank_65(B437,$A437,1,2,6,100000000))/[1]!s_stmnote_bank_1n(B437,$A437,1,100000000),"")</f>
        <v/>
      </c>
      <c r="Q437" s="28" t="str">
        <f>IFERROR([1]!s_stmnote_bank_614(B437,$A437,1,2,100000000)/[1]!s_stmnote_bank_647(B437,$A437,1,2,100000000),"")</f>
        <v/>
      </c>
      <c r="R437" s="28" t="str">
        <f>IFERROR(([1]!b_stm07_bs(B437,104,$A437,1,100000000)+[1]!b_stm07_bs(B437,106,$A437,1,100000000)+[1]!b_stm07_bs(B437,76,$A437,1,100000000)+[1]!b_stm07_bs(B437,108,$A437,1,100000000)+[1]!b_stm07_bs(B437,95,$A437,1,100000000))/[1]!b_stm07_bs(B437,128,$A437,1,100000000),"")</f>
        <v/>
      </c>
      <c r="S437" s="28" t="str">
        <f>IFERROR(([1]!s_stmnote_bank_614(B437,$A437,1,2,100000000)+[1]!b_stm07_bs(B437,104,$A437,1,100000000)+[1]!b_stm07_bs(B437,106,$A437,1,100000000)+[1]!b_stm07_bs(B437,76,$A437,1,100000000)+[1]!b_stm07_bs(B437,108,$A437,1,100000000)+[1]!b_stm07_bs(B437,95,$A437,1,100000000))/[1]!b_stm07_bs(B437,128,$A437,1,100000000),"")</f>
        <v/>
      </c>
      <c r="T437" s="11">
        <f>[1]!b_issuer_shareholder(B437,"",1)</f>
        <v>0</v>
      </c>
      <c r="U437" s="10">
        <f>[1]!b_issuer_propofshareholder(B437,"",1)</f>
        <v>0</v>
      </c>
      <c r="V437" s="33" t="str">
        <f t="shared" si="13"/>
        <v>0</v>
      </c>
      <c r="W437" s="33">
        <f>[1]!s_info_city(B437)</f>
        <v>0</v>
      </c>
      <c r="X437" s="10">
        <f>IF([1]!s_stmnote_bank_17n(B437,$A437,1)="0","",[1]!s_stmnote_bank_17n(B437,$A437,1))</f>
        <v>0</v>
      </c>
      <c r="Y437" s="10">
        <f>IF([1]!s_stmnote_bank_18n(B437,$A437,1)="0","",[1]!s_stmnote_bank_18n(B437,$A437,1))</f>
        <v>0</v>
      </c>
      <c r="Z437" s="41">
        <f>IF([1]!s_stmnote_bank_58(B437,$A437,1)="0","",[1]!s_stmnote_bank_58(B437,$A437,1))</f>
        <v>0</v>
      </c>
      <c r="AA437" s="52">
        <f>IF([1]!s_stmnote_bank_60(B437,$A437,1)="0","",[1]!s_stmnote_bank_60(B437,$A437,1))</f>
        <v>0</v>
      </c>
      <c r="AB437" s="52">
        <f>[1]!s_stmnote_bank_5444(B437,$A437,1)</f>
        <v>0</v>
      </c>
      <c r="AC437" s="38">
        <f>[1]!s_stmnote_bank_129n($B437,$A437,1)</f>
        <v>0</v>
      </c>
      <c r="AD437" s="54">
        <f>[1]!s_stmnote_bank_30(B437,$A437,1)</f>
        <v>0</v>
      </c>
    </row>
    <row r="438" spans="1:30" ht="24">
      <c r="A438" s="1" t="s">
        <v>1110</v>
      </c>
      <c r="B438" s="87" t="s">
        <v>1546</v>
      </c>
      <c r="C438" s="8">
        <f>IF([1]!b_info_issuer(B438)="0","",IFERROR([1]!b_info_issuer(B438),""))</f>
        <v>0</v>
      </c>
      <c r="D438" s="11">
        <f>IF([1]!b_info_latestissurercreditrating(B438)="0","",IFERROR([1]!b_info_latestissurercreditrating(B438),""))</f>
        <v>0</v>
      </c>
      <c r="E438" s="27" t="str">
        <f>IFERROR(([1]!b_stm07_bs($B438,47,$A438,1,100000000))/[1]!b_stm07_bs($B438,109,$A438,1,100000000),"")</f>
        <v/>
      </c>
      <c r="F438" s="18" t="str">
        <f>IFERROR(([1]!s_stmnote_bank_26($B438,$A438,1,100000000)-[1]!s_stmnote_bank_26($B438,#REF!,1,100000000)+#REF!)/[1]!s_stmnote_bank_1n($B438,#REF!,1,100000000),"")</f>
        <v/>
      </c>
      <c r="G438" s="21" t="str">
        <f t="shared" si="12"/>
        <v/>
      </c>
      <c r="H438" s="18" t="str">
        <f>IFERROR([1]!s_stmnote_bank($B438,"34",$A438,100000000)/[1]!s_stmnote_bank_1n(B438,$A438,1,100000000),"")</f>
        <v/>
      </c>
      <c r="I438" s="25">
        <f>[1]!b_stm07_bs(B438,74,$A438,1,100000000)</f>
        <v>0</v>
      </c>
      <c r="J438" s="25">
        <f>[1]!b_stm07_bs(B438,109,$A438,1,100000000)</f>
        <v>0</v>
      </c>
      <c r="K438" s="10">
        <f>[1]!s_stmnote_bank_5n(B438,$A438,1)</f>
        <v>0</v>
      </c>
      <c r="L438" s="25">
        <f>[1]!s_stmnote_bank_23n(B438,$A438,1)</f>
        <v>0</v>
      </c>
      <c r="M438" s="25">
        <f>[1]!s_stmnote_bank_capadequacyratio(B438,$A438,1)</f>
        <v>0</v>
      </c>
      <c r="N438" s="25">
        <f>[1]!s_stmnote_bank_capadequacyratio_ct1(B438,$A438,1)</f>
        <v>0</v>
      </c>
      <c r="O438" s="6">
        <f>IF(OR([1]!s_fa_roe(B438,20201231)="0",[1]!s_fa_roe(B438,20211231)="0",[1]!s_fa_roe(B438,20221231)="0"),"",IFERROR(([1]!s_fa_roe(B438,20221231)+[1]!s_fa_roe(B438,20201231)+[1]!s_fa_roe(B438,20211231))/3,""))</f>
        <v>0</v>
      </c>
      <c r="P438" s="28" t="str">
        <f>IFERROR(([1]!s_stmnote_bank_65(B438,$A438,1,2,4,100000000)+[1]!s_stmnote_bank_65(B438,$A438,1,2,6,100000000))/[1]!s_stmnote_bank_1n(B438,$A438,1,100000000),"")</f>
        <v/>
      </c>
      <c r="Q438" s="28" t="str">
        <f>IFERROR([1]!s_stmnote_bank_614(B438,$A438,1,2,100000000)/[1]!s_stmnote_bank_647(B438,$A438,1,2,100000000),"")</f>
        <v/>
      </c>
      <c r="R438" s="28" t="str">
        <f>IFERROR(([1]!b_stm07_bs(B438,104,$A438,1,100000000)+[1]!b_stm07_bs(B438,106,$A438,1,100000000)+[1]!b_stm07_bs(B438,76,$A438,1,100000000)+[1]!b_stm07_bs(B438,108,$A438,1,100000000)+[1]!b_stm07_bs(B438,95,$A438,1,100000000))/[1]!b_stm07_bs(B438,128,$A438,1,100000000),"")</f>
        <v/>
      </c>
      <c r="S438" s="28" t="str">
        <f>IFERROR(([1]!s_stmnote_bank_614(B438,$A438,1,2,100000000)+[1]!b_stm07_bs(B438,104,$A438,1,100000000)+[1]!b_stm07_bs(B438,106,$A438,1,100000000)+[1]!b_stm07_bs(B438,76,$A438,1,100000000)+[1]!b_stm07_bs(B438,108,$A438,1,100000000)+[1]!b_stm07_bs(B438,95,$A438,1,100000000))/[1]!b_stm07_bs(B438,128,$A438,1,100000000),"")</f>
        <v/>
      </c>
      <c r="T438" s="11">
        <f>[1]!b_issuer_shareholder(B438,"",1)</f>
        <v>0</v>
      </c>
      <c r="U438" s="10">
        <f>[1]!b_issuer_propofshareholder(B438,"",1)</f>
        <v>0</v>
      </c>
      <c r="V438" s="33" t="str">
        <f t="shared" si="13"/>
        <v>0</v>
      </c>
      <c r="W438" s="33">
        <f>[1]!s_info_city(B438)</f>
        <v>0</v>
      </c>
      <c r="X438" s="10">
        <f>IF([1]!s_stmnote_bank_17n(B438,$A438,1)="0","",[1]!s_stmnote_bank_17n(B438,$A438,1))</f>
        <v>0</v>
      </c>
      <c r="Y438" s="10">
        <f>IF([1]!s_stmnote_bank_18n(B438,$A438,1)="0","",[1]!s_stmnote_bank_18n(B438,$A438,1))</f>
        <v>0</v>
      </c>
      <c r="Z438" s="41">
        <f>IF([1]!s_stmnote_bank_58(B438,$A438,1)="0","",[1]!s_stmnote_bank_58(B438,$A438,1))</f>
        <v>0</v>
      </c>
      <c r="AA438" s="52">
        <f>IF([1]!s_stmnote_bank_60(B438,$A438,1)="0","",[1]!s_stmnote_bank_60(B438,$A438,1))</f>
        <v>0</v>
      </c>
      <c r="AB438" s="52">
        <f>[1]!s_stmnote_bank_5444(B438,$A438,1)</f>
        <v>0</v>
      </c>
      <c r="AC438" s="38">
        <f>[1]!s_stmnote_bank_129n($B438,$A438,1)</f>
        <v>0</v>
      </c>
      <c r="AD438" s="54">
        <f>[1]!s_stmnote_bank_30(B438,$A438,1)</f>
        <v>0</v>
      </c>
    </row>
    <row r="439" spans="1:30" ht="24">
      <c r="A439" s="1" t="s">
        <v>1110</v>
      </c>
      <c r="B439" s="87" t="s">
        <v>1547</v>
      </c>
      <c r="C439" s="8">
        <f>IF([1]!b_info_issuer(B439)="0","",IFERROR([1]!b_info_issuer(B439),""))</f>
        <v>0</v>
      </c>
      <c r="D439" s="11">
        <f>IF([1]!b_info_latestissurercreditrating(B439)="0","",IFERROR([1]!b_info_latestissurercreditrating(B439),""))</f>
        <v>0</v>
      </c>
      <c r="E439" s="27" t="str">
        <f>IFERROR(([1]!b_stm07_bs($B439,47,$A439,1,100000000))/[1]!b_stm07_bs($B439,109,$A439,1,100000000),"")</f>
        <v/>
      </c>
      <c r="F439" s="18" t="str">
        <f>IFERROR(([1]!s_stmnote_bank_26($B439,$A439,1,100000000)-[1]!s_stmnote_bank_26($B439,#REF!,1,100000000)+#REF!)/[1]!s_stmnote_bank_1n($B439,#REF!,1,100000000),"")</f>
        <v/>
      </c>
      <c r="G439" s="21" t="str">
        <f t="shared" si="12"/>
        <v/>
      </c>
      <c r="H439" s="18" t="str">
        <f>IFERROR([1]!s_stmnote_bank($B439,"34",$A439,100000000)/[1]!s_stmnote_bank_1n(B439,$A439,1,100000000),"")</f>
        <v/>
      </c>
      <c r="I439" s="25">
        <f>[1]!b_stm07_bs(B439,74,$A439,1,100000000)</f>
        <v>0</v>
      </c>
      <c r="J439" s="25">
        <f>[1]!b_stm07_bs(B439,109,$A439,1,100000000)</f>
        <v>0</v>
      </c>
      <c r="K439" s="10">
        <f>[1]!s_stmnote_bank_5n(B439,$A439,1)</f>
        <v>0</v>
      </c>
      <c r="L439" s="25">
        <f>[1]!s_stmnote_bank_23n(B439,$A439,1)</f>
        <v>0</v>
      </c>
      <c r="M439" s="25">
        <f>[1]!s_stmnote_bank_capadequacyratio(B439,$A439,1)</f>
        <v>0</v>
      </c>
      <c r="N439" s="25">
        <f>[1]!s_stmnote_bank_capadequacyratio_ct1(B439,$A439,1)</f>
        <v>0</v>
      </c>
      <c r="O439" s="6">
        <f>IF(OR([1]!s_fa_roe(B439,20201231)="0",[1]!s_fa_roe(B439,20211231)="0",[1]!s_fa_roe(B439,20221231)="0"),"",IFERROR(([1]!s_fa_roe(B439,20221231)+[1]!s_fa_roe(B439,20201231)+[1]!s_fa_roe(B439,20211231))/3,""))</f>
        <v>0</v>
      </c>
      <c r="P439" s="28" t="str">
        <f>IFERROR(([1]!s_stmnote_bank_65(B439,$A439,1,2,4,100000000)+[1]!s_stmnote_bank_65(B439,$A439,1,2,6,100000000))/[1]!s_stmnote_bank_1n(B439,$A439,1,100000000),"")</f>
        <v/>
      </c>
      <c r="Q439" s="28" t="str">
        <f>IFERROR([1]!s_stmnote_bank_614(B439,$A439,1,2,100000000)/[1]!s_stmnote_bank_647(B439,$A439,1,2,100000000),"")</f>
        <v/>
      </c>
      <c r="R439" s="28" t="str">
        <f>IFERROR(([1]!b_stm07_bs(B439,104,$A439,1,100000000)+[1]!b_stm07_bs(B439,106,$A439,1,100000000)+[1]!b_stm07_bs(B439,76,$A439,1,100000000)+[1]!b_stm07_bs(B439,108,$A439,1,100000000)+[1]!b_stm07_bs(B439,95,$A439,1,100000000))/[1]!b_stm07_bs(B439,128,$A439,1,100000000),"")</f>
        <v/>
      </c>
      <c r="S439" s="28" t="str">
        <f>IFERROR(([1]!s_stmnote_bank_614(B439,$A439,1,2,100000000)+[1]!b_stm07_bs(B439,104,$A439,1,100000000)+[1]!b_stm07_bs(B439,106,$A439,1,100000000)+[1]!b_stm07_bs(B439,76,$A439,1,100000000)+[1]!b_stm07_bs(B439,108,$A439,1,100000000)+[1]!b_stm07_bs(B439,95,$A439,1,100000000))/[1]!b_stm07_bs(B439,128,$A439,1,100000000),"")</f>
        <v/>
      </c>
      <c r="T439" s="11">
        <f>[1]!b_issuer_shareholder(B439,"",1)</f>
        <v>0</v>
      </c>
      <c r="U439" s="10">
        <f>[1]!b_issuer_propofshareholder(B439,"",1)</f>
        <v>0</v>
      </c>
      <c r="V439" s="33" t="str">
        <f t="shared" si="13"/>
        <v>0</v>
      </c>
      <c r="W439" s="33">
        <f>[1]!s_info_city(B439)</f>
        <v>0</v>
      </c>
      <c r="X439" s="10">
        <f>IF([1]!s_stmnote_bank_17n(B439,$A439,1)="0","",[1]!s_stmnote_bank_17n(B439,$A439,1))</f>
        <v>0</v>
      </c>
      <c r="Y439" s="10">
        <f>IF([1]!s_stmnote_bank_18n(B439,$A439,1)="0","",[1]!s_stmnote_bank_18n(B439,$A439,1))</f>
        <v>0</v>
      </c>
      <c r="Z439" s="41">
        <f>IF([1]!s_stmnote_bank_58(B439,$A439,1)="0","",[1]!s_stmnote_bank_58(B439,$A439,1))</f>
        <v>0</v>
      </c>
      <c r="AA439" s="52">
        <f>IF([1]!s_stmnote_bank_60(B439,$A439,1)="0","",[1]!s_stmnote_bank_60(B439,$A439,1))</f>
        <v>0</v>
      </c>
      <c r="AB439" s="52">
        <f>[1]!s_stmnote_bank_5444(B439,$A439,1)</f>
        <v>0</v>
      </c>
      <c r="AC439" s="38">
        <f>[1]!s_stmnote_bank_129n($B439,$A439,1)</f>
        <v>0</v>
      </c>
      <c r="AD439" s="54">
        <f>[1]!s_stmnote_bank_30(B439,$A439,1)</f>
        <v>0</v>
      </c>
    </row>
    <row r="440" spans="1:30" ht="24">
      <c r="A440" s="1" t="s">
        <v>1110</v>
      </c>
      <c r="B440" s="87" t="s">
        <v>1548</v>
      </c>
      <c r="C440" s="8">
        <f>IF([1]!b_info_issuer(B440)="0","",IFERROR([1]!b_info_issuer(B440),""))</f>
        <v>0</v>
      </c>
      <c r="D440" s="11">
        <f>IF([1]!b_info_latestissurercreditrating(B440)="0","",IFERROR([1]!b_info_latestissurercreditrating(B440),""))</f>
        <v>0</v>
      </c>
      <c r="E440" s="27" t="str">
        <f>IFERROR(([1]!b_stm07_bs($B440,47,$A440,1,100000000))/[1]!b_stm07_bs($B440,109,$A440,1,100000000),"")</f>
        <v/>
      </c>
      <c r="F440" s="18" t="str">
        <f>IFERROR(([1]!s_stmnote_bank_26($B440,$A440,1,100000000)-[1]!s_stmnote_bank_26($B440,#REF!,1,100000000)+#REF!)/[1]!s_stmnote_bank_1n($B440,#REF!,1,100000000),"")</f>
        <v/>
      </c>
      <c r="G440" s="21" t="str">
        <f t="shared" si="12"/>
        <v/>
      </c>
      <c r="H440" s="18" t="str">
        <f>IFERROR([1]!s_stmnote_bank($B440,"34",$A440,100000000)/[1]!s_stmnote_bank_1n(B440,$A440,1,100000000),"")</f>
        <v/>
      </c>
      <c r="I440" s="25">
        <f>[1]!b_stm07_bs(B440,74,$A440,1,100000000)</f>
        <v>0</v>
      </c>
      <c r="J440" s="25">
        <f>[1]!b_stm07_bs(B440,109,$A440,1,100000000)</f>
        <v>0</v>
      </c>
      <c r="K440" s="10">
        <f>[1]!s_stmnote_bank_5n(B440,$A440,1)</f>
        <v>0</v>
      </c>
      <c r="L440" s="25">
        <f>[1]!s_stmnote_bank_23n(B440,$A440,1)</f>
        <v>0</v>
      </c>
      <c r="M440" s="25">
        <f>[1]!s_stmnote_bank_capadequacyratio(B440,$A440,1)</f>
        <v>0</v>
      </c>
      <c r="N440" s="25">
        <f>[1]!s_stmnote_bank_capadequacyratio_ct1(B440,$A440,1)</f>
        <v>0</v>
      </c>
      <c r="O440" s="6">
        <f>IF(OR([1]!s_fa_roe(B440,20201231)="0",[1]!s_fa_roe(B440,20211231)="0",[1]!s_fa_roe(B440,20221231)="0"),"",IFERROR(([1]!s_fa_roe(B440,20221231)+[1]!s_fa_roe(B440,20201231)+[1]!s_fa_roe(B440,20211231))/3,""))</f>
        <v>0</v>
      </c>
      <c r="P440" s="28" t="str">
        <f>IFERROR(([1]!s_stmnote_bank_65(B440,$A440,1,2,4,100000000)+[1]!s_stmnote_bank_65(B440,$A440,1,2,6,100000000))/[1]!s_stmnote_bank_1n(B440,$A440,1,100000000),"")</f>
        <v/>
      </c>
      <c r="Q440" s="28" t="str">
        <f>IFERROR([1]!s_stmnote_bank_614(B440,$A440,1,2,100000000)/[1]!s_stmnote_bank_647(B440,$A440,1,2,100000000),"")</f>
        <v/>
      </c>
      <c r="R440" s="28" t="str">
        <f>IFERROR(([1]!b_stm07_bs(B440,104,$A440,1,100000000)+[1]!b_stm07_bs(B440,106,$A440,1,100000000)+[1]!b_stm07_bs(B440,76,$A440,1,100000000)+[1]!b_stm07_bs(B440,108,$A440,1,100000000)+[1]!b_stm07_bs(B440,95,$A440,1,100000000))/[1]!b_stm07_bs(B440,128,$A440,1,100000000),"")</f>
        <v/>
      </c>
      <c r="S440" s="28" t="str">
        <f>IFERROR(([1]!s_stmnote_bank_614(B440,$A440,1,2,100000000)+[1]!b_stm07_bs(B440,104,$A440,1,100000000)+[1]!b_stm07_bs(B440,106,$A440,1,100000000)+[1]!b_stm07_bs(B440,76,$A440,1,100000000)+[1]!b_stm07_bs(B440,108,$A440,1,100000000)+[1]!b_stm07_bs(B440,95,$A440,1,100000000))/[1]!b_stm07_bs(B440,128,$A440,1,100000000),"")</f>
        <v/>
      </c>
      <c r="T440" s="11">
        <f>[1]!b_issuer_shareholder(B440,"",1)</f>
        <v>0</v>
      </c>
      <c r="U440" s="10">
        <f>[1]!b_issuer_propofshareholder(B440,"",1)</f>
        <v>0</v>
      </c>
      <c r="V440" s="33" t="str">
        <f t="shared" si="13"/>
        <v>0</v>
      </c>
      <c r="W440" s="33">
        <f>[1]!s_info_city(B440)</f>
        <v>0</v>
      </c>
      <c r="X440" s="10">
        <f>IF([1]!s_stmnote_bank_17n(B440,$A440,1)="0","",[1]!s_stmnote_bank_17n(B440,$A440,1))</f>
        <v>0</v>
      </c>
      <c r="Y440" s="10">
        <f>IF([1]!s_stmnote_bank_18n(B440,$A440,1)="0","",[1]!s_stmnote_bank_18n(B440,$A440,1))</f>
        <v>0</v>
      </c>
      <c r="Z440" s="41">
        <f>IF([1]!s_stmnote_bank_58(B440,$A440,1)="0","",[1]!s_stmnote_bank_58(B440,$A440,1))</f>
        <v>0</v>
      </c>
      <c r="AA440" s="52">
        <f>IF([1]!s_stmnote_bank_60(B440,$A440,1)="0","",[1]!s_stmnote_bank_60(B440,$A440,1))</f>
        <v>0</v>
      </c>
      <c r="AB440" s="52">
        <f>[1]!s_stmnote_bank_5444(B440,$A440,1)</f>
        <v>0</v>
      </c>
      <c r="AC440" s="38">
        <f>[1]!s_stmnote_bank_129n($B440,$A440,1)</f>
        <v>0</v>
      </c>
      <c r="AD440" s="54">
        <f>[1]!s_stmnote_bank_30(B440,$A440,1)</f>
        <v>0</v>
      </c>
    </row>
    <row r="441" spans="1:30" ht="24">
      <c r="A441" s="1" t="s">
        <v>1110</v>
      </c>
      <c r="B441" s="87" t="s">
        <v>1549</v>
      </c>
      <c r="C441" s="8">
        <f>IF([1]!b_info_issuer(B441)="0","",IFERROR([1]!b_info_issuer(B441),""))</f>
        <v>0</v>
      </c>
      <c r="D441" s="11">
        <f>IF([1]!b_info_latestissurercreditrating(B441)="0","",IFERROR([1]!b_info_latestissurercreditrating(B441),""))</f>
        <v>0</v>
      </c>
      <c r="E441" s="27" t="str">
        <f>IFERROR(([1]!b_stm07_bs($B441,47,$A441,1,100000000))/[1]!b_stm07_bs($B441,109,$A441,1,100000000),"")</f>
        <v/>
      </c>
      <c r="F441" s="18" t="str">
        <f>IFERROR(([1]!s_stmnote_bank_26($B441,$A441,1,100000000)-[1]!s_stmnote_bank_26($B441,#REF!,1,100000000)+#REF!)/[1]!s_stmnote_bank_1n($B441,#REF!,1,100000000),"")</f>
        <v/>
      </c>
      <c r="G441" s="21" t="str">
        <f t="shared" si="12"/>
        <v/>
      </c>
      <c r="H441" s="18" t="str">
        <f>IFERROR([1]!s_stmnote_bank($B441,"34",$A441,100000000)/[1]!s_stmnote_bank_1n(B441,$A441,1,100000000),"")</f>
        <v/>
      </c>
      <c r="I441" s="25">
        <f>[1]!b_stm07_bs(B441,74,$A441,1,100000000)</f>
        <v>0</v>
      </c>
      <c r="J441" s="25">
        <f>[1]!b_stm07_bs(B441,109,$A441,1,100000000)</f>
        <v>0</v>
      </c>
      <c r="K441" s="10">
        <f>[1]!s_stmnote_bank_5n(B441,$A441,1)</f>
        <v>0</v>
      </c>
      <c r="L441" s="25">
        <f>[1]!s_stmnote_bank_23n(B441,$A441,1)</f>
        <v>0</v>
      </c>
      <c r="M441" s="25">
        <f>[1]!s_stmnote_bank_capadequacyratio(B441,$A441,1)</f>
        <v>0</v>
      </c>
      <c r="N441" s="25">
        <f>[1]!s_stmnote_bank_capadequacyratio_ct1(B441,$A441,1)</f>
        <v>0</v>
      </c>
      <c r="O441" s="6">
        <f>IF(OR([1]!s_fa_roe(B441,20201231)="0",[1]!s_fa_roe(B441,20211231)="0",[1]!s_fa_roe(B441,20221231)="0"),"",IFERROR(([1]!s_fa_roe(B441,20221231)+[1]!s_fa_roe(B441,20201231)+[1]!s_fa_roe(B441,20211231))/3,""))</f>
        <v>0</v>
      </c>
      <c r="P441" s="28" t="str">
        <f>IFERROR(([1]!s_stmnote_bank_65(B441,$A441,1,2,4,100000000)+[1]!s_stmnote_bank_65(B441,$A441,1,2,6,100000000))/[1]!s_stmnote_bank_1n(B441,$A441,1,100000000),"")</f>
        <v/>
      </c>
      <c r="Q441" s="28" t="str">
        <f>IFERROR([1]!s_stmnote_bank_614(B441,$A441,1,2,100000000)/[1]!s_stmnote_bank_647(B441,$A441,1,2,100000000),"")</f>
        <v/>
      </c>
      <c r="R441" s="28" t="str">
        <f>IFERROR(([1]!b_stm07_bs(B441,104,$A441,1,100000000)+[1]!b_stm07_bs(B441,106,$A441,1,100000000)+[1]!b_stm07_bs(B441,76,$A441,1,100000000)+[1]!b_stm07_bs(B441,108,$A441,1,100000000)+[1]!b_stm07_bs(B441,95,$A441,1,100000000))/[1]!b_stm07_bs(B441,128,$A441,1,100000000),"")</f>
        <v/>
      </c>
      <c r="S441" s="28" t="str">
        <f>IFERROR(([1]!s_stmnote_bank_614(B441,$A441,1,2,100000000)+[1]!b_stm07_bs(B441,104,$A441,1,100000000)+[1]!b_stm07_bs(B441,106,$A441,1,100000000)+[1]!b_stm07_bs(B441,76,$A441,1,100000000)+[1]!b_stm07_bs(B441,108,$A441,1,100000000)+[1]!b_stm07_bs(B441,95,$A441,1,100000000))/[1]!b_stm07_bs(B441,128,$A441,1,100000000),"")</f>
        <v/>
      </c>
      <c r="T441" s="11">
        <f>[1]!b_issuer_shareholder(B441,"",1)</f>
        <v>0</v>
      </c>
      <c r="U441" s="10">
        <f>[1]!b_issuer_propofshareholder(B441,"",1)</f>
        <v>0</v>
      </c>
      <c r="V441" s="33" t="str">
        <f t="shared" si="13"/>
        <v>0</v>
      </c>
      <c r="W441" s="33">
        <f>[1]!s_info_city(B441)</f>
        <v>0</v>
      </c>
      <c r="X441" s="10">
        <f>IF([1]!s_stmnote_bank_17n(B441,$A441,1)="0","",[1]!s_stmnote_bank_17n(B441,$A441,1))</f>
        <v>0</v>
      </c>
      <c r="Y441" s="10">
        <f>IF([1]!s_stmnote_bank_18n(B441,$A441,1)="0","",[1]!s_stmnote_bank_18n(B441,$A441,1))</f>
        <v>0</v>
      </c>
      <c r="Z441" s="41">
        <f>IF([1]!s_stmnote_bank_58(B441,$A441,1)="0","",[1]!s_stmnote_bank_58(B441,$A441,1))</f>
        <v>0</v>
      </c>
      <c r="AA441" s="52">
        <f>IF([1]!s_stmnote_bank_60(B441,$A441,1)="0","",[1]!s_stmnote_bank_60(B441,$A441,1))</f>
        <v>0</v>
      </c>
      <c r="AB441" s="52">
        <f>[1]!s_stmnote_bank_5444(B441,$A441,1)</f>
        <v>0</v>
      </c>
      <c r="AC441" s="38">
        <f>[1]!s_stmnote_bank_129n($B441,$A441,1)</f>
        <v>0</v>
      </c>
      <c r="AD441" s="54">
        <f>[1]!s_stmnote_bank_30(B441,$A441,1)</f>
        <v>0</v>
      </c>
    </row>
    <row r="442" spans="1:30" ht="24">
      <c r="A442" s="1" t="s">
        <v>1110</v>
      </c>
      <c r="B442" s="87" t="s">
        <v>1550</v>
      </c>
      <c r="C442" s="8">
        <f>IF([1]!b_info_issuer(B442)="0","",IFERROR([1]!b_info_issuer(B442),""))</f>
        <v>0</v>
      </c>
      <c r="D442" s="11">
        <f>IF([1]!b_info_latestissurercreditrating(B442)="0","",IFERROR([1]!b_info_latestissurercreditrating(B442),""))</f>
        <v>0</v>
      </c>
      <c r="E442" s="27" t="str">
        <f>IFERROR(([1]!b_stm07_bs($B442,47,$A442,1,100000000))/[1]!b_stm07_bs($B442,109,$A442,1,100000000),"")</f>
        <v/>
      </c>
      <c r="F442" s="18" t="str">
        <f>IFERROR(([1]!s_stmnote_bank_26($B442,$A442,1,100000000)-[1]!s_stmnote_bank_26($B442,#REF!,1,100000000)+#REF!)/[1]!s_stmnote_bank_1n($B442,#REF!,1,100000000),"")</f>
        <v/>
      </c>
      <c r="G442" s="21" t="str">
        <f t="shared" si="12"/>
        <v/>
      </c>
      <c r="H442" s="18" t="str">
        <f>IFERROR([1]!s_stmnote_bank($B442,"34",$A442,100000000)/[1]!s_stmnote_bank_1n(B442,$A442,1,100000000),"")</f>
        <v/>
      </c>
      <c r="I442" s="25">
        <f>[1]!b_stm07_bs(B442,74,$A442,1,100000000)</f>
        <v>0</v>
      </c>
      <c r="J442" s="25">
        <f>[1]!b_stm07_bs(B442,109,$A442,1,100000000)</f>
        <v>0</v>
      </c>
      <c r="K442" s="10">
        <f>[1]!s_stmnote_bank_5n(B442,$A442,1)</f>
        <v>0</v>
      </c>
      <c r="L442" s="25">
        <f>[1]!s_stmnote_bank_23n(B442,$A442,1)</f>
        <v>0</v>
      </c>
      <c r="M442" s="25">
        <f>[1]!s_stmnote_bank_capadequacyratio(B442,$A442,1)</f>
        <v>0</v>
      </c>
      <c r="N442" s="25">
        <f>[1]!s_stmnote_bank_capadequacyratio_ct1(B442,$A442,1)</f>
        <v>0</v>
      </c>
      <c r="O442" s="6">
        <f>IF(OR([1]!s_fa_roe(B442,20201231)="0",[1]!s_fa_roe(B442,20211231)="0",[1]!s_fa_roe(B442,20221231)="0"),"",IFERROR(([1]!s_fa_roe(B442,20221231)+[1]!s_fa_roe(B442,20201231)+[1]!s_fa_roe(B442,20211231))/3,""))</f>
        <v>0</v>
      </c>
      <c r="P442" s="28" t="str">
        <f>IFERROR(([1]!s_stmnote_bank_65(B442,$A442,1,2,4,100000000)+[1]!s_stmnote_bank_65(B442,$A442,1,2,6,100000000))/[1]!s_stmnote_bank_1n(B442,$A442,1,100000000),"")</f>
        <v/>
      </c>
      <c r="Q442" s="28" t="str">
        <f>IFERROR([1]!s_stmnote_bank_614(B442,$A442,1,2,100000000)/[1]!s_stmnote_bank_647(B442,$A442,1,2,100000000),"")</f>
        <v/>
      </c>
      <c r="R442" s="28" t="str">
        <f>IFERROR(([1]!b_stm07_bs(B442,104,$A442,1,100000000)+[1]!b_stm07_bs(B442,106,$A442,1,100000000)+[1]!b_stm07_bs(B442,76,$A442,1,100000000)+[1]!b_stm07_bs(B442,108,$A442,1,100000000)+[1]!b_stm07_bs(B442,95,$A442,1,100000000))/[1]!b_stm07_bs(B442,128,$A442,1,100000000),"")</f>
        <v/>
      </c>
      <c r="S442" s="28" t="str">
        <f>IFERROR(([1]!s_stmnote_bank_614(B442,$A442,1,2,100000000)+[1]!b_stm07_bs(B442,104,$A442,1,100000000)+[1]!b_stm07_bs(B442,106,$A442,1,100000000)+[1]!b_stm07_bs(B442,76,$A442,1,100000000)+[1]!b_stm07_bs(B442,108,$A442,1,100000000)+[1]!b_stm07_bs(B442,95,$A442,1,100000000))/[1]!b_stm07_bs(B442,128,$A442,1,100000000),"")</f>
        <v/>
      </c>
      <c r="T442" s="11">
        <f>[1]!b_issuer_shareholder(B442,"",1)</f>
        <v>0</v>
      </c>
      <c r="U442" s="10">
        <f>[1]!b_issuer_propofshareholder(B442,"",1)</f>
        <v>0</v>
      </c>
      <c r="V442" s="33" t="str">
        <f t="shared" si="13"/>
        <v>0</v>
      </c>
      <c r="W442" s="33">
        <f>[1]!s_info_city(B442)</f>
        <v>0</v>
      </c>
      <c r="X442" s="10">
        <f>IF([1]!s_stmnote_bank_17n(B442,$A442,1)="0","",[1]!s_stmnote_bank_17n(B442,$A442,1))</f>
        <v>0</v>
      </c>
      <c r="Y442" s="10">
        <f>IF([1]!s_stmnote_bank_18n(B442,$A442,1)="0","",[1]!s_stmnote_bank_18n(B442,$A442,1))</f>
        <v>0</v>
      </c>
      <c r="Z442" s="41">
        <f>IF([1]!s_stmnote_bank_58(B442,$A442,1)="0","",[1]!s_stmnote_bank_58(B442,$A442,1))</f>
        <v>0</v>
      </c>
      <c r="AA442" s="52">
        <f>IF([1]!s_stmnote_bank_60(B442,$A442,1)="0","",[1]!s_stmnote_bank_60(B442,$A442,1))</f>
        <v>0</v>
      </c>
      <c r="AB442" s="52">
        <f>[1]!s_stmnote_bank_5444(B442,$A442,1)</f>
        <v>0</v>
      </c>
      <c r="AC442" s="38">
        <f>[1]!s_stmnote_bank_129n($B442,$A442,1)</f>
        <v>0</v>
      </c>
      <c r="AD442" s="54">
        <f>[1]!s_stmnote_bank_30(B442,$A442,1)</f>
        <v>0</v>
      </c>
    </row>
    <row r="443" spans="1:30" ht="24">
      <c r="A443" s="1" t="s">
        <v>1110</v>
      </c>
      <c r="B443" s="87" t="s">
        <v>1551</v>
      </c>
      <c r="C443" s="8">
        <f>IF([1]!b_info_issuer(B443)="0","",IFERROR([1]!b_info_issuer(B443),""))</f>
        <v>0</v>
      </c>
      <c r="D443" s="11">
        <f>IF([1]!b_info_latestissurercreditrating(B443)="0","",IFERROR([1]!b_info_latestissurercreditrating(B443),""))</f>
        <v>0</v>
      </c>
      <c r="E443" s="27" t="str">
        <f>IFERROR(([1]!b_stm07_bs($B443,47,$A443,1,100000000))/[1]!b_stm07_bs($B443,109,$A443,1,100000000),"")</f>
        <v/>
      </c>
      <c r="F443" s="18" t="str">
        <f>IFERROR(([1]!s_stmnote_bank_26($B443,$A443,1,100000000)-[1]!s_stmnote_bank_26($B443,#REF!,1,100000000)+#REF!)/[1]!s_stmnote_bank_1n($B443,#REF!,1,100000000),"")</f>
        <v/>
      </c>
      <c r="G443" s="21" t="str">
        <f t="shared" si="12"/>
        <v/>
      </c>
      <c r="H443" s="18" t="str">
        <f>IFERROR([1]!s_stmnote_bank($B443,"34",$A443,100000000)/[1]!s_stmnote_bank_1n(B443,$A443,1,100000000),"")</f>
        <v/>
      </c>
      <c r="I443" s="25">
        <f>[1]!b_stm07_bs(B443,74,$A443,1,100000000)</f>
        <v>0</v>
      </c>
      <c r="J443" s="25">
        <f>[1]!b_stm07_bs(B443,109,$A443,1,100000000)</f>
        <v>0</v>
      </c>
      <c r="K443" s="10">
        <f>[1]!s_stmnote_bank_5n(B443,$A443,1)</f>
        <v>0</v>
      </c>
      <c r="L443" s="25">
        <f>[1]!s_stmnote_bank_23n(B443,$A443,1)</f>
        <v>0</v>
      </c>
      <c r="M443" s="25">
        <f>[1]!s_stmnote_bank_capadequacyratio(B443,$A443,1)</f>
        <v>0</v>
      </c>
      <c r="N443" s="25">
        <f>[1]!s_stmnote_bank_capadequacyratio_ct1(B443,$A443,1)</f>
        <v>0</v>
      </c>
      <c r="O443" s="6">
        <f>IF(OR([1]!s_fa_roe(B443,20201231)="0",[1]!s_fa_roe(B443,20211231)="0",[1]!s_fa_roe(B443,20221231)="0"),"",IFERROR(([1]!s_fa_roe(B443,20221231)+[1]!s_fa_roe(B443,20201231)+[1]!s_fa_roe(B443,20211231))/3,""))</f>
        <v>0</v>
      </c>
      <c r="P443" s="28" t="str">
        <f>IFERROR(([1]!s_stmnote_bank_65(B443,$A443,1,2,4,100000000)+[1]!s_stmnote_bank_65(B443,$A443,1,2,6,100000000))/[1]!s_stmnote_bank_1n(B443,$A443,1,100000000),"")</f>
        <v/>
      </c>
      <c r="Q443" s="28" t="str">
        <f>IFERROR([1]!s_stmnote_bank_614(B443,$A443,1,2,100000000)/[1]!s_stmnote_bank_647(B443,$A443,1,2,100000000),"")</f>
        <v/>
      </c>
      <c r="R443" s="28" t="str">
        <f>IFERROR(([1]!b_stm07_bs(B443,104,$A443,1,100000000)+[1]!b_stm07_bs(B443,106,$A443,1,100000000)+[1]!b_stm07_bs(B443,76,$A443,1,100000000)+[1]!b_stm07_bs(B443,108,$A443,1,100000000)+[1]!b_stm07_bs(B443,95,$A443,1,100000000))/[1]!b_stm07_bs(B443,128,$A443,1,100000000),"")</f>
        <v/>
      </c>
      <c r="S443" s="28" t="str">
        <f>IFERROR(([1]!s_stmnote_bank_614(B443,$A443,1,2,100000000)+[1]!b_stm07_bs(B443,104,$A443,1,100000000)+[1]!b_stm07_bs(B443,106,$A443,1,100000000)+[1]!b_stm07_bs(B443,76,$A443,1,100000000)+[1]!b_stm07_bs(B443,108,$A443,1,100000000)+[1]!b_stm07_bs(B443,95,$A443,1,100000000))/[1]!b_stm07_bs(B443,128,$A443,1,100000000),"")</f>
        <v/>
      </c>
      <c r="T443" s="11">
        <f>[1]!b_issuer_shareholder(B443,"",1)</f>
        <v>0</v>
      </c>
      <c r="U443" s="10">
        <f>[1]!b_issuer_propofshareholder(B443,"",1)</f>
        <v>0</v>
      </c>
      <c r="V443" s="33" t="str">
        <f t="shared" si="13"/>
        <v>0</v>
      </c>
      <c r="W443" s="33">
        <f>[1]!s_info_city(B443)</f>
        <v>0</v>
      </c>
      <c r="X443" s="10">
        <f>IF([1]!s_stmnote_bank_17n(B443,$A443,1)="0","",[1]!s_stmnote_bank_17n(B443,$A443,1))</f>
        <v>0</v>
      </c>
      <c r="Y443" s="10">
        <f>IF([1]!s_stmnote_bank_18n(B443,$A443,1)="0","",[1]!s_stmnote_bank_18n(B443,$A443,1))</f>
        <v>0</v>
      </c>
      <c r="Z443" s="41">
        <f>IF([1]!s_stmnote_bank_58(B443,$A443,1)="0","",[1]!s_stmnote_bank_58(B443,$A443,1))</f>
        <v>0</v>
      </c>
      <c r="AA443" s="52">
        <f>IF([1]!s_stmnote_bank_60(B443,$A443,1)="0","",[1]!s_stmnote_bank_60(B443,$A443,1))</f>
        <v>0</v>
      </c>
      <c r="AB443" s="52">
        <f>[1]!s_stmnote_bank_5444(B443,$A443,1)</f>
        <v>0</v>
      </c>
      <c r="AC443" s="38">
        <f>[1]!s_stmnote_bank_129n($B443,$A443,1)</f>
        <v>0</v>
      </c>
      <c r="AD443" s="54">
        <f>[1]!s_stmnote_bank_30(B443,$A443,1)</f>
        <v>0</v>
      </c>
    </row>
    <row r="444" spans="1:30" ht="24">
      <c r="A444" s="1" t="s">
        <v>1110</v>
      </c>
      <c r="B444" s="87" t="s">
        <v>1552</v>
      </c>
      <c r="C444" s="8">
        <f>IF([1]!b_info_issuer(B444)="0","",IFERROR([1]!b_info_issuer(B444),""))</f>
        <v>0</v>
      </c>
      <c r="D444" s="11">
        <f>IF([1]!b_info_latestissurercreditrating(B444)="0","",IFERROR([1]!b_info_latestissurercreditrating(B444),""))</f>
        <v>0</v>
      </c>
      <c r="E444" s="27" t="str">
        <f>IFERROR(([1]!b_stm07_bs($B444,47,$A444,1,100000000))/[1]!b_stm07_bs($B444,109,$A444,1,100000000),"")</f>
        <v/>
      </c>
      <c r="F444" s="18" t="str">
        <f>IFERROR(([1]!s_stmnote_bank_26($B444,$A444,1,100000000)-[1]!s_stmnote_bank_26($B444,#REF!,1,100000000)+#REF!)/[1]!s_stmnote_bank_1n($B444,#REF!,1,100000000),"")</f>
        <v/>
      </c>
      <c r="G444" s="21" t="str">
        <f t="shared" si="12"/>
        <v/>
      </c>
      <c r="H444" s="18" t="str">
        <f>IFERROR([1]!s_stmnote_bank($B444,"34",$A444,100000000)/[1]!s_stmnote_bank_1n(B444,$A444,1,100000000),"")</f>
        <v/>
      </c>
      <c r="I444" s="25">
        <f>[1]!b_stm07_bs(B444,74,$A444,1,100000000)</f>
        <v>0</v>
      </c>
      <c r="J444" s="25">
        <f>[1]!b_stm07_bs(B444,109,$A444,1,100000000)</f>
        <v>0</v>
      </c>
      <c r="K444" s="10">
        <f>[1]!s_stmnote_bank_5n(B444,$A444,1)</f>
        <v>0</v>
      </c>
      <c r="L444" s="25">
        <f>[1]!s_stmnote_bank_23n(B444,$A444,1)</f>
        <v>0</v>
      </c>
      <c r="M444" s="25">
        <f>[1]!s_stmnote_bank_capadequacyratio(B444,$A444,1)</f>
        <v>0</v>
      </c>
      <c r="N444" s="25">
        <f>[1]!s_stmnote_bank_capadequacyratio_ct1(B444,$A444,1)</f>
        <v>0</v>
      </c>
      <c r="O444" s="6">
        <f>IF(OR([1]!s_fa_roe(B444,20201231)="0",[1]!s_fa_roe(B444,20211231)="0",[1]!s_fa_roe(B444,20221231)="0"),"",IFERROR(([1]!s_fa_roe(B444,20221231)+[1]!s_fa_roe(B444,20201231)+[1]!s_fa_roe(B444,20211231))/3,""))</f>
        <v>0</v>
      </c>
      <c r="P444" s="28" t="str">
        <f>IFERROR(([1]!s_stmnote_bank_65(B444,$A444,1,2,4,100000000)+[1]!s_stmnote_bank_65(B444,$A444,1,2,6,100000000))/[1]!s_stmnote_bank_1n(B444,$A444,1,100000000),"")</f>
        <v/>
      </c>
      <c r="Q444" s="28" t="str">
        <f>IFERROR([1]!s_stmnote_bank_614(B444,$A444,1,2,100000000)/[1]!s_stmnote_bank_647(B444,$A444,1,2,100000000),"")</f>
        <v/>
      </c>
      <c r="R444" s="28" t="str">
        <f>IFERROR(([1]!b_stm07_bs(B444,104,$A444,1,100000000)+[1]!b_stm07_bs(B444,106,$A444,1,100000000)+[1]!b_stm07_bs(B444,76,$A444,1,100000000)+[1]!b_stm07_bs(B444,108,$A444,1,100000000)+[1]!b_stm07_bs(B444,95,$A444,1,100000000))/[1]!b_stm07_bs(B444,128,$A444,1,100000000),"")</f>
        <v/>
      </c>
      <c r="S444" s="28" t="str">
        <f>IFERROR(([1]!s_stmnote_bank_614(B444,$A444,1,2,100000000)+[1]!b_stm07_bs(B444,104,$A444,1,100000000)+[1]!b_stm07_bs(B444,106,$A444,1,100000000)+[1]!b_stm07_bs(B444,76,$A444,1,100000000)+[1]!b_stm07_bs(B444,108,$A444,1,100000000)+[1]!b_stm07_bs(B444,95,$A444,1,100000000))/[1]!b_stm07_bs(B444,128,$A444,1,100000000),"")</f>
        <v/>
      </c>
      <c r="T444" s="11">
        <f>[1]!b_issuer_shareholder(B444,"",1)</f>
        <v>0</v>
      </c>
      <c r="U444" s="10">
        <f>[1]!b_issuer_propofshareholder(B444,"",1)</f>
        <v>0</v>
      </c>
      <c r="V444" s="33" t="str">
        <f t="shared" si="13"/>
        <v>0</v>
      </c>
      <c r="W444" s="33">
        <f>[1]!s_info_city(B444)</f>
        <v>0</v>
      </c>
      <c r="X444" s="10">
        <f>IF([1]!s_stmnote_bank_17n(B444,$A444,1)="0","",[1]!s_stmnote_bank_17n(B444,$A444,1))</f>
        <v>0</v>
      </c>
      <c r="Y444" s="10">
        <f>IF([1]!s_stmnote_bank_18n(B444,$A444,1)="0","",[1]!s_stmnote_bank_18n(B444,$A444,1))</f>
        <v>0</v>
      </c>
      <c r="Z444" s="41">
        <f>IF([1]!s_stmnote_bank_58(B444,$A444,1)="0","",[1]!s_stmnote_bank_58(B444,$A444,1))</f>
        <v>0</v>
      </c>
      <c r="AA444" s="52">
        <f>IF([1]!s_stmnote_bank_60(B444,$A444,1)="0","",[1]!s_stmnote_bank_60(B444,$A444,1))</f>
        <v>0</v>
      </c>
      <c r="AB444" s="52">
        <f>[1]!s_stmnote_bank_5444(B444,$A444,1)</f>
        <v>0</v>
      </c>
      <c r="AC444" s="38">
        <f>[1]!s_stmnote_bank_129n($B444,$A444,1)</f>
        <v>0</v>
      </c>
      <c r="AD444" s="54">
        <f>[1]!s_stmnote_bank_30(B444,$A444,1)</f>
        <v>0</v>
      </c>
    </row>
    <row r="445" spans="1:30" ht="24">
      <c r="A445" s="1" t="s">
        <v>1110</v>
      </c>
      <c r="B445" s="87" t="s">
        <v>1553</v>
      </c>
      <c r="C445" s="8">
        <f>IF([1]!b_info_issuer(B445)="0","",IFERROR([1]!b_info_issuer(B445),""))</f>
        <v>0</v>
      </c>
      <c r="D445" s="11">
        <f>IF([1]!b_info_latestissurercreditrating(B445)="0","",IFERROR([1]!b_info_latestissurercreditrating(B445),""))</f>
        <v>0</v>
      </c>
      <c r="E445" s="27" t="str">
        <f>IFERROR(([1]!b_stm07_bs($B445,47,$A445,1,100000000))/[1]!b_stm07_bs($B445,109,$A445,1,100000000),"")</f>
        <v/>
      </c>
      <c r="F445" s="18" t="str">
        <f>IFERROR(([1]!s_stmnote_bank_26($B445,$A445,1,100000000)-[1]!s_stmnote_bank_26($B445,#REF!,1,100000000)+#REF!)/[1]!s_stmnote_bank_1n($B445,#REF!,1,100000000),"")</f>
        <v/>
      </c>
      <c r="G445" s="21" t="str">
        <f t="shared" si="12"/>
        <v/>
      </c>
      <c r="H445" s="18" t="str">
        <f>IFERROR([1]!s_stmnote_bank($B445,"34",$A445,100000000)/[1]!s_stmnote_bank_1n(B445,$A445,1,100000000),"")</f>
        <v/>
      </c>
      <c r="I445" s="25">
        <f>[1]!b_stm07_bs(B445,74,$A445,1,100000000)</f>
        <v>0</v>
      </c>
      <c r="J445" s="25">
        <f>[1]!b_stm07_bs(B445,109,$A445,1,100000000)</f>
        <v>0</v>
      </c>
      <c r="K445" s="10">
        <f>[1]!s_stmnote_bank_5n(B445,$A445,1)</f>
        <v>0</v>
      </c>
      <c r="L445" s="25">
        <f>[1]!s_stmnote_bank_23n(B445,$A445,1)</f>
        <v>0</v>
      </c>
      <c r="M445" s="25">
        <f>[1]!s_stmnote_bank_capadequacyratio(B445,$A445,1)</f>
        <v>0</v>
      </c>
      <c r="N445" s="25">
        <f>[1]!s_stmnote_bank_capadequacyratio_ct1(B445,$A445,1)</f>
        <v>0</v>
      </c>
      <c r="O445" s="6">
        <f>IF(OR([1]!s_fa_roe(B445,20201231)="0",[1]!s_fa_roe(B445,20211231)="0",[1]!s_fa_roe(B445,20221231)="0"),"",IFERROR(([1]!s_fa_roe(B445,20221231)+[1]!s_fa_roe(B445,20201231)+[1]!s_fa_roe(B445,20211231))/3,""))</f>
        <v>0</v>
      </c>
      <c r="P445" s="28" t="str">
        <f>IFERROR(([1]!s_stmnote_bank_65(B445,$A445,1,2,4,100000000)+[1]!s_stmnote_bank_65(B445,$A445,1,2,6,100000000))/[1]!s_stmnote_bank_1n(B445,$A445,1,100000000),"")</f>
        <v/>
      </c>
      <c r="Q445" s="28" t="str">
        <f>IFERROR([1]!s_stmnote_bank_614(B445,$A445,1,2,100000000)/[1]!s_stmnote_bank_647(B445,$A445,1,2,100000000),"")</f>
        <v/>
      </c>
      <c r="R445" s="28" t="str">
        <f>IFERROR(([1]!b_stm07_bs(B445,104,$A445,1,100000000)+[1]!b_stm07_bs(B445,106,$A445,1,100000000)+[1]!b_stm07_bs(B445,76,$A445,1,100000000)+[1]!b_stm07_bs(B445,108,$A445,1,100000000)+[1]!b_stm07_bs(B445,95,$A445,1,100000000))/[1]!b_stm07_bs(B445,128,$A445,1,100000000),"")</f>
        <v/>
      </c>
      <c r="S445" s="28" t="str">
        <f>IFERROR(([1]!s_stmnote_bank_614(B445,$A445,1,2,100000000)+[1]!b_stm07_bs(B445,104,$A445,1,100000000)+[1]!b_stm07_bs(B445,106,$A445,1,100000000)+[1]!b_stm07_bs(B445,76,$A445,1,100000000)+[1]!b_stm07_bs(B445,108,$A445,1,100000000)+[1]!b_stm07_bs(B445,95,$A445,1,100000000))/[1]!b_stm07_bs(B445,128,$A445,1,100000000),"")</f>
        <v/>
      </c>
      <c r="T445" s="11">
        <f>[1]!b_issuer_shareholder(B445,"",1)</f>
        <v>0</v>
      </c>
      <c r="U445" s="10">
        <f>[1]!b_issuer_propofshareholder(B445,"",1)</f>
        <v>0</v>
      </c>
      <c r="V445" s="33" t="str">
        <f t="shared" si="13"/>
        <v>0</v>
      </c>
      <c r="W445" s="33">
        <f>[1]!s_info_city(B445)</f>
        <v>0</v>
      </c>
      <c r="X445" s="10">
        <f>IF([1]!s_stmnote_bank_17n(B445,$A445,1)="0","",[1]!s_stmnote_bank_17n(B445,$A445,1))</f>
        <v>0</v>
      </c>
      <c r="Y445" s="10">
        <f>IF([1]!s_stmnote_bank_18n(B445,$A445,1)="0","",[1]!s_stmnote_bank_18n(B445,$A445,1))</f>
        <v>0</v>
      </c>
      <c r="Z445" s="41">
        <f>IF([1]!s_stmnote_bank_58(B445,$A445,1)="0","",[1]!s_stmnote_bank_58(B445,$A445,1))</f>
        <v>0</v>
      </c>
      <c r="AA445" s="52">
        <f>IF([1]!s_stmnote_bank_60(B445,$A445,1)="0","",[1]!s_stmnote_bank_60(B445,$A445,1))</f>
        <v>0</v>
      </c>
      <c r="AB445" s="52">
        <f>[1]!s_stmnote_bank_5444(B445,$A445,1)</f>
        <v>0</v>
      </c>
      <c r="AC445" s="38">
        <f>[1]!s_stmnote_bank_129n($B445,$A445,1)</f>
        <v>0</v>
      </c>
      <c r="AD445" s="54">
        <f>[1]!s_stmnote_bank_30(B445,$A445,1)</f>
        <v>0</v>
      </c>
    </row>
    <row r="446" spans="1:30" ht="24">
      <c r="A446" s="1" t="s">
        <v>1110</v>
      </c>
      <c r="B446" s="87" t="s">
        <v>1554</v>
      </c>
      <c r="C446" s="8">
        <f>IF([1]!b_info_issuer(B446)="0","",IFERROR([1]!b_info_issuer(B446),""))</f>
        <v>0</v>
      </c>
      <c r="D446" s="11">
        <f>IF([1]!b_info_latestissurercreditrating(B446)="0","",IFERROR([1]!b_info_latestissurercreditrating(B446),""))</f>
        <v>0</v>
      </c>
      <c r="E446" s="27" t="str">
        <f>IFERROR(([1]!b_stm07_bs($B446,47,$A446,1,100000000))/[1]!b_stm07_bs($B446,109,$A446,1,100000000),"")</f>
        <v/>
      </c>
      <c r="F446" s="18" t="str">
        <f>IFERROR(([1]!s_stmnote_bank_26($B446,$A446,1,100000000)-[1]!s_stmnote_bank_26($B446,#REF!,1,100000000)+#REF!)/[1]!s_stmnote_bank_1n($B446,#REF!,1,100000000),"")</f>
        <v/>
      </c>
      <c r="G446" s="21" t="str">
        <f t="shared" si="12"/>
        <v/>
      </c>
      <c r="H446" s="18" t="str">
        <f>IFERROR([1]!s_stmnote_bank($B446,"34",$A446,100000000)/[1]!s_stmnote_bank_1n(B446,$A446,1,100000000),"")</f>
        <v/>
      </c>
      <c r="I446" s="25">
        <f>[1]!b_stm07_bs(B446,74,$A446,1,100000000)</f>
        <v>0</v>
      </c>
      <c r="J446" s="25">
        <f>[1]!b_stm07_bs(B446,109,$A446,1,100000000)</f>
        <v>0</v>
      </c>
      <c r="K446" s="10">
        <f>[1]!s_stmnote_bank_5n(B446,$A446,1)</f>
        <v>0</v>
      </c>
      <c r="L446" s="25">
        <f>[1]!s_stmnote_bank_23n(B446,$A446,1)</f>
        <v>0</v>
      </c>
      <c r="M446" s="25">
        <f>[1]!s_stmnote_bank_capadequacyratio(B446,$A446,1)</f>
        <v>0</v>
      </c>
      <c r="N446" s="25">
        <f>[1]!s_stmnote_bank_capadequacyratio_ct1(B446,$A446,1)</f>
        <v>0</v>
      </c>
      <c r="O446" s="6">
        <f>IF(OR([1]!s_fa_roe(B446,20201231)="0",[1]!s_fa_roe(B446,20211231)="0",[1]!s_fa_roe(B446,20221231)="0"),"",IFERROR(([1]!s_fa_roe(B446,20221231)+[1]!s_fa_roe(B446,20201231)+[1]!s_fa_roe(B446,20211231))/3,""))</f>
        <v>0</v>
      </c>
      <c r="P446" s="28" t="str">
        <f>IFERROR(([1]!s_stmnote_bank_65(B446,$A446,1,2,4,100000000)+[1]!s_stmnote_bank_65(B446,$A446,1,2,6,100000000))/[1]!s_stmnote_bank_1n(B446,$A446,1,100000000),"")</f>
        <v/>
      </c>
      <c r="Q446" s="28" t="str">
        <f>IFERROR([1]!s_stmnote_bank_614(B446,$A446,1,2,100000000)/[1]!s_stmnote_bank_647(B446,$A446,1,2,100000000),"")</f>
        <v/>
      </c>
      <c r="R446" s="28" t="str">
        <f>IFERROR(([1]!b_stm07_bs(B446,104,$A446,1,100000000)+[1]!b_stm07_bs(B446,106,$A446,1,100000000)+[1]!b_stm07_bs(B446,76,$A446,1,100000000)+[1]!b_stm07_bs(B446,108,$A446,1,100000000)+[1]!b_stm07_bs(B446,95,$A446,1,100000000))/[1]!b_stm07_bs(B446,128,$A446,1,100000000),"")</f>
        <v/>
      </c>
      <c r="S446" s="28" t="str">
        <f>IFERROR(([1]!s_stmnote_bank_614(B446,$A446,1,2,100000000)+[1]!b_stm07_bs(B446,104,$A446,1,100000000)+[1]!b_stm07_bs(B446,106,$A446,1,100000000)+[1]!b_stm07_bs(B446,76,$A446,1,100000000)+[1]!b_stm07_bs(B446,108,$A446,1,100000000)+[1]!b_stm07_bs(B446,95,$A446,1,100000000))/[1]!b_stm07_bs(B446,128,$A446,1,100000000),"")</f>
        <v/>
      </c>
      <c r="T446" s="11">
        <f>[1]!b_issuer_shareholder(B446,"",1)</f>
        <v>0</v>
      </c>
      <c r="U446" s="10">
        <f>[1]!b_issuer_propofshareholder(B446,"",1)</f>
        <v>0</v>
      </c>
      <c r="V446" s="33" t="str">
        <f t="shared" si="13"/>
        <v>0</v>
      </c>
      <c r="W446" s="33">
        <f>[1]!s_info_city(B446)</f>
        <v>0</v>
      </c>
      <c r="X446" s="10">
        <f>IF([1]!s_stmnote_bank_17n(B446,$A446,1)="0","",[1]!s_stmnote_bank_17n(B446,$A446,1))</f>
        <v>0</v>
      </c>
      <c r="Y446" s="10">
        <f>IF([1]!s_stmnote_bank_18n(B446,$A446,1)="0","",[1]!s_stmnote_bank_18n(B446,$A446,1))</f>
        <v>0</v>
      </c>
      <c r="Z446" s="41">
        <f>IF([1]!s_stmnote_bank_58(B446,$A446,1)="0","",[1]!s_stmnote_bank_58(B446,$A446,1))</f>
        <v>0</v>
      </c>
      <c r="AA446" s="52">
        <f>IF([1]!s_stmnote_bank_60(B446,$A446,1)="0","",[1]!s_stmnote_bank_60(B446,$A446,1))</f>
        <v>0</v>
      </c>
      <c r="AB446" s="52">
        <f>[1]!s_stmnote_bank_5444(B446,$A446,1)</f>
        <v>0</v>
      </c>
      <c r="AC446" s="38">
        <f>[1]!s_stmnote_bank_129n($B446,$A446,1)</f>
        <v>0</v>
      </c>
      <c r="AD446" s="54">
        <f>[1]!s_stmnote_bank_30(B446,$A446,1)</f>
        <v>0</v>
      </c>
    </row>
    <row r="447" spans="1:30" ht="24">
      <c r="A447" s="1" t="s">
        <v>1110</v>
      </c>
      <c r="B447" s="87" t="s">
        <v>1555</v>
      </c>
      <c r="C447" s="8">
        <f>IF([1]!b_info_issuer(B447)="0","",IFERROR([1]!b_info_issuer(B447),""))</f>
        <v>0</v>
      </c>
      <c r="D447" s="11">
        <f>IF([1]!b_info_latestissurercreditrating(B447)="0","",IFERROR([1]!b_info_latestissurercreditrating(B447),""))</f>
        <v>0</v>
      </c>
      <c r="E447" s="27" t="str">
        <f>IFERROR(([1]!b_stm07_bs($B447,47,$A447,1,100000000))/[1]!b_stm07_bs($B447,109,$A447,1,100000000),"")</f>
        <v/>
      </c>
      <c r="F447" s="18" t="str">
        <f>IFERROR(([1]!s_stmnote_bank_26($B447,$A447,1,100000000)-[1]!s_stmnote_bank_26($B447,#REF!,1,100000000)+#REF!)/[1]!s_stmnote_bank_1n($B447,#REF!,1,100000000),"")</f>
        <v/>
      </c>
      <c r="G447" s="21" t="str">
        <f t="shared" si="12"/>
        <v/>
      </c>
      <c r="H447" s="18" t="str">
        <f>IFERROR([1]!s_stmnote_bank($B447,"34",$A447,100000000)/[1]!s_stmnote_bank_1n(B447,$A447,1,100000000),"")</f>
        <v/>
      </c>
      <c r="I447" s="25">
        <f>[1]!b_stm07_bs(B447,74,$A447,1,100000000)</f>
        <v>0</v>
      </c>
      <c r="J447" s="25">
        <f>[1]!b_stm07_bs(B447,109,$A447,1,100000000)</f>
        <v>0</v>
      </c>
      <c r="K447" s="10">
        <f>[1]!s_stmnote_bank_5n(B447,$A447,1)</f>
        <v>0</v>
      </c>
      <c r="L447" s="25">
        <f>[1]!s_stmnote_bank_23n(B447,$A447,1)</f>
        <v>0</v>
      </c>
      <c r="M447" s="25">
        <f>[1]!s_stmnote_bank_capadequacyratio(B447,$A447,1)</f>
        <v>0</v>
      </c>
      <c r="N447" s="25">
        <f>[1]!s_stmnote_bank_capadequacyratio_ct1(B447,$A447,1)</f>
        <v>0</v>
      </c>
      <c r="O447" s="6">
        <f>IF(OR([1]!s_fa_roe(B447,20201231)="0",[1]!s_fa_roe(B447,20211231)="0",[1]!s_fa_roe(B447,20221231)="0"),"",IFERROR(([1]!s_fa_roe(B447,20221231)+[1]!s_fa_roe(B447,20201231)+[1]!s_fa_roe(B447,20211231))/3,""))</f>
        <v>0</v>
      </c>
      <c r="P447" s="28" t="str">
        <f>IFERROR(([1]!s_stmnote_bank_65(B447,$A447,1,2,4,100000000)+[1]!s_stmnote_bank_65(B447,$A447,1,2,6,100000000))/[1]!s_stmnote_bank_1n(B447,$A447,1,100000000),"")</f>
        <v/>
      </c>
      <c r="Q447" s="28" t="str">
        <f>IFERROR([1]!s_stmnote_bank_614(B447,$A447,1,2,100000000)/[1]!s_stmnote_bank_647(B447,$A447,1,2,100000000),"")</f>
        <v/>
      </c>
      <c r="R447" s="28" t="str">
        <f>IFERROR(([1]!b_stm07_bs(B447,104,$A447,1,100000000)+[1]!b_stm07_bs(B447,106,$A447,1,100000000)+[1]!b_stm07_bs(B447,76,$A447,1,100000000)+[1]!b_stm07_bs(B447,108,$A447,1,100000000)+[1]!b_stm07_bs(B447,95,$A447,1,100000000))/[1]!b_stm07_bs(B447,128,$A447,1,100000000),"")</f>
        <v/>
      </c>
      <c r="S447" s="28" t="str">
        <f>IFERROR(([1]!s_stmnote_bank_614(B447,$A447,1,2,100000000)+[1]!b_stm07_bs(B447,104,$A447,1,100000000)+[1]!b_stm07_bs(B447,106,$A447,1,100000000)+[1]!b_stm07_bs(B447,76,$A447,1,100000000)+[1]!b_stm07_bs(B447,108,$A447,1,100000000)+[1]!b_stm07_bs(B447,95,$A447,1,100000000))/[1]!b_stm07_bs(B447,128,$A447,1,100000000),"")</f>
        <v/>
      </c>
      <c r="T447" s="11">
        <f>[1]!b_issuer_shareholder(B447,"",1)</f>
        <v>0</v>
      </c>
      <c r="U447" s="10">
        <f>[1]!b_issuer_propofshareholder(B447,"",1)</f>
        <v>0</v>
      </c>
      <c r="V447" s="33" t="str">
        <f t="shared" si="13"/>
        <v>0</v>
      </c>
      <c r="W447" s="33">
        <f>[1]!s_info_city(B447)</f>
        <v>0</v>
      </c>
      <c r="X447" s="10">
        <f>IF([1]!s_stmnote_bank_17n(B447,$A447,1)="0","",[1]!s_stmnote_bank_17n(B447,$A447,1))</f>
        <v>0</v>
      </c>
      <c r="Y447" s="10">
        <f>IF([1]!s_stmnote_bank_18n(B447,$A447,1)="0","",[1]!s_stmnote_bank_18n(B447,$A447,1))</f>
        <v>0</v>
      </c>
      <c r="Z447" s="41">
        <f>IF([1]!s_stmnote_bank_58(B447,$A447,1)="0","",[1]!s_stmnote_bank_58(B447,$A447,1))</f>
        <v>0</v>
      </c>
      <c r="AA447" s="52">
        <f>IF([1]!s_stmnote_bank_60(B447,$A447,1)="0","",[1]!s_stmnote_bank_60(B447,$A447,1))</f>
        <v>0</v>
      </c>
      <c r="AB447" s="52">
        <f>[1]!s_stmnote_bank_5444(B447,$A447,1)</f>
        <v>0</v>
      </c>
      <c r="AC447" s="38">
        <f>[1]!s_stmnote_bank_129n($B447,$A447,1)</f>
        <v>0</v>
      </c>
      <c r="AD447" s="54">
        <f>[1]!s_stmnote_bank_30(B447,$A447,1)</f>
        <v>0</v>
      </c>
    </row>
    <row r="448" spans="1:30" ht="24">
      <c r="A448" s="1" t="s">
        <v>1110</v>
      </c>
      <c r="B448" s="87" t="s">
        <v>1556</v>
      </c>
      <c r="C448" s="8">
        <f>IF([1]!b_info_issuer(B448)="0","",IFERROR([1]!b_info_issuer(B448),""))</f>
        <v>0</v>
      </c>
      <c r="D448" s="11">
        <f>IF([1]!b_info_latestissurercreditrating(B448)="0","",IFERROR([1]!b_info_latestissurercreditrating(B448),""))</f>
        <v>0</v>
      </c>
      <c r="E448" s="27" t="str">
        <f>IFERROR(([1]!b_stm07_bs($B448,47,$A448,1,100000000))/[1]!b_stm07_bs($B448,109,$A448,1,100000000),"")</f>
        <v/>
      </c>
      <c r="F448" s="18" t="str">
        <f>IFERROR(([1]!s_stmnote_bank_26($B448,$A448,1,100000000)-[1]!s_stmnote_bank_26($B448,#REF!,1,100000000)+#REF!)/[1]!s_stmnote_bank_1n($B448,#REF!,1,100000000),"")</f>
        <v/>
      </c>
      <c r="G448" s="21" t="str">
        <f t="shared" si="12"/>
        <v/>
      </c>
      <c r="H448" s="18" t="str">
        <f>IFERROR([1]!s_stmnote_bank($B448,"34",$A448,100000000)/[1]!s_stmnote_bank_1n(B448,$A448,1,100000000),"")</f>
        <v/>
      </c>
      <c r="I448" s="25">
        <f>[1]!b_stm07_bs(B448,74,$A448,1,100000000)</f>
        <v>0</v>
      </c>
      <c r="J448" s="25">
        <f>[1]!b_stm07_bs(B448,109,$A448,1,100000000)</f>
        <v>0</v>
      </c>
      <c r="K448" s="10">
        <f>[1]!s_stmnote_bank_5n(B448,$A448,1)</f>
        <v>0</v>
      </c>
      <c r="L448" s="25">
        <f>[1]!s_stmnote_bank_23n(B448,$A448,1)</f>
        <v>0</v>
      </c>
      <c r="M448" s="25">
        <f>[1]!s_stmnote_bank_capadequacyratio(B448,$A448,1)</f>
        <v>0</v>
      </c>
      <c r="N448" s="25">
        <f>[1]!s_stmnote_bank_capadequacyratio_ct1(B448,$A448,1)</f>
        <v>0</v>
      </c>
      <c r="O448" s="6">
        <f>IF(OR([1]!s_fa_roe(B448,20201231)="0",[1]!s_fa_roe(B448,20211231)="0",[1]!s_fa_roe(B448,20221231)="0"),"",IFERROR(([1]!s_fa_roe(B448,20221231)+[1]!s_fa_roe(B448,20201231)+[1]!s_fa_roe(B448,20211231))/3,""))</f>
        <v>0</v>
      </c>
      <c r="P448" s="28" t="str">
        <f>IFERROR(([1]!s_stmnote_bank_65(B448,$A448,1,2,4,100000000)+[1]!s_stmnote_bank_65(B448,$A448,1,2,6,100000000))/[1]!s_stmnote_bank_1n(B448,$A448,1,100000000),"")</f>
        <v/>
      </c>
      <c r="Q448" s="28" t="str">
        <f>IFERROR([1]!s_stmnote_bank_614(B448,$A448,1,2,100000000)/[1]!s_stmnote_bank_647(B448,$A448,1,2,100000000),"")</f>
        <v/>
      </c>
      <c r="R448" s="28" t="str">
        <f>IFERROR(([1]!b_stm07_bs(B448,104,$A448,1,100000000)+[1]!b_stm07_bs(B448,106,$A448,1,100000000)+[1]!b_stm07_bs(B448,76,$A448,1,100000000)+[1]!b_stm07_bs(B448,108,$A448,1,100000000)+[1]!b_stm07_bs(B448,95,$A448,1,100000000))/[1]!b_stm07_bs(B448,128,$A448,1,100000000),"")</f>
        <v/>
      </c>
      <c r="S448" s="28" t="str">
        <f>IFERROR(([1]!s_stmnote_bank_614(B448,$A448,1,2,100000000)+[1]!b_stm07_bs(B448,104,$A448,1,100000000)+[1]!b_stm07_bs(B448,106,$A448,1,100000000)+[1]!b_stm07_bs(B448,76,$A448,1,100000000)+[1]!b_stm07_bs(B448,108,$A448,1,100000000)+[1]!b_stm07_bs(B448,95,$A448,1,100000000))/[1]!b_stm07_bs(B448,128,$A448,1,100000000),"")</f>
        <v/>
      </c>
      <c r="T448" s="11">
        <f>[1]!b_issuer_shareholder(B448,"",1)</f>
        <v>0</v>
      </c>
      <c r="U448" s="10">
        <f>[1]!b_issuer_propofshareholder(B448,"",1)</f>
        <v>0</v>
      </c>
      <c r="V448" s="33" t="str">
        <f t="shared" si="13"/>
        <v>0</v>
      </c>
      <c r="W448" s="33">
        <f>[1]!s_info_city(B448)</f>
        <v>0</v>
      </c>
      <c r="X448" s="10">
        <f>IF([1]!s_stmnote_bank_17n(B448,$A448,1)="0","",[1]!s_stmnote_bank_17n(B448,$A448,1))</f>
        <v>0</v>
      </c>
      <c r="Y448" s="10">
        <f>IF([1]!s_stmnote_bank_18n(B448,$A448,1)="0","",[1]!s_stmnote_bank_18n(B448,$A448,1))</f>
        <v>0</v>
      </c>
      <c r="Z448" s="41">
        <f>IF([1]!s_stmnote_bank_58(B448,$A448,1)="0","",[1]!s_stmnote_bank_58(B448,$A448,1))</f>
        <v>0</v>
      </c>
      <c r="AA448" s="52">
        <f>IF([1]!s_stmnote_bank_60(B448,$A448,1)="0","",[1]!s_stmnote_bank_60(B448,$A448,1))</f>
        <v>0</v>
      </c>
      <c r="AB448" s="52">
        <f>[1]!s_stmnote_bank_5444(B448,$A448,1)</f>
        <v>0</v>
      </c>
      <c r="AC448" s="38">
        <f>[1]!s_stmnote_bank_129n($B448,$A448,1)</f>
        <v>0</v>
      </c>
      <c r="AD448" s="54">
        <f>[1]!s_stmnote_bank_30(B448,$A448,1)</f>
        <v>0</v>
      </c>
    </row>
    <row r="449" spans="1:30" ht="24">
      <c r="A449" s="1" t="s">
        <v>1110</v>
      </c>
      <c r="B449" s="87" t="s">
        <v>1557</v>
      </c>
      <c r="C449" s="8">
        <f>IF([1]!b_info_issuer(B449)="0","",IFERROR([1]!b_info_issuer(B449),""))</f>
        <v>0</v>
      </c>
      <c r="D449" s="11">
        <f>IF([1]!b_info_latestissurercreditrating(B449)="0","",IFERROR([1]!b_info_latestissurercreditrating(B449),""))</f>
        <v>0</v>
      </c>
      <c r="E449" s="27" t="str">
        <f>IFERROR(([1]!b_stm07_bs($B449,47,$A449,1,100000000))/[1]!b_stm07_bs($B449,109,$A449,1,100000000),"")</f>
        <v/>
      </c>
      <c r="F449" s="18" t="str">
        <f>IFERROR(([1]!s_stmnote_bank_26($B449,$A449,1,100000000)-[1]!s_stmnote_bank_26($B449,#REF!,1,100000000)+#REF!)/[1]!s_stmnote_bank_1n($B449,#REF!,1,100000000),"")</f>
        <v/>
      </c>
      <c r="G449" s="21" t="str">
        <f t="shared" si="12"/>
        <v/>
      </c>
      <c r="H449" s="18" t="str">
        <f>IFERROR([1]!s_stmnote_bank($B449,"34",$A449,100000000)/[1]!s_stmnote_bank_1n(B449,$A449,1,100000000),"")</f>
        <v/>
      </c>
      <c r="I449" s="25">
        <f>[1]!b_stm07_bs(B449,74,$A449,1,100000000)</f>
        <v>0</v>
      </c>
      <c r="J449" s="25">
        <f>[1]!b_stm07_bs(B449,109,$A449,1,100000000)</f>
        <v>0</v>
      </c>
      <c r="K449" s="10">
        <f>[1]!s_stmnote_bank_5n(B449,$A449,1)</f>
        <v>0</v>
      </c>
      <c r="L449" s="25">
        <f>[1]!s_stmnote_bank_23n(B449,$A449,1)</f>
        <v>0</v>
      </c>
      <c r="M449" s="25">
        <f>[1]!s_stmnote_bank_capadequacyratio(B449,$A449,1)</f>
        <v>0</v>
      </c>
      <c r="N449" s="25">
        <f>[1]!s_stmnote_bank_capadequacyratio_ct1(B449,$A449,1)</f>
        <v>0</v>
      </c>
      <c r="O449" s="6">
        <f>IF(OR([1]!s_fa_roe(B449,20201231)="0",[1]!s_fa_roe(B449,20211231)="0",[1]!s_fa_roe(B449,20221231)="0"),"",IFERROR(([1]!s_fa_roe(B449,20221231)+[1]!s_fa_roe(B449,20201231)+[1]!s_fa_roe(B449,20211231))/3,""))</f>
        <v>0</v>
      </c>
      <c r="P449" s="28" t="str">
        <f>IFERROR(([1]!s_stmnote_bank_65(B449,$A449,1,2,4,100000000)+[1]!s_stmnote_bank_65(B449,$A449,1,2,6,100000000))/[1]!s_stmnote_bank_1n(B449,$A449,1,100000000),"")</f>
        <v/>
      </c>
      <c r="Q449" s="28" t="str">
        <f>IFERROR([1]!s_stmnote_bank_614(B449,$A449,1,2,100000000)/[1]!s_stmnote_bank_647(B449,$A449,1,2,100000000),"")</f>
        <v/>
      </c>
      <c r="R449" s="28" t="str">
        <f>IFERROR(([1]!b_stm07_bs(B449,104,$A449,1,100000000)+[1]!b_stm07_bs(B449,106,$A449,1,100000000)+[1]!b_stm07_bs(B449,76,$A449,1,100000000)+[1]!b_stm07_bs(B449,108,$A449,1,100000000)+[1]!b_stm07_bs(B449,95,$A449,1,100000000))/[1]!b_stm07_bs(B449,128,$A449,1,100000000),"")</f>
        <v/>
      </c>
      <c r="S449" s="28" t="str">
        <f>IFERROR(([1]!s_stmnote_bank_614(B449,$A449,1,2,100000000)+[1]!b_stm07_bs(B449,104,$A449,1,100000000)+[1]!b_stm07_bs(B449,106,$A449,1,100000000)+[1]!b_stm07_bs(B449,76,$A449,1,100000000)+[1]!b_stm07_bs(B449,108,$A449,1,100000000)+[1]!b_stm07_bs(B449,95,$A449,1,100000000))/[1]!b_stm07_bs(B449,128,$A449,1,100000000),"")</f>
        <v/>
      </c>
      <c r="T449" s="11">
        <f>[1]!b_issuer_shareholder(B449,"",1)</f>
        <v>0</v>
      </c>
      <c r="U449" s="10">
        <f>[1]!b_issuer_propofshareholder(B449,"",1)</f>
        <v>0</v>
      </c>
      <c r="V449" s="33" t="str">
        <f t="shared" si="13"/>
        <v>0</v>
      </c>
      <c r="W449" s="33">
        <f>[1]!s_info_city(B449)</f>
        <v>0</v>
      </c>
      <c r="X449" s="10">
        <f>IF([1]!s_stmnote_bank_17n(B449,$A449,1)="0","",[1]!s_stmnote_bank_17n(B449,$A449,1))</f>
        <v>0</v>
      </c>
      <c r="Y449" s="10">
        <f>IF([1]!s_stmnote_bank_18n(B449,$A449,1)="0","",[1]!s_stmnote_bank_18n(B449,$A449,1))</f>
        <v>0</v>
      </c>
      <c r="Z449" s="41">
        <f>IF([1]!s_stmnote_bank_58(B449,$A449,1)="0","",[1]!s_stmnote_bank_58(B449,$A449,1))</f>
        <v>0</v>
      </c>
      <c r="AA449" s="52">
        <f>IF([1]!s_stmnote_bank_60(B449,$A449,1)="0","",[1]!s_stmnote_bank_60(B449,$A449,1))</f>
        <v>0</v>
      </c>
      <c r="AB449" s="52">
        <f>[1]!s_stmnote_bank_5444(B449,$A449,1)</f>
        <v>0</v>
      </c>
      <c r="AC449" s="38">
        <f>[1]!s_stmnote_bank_129n($B449,$A449,1)</f>
        <v>0</v>
      </c>
      <c r="AD449" s="54">
        <f>[1]!s_stmnote_bank_30(B449,$A449,1)</f>
        <v>0</v>
      </c>
    </row>
    <row r="450" spans="1:30" ht="24">
      <c r="A450" s="1" t="s">
        <v>1110</v>
      </c>
      <c r="B450" s="87" t="s">
        <v>1558</v>
      </c>
      <c r="C450" s="8">
        <f>IF([1]!b_info_issuer(B450)="0","",IFERROR([1]!b_info_issuer(B450),""))</f>
        <v>0</v>
      </c>
      <c r="D450" s="11">
        <f>IF([1]!b_info_latestissurercreditrating(B450)="0","",IFERROR([1]!b_info_latestissurercreditrating(B450),""))</f>
        <v>0</v>
      </c>
      <c r="E450" s="27" t="str">
        <f>IFERROR(([1]!b_stm07_bs($B450,47,$A450,1,100000000))/[1]!b_stm07_bs($B450,109,$A450,1,100000000),"")</f>
        <v/>
      </c>
      <c r="F450" s="18" t="str">
        <f>IFERROR(([1]!s_stmnote_bank_26($B450,$A450,1,100000000)-[1]!s_stmnote_bank_26($B450,#REF!,1,100000000)+#REF!)/[1]!s_stmnote_bank_1n($B450,#REF!,1,100000000),"")</f>
        <v/>
      </c>
      <c r="G450" s="21" t="str">
        <f t="shared" si="12"/>
        <v/>
      </c>
      <c r="H450" s="18" t="str">
        <f>IFERROR([1]!s_stmnote_bank($B450,"34",$A450,100000000)/[1]!s_stmnote_bank_1n(B450,$A450,1,100000000),"")</f>
        <v/>
      </c>
      <c r="I450" s="25">
        <f>[1]!b_stm07_bs(B450,74,$A450,1,100000000)</f>
        <v>0</v>
      </c>
      <c r="J450" s="25">
        <f>[1]!b_stm07_bs(B450,109,$A450,1,100000000)</f>
        <v>0</v>
      </c>
      <c r="K450" s="10">
        <f>[1]!s_stmnote_bank_5n(B450,$A450,1)</f>
        <v>0</v>
      </c>
      <c r="L450" s="25">
        <f>[1]!s_stmnote_bank_23n(B450,$A450,1)</f>
        <v>0</v>
      </c>
      <c r="M450" s="25">
        <f>[1]!s_stmnote_bank_capadequacyratio(B450,$A450,1)</f>
        <v>0</v>
      </c>
      <c r="N450" s="25">
        <f>[1]!s_stmnote_bank_capadequacyratio_ct1(B450,$A450,1)</f>
        <v>0</v>
      </c>
      <c r="O450" s="6">
        <f>IF(OR([1]!s_fa_roe(B450,20201231)="0",[1]!s_fa_roe(B450,20211231)="0",[1]!s_fa_roe(B450,20221231)="0"),"",IFERROR(([1]!s_fa_roe(B450,20221231)+[1]!s_fa_roe(B450,20201231)+[1]!s_fa_roe(B450,20211231))/3,""))</f>
        <v>0</v>
      </c>
      <c r="P450" s="28" t="str">
        <f>IFERROR(([1]!s_stmnote_bank_65(B450,$A450,1,2,4,100000000)+[1]!s_stmnote_bank_65(B450,$A450,1,2,6,100000000))/[1]!s_stmnote_bank_1n(B450,$A450,1,100000000),"")</f>
        <v/>
      </c>
      <c r="Q450" s="28" t="str">
        <f>IFERROR([1]!s_stmnote_bank_614(B450,$A450,1,2,100000000)/[1]!s_stmnote_bank_647(B450,$A450,1,2,100000000),"")</f>
        <v/>
      </c>
      <c r="R450" s="28" t="str">
        <f>IFERROR(([1]!b_stm07_bs(B450,104,$A450,1,100000000)+[1]!b_stm07_bs(B450,106,$A450,1,100000000)+[1]!b_stm07_bs(B450,76,$A450,1,100000000)+[1]!b_stm07_bs(B450,108,$A450,1,100000000)+[1]!b_stm07_bs(B450,95,$A450,1,100000000))/[1]!b_stm07_bs(B450,128,$A450,1,100000000),"")</f>
        <v/>
      </c>
      <c r="S450" s="28" t="str">
        <f>IFERROR(([1]!s_stmnote_bank_614(B450,$A450,1,2,100000000)+[1]!b_stm07_bs(B450,104,$A450,1,100000000)+[1]!b_stm07_bs(B450,106,$A450,1,100000000)+[1]!b_stm07_bs(B450,76,$A450,1,100000000)+[1]!b_stm07_bs(B450,108,$A450,1,100000000)+[1]!b_stm07_bs(B450,95,$A450,1,100000000))/[1]!b_stm07_bs(B450,128,$A450,1,100000000),"")</f>
        <v/>
      </c>
      <c r="T450" s="11">
        <f>[1]!b_issuer_shareholder(B450,"",1)</f>
        <v>0</v>
      </c>
      <c r="U450" s="10">
        <f>[1]!b_issuer_propofshareholder(B450,"",1)</f>
        <v>0</v>
      </c>
      <c r="V450" s="33" t="str">
        <f t="shared" si="13"/>
        <v>0</v>
      </c>
      <c r="W450" s="33">
        <f>[1]!s_info_city(B450)</f>
        <v>0</v>
      </c>
      <c r="X450" s="10">
        <f>IF([1]!s_stmnote_bank_17n(B450,$A450,1)="0","",[1]!s_stmnote_bank_17n(B450,$A450,1))</f>
        <v>0</v>
      </c>
      <c r="Y450" s="10">
        <f>IF([1]!s_stmnote_bank_18n(B450,$A450,1)="0","",[1]!s_stmnote_bank_18n(B450,$A450,1))</f>
        <v>0</v>
      </c>
      <c r="Z450" s="41">
        <f>IF([1]!s_stmnote_bank_58(B450,$A450,1)="0","",[1]!s_stmnote_bank_58(B450,$A450,1))</f>
        <v>0</v>
      </c>
      <c r="AA450" s="52">
        <f>IF([1]!s_stmnote_bank_60(B450,$A450,1)="0","",[1]!s_stmnote_bank_60(B450,$A450,1))</f>
        <v>0</v>
      </c>
      <c r="AB450" s="52">
        <f>[1]!s_stmnote_bank_5444(B450,$A450,1)</f>
        <v>0</v>
      </c>
      <c r="AC450" s="38">
        <f>[1]!s_stmnote_bank_129n($B450,$A450,1)</f>
        <v>0</v>
      </c>
      <c r="AD450" s="54">
        <f>[1]!s_stmnote_bank_30(B450,$A450,1)</f>
        <v>0</v>
      </c>
    </row>
    <row r="451" spans="1:30" ht="24">
      <c r="A451" s="1" t="s">
        <v>1110</v>
      </c>
      <c r="B451" s="87" t="s">
        <v>1559</v>
      </c>
      <c r="C451" s="8">
        <f>IF([1]!b_info_issuer(B451)="0","",IFERROR([1]!b_info_issuer(B451),""))</f>
        <v>0</v>
      </c>
      <c r="D451" s="11">
        <f>IF([1]!b_info_latestissurercreditrating(B451)="0","",IFERROR([1]!b_info_latestissurercreditrating(B451),""))</f>
        <v>0</v>
      </c>
      <c r="E451" s="27" t="str">
        <f>IFERROR(([1]!b_stm07_bs($B451,47,$A451,1,100000000))/[1]!b_stm07_bs($B451,109,$A451,1,100000000),"")</f>
        <v/>
      </c>
      <c r="F451" s="18" t="str">
        <f>IFERROR(([1]!s_stmnote_bank_26($B451,$A451,1,100000000)-[1]!s_stmnote_bank_26($B451,#REF!,1,100000000)+#REF!)/[1]!s_stmnote_bank_1n($B451,#REF!,1,100000000),"")</f>
        <v/>
      </c>
      <c r="G451" s="21" t="str">
        <f t="shared" ref="G451:G514" si="14">IFERROR(H451+K451/100,"")</f>
        <v/>
      </c>
      <c r="H451" s="18" t="str">
        <f>IFERROR([1]!s_stmnote_bank($B451,"34",$A451,100000000)/[1]!s_stmnote_bank_1n(B451,$A451,1,100000000),"")</f>
        <v/>
      </c>
      <c r="I451" s="25">
        <f>[1]!b_stm07_bs(B451,74,$A451,1,100000000)</f>
        <v>0</v>
      </c>
      <c r="J451" s="25">
        <f>[1]!b_stm07_bs(B451,109,$A451,1,100000000)</f>
        <v>0</v>
      </c>
      <c r="K451" s="10">
        <f>[1]!s_stmnote_bank_5n(B451,$A451,1)</f>
        <v>0</v>
      </c>
      <c r="L451" s="25">
        <f>[1]!s_stmnote_bank_23n(B451,$A451,1)</f>
        <v>0</v>
      </c>
      <c r="M451" s="25">
        <f>[1]!s_stmnote_bank_capadequacyratio(B451,$A451,1)</f>
        <v>0</v>
      </c>
      <c r="N451" s="25">
        <f>[1]!s_stmnote_bank_capadequacyratio_ct1(B451,$A451,1)</f>
        <v>0</v>
      </c>
      <c r="O451" s="6">
        <f>IF(OR([1]!s_fa_roe(B451,20201231)="0",[1]!s_fa_roe(B451,20211231)="0",[1]!s_fa_roe(B451,20221231)="0"),"",IFERROR(([1]!s_fa_roe(B451,20221231)+[1]!s_fa_roe(B451,20201231)+[1]!s_fa_roe(B451,20211231))/3,""))</f>
        <v>0</v>
      </c>
      <c r="P451" s="28" t="str">
        <f>IFERROR(([1]!s_stmnote_bank_65(B451,$A451,1,2,4,100000000)+[1]!s_stmnote_bank_65(B451,$A451,1,2,6,100000000))/[1]!s_stmnote_bank_1n(B451,$A451,1,100000000),"")</f>
        <v/>
      </c>
      <c r="Q451" s="28" t="str">
        <f>IFERROR([1]!s_stmnote_bank_614(B451,$A451,1,2,100000000)/[1]!s_stmnote_bank_647(B451,$A451,1,2,100000000),"")</f>
        <v/>
      </c>
      <c r="R451" s="28" t="str">
        <f>IFERROR(([1]!b_stm07_bs(B451,104,$A451,1,100000000)+[1]!b_stm07_bs(B451,106,$A451,1,100000000)+[1]!b_stm07_bs(B451,76,$A451,1,100000000)+[1]!b_stm07_bs(B451,108,$A451,1,100000000)+[1]!b_stm07_bs(B451,95,$A451,1,100000000))/[1]!b_stm07_bs(B451,128,$A451,1,100000000),"")</f>
        <v/>
      </c>
      <c r="S451" s="28" t="str">
        <f>IFERROR(([1]!s_stmnote_bank_614(B451,$A451,1,2,100000000)+[1]!b_stm07_bs(B451,104,$A451,1,100000000)+[1]!b_stm07_bs(B451,106,$A451,1,100000000)+[1]!b_stm07_bs(B451,76,$A451,1,100000000)+[1]!b_stm07_bs(B451,108,$A451,1,100000000)+[1]!b_stm07_bs(B451,95,$A451,1,100000000))/[1]!b_stm07_bs(B451,128,$A451,1,100000000),"")</f>
        <v/>
      </c>
      <c r="T451" s="11">
        <f>[1]!b_issuer_shareholder(B451,"",1)</f>
        <v>0</v>
      </c>
      <c r="U451" s="10">
        <f>[1]!b_issuer_propofshareholder(B451,"",1)</f>
        <v>0</v>
      </c>
      <c r="V451" s="33" t="str">
        <f t="shared" ref="V451:V514" si="15">LEFT(C451,2)</f>
        <v>0</v>
      </c>
      <c r="W451" s="33">
        <f>[1]!s_info_city(B451)</f>
        <v>0</v>
      </c>
      <c r="X451" s="10">
        <f>IF([1]!s_stmnote_bank_17n(B451,$A451,1)="0","",[1]!s_stmnote_bank_17n(B451,$A451,1))</f>
        <v>0</v>
      </c>
      <c r="Y451" s="10">
        <f>IF([1]!s_stmnote_bank_18n(B451,$A451,1)="0","",[1]!s_stmnote_bank_18n(B451,$A451,1))</f>
        <v>0</v>
      </c>
      <c r="Z451" s="41">
        <f>IF([1]!s_stmnote_bank_58(B451,$A451,1)="0","",[1]!s_stmnote_bank_58(B451,$A451,1))</f>
        <v>0</v>
      </c>
      <c r="AA451" s="52">
        <f>IF([1]!s_stmnote_bank_60(B451,$A451,1)="0","",[1]!s_stmnote_bank_60(B451,$A451,1))</f>
        <v>0</v>
      </c>
      <c r="AB451" s="52">
        <f>[1]!s_stmnote_bank_5444(B451,$A451,1)</f>
        <v>0</v>
      </c>
      <c r="AC451" s="38">
        <f>[1]!s_stmnote_bank_129n($B451,$A451,1)</f>
        <v>0</v>
      </c>
      <c r="AD451" s="54">
        <f>[1]!s_stmnote_bank_30(B451,$A451,1)</f>
        <v>0</v>
      </c>
    </row>
    <row r="452" spans="1:30" ht="24">
      <c r="A452" s="1" t="s">
        <v>1110</v>
      </c>
      <c r="B452" s="87" t="s">
        <v>1560</v>
      </c>
      <c r="C452" s="8">
        <f>IF([1]!b_info_issuer(B452)="0","",IFERROR([1]!b_info_issuer(B452),""))</f>
        <v>0</v>
      </c>
      <c r="D452" s="11">
        <f>IF([1]!b_info_latestissurercreditrating(B452)="0","",IFERROR([1]!b_info_latestissurercreditrating(B452),""))</f>
        <v>0</v>
      </c>
      <c r="E452" s="27" t="str">
        <f>IFERROR(([1]!b_stm07_bs($B452,47,$A452,1,100000000))/[1]!b_stm07_bs($B452,109,$A452,1,100000000),"")</f>
        <v/>
      </c>
      <c r="F452" s="18" t="str">
        <f>IFERROR(([1]!s_stmnote_bank_26($B452,$A452,1,100000000)-[1]!s_stmnote_bank_26($B452,#REF!,1,100000000)+#REF!)/[1]!s_stmnote_bank_1n($B452,#REF!,1,100000000),"")</f>
        <v/>
      </c>
      <c r="G452" s="21" t="str">
        <f t="shared" si="14"/>
        <v/>
      </c>
      <c r="H452" s="18" t="str">
        <f>IFERROR([1]!s_stmnote_bank($B452,"34",$A452,100000000)/[1]!s_stmnote_bank_1n(B452,$A452,1,100000000),"")</f>
        <v/>
      </c>
      <c r="I452" s="25">
        <f>[1]!b_stm07_bs(B452,74,$A452,1,100000000)</f>
        <v>0</v>
      </c>
      <c r="J452" s="25">
        <f>[1]!b_stm07_bs(B452,109,$A452,1,100000000)</f>
        <v>0</v>
      </c>
      <c r="K452" s="10">
        <f>[1]!s_stmnote_bank_5n(B452,$A452,1)</f>
        <v>0</v>
      </c>
      <c r="L452" s="25">
        <f>[1]!s_stmnote_bank_23n(B452,$A452,1)</f>
        <v>0</v>
      </c>
      <c r="M452" s="25">
        <f>[1]!s_stmnote_bank_capadequacyratio(B452,$A452,1)</f>
        <v>0</v>
      </c>
      <c r="N452" s="25">
        <f>[1]!s_stmnote_bank_capadequacyratio_ct1(B452,$A452,1)</f>
        <v>0</v>
      </c>
      <c r="O452" s="6">
        <f>IF(OR([1]!s_fa_roe(B452,20201231)="0",[1]!s_fa_roe(B452,20211231)="0",[1]!s_fa_roe(B452,20221231)="0"),"",IFERROR(([1]!s_fa_roe(B452,20221231)+[1]!s_fa_roe(B452,20201231)+[1]!s_fa_roe(B452,20211231))/3,""))</f>
        <v>0</v>
      </c>
      <c r="P452" s="28" t="str">
        <f>IFERROR(([1]!s_stmnote_bank_65(B452,$A452,1,2,4,100000000)+[1]!s_stmnote_bank_65(B452,$A452,1,2,6,100000000))/[1]!s_stmnote_bank_1n(B452,$A452,1,100000000),"")</f>
        <v/>
      </c>
      <c r="Q452" s="28" t="str">
        <f>IFERROR([1]!s_stmnote_bank_614(B452,$A452,1,2,100000000)/[1]!s_stmnote_bank_647(B452,$A452,1,2,100000000),"")</f>
        <v/>
      </c>
      <c r="R452" s="28" t="str">
        <f>IFERROR(([1]!b_stm07_bs(B452,104,$A452,1,100000000)+[1]!b_stm07_bs(B452,106,$A452,1,100000000)+[1]!b_stm07_bs(B452,76,$A452,1,100000000)+[1]!b_stm07_bs(B452,108,$A452,1,100000000)+[1]!b_stm07_bs(B452,95,$A452,1,100000000))/[1]!b_stm07_bs(B452,128,$A452,1,100000000),"")</f>
        <v/>
      </c>
      <c r="S452" s="28" t="str">
        <f>IFERROR(([1]!s_stmnote_bank_614(B452,$A452,1,2,100000000)+[1]!b_stm07_bs(B452,104,$A452,1,100000000)+[1]!b_stm07_bs(B452,106,$A452,1,100000000)+[1]!b_stm07_bs(B452,76,$A452,1,100000000)+[1]!b_stm07_bs(B452,108,$A452,1,100000000)+[1]!b_stm07_bs(B452,95,$A452,1,100000000))/[1]!b_stm07_bs(B452,128,$A452,1,100000000),"")</f>
        <v/>
      </c>
      <c r="T452" s="11">
        <f>[1]!b_issuer_shareholder(B452,"",1)</f>
        <v>0</v>
      </c>
      <c r="U452" s="10">
        <f>[1]!b_issuer_propofshareholder(B452,"",1)</f>
        <v>0</v>
      </c>
      <c r="V452" s="33" t="str">
        <f t="shared" si="15"/>
        <v>0</v>
      </c>
      <c r="W452" s="33">
        <f>[1]!s_info_city(B452)</f>
        <v>0</v>
      </c>
      <c r="X452" s="10">
        <f>IF([1]!s_stmnote_bank_17n(B452,$A452,1)="0","",[1]!s_stmnote_bank_17n(B452,$A452,1))</f>
        <v>0</v>
      </c>
      <c r="Y452" s="10">
        <f>IF([1]!s_stmnote_bank_18n(B452,$A452,1)="0","",[1]!s_stmnote_bank_18n(B452,$A452,1))</f>
        <v>0</v>
      </c>
      <c r="Z452" s="41">
        <f>IF([1]!s_stmnote_bank_58(B452,$A452,1)="0","",[1]!s_stmnote_bank_58(B452,$A452,1))</f>
        <v>0</v>
      </c>
      <c r="AA452" s="52">
        <f>IF([1]!s_stmnote_bank_60(B452,$A452,1)="0","",[1]!s_stmnote_bank_60(B452,$A452,1))</f>
        <v>0</v>
      </c>
      <c r="AB452" s="52">
        <f>[1]!s_stmnote_bank_5444(B452,$A452,1)</f>
        <v>0</v>
      </c>
      <c r="AC452" s="38">
        <f>[1]!s_stmnote_bank_129n($B452,$A452,1)</f>
        <v>0</v>
      </c>
      <c r="AD452" s="54">
        <f>[1]!s_stmnote_bank_30(B452,$A452,1)</f>
        <v>0</v>
      </c>
    </row>
    <row r="453" spans="1:30" ht="24">
      <c r="A453" s="1" t="s">
        <v>1110</v>
      </c>
      <c r="B453" s="87" t="s">
        <v>1561</v>
      </c>
      <c r="C453" s="8">
        <f>IF([1]!b_info_issuer(B453)="0","",IFERROR([1]!b_info_issuer(B453),""))</f>
        <v>0</v>
      </c>
      <c r="D453" s="11">
        <f>IF([1]!b_info_latestissurercreditrating(B453)="0","",IFERROR([1]!b_info_latestissurercreditrating(B453),""))</f>
        <v>0</v>
      </c>
      <c r="E453" s="27" t="str">
        <f>IFERROR(([1]!b_stm07_bs($B453,47,$A453,1,100000000))/[1]!b_stm07_bs($B453,109,$A453,1,100000000),"")</f>
        <v/>
      </c>
      <c r="F453" s="18" t="str">
        <f>IFERROR(([1]!s_stmnote_bank_26($B453,$A453,1,100000000)-[1]!s_stmnote_bank_26($B453,#REF!,1,100000000)+#REF!)/[1]!s_stmnote_bank_1n($B453,#REF!,1,100000000),"")</f>
        <v/>
      </c>
      <c r="G453" s="21" t="str">
        <f t="shared" si="14"/>
        <v/>
      </c>
      <c r="H453" s="18" t="str">
        <f>IFERROR([1]!s_stmnote_bank($B453,"34",$A453,100000000)/[1]!s_stmnote_bank_1n(B453,$A453,1,100000000),"")</f>
        <v/>
      </c>
      <c r="I453" s="25">
        <f>[1]!b_stm07_bs(B453,74,$A453,1,100000000)</f>
        <v>0</v>
      </c>
      <c r="J453" s="25">
        <f>[1]!b_stm07_bs(B453,109,$A453,1,100000000)</f>
        <v>0</v>
      </c>
      <c r="K453" s="10">
        <f>[1]!s_stmnote_bank_5n(B453,$A453,1)</f>
        <v>0</v>
      </c>
      <c r="L453" s="25">
        <f>[1]!s_stmnote_bank_23n(B453,$A453,1)</f>
        <v>0</v>
      </c>
      <c r="M453" s="25">
        <f>[1]!s_stmnote_bank_capadequacyratio(B453,$A453,1)</f>
        <v>0</v>
      </c>
      <c r="N453" s="25">
        <f>[1]!s_stmnote_bank_capadequacyratio_ct1(B453,$A453,1)</f>
        <v>0</v>
      </c>
      <c r="O453" s="6">
        <f>IF(OR([1]!s_fa_roe(B453,20201231)="0",[1]!s_fa_roe(B453,20211231)="0",[1]!s_fa_roe(B453,20221231)="0"),"",IFERROR(([1]!s_fa_roe(B453,20221231)+[1]!s_fa_roe(B453,20201231)+[1]!s_fa_roe(B453,20211231))/3,""))</f>
        <v>0</v>
      </c>
      <c r="P453" s="28" t="str">
        <f>IFERROR(([1]!s_stmnote_bank_65(B453,$A453,1,2,4,100000000)+[1]!s_stmnote_bank_65(B453,$A453,1,2,6,100000000))/[1]!s_stmnote_bank_1n(B453,$A453,1,100000000),"")</f>
        <v/>
      </c>
      <c r="Q453" s="28" t="str">
        <f>IFERROR([1]!s_stmnote_bank_614(B453,$A453,1,2,100000000)/[1]!s_stmnote_bank_647(B453,$A453,1,2,100000000),"")</f>
        <v/>
      </c>
      <c r="R453" s="28" t="str">
        <f>IFERROR(([1]!b_stm07_bs(B453,104,$A453,1,100000000)+[1]!b_stm07_bs(B453,106,$A453,1,100000000)+[1]!b_stm07_bs(B453,76,$A453,1,100000000)+[1]!b_stm07_bs(B453,108,$A453,1,100000000)+[1]!b_stm07_bs(B453,95,$A453,1,100000000))/[1]!b_stm07_bs(B453,128,$A453,1,100000000),"")</f>
        <v/>
      </c>
      <c r="S453" s="28" t="str">
        <f>IFERROR(([1]!s_stmnote_bank_614(B453,$A453,1,2,100000000)+[1]!b_stm07_bs(B453,104,$A453,1,100000000)+[1]!b_stm07_bs(B453,106,$A453,1,100000000)+[1]!b_stm07_bs(B453,76,$A453,1,100000000)+[1]!b_stm07_bs(B453,108,$A453,1,100000000)+[1]!b_stm07_bs(B453,95,$A453,1,100000000))/[1]!b_stm07_bs(B453,128,$A453,1,100000000),"")</f>
        <v/>
      </c>
      <c r="T453" s="11">
        <f>[1]!b_issuer_shareholder(B453,"",1)</f>
        <v>0</v>
      </c>
      <c r="U453" s="10">
        <f>[1]!b_issuer_propofshareholder(B453,"",1)</f>
        <v>0</v>
      </c>
      <c r="V453" s="33" t="str">
        <f t="shared" si="15"/>
        <v>0</v>
      </c>
      <c r="W453" s="33">
        <f>[1]!s_info_city(B453)</f>
        <v>0</v>
      </c>
      <c r="X453" s="10">
        <f>IF([1]!s_stmnote_bank_17n(B453,$A453,1)="0","",[1]!s_stmnote_bank_17n(B453,$A453,1))</f>
        <v>0</v>
      </c>
      <c r="Y453" s="10">
        <f>IF([1]!s_stmnote_bank_18n(B453,$A453,1)="0","",[1]!s_stmnote_bank_18n(B453,$A453,1))</f>
        <v>0</v>
      </c>
      <c r="Z453" s="41">
        <f>IF([1]!s_stmnote_bank_58(B453,$A453,1)="0","",[1]!s_stmnote_bank_58(B453,$A453,1))</f>
        <v>0</v>
      </c>
      <c r="AA453" s="52">
        <f>IF([1]!s_stmnote_bank_60(B453,$A453,1)="0","",[1]!s_stmnote_bank_60(B453,$A453,1))</f>
        <v>0</v>
      </c>
      <c r="AB453" s="52">
        <f>[1]!s_stmnote_bank_5444(B453,$A453,1)</f>
        <v>0</v>
      </c>
      <c r="AC453" s="38">
        <f>[1]!s_stmnote_bank_129n($B453,$A453,1)</f>
        <v>0</v>
      </c>
      <c r="AD453" s="54">
        <f>[1]!s_stmnote_bank_30(B453,$A453,1)</f>
        <v>0</v>
      </c>
    </row>
    <row r="454" spans="1:30" ht="24">
      <c r="A454" s="1" t="s">
        <v>1110</v>
      </c>
      <c r="B454" s="87" t="s">
        <v>1562</v>
      </c>
      <c r="C454" s="8">
        <f>IF([1]!b_info_issuer(B454)="0","",IFERROR([1]!b_info_issuer(B454),""))</f>
        <v>0</v>
      </c>
      <c r="D454" s="11">
        <f>IF([1]!b_info_latestissurercreditrating(B454)="0","",IFERROR([1]!b_info_latestissurercreditrating(B454),""))</f>
        <v>0</v>
      </c>
      <c r="E454" s="27" t="str">
        <f>IFERROR(([1]!b_stm07_bs($B454,47,$A454,1,100000000))/[1]!b_stm07_bs($B454,109,$A454,1,100000000),"")</f>
        <v/>
      </c>
      <c r="F454" s="18" t="str">
        <f>IFERROR(([1]!s_stmnote_bank_26($B454,$A454,1,100000000)-[1]!s_stmnote_bank_26($B454,#REF!,1,100000000)+#REF!)/[1]!s_stmnote_bank_1n($B454,#REF!,1,100000000),"")</f>
        <v/>
      </c>
      <c r="G454" s="21" t="str">
        <f t="shared" si="14"/>
        <v/>
      </c>
      <c r="H454" s="18" t="str">
        <f>IFERROR([1]!s_stmnote_bank($B454,"34",$A454,100000000)/[1]!s_stmnote_bank_1n(B454,$A454,1,100000000),"")</f>
        <v/>
      </c>
      <c r="I454" s="25">
        <f>[1]!b_stm07_bs(B454,74,$A454,1,100000000)</f>
        <v>0</v>
      </c>
      <c r="J454" s="25">
        <f>[1]!b_stm07_bs(B454,109,$A454,1,100000000)</f>
        <v>0</v>
      </c>
      <c r="K454" s="10">
        <f>[1]!s_stmnote_bank_5n(B454,$A454,1)</f>
        <v>0</v>
      </c>
      <c r="L454" s="25">
        <f>[1]!s_stmnote_bank_23n(B454,$A454,1)</f>
        <v>0</v>
      </c>
      <c r="M454" s="25">
        <f>[1]!s_stmnote_bank_capadequacyratio(B454,$A454,1)</f>
        <v>0</v>
      </c>
      <c r="N454" s="25">
        <f>[1]!s_stmnote_bank_capadequacyratio_ct1(B454,$A454,1)</f>
        <v>0</v>
      </c>
      <c r="O454" s="6">
        <f>IF(OR([1]!s_fa_roe(B454,20201231)="0",[1]!s_fa_roe(B454,20211231)="0",[1]!s_fa_roe(B454,20221231)="0"),"",IFERROR(([1]!s_fa_roe(B454,20221231)+[1]!s_fa_roe(B454,20201231)+[1]!s_fa_roe(B454,20211231))/3,""))</f>
        <v>0</v>
      </c>
      <c r="P454" s="28" t="str">
        <f>IFERROR(([1]!s_stmnote_bank_65(B454,$A454,1,2,4,100000000)+[1]!s_stmnote_bank_65(B454,$A454,1,2,6,100000000))/[1]!s_stmnote_bank_1n(B454,$A454,1,100000000),"")</f>
        <v/>
      </c>
      <c r="Q454" s="28" t="str">
        <f>IFERROR([1]!s_stmnote_bank_614(B454,$A454,1,2,100000000)/[1]!s_stmnote_bank_647(B454,$A454,1,2,100000000),"")</f>
        <v/>
      </c>
      <c r="R454" s="28" t="str">
        <f>IFERROR(([1]!b_stm07_bs(B454,104,$A454,1,100000000)+[1]!b_stm07_bs(B454,106,$A454,1,100000000)+[1]!b_stm07_bs(B454,76,$A454,1,100000000)+[1]!b_stm07_bs(B454,108,$A454,1,100000000)+[1]!b_stm07_bs(B454,95,$A454,1,100000000))/[1]!b_stm07_bs(B454,128,$A454,1,100000000),"")</f>
        <v/>
      </c>
      <c r="S454" s="28" t="str">
        <f>IFERROR(([1]!s_stmnote_bank_614(B454,$A454,1,2,100000000)+[1]!b_stm07_bs(B454,104,$A454,1,100000000)+[1]!b_stm07_bs(B454,106,$A454,1,100000000)+[1]!b_stm07_bs(B454,76,$A454,1,100000000)+[1]!b_stm07_bs(B454,108,$A454,1,100000000)+[1]!b_stm07_bs(B454,95,$A454,1,100000000))/[1]!b_stm07_bs(B454,128,$A454,1,100000000),"")</f>
        <v/>
      </c>
      <c r="T454" s="11">
        <f>[1]!b_issuer_shareholder(B454,"",1)</f>
        <v>0</v>
      </c>
      <c r="U454" s="10">
        <f>[1]!b_issuer_propofshareholder(B454,"",1)</f>
        <v>0</v>
      </c>
      <c r="V454" s="33" t="str">
        <f t="shared" si="15"/>
        <v>0</v>
      </c>
      <c r="W454" s="33">
        <f>[1]!s_info_city(B454)</f>
        <v>0</v>
      </c>
      <c r="X454" s="10">
        <f>IF([1]!s_stmnote_bank_17n(B454,$A454,1)="0","",[1]!s_stmnote_bank_17n(B454,$A454,1))</f>
        <v>0</v>
      </c>
      <c r="Y454" s="10">
        <f>IF([1]!s_stmnote_bank_18n(B454,$A454,1)="0","",[1]!s_stmnote_bank_18n(B454,$A454,1))</f>
        <v>0</v>
      </c>
      <c r="Z454" s="41">
        <f>IF([1]!s_stmnote_bank_58(B454,$A454,1)="0","",[1]!s_stmnote_bank_58(B454,$A454,1))</f>
        <v>0</v>
      </c>
      <c r="AA454" s="52">
        <f>IF([1]!s_stmnote_bank_60(B454,$A454,1)="0","",[1]!s_stmnote_bank_60(B454,$A454,1))</f>
        <v>0</v>
      </c>
      <c r="AB454" s="52">
        <f>[1]!s_stmnote_bank_5444(B454,$A454,1)</f>
        <v>0</v>
      </c>
      <c r="AC454" s="38">
        <f>[1]!s_stmnote_bank_129n($B454,$A454,1)</f>
        <v>0</v>
      </c>
      <c r="AD454" s="54">
        <f>[1]!s_stmnote_bank_30(B454,$A454,1)</f>
        <v>0</v>
      </c>
    </row>
    <row r="455" spans="1:30" ht="24">
      <c r="A455" s="1" t="s">
        <v>1110</v>
      </c>
      <c r="B455" s="87" t="s">
        <v>1563</v>
      </c>
      <c r="C455" s="8">
        <f>IF([1]!b_info_issuer(B455)="0","",IFERROR([1]!b_info_issuer(B455),""))</f>
        <v>0</v>
      </c>
      <c r="D455" s="11">
        <f>IF([1]!b_info_latestissurercreditrating(B455)="0","",IFERROR([1]!b_info_latestissurercreditrating(B455),""))</f>
        <v>0</v>
      </c>
      <c r="E455" s="27" t="str">
        <f>IFERROR(([1]!b_stm07_bs($B455,47,$A455,1,100000000))/[1]!b_stm07_bs($B455,109,$A455,1,100000000),"")</f>
        <v/>
      </c>
      <c r="F455" s="18" t="str">
        <f>IFERROR(([1]!s_stmnote_bank_26($B455,$A455,1,100000000)-[1]!s_stmnote_bank_26($B455,#REF!,1,100000000)+#REF!)/[1]!s_stmnote_bank_1n($B455,#REF!,1,100000000),"")</f>
        <v/>
      </c>
      <c r="G455" s="21" t="str">
        <f t="shared" si="14"/>
        <v/>
      </c>
      <c r="H455" s="18" t="str">
        <f>IFERROR([1]!s_stmnote_bank($B455,"34",$A455,100000000)/[1]!s_stmnote_bank_1n(B455,$A455,1,100000000),"")</f>
        <v/>
      </c>
      <c r="I455" s="25">
        <f>[1]!b_stm07_bs(B455,74,$A455,1,100000000)</f>
        <v>0</v>
      </c>
      <c r="J455" s="25">
        <f>[1]!b_stm07_bs(B455,109,$A455,1,100000000)</f>
        <v>0</v>
      </c>
      <c r="K455" s="10">
        <f>[1]!s_stmnote_bank_5n(B455,$A455,1)</f>
        <v>0</v>
      </c>
      <c r="L455" s="25">
        <f>[1]!s_stmnote_bank_23n(B455,$A455,1)</f>
        <v>0</v>
      </c>
      <c r="M455" s="25">
        <f>[1]!s_stmnote_bank_capadequacyratio(B455,$A455,1)</f>
        <v>0</v>
      </c>
      <c r="N455" s="25">
        <f>[1]!s_stmnote_bank_capadequacyratio_ct1(B455,$A455,1)</f>
        <v>0</v>
      </c>
      <c r="O455" s="6">
        <f>IF(OR([1]!s_fa_roe(B455,20201231)="0",[1]!s_fa_roe(B455,20211231)="0",[1]!s_fa_roe(B455,20221231)="0"),"",IFERROR(([1]!s_fa_roe(B455,20221231)+[1]!s_fa_roe(B455,20201231)+[1]!s_fa_roe(B455,20211231))/3,""))</f>
        <v>0</v>
      </c>
      <c r="P455" s="28" t="str">
        <f>IFERROR(([1]!s_stmnote_bank_65(B455,$A455,1,2,4,100000000)+[1]!s_stmnote_bank_65(B455,$A455,1,2,6,100000000))/[1]!s_stmnote_bank_1n(B455,$A455,1,100000000),"")</f>
        <v/>
      </c>
      <c r="Q455" s="28" t="str">
        <f>IFERROR([1]!s_stmnote_bank_614(B455,$A455,1,2,100000000)/[1]!s_stmnote_bank_647(B455,$A455,1,2,100000000),"")</f>
        <v/>
      </c>
      <c r="R455" s="28" t="str">
        <f>IFERROR(([1]!b_stm07_bs(B455,104,$A455,1,100000000)+[1]!b_stm07_bs(B455,106,$A455,1,100000000)+[1]!b_stm07_bs(B455,76,$A455,1,100000000)+[1]!b_stm07_bs(B455,108,$A455,1,100000000)+[1]!b_stm07_bs(B455,95,$A455,1,100000000))/[1]!b_stm07_bs(B455,128,$A455,1,100000000),"")</f>
        <v/>
      </c>
      <c r="S455" s="28" t="str">
        <f>IFERROR(([1]!s_stmnote_bank_614(B455,$A455,1,2,100000000)+[1]!b_stm07_bs(B455,104,$A455,1,100000000)+[1]!b_stm07_bs(B455,106,$A455,1,100000000)+[1]!b_stm07_bs(B455,76,$A455,1,100000000)+[1]!b_stm07_bs(B455,108,$A455,1,100000000)+[1]!b_stm07_bs(B455,95,$A455,1,100000000))/[1]!b_stm07_bs(B455,128,$A455,1,100000000),"")</f>
        <v/>
      </c>
      <c r="T455" s="11">
        <f>[1]!b_issuer_shareholder(B455,"",1)</f>
        <v>0</v>
      </c>
      <c r="U455" s="10">
        <f>[1]!b_issuer_propofshareholder(B455,"",1)</f>
        <v>0</v>
      </c>
      <c r="V455" s="33" t="str">
        <f t="shared" si="15"/>
        <v>0</v>
      </c>
      <c r="W455" s="33">
        <f>[1]!s_info_city(B455)</f>
        <v>0</v>
      </c>
      <c r="X455" s="10">
        <f>IF([1]!s_stmnote_bank_17n(B455,$A455,1)="0","",[1]!s_stmnote_bank_17n(B455,$A455,1))</f>
        <v>0</v>
      </c>
      <c r="Y455" s="10">
        <f>IF([1]!s_stmnote_bank_18n(B455,$A455,1)="0","",[1]!s_stmnote_bank_18n(B455,$A455,1))</f>
        <v>0</v>
      </c>
      <c r="Z455" s="41">
        <f>IF([1]!s_stmnote_bank_58(B455,$A455,1)="0","",[1]!s_stmnote_bank_58(B455,$A455,1))</f>
        <v>0</v>
      </c>
      <c r="AA455" s="52">
        <f>IF([1]!s_stmnote_bank_60(B455,$A455,1)="0","",[1]!s_stmnote_bank_60(B455,$A455,1))</f>
        <v>0</v>
      </c>
      <c r="AB455" s="52">
        <f>[1]!s_stmnote_bank_5444(B455,$A455,1)</f>
        <v>0</v>
      </c>
      <c r="AC455" s="38">
        <f>[1]!s_stmnote_bank_129n($B455,$A455,1)</f>
        <v>0</v>
      </c>
      <c r="AD455" s="54">
        <f>[1]!s_stmnote_bank_30(B455,$A455,1)</f>
        <v>0</v>
      </c>
    </row>
    <row r="456" spans="1:30" ht="24">
      <c r="A456" s="1" t="s">
        <v>1110</v>
      </c>
      <c r="B456" s="87" t="s">
        <v>1564</v>
      </c>
      <c r="C456" s="8">
        <f>IF([1]!b_info_issuer(B456)="0","",IFERROR([1]!b_info_issuer(B456),""))</f>
        <v>0</v>
      </c>
      <c r="D456" s="11">
        <f>IF([1]!b_info_latestissurercreditrating(B456)="0","",IFERROR([1]!b_info_latestissurercreditrating(B456),""))</f>
        <v>0</v>
      </c>
      <c r="E456" s="27" t="str">
        <f>IFERROR(([1]!b_stm07_bs($B456,47,$A456,1,100000000))/[1]!b_stm07_bs($B456,109,$A456,1,100000000),"")</f>
        <v/>
      </c>
      <c r="F456" s="18" t="str">
        <f>IFERROR(([1]!s_stmnote_bank_26($B456,$A456,1,100000000)-[1]!s_stmnote_bank_26($B456,#REF!,1,100000000)+#REF!)/[1]!s_stmnote_bank_1n($B456,#REF!,1,100000000),"")</f>
        <v/>
      </c>
      <c r="G456" s="21" t="str">
        <f t="shared" si="14"/>
        <v/>
      </c>
      <c r="H456" s="18" t="str">
        <f>IFERROR([1]!s_stmnote_bank($B456,"34",$A456,100000000)/[1]!s_stmnote_bank_1n(B456,$A456,1,100000000),"")</f>
        <v/>
      </c>
      <c r="I456" s="25">
        <f>[1]!b_stm07_bs(B456,74,$A456,1,100000000)</f>
        <v>0</v>
      </c>
      <c r="J456" s="25">
        <f>[1]!b_stm07_bs(B456,109,$A456,1,100000000)</f>
        <v>0</v>
      </c>
      <c r="K456" s="10">
        <f>[1]!s_stmnote_bank_5n(B456,$A456,1)</f>
        <v>0</v>
      </c>
      <c r="L456" s="25">
        <f>[1]!s_stmnote_bank_23n(B456,$A456,1)</f>
        <v>0</v>
      </c>
      <c r="M456" s="25">
        <f>[1]!s_stmnote_bank_capadequacyratio(B456,$A456,1)</f>
        <v>0</v>
      </c>
      <c r="N456" s="25">
        <f>[1]!s_stmnote_bank_capadequacyratio_ct1(B456,$A456,1)</f>
        <v>0</v>
      </c>
      <c r="O456" s="6">
        <f>IF(OR([1]!s_fa_roe(B456,20201231)="0",[1]!s_fa_roe(B456,20211231)="0",[1]!s_fa_roe(B456,20221231)="0"),"",IFERROR(([1]!s_fa_roe(B456,20221231)+[1]!s_fa_roe(B456,20201231)+[1]!s_fa_roe(B456,20211231))/3,""))</f>
        <v>0</v>
      </c>
      <c r="P456" s="28" t="str">
        <f>IFERROR(([1]!s_stmnote_bank_65(B456,$A456,1,2,4,100000000)+[1]!s_stmnote_bank_65(B456,$A456,1,2,6,100000000))/[1]!s_stmnote_bank_1n(B456,$A456,1,100000000),"")</f>
        <v/>
      </c>
      <c r="Q456" s="28" t="str">
        <f>IFERROR([1]!s_stmnote_bank_614(B456,$A456,1,2,100000000)/[1]!s_stmnote_bank_647(B456,$A456,1,2,100000000),"")</f>
        <v/>
      </c>
      <c r="R456" s="28" t="str">
        <f>IFERROR(([1]!b_stm07_bs(B456,104,$A456,1,100000000)+[1]!b_stm07_bs(B456,106,$A456,1,100000000)+[1]!b_stm07_bs(B456,76,$A456,1,100000000)+[1]!b_stm07_bs(B456,108,$A456,1,100000000)+[1]!b_stm07_bs(B456,95,$A456,1,100000000))/[1]!b_stm07_bs(B456,128,$A456,1,100000000),"")</f>
        <v/>
      </c>
      <c r="S456" s="28" t="str">
        <f>IFERROR(([1]!s_stmnote_bank_614(B456,$A456,1,2,100000000)+[1]!b_stm07_bs(B456,104,$A456,1,100000000)+[1]!b_stm07_bs(B456,106,$A456,1,100000000)+[1]!b_stm07_bs(B456,76,$A456,1,100000000)+[1]!b_stm07_bs(B456,108,$A456,1,100000000)+[1]!b_stm07_bs(B456,95,$A456,1,100000000))/[1]!b_stm07_bs(B456,128,$A456,1,100000000),"")</f>
        <v/>
      </c>
      <c r="T456" s="11">
        <f>[1]!b_issuer_shareholder(B456,"",1)</f>
        <v>0</v>
      </c>
      <c r="U456" s="10">
        <f>[1]!b_issuer_propofshareholder(B456,"",1)</f>
        <v>0</v>
      </c>
      <c r="V456" s="33" t="str">
        <f t="shared" si="15"/>
        <v>0</v>
      </c>
      <c r="W456" s="33">
        <f>[1]!s_info_city(B456)</f>
        <v>0</v>
      </c>
      <c r="X456" s="10">
        <f>IF([1]!s_stmnote_bank_17n(B456,$A456,1)="0","",[1]!s_stmnote_bank_17n(B456,$A456,1))</f>
        <v>0</v>
      </c>
      <c r="Y456" s="10">
        <f>IF([1]!s_stmnote_bank_18n(B456,$A456,1)="0","",[1]!s_stmnote_bank_18n(B456,$A456,1))</f>
        <v>0</v>
      </c>
      <c r="Z456" s="41">
        <f>IF([1]!s_stmnote_bank_58(B456,$A456,1)="0","",[1]!s_stmnote_bank_58(B456,$A456,1))</f>
        <v>0</v>
      </c>
      <c r="AA456" s="52">
        <f>IF([1]!s_stmnote_bank_60(B456,$A456,1)="0","",[1]!s_stmnote_bank_60(B456,$A456,1))</f>
        <v>0</v>
      </c>
      <c r="AB456" s="52">
        <f>[1]!s_stmnote_bank_5444(B456,$A456,1)</f>
        <v>0</v>
      </c>
      <c r="AC456" s="38">
        <f>[1]!s_stmnote_bank_129n($B456,$A456,1)</f>
        <v>0</v>
      </c>
      <c r="AD456" s="54">
        <f>[1]!s_stmnote_bank_30(B456,$A456,1)</f>
        <v>0</v>
      </c>
    </row>
    <row r="457" spans="1:30" ht="24">
      <c r="A457" s="1" t="s">
        <v>1110</v>
      </c>
      <c r="B457" s="87" t="s">
        <v>1565</v>
      </c>
      <c r="C457" s="8">
        <f>IF([1]!b_info_issuer(B457)="0","",IFERROR([1]!b_info_issuer(B457),""))</f>
        <v>0</v>
      </c>
      <c r="D457" s="11">
        <f>IF([1]!b_info_latestissurercreditrating(B457)="0","",IFERROR([1]!b_info_latestissurercreditrating(B457),""))</f>
        <v>0</v>
      </c>
      <c r="E457" s="27" t="str">
        <f>IFERROR(([1]!b_stm07_bs($B457,47,$A457,1,100000000))/[1]!b_stm07_bs($B457,109,$A457,1,100000000),"")</f>
        <v/>
      </c>
      <c r="F457" s="18" t="str">
        <f>IFERROR(([1]!s_stmnote_bank_26($B457,$A457,1,100000000)-[1]!s_stmnote_bank_26($B457,#REF!,1,100000000)+#REF!)/[1]!s_stmnote_bank_1n($B457,#REF!,1,100000000),"")</f>
        <v/>
      </c>
      <c r="G457" s="21" t="str">
        <f t="shared" si="14"/>
        <v/>
      </c>
      <c r="H457" s="18" t="str">
        <f>IFERROR([1]!s_stmnote_bank($B457,"34",$A457,100000000)/[1]!s_stmnote_bank_1n(B457,$A457,1,100000000),"")</f>
        <v/>
      </c>
      <c r="I457" s="25">
        <f>[1]!b_stm07_bs(B457,74,$A457,1,100000000)</f>
        <v>0</v>
      </c>
      <c r="J457" s="25">
        <f>[1]!b_stm07_bs(B457,109,$A457,1,100000000)</f>
        <v>0</v>
      </c>
      <c r="K457" s="10">
        <f>[1]!s_stmnote_bank_5n(B457,$A457,1)</f>
        <v>0</v>
      </c>
      <c r="L457" s="25">
        <f>[1]!s_stmnote_bank_23n(B457,$A457,1)</f>
        <v>0</v>
      </c>
      <c r="M457" s="25">
        <f>[1]!s_stmnote_bank_capadequacyratio(B457,$A457,1)</f>
        <v>0</v>
      </c>
      <c r="N457" s="25">
        <f>[1]!s_stmnote_bank_capadequacyratio_ct1(B457,$A457,1)</f>
        <v>0</v>
      </c>
      <c r="O457" s="6">
        <f>IF(OR([1]!s_fa_roe(B457,20201231)="0",[1]!s_fa_roe(B457,20211231)="0",[1]!s_fa_roe(B457,20221231)="0"),"",IFERROR(([1]!s_fa_roe(B457,20221231)+[1]!s_fa_roe(B457,20201231)+[1]!s_fa_roe(B457,20211231))/3,""))</f>
        <v>0</v>
      </c>
      <c r="P457" s="28" t="str">
        <f>IFERROR(([1]!s_stmnote_bank_65(B457,$A457,1,2,4,100000000)+[1]!s_stmnote_bank_65(B457,$A457,1,2,6,100000000))/[1]!s_stmnote_bank_1n(B457,$A457,1,100000000),"")</f>
        <v/>
      </c>
      <c r="Q457" s="28" t="str">
        <f>IFERROR([1]!s_stmnote_bank_614(B457,$A457,1,2,100000000)/[1]!s_stmnote_bank_647(B457,$A457,1,2,100000000),"")</f>
        <v/>
      </c>
      <c r="R457" s="28" t="str">
        <f>IFERROR(([1]!b_stm07_bs(B457,104,$A457,1,100000000)+[1]!b_stm07_bs(B457,106,$A457,1,100000000)+[1]!b_stm07_bs(B457,76,$A457,1,100000000)+[1]!b_stm07_bs(B457,108,$A457,1,100000000)+[1]!b_stm07_bs(B457,95,$A457,1,100000000))/[1]!b_stm07_bs(B457,128,$A457,1,100000000),"")</f>
        <v/>
      </c>
      <c r="S457" s="28" t="str">
        <f>IFERROR(([1]!s_stmnote_bank_614(B457,$A457,1,2,100000000)+[1]!b_stm07_bs(B457,104,$A457,1,100000000)+[1]!b_stm07_bs(B457,106,$A457,1,100000000)+[1]!b_stm07_bs(B457,76,$A457,1,100000000)+[1]!b_stm07_bs(B457,108,$A457,1,100000000)+[1]!b_stm07_bs(B457,95,$A457,1,100000000))/[1]!b_stm07_bs(B457,128,$A457,1,100000000),"")</f>
        <v/>
      </c>
      <c r="T457" s="11">
        <f>[1]!b_issuer_shareholder(B457,"",1)</f>
        <v>0</v>
      </c>
      <c r="U457" s="10">
        <f>[1]!b_issuer_propofshareholder(B457,"",1)</f>
        <v>0</v>
      </c>
      <c r="V457" s="33" t="str">
        <f t="shared" si="15"/>
        <v>0</v>
      </c>
      <c r="W457" s="33">
        <f>[1]!s_info_city(B457)</f>
        <v>0</v>
      </c>
      <c r="X457" s="10">
        <f>IF([1]!s_stmnote_bank_17n(B457,$A457,1)="0","",[1]!s_stmnote_bank_17n(B457,$A457,1))</f>
        <v>0</v>
      </c>
      <c r="Y457" s="10">
        <f>IF([1]!s_stmnote_bank_18n(B457,$A457,1)="0","",[1]!s_stmnote_bank_18n(B457,$A457,1))</f>
        <v>0</v>
      </c>
      <c r="Z457" s="41">
        <f>IF([1]!s_stmnote_bank_58(B457,$A457,1)="0","",[1]!s_stmnote_bank_58(B457,$A457,1))</f>
        <v>0</v>
      </c>
      <c r="AA457" s="52">
        <f>IF([1]!s_stmnote_bank_60(B457,$A457,1)="0","",[1]!s_stmnote_bank_60(B457,$A457,1))</f>
        <v>0</v>
      </c>
      <c r="AB457" s="52">
        <f>[1]!s_stmnote_bank_5444(B457,$A457,1)</f>
        <v>0</v>
      </c>
      <c r="AC457" s="38">
        <f>[1]!s_stmnote_bank_129n($B457,$A457,1)</f>
        <v>0</v>
      </c>
      <c r="AD457" s="54">
        <f>[1]!s_stmnote_bank_30(B457,$A457,1)</f>
        <v>0</v>
      </c>
    </row>
    <row r="458" spans="1:30" ht="24">
      <c r="A458" s="1" t="s">
        <v>1110</v>
      </c>
      <c r="B458" s="87" t="s">
        <v>1566</v>
      </c>
      <c r="C458" s="8">
        <f>IF([1]!b_info_issuer(B458)="0","",IFERROR([1]!b_info_issuer(B458),""))</f>
        <v>0</v>
      </c>
      <c r="D458" s="11">
        <f>IF([1]!b_info_latestissurercreditrating(B458)="0","",IFERROR([1]!b_info_latestissurercreditrating(B458),""))</f>
        <v>0</v>
      </c>
      <c r="E458" s="27" t="str">
        <f>IFERROR(([1]!b_stm07_bs($B458,47,$A458,1,100000000))/[1]!b_stm07_bs($B458,109,$A458,1,100000000),"")</f>
        <v/>
      </c>
      <c r="F458" s="18" t="str">
        <f>IFERROR(([1]!s_stmnote_bank_26($B458,$A458,1,100000000)-[1]!s_stmnote_bank_26($B458,#REF!,1,100000000)+#REF!)/[1]!s_stmnote_bank_1n($B458,#REF!,1,100000000),"")</f>
        <v/>
      </c>
      <c r="G458" s="21" t="str">
        <f t="shared" si="14"/>
        <v/>
      </c>
      <c r="H458" s="18" t="str">
        <f>IFERROR([1]!s_stmnote_bank($B458,"34",$A458,100000000)/[1]!s_stmnote_bank_1n(B458,$A458,1,100000000),"")</f>
        <v/>
      </c>
      <c r="I458" s="25">
        <f>[1]!b_stm07_bs(B458,74,$A458,1,100000000)</f>
        <v>0</v>
      </c>
      <c r="J458" s="25">
        <f>[1]!b_stm07_bs(B458,109,$A458,1,100000000)</f>
        <v>0</v>
      </c>
      <c r="K458" s="10">
        <f>[1]!s_stmnote_bank_5n(B458,$A458,1)</f>
        <v>0</v>
      </c>
      <c r="L458" s="25">
        <f>[1]!s_stmnote_bank_23n(B458,$A458,1)</f>
        <v>0</v>
      </c>
      <c r="M458" s="25">
        <f>[1]!s_stmnote_bank_capadequacyratio(B458,$A458,1)</f>
        <v>0</v>
      </c>
      <c r="N458" s="25">
        <f>[1]!s_stmnote_bank_capadequacyratio_ct1(B458,$A458,1)</f>
        <v>0</v>
      </c>
      <c r="O458" s="6">
        <f>IF(OR([1]!s_fa_roe(B458,20201231)="0",[1]!s_fa_roe(B458,20211231)="0",[1]!s_fa_roe(B458,20221231)="0"),"",IFERROR(([1]!s_fa_roe(B458,20221231)+[1]!s_fa_roe(B458,20201231)+[1]!s_fa_roe(B458,20211231))/3,""))</f>
        <v>0</v>
      </c>
      <c r="P458" s="28" t="str">
        <f>IFERROR(([1]!s_stmnote_bank_65(B458,$A458,1,2,4,100000000)+[1]!s_stmnote_bank_65(B458,$A458,1,2,6,100000000))/[1]!s_stmnote_bank_1n(B458,$A458,1,100000000),"")</f>
        <v/>
      </c>
      <c r="Q458" s="28" t="str">
        <f>IFERROR([1]!s_stmnote_bank_614(B458,$A458,1,2,100000000)/[1]!s_stmnote_bank_647(B458,$A458,1,2,100000000),"")</f>
        <v/>
      </c>
      <c r="R458" s="28" t="str">
        <f>IFERROR(([1]!b_stm07_bs(B458,104,$A458,1,100000000)+[1]!b_stm07_bs(B458,106,$A458,1,100000000)+[1]!b_stm07_bs(B458,76,$A458,1,100000000)+[1]!b_stm07_bs(B458,108,$A458,1,100000000)+[1]!b_stm07_bs(B458,95,$A458,1,100000000))/[1]!b_stm07_bs(B458,128,$A458,1,100000000),"")</f>
        <v/>
      </c>
      <c r="S458" s="28" t="str">
        <f>IFERROR(([1]!s_stmnote_bank_614(B458,$A458,1,2,100000000)+[1]!b_stm07_bs(B458,104,$A458,1,100000000)+[1]!b_stm07_bs(B458,106,$A458,1,100000000)+[1]!b_stm07_bs(B458,76,$A458,1,100000000)+[1]!b_stm07_bs(B458,108,$A458,1,100000000)+[1]!b_stm07_bs(B458,95,$A458,1,100000000))/[1]!b_stm07_bs(B458,128,$A458,1,100000000),"")</f>
        <v/>
      </c>
      <c r="T458" s="11">
        <f>[1]!b_issuer_shareholder(B458,"",1)</f>
        <v>0</v>
      </c>
      <c r="U458" s="10">
        <f>[1]!b_issuer_propofshareholder(B458,"",1)</f>
        <v>0</v>
      </c>
      <c r="V458" s="33" t="str">
        <f t="shared" si="15"/>
        <v>0</v>
      </c>
      <c r="W458" s="33">
        <f>[1]!s_info_city(B458)</f>
        <v>0</v>
      </c>
      <c r="X458" s="10">
        <f>IF([1]!s_stmnote_bank_17n(B458,$A458,1)="0","",[1]!s_stmnote_bank_17n(B458,$A458,1))</f>
        <v>0</v>
      </c>
      <c r="Y458" s="10">
        <f>IF([1]!s_stmnote_bank_18n(B458,$A458,1)="0","",[1]!s_stmnote_bank_18n(B458,$A458,1))</f>
        <v>0</v>
      </c>
      <c r="Z458" s="41">
        <f>IF([1]!s_stmnote_bank_58(B458,$A458,1)="0","",[1]!s_stmnote_bank_58(B458,$A458,1))</f>
        <v>0</v>
      </c>
      <c r="AA458" s="52">
        <f>IF([1]!s_stmnote_bank_60(B458,$A458,1)="0","",[1]!s_stmnote_bank_60(B458,$A458,1))</f>
        <v>0</v>
      </c>
      <c r="AB458" s="52">
        <f>[1]!s_stmnote_bank_5444(B458,$A458,1)</f>
        <v>0</v>
      </c>
      <c r="AC458" s="38">
        <f>[1]!s_stmnote_bank_129n($B458,$A458,1)</f>
        <v>0</v>
      </c>
      <c r="AD458" s="54">
        <f>[1]!s_stmnote_bank_30(B458,$A458,1)</f>
        <v>0</v>
      </c>
    </row>
    <row r="459" spans="1:30" ht="24">
      <c r="A459" s="1" t="s">
        <v>1110</v>
      </c>
      <c r="B459" s="87" t="s">
        <v>1567</v>
      </c>
      <c r="C459" s="8">
        <f>IF([1]!b_info_issuer(B459)="0","",IFERROR([1]!b_info_issuer(B459),""))</f>
        <v>0</v>
      </c>
      <c r="D459" s="11">
        <f>IF([1]!b_info_latestissurercreditrating(B459)="0","",IFERROR([1]!b_info_latestissurercreditrating(B459),""))</f>
        <v>0</v>
      </c>
      <c r="E459" s="27" t="str">
        <f>IFERROR(([1]!b_stm07_bs($B459,47,$A459,1,100000000))/[1]!b_stm07_bs($B459,109,$A459,1,100000000),"")</f>
        <v/>
      </c>
      <c r="F459" s="18" t="str">
        <f>IFERROR(([1]!s_stmnote_bank_26($B459,$A459,1,100000000)-[1]!s_stmnote_bank_26($B459,#REF!,1,100000000)+#REF!)/[1]!s_stmnote_bank_1n($B459,#REF!,1,100000000),"")</f>
        <v/>
      </c>
      <c r="G459" s="21" t="str">
        <f t="shared" si="14"/>
        <v/>
      </c>
      <c r="H459" s="18" t="str">
        <f>IFERROR([1]!s_stmnote_bank($B459,"34",$A459,100000000)/[1]!s_stmnote_bank_1n(B459,$A459,1,100000000),"")</f>
        <v/>
      </c>
      <c r="I459" s="25">
        <f>[1]!b_stm07_bs(B459,74,$A459,1,100000000)</f>
        <v>0</v>
      </c>
      <c r="J459" s="25">
        <f>[1]!b_stm07_bs(B459,109,$A459,1,100000000)</f>
        <v>0</v>
      </c>
      <c r="K459" s="10">
        <f>[1]!s_stmnote_bank_5n(B459,$A459,1)</f>
        <v>0</v>
      </c>
      <c r="L459" s="25">
        <f>[1]!s_stmnote_bank_23n(B459,$A459,1)</f>
        <v>0</v>
      </c>
      <c r="M459" s="25">
        <f>[1]!s_stmnote_bank_capadequacyratio(B459,$A459,1)</f>
        <v>0</v>
      </c>
      <c r="N459" s="25">
        <f>[1]!s_stmnote_bank_capadequacyratio_ct1(B459,$A459,1)</f>
        <v>0</v>
      </c>
      <c r="O459" s="6">
        <f>IF(OR([1]!s_fa_roe(B459,20201231)="0",[1]!s_fa_roe(B459,20211231)="0",[1]!s_fa_roe(B459,20221231)="0"),"",IFERROR(([1]!s_fa_roe(B459,20221231)+[1]!s_fa_roe(B459,20201231)+[1]!s_fa_roe(B459,20211231))/3,""))</f>
        <v>0</v>
      </c>
      <c r="P459" s="28" t="str">
        <f>IFERROR(([1]!s_stmnote_bank_65(B459,$A459,1,2,4,100000000)+[1]!s_stmnote_bank_65(B459,$A459,1,2,6,100000000))/[1]!s_stmnote_bank_1n(B459,$A459,1,100000000),"")</f>
        <v/>
      </c>
      <c r="Q459" s="28" t="str">
        <f>IFERROR([1]!s_stmnote_bank_614(B459,$A459,1,2,100000000)/[1]!s_stmnote_bank_647(B459,$A459,1,2,100000000),"")</f>
        <v/>
      </c>
      <c r="R459" s="28" t="str">
        <f>IFERROR(([1]!b_stm07_bs(B459,104,$A459,1,100000000)+[1]!b_stm07_bs(B459,106,$A459,1,100000000)+[1]!b_stm07_bs(B459,76,$A459,1,100000000)+[1]!b_stm07_bs(B459,108,$A459,1,100000000)+[1]!b_stm07_bs(B459,95,$A459,1,100000000))/[1]!b_stm07_bs(B459,128,$A459,1,100000000),"")</f>
        <v/>
      </c>
      <c r="S459" s="28" t="str">
        <f>IFERROR(([1]!s_stmnote_bank_614(B459,$A459,1,2,100000000)+[1]!b_stm07_bs(B459,104,$A459,1,100000000)+[1]!b_stm07_bs(B459,106,$A459,1,100000000)+[1]!b_stm07_bs(B459,76,$A459,1,100000000)+[1]!b_stm07_bs(B459,108,$A459,1,100000000)+[1]!b_stm07_bs(B459,95,$A459,1,100000000))/[1]!b_stm07_bs(B459,128,$A459,1,100000000),"")</f>
        <v/>
      </c>
      <c r="T459" s="11">
        <f>[1]!b_issuer_shareholder(B459,"",1)</f>
        <v>0</v>
      </c>
      <c r="U459" s="10">
        <f>[1]!b_issuer_propofshareholder(B459,"",1)</f>
        <v>0</v>
      </c>
      <c r="V459" s="33" t="str">
        <f t="shared" si="15"/>
        <v>0</v>
      </c>
      <c r="W459" s="33">
        <f>[1]!s_info_city(B459)</f>
        <v>0</v>
      </c>
      <c r="X459" s="10">
        <f>IF([1]!s_stmnote_bank_17n(B459,$A459,1)="0","",[1]!s_stmnote_bank_17n(B459,$A459,1))</f>
        <v>0</v>
      </c>
      <c r="Y459" s="10">
        <f>IF([1]!s_stmnote_bank_18n(B459,$A459,1)="0","",[1]!s_stmnote_bank_18n(B459,$A459,1))</f>
        <v>0</v>
      </c>
      <c r="Z459" s="41">
        <f>IF([1]!s_stmnote_bank_58(B459,$A459,1)="0","",[1]!s_stmnote_bank_58(B459,$A459,1))</f>
        <v>0</v>
      </c>
      <c r="AA459" s="52">
        <f>IF([1]!s_stmnote_bank_60(B459,$A459,1)="0","",[1]!s_stmnote_bank_60(B459,$A459,1))</f>
        <v>0</v>
      </c>
      <c r="AB459" s="52">
        <f>[1]!s_stmnote_bank_5444(B459,$A459,1)</f>
        <v>0</v>
      </c>
      <c r="AC459" s="38">
        <f>[1]!s_stmnote_bank_129n($B459,$A459,1)</f>
        <v>0</v>
      </c>
      <c r="AD459" s="54">
        <f>[1]!s_stmnote_bank_30(B459,$A459,1)</f>
        <v>0</v>
      </c>
    </row>
    <row r="460" spans="1:30" ht="24">
      <c r="A460" s="1" t="s">
        <v>1110</v>
      </c>
      <c r="B460" s="87" t="s">
        <v>1568</v>
      </c>
      <c r="C460" s="8">
        <f>IF([1]!b_info_issuer(B460)="0","",IFERROR([1]!b_info_issuer(B460),""))</f>
        <v>0</v>
      </c>
      <c r="D460" s="11">
        <f>IF([1]!b_info_latestissurercreditrating(B460)="0","",IFERROR([1]!b_info_latestissurercreditrating(B460),""))</f>
        <v>0</v>
      </c>
      <c r="E460" s="27" t="str">
        <f>IFERROR(([1]!b_stm07_bs($B460,47,$A460,1,100000000))/[1]!b_stm07_bs($B460,109,$A460,1,100000000),"")</f>
        <v/>
      </c>
      <c r="F460" s="18" t="str">
        <f>IFERROR(([1]!s_stmnote_bank_26($B460,$A460,1,100000000)-[1]!s_stmnote_bank_26($B460,#REF!,1,100000000)+#REF!)/[1]!s_stmnote_bank_1n($B460,#REF!,1,100000000),"")</f>
        <v/>
      </c>
      <c r="G460" s="21" t="str">
        <f t="shared" si="14"/>
        <v/>
      </c>
      <c r="H460" s="18" t="str">
        <f>IFERROR([1]!s_stmnote_bank($B460,"34",$A460,100000000)/[1]!s_stmnote_bank_1n(B460,$A460,1,100000000),"")</f>
        <v/>
      </c>
      <c r="I460" s="25">
        <f>[1]!b_stm07_bs(B460,74,$A460,1,100000000)</f>
        <v>0</v>
      </c>
      <c r="J460" s="25">
        <f>[1]!b_stm07_bs(B460,109,$A460,1,100000000)</f>
        <v>0</v>
      </c>
      <c r="K460" s="10">
        <f>[1]!s_stmnote_bank_5n(B460,$A460,1)</f>
        <v>0</v>
      </c>
      <c r="L460" s="25">
        <f>[1]!s_stmnote_bank_23n(B460,$A460,1)</f>
        <v>0</v>
      </c>
      <c r="M460" s="25">
        <f>[1]!s_stmnote_bank_capadequacyratio(B460,$A460,1)</f>
        <v>0</v>
      </c>
      <c r="N460" s="25">
        <f>[1]!s_stmnote_bank_capadequacyratio_ct1(B460,$A460,1)</f>
        <v>0</v>
      </c>
      <c r="O460" s="6">
        <f>IF(OR([1]!s_fa_roe(B460,20201231)="0",[1]!s_fa_roe(B460,20211231)="0",[1]!s_fa_roe(B460,20221231)="0"),"",IFERROR(([1]!s_fa_roe(B460,20221231)+[1]!s_fa_roe(B460,20201231)+[1]!s_fa_roe(B460,20211231))/3,""))</f>
        <v>0</v>
      </c>
      <c r="P460" s="28" t="str">
        <f>IFERROR(([1]!s_stmnote_bank_65(B460,$A460,1,2,4,100000000)+[1]!s_stmnote_bank_65(B460,$A460,1,2,6,100000000))/[1]!s_stmnote_bank_1n(B460,$A460,1,100000000),"")</f>
        <v/>
      </c>
      <c r="Q460" s="28" t="str">
        <f>IFERROR([1]!s_stmnote_bank_614(B460,$A460,1,2,100000000)/[1]!s_stmnote_bank_647(B460,$A460,1,2,100000000),"")</f>
        <v/>
      </c>
      <c r="R460" s="28" t="str">
        <f>IFERROR(([1]!b_stm07_bs(B460,104,$A460,1,100000000)+[1]!b_stm07_bs(B460,106,$A460,1,100000000)+[1]!b_stm07_bs(B460,76,$A460,1,100000000)+[1]!b_stm07_bs(B460,108,$A460,1,100000000)+[1]!b_stm07_bs(B460,95,$A460,1,100000000))/[1]!b_stm07_bs(B460,128,$A460,1,100000000),"")</f>
        <v/>
      </c>
      <c r="S460" s="28" t="str">
        <f>IFERROR(([1]!s_stmnote_bank_614(B460,$A460,1,2,100000000)+[1]!b_stm07_bs(B460,104,$A460,1,100000000)+[1]!b_stm07_bs(B460,106,$A460,1,100000000)+[1]!b_stm07_bs(B460,76,$A460,1,100000000)+[1]!b_stm07_bs(B460,108,$A460,1,100000000)+[1]!b_stm07_bs(B460,95,$A460,1,100000000))/[1]!b_stm07_bs(B460,128,$A460,1,100000000),"")</f>
        <v/>
      </c>
      <c r="T460" s="11">
        <f>[1]!b_issuer_shareholder(B460,"",1)</f>
        <v>0</v>
      </c>
      <c r="U460" s="10">
        <f>[1]!b_issuer_propofshareholder(B460,"",1)</f>
        <v>0</v>
      </c>
      <c r="V460" s="33" t="str">
        <f t="shared" si="15"/>
        <v>0</v>
      </c>
      <c r="W460" s="33">
        <f>[1]!s_info_city(B460)</f>
        <v>0</v>
      </c>
      <c r="X460" s="10">
        <f>IF([1]!s_stmnote_bank_17n(B460,$A460,1)="0","",[1]!s_stmnote_bank_17n(B460,$A460,1))</f>
        <v>0</v>
      </c>
      <c r="Y460" s="10">
        <f>IF([1]!s_stmnote_bank_18n(B460,$A460,1)="0","",[1]!s_stmnote_bank_18n(B460,$A460,1))</f>
        <v>0</v>
      </c>
      <c r="Z460" s="41">
        <f>IF([1]!s_stmnote_bank_58(B460,$A460,1)="0","",[1]!s_stmnote_bank_58(B460,$A460,1))</f>
        <v>0</v>
      </c>
      <c r="AA460" s="52">
        <f>IF([1]!s_stmnote_bank_60(B460,$A460,1)="0","",[1]!s_stmnote_bank_60(B460,$A460,1))</f>
        <v>0</v>
      </c>
      <c r="AB460" s="52">
        <f>[1]!s_stmnote_bank_5444(B460,$A460,1)</f>
        <v>0</v>
      </c>
      <c r="AC460" s="38">
        <f>[1]!s_stmnote_bank_129n($B460,$A460,1)</f>
        <v>0</v>
      </c>
      <c r="AD460" s="54">
        <f>[1]!s_stmnote_bank_30(B460,$A460,1)</f>
        <v>0</v>
      </c>
    </row>
    <row r="461" spans="1:30" ht="24">
      <c r="A461" s="1" t="s">
        <v>1110</v>
      </c>
      <c r="B461" s="87" t="s">
        <v>1569</v>
      </c>
      <c r="C461" s="8">
        <f>IF([1]!b_info_issuer(B461)="0","",IFERROR([1]!b_info_issuer(B461),""))</f>
        <v>0</v>
      </c>
      <c r="D461" s="11">
        <f>IF([1]!b_info_latestissurercreditrating(B461)="0","",IFERROR([1]!b_info_latestissurercreditrating(B461),""))</f>
        <v>0</v>
      </c>
      <c r="E461" s="27" t="str">
        <f>IFERROR(([1]!b_stm07_bs($B461,47,$A461,1,100000000))/[1]!b_stm07_bs($B461,109,$A461,1,100000000),"")</f>
        <v/>
      </c>
      <c r="F461" s="18" t="str">
        <f>IFERROR(([1]!s_stmnote_bank_26($B461,$A461,1,100000000)-[1]!s_stmnote_bank_26($B461,#REF!,1,100000000)+#REF!)/[1]!s_stmnote_bank_1n($B461,#REF!,1,100000000),"")</f>
        <v/>
      </c>
      <c r="G461" s="21" t="str">
        <f t="shared" si="14"/>
        <v/>
      </c>
      <c r="H461" s="18" t="str">
        <f>IFERROR([1]!s_stmnote_bank($B461,"34",$A461,100000000)/[1]!s_stmnote_bank_1n(B461,$A461,1,100000000),"")</f>
        <v/>
      </c>
      <c r="I461" s="25">
        <f>[1]!b_stm07_bs(B461,74,$A461,1,100000000)</f>
        <v>0</v>
      </c>
      <c r="J461" s="25">
        <f>[1]!b_stm07_bs(B461,109,$A461,1,100000000)</f>
        <v>0</v>
      </c>
      <c r="K461" s="10">
        <f>[1]!s_stmnote_bank_5n(B461,$A461,1)</f>
        <v>0</v>
      </c>
      <c r="L461" s="25">
        <f>[1]!s_stmnote_bank_23n(B461,$A461,1)</f>
        <v>0</v>
      </c>
      <c r="M461" s="25">
        <f>[1]!s_stmnote_bank_capadequacyratio(B461,$A461,1)</f>
        <v>0</v>
      </c>
      <c r="N461" s="25">
        <f>[1]!s_stmnote_bank_capadequacyratio_ct1(B461,$A461,1)</f>
        <v>0</v>
      </c>
      <c r="O461" s="6">
        <f>IF(OR([1]!s_fa_roe(B461,20201231)="0",[1]!s_fa_roe(B461,20211231)="0",[1]!s_fa_roe(B461,20221231)="0"),"",IFERROR(([1]!s_fa_roe(B461,20221231)+[1]!s_fa_roe(B461,20201231)+[1]!s_fa_roe(B461,20211231))/3,""))</f>
        <v>0</v>
      </c>
      <c r="P461" s="28" t="str">
        <f>IFERROR(([1]!s_stmnote_bank_65(B461,$A461,1,2,4,100000000)+[1]!s_stmnote_bank_65(B461,$A461,1,2,6,100000000))/[1]!s_stmnote_bank_1n(B461,$A461,1,100000000),"")</f>
        <v/>
      </c>
      <c r="Q461" s="28" t="str">
        <f>IFERROR([1]!s_stmnote_bank_614(B461,$A461,1,2,100000000)/[1]!s_stmnote_bank_647(B461,$A461,1,2,100000000),"")</f>
        <v/>
      </c>
      <c r="R461" s="28" t="str">
        <f>IFERROR(([1]!b_stm07_bs(B461,104,$A461,1,100000000)+[1]!b_stm07_bs(B461,106,$A461,1,100000000)+[1]!b_stm07_bs(B461,76,$A461,1,100000000)+[1]!b_stm07_bs(B461,108,$A461,1,100000000)+[1]!b_stm07_bs(B461,95,$A461,1,100000000))/[1]!b_stm07_bs(B461,128,$A461,1,100000000),"")</f>
        <v/>
      </c>
      <c r="S461" s="28" t="str">
        <f>IFERROR(([1]!s_stmnote_bank_614(B461,$A461,1,2,100000000)+[1]!b_stm07_bs(B461,104,$A461,1,100000000)+[1]!b_stm07_bs(B461,106,$A461,1,100000000)+[1]!b_stm07_bs(B461,76,$A461,1,100000000)+[1]!b_stm07_bs(B461,108,$A461,1,100000000)+[1]!b_stm07_bs(B461,95,$A461,1,100000000))/[1]!b_stm07_bs(B461,128,$A461,1,100000000),"")</f>
        <v/>
      </c>
      <c r="T461" s="11">
        <f>[1]!b_issuer_shareholder(B461,"",1)</f>
        <v>0</v>
      </c>
      <c r="U461" s="10">
        <f>[1]!b_issuer_propofshareholder(B461,"",1)</f>
        <v>0</v>
      </c>
      <c r="V461" s="33" t="str">
        <f t="shared" si="15"/>
        <v>0</v>
      </c>
      <c r="W461" s="33">
        <f>[1]!s_info_city(B461)</f>
        <v>0</v>
      </c>
      <c r="X461" s="10">
        <f>IF([1]!s_stmnote_bank_17n(B461,$A461,1)="0","",[1]!s_stmnote_bank_17n(B461,$A461,1))</f>
        <v>0</v>
      </c>
      <c r="Y461" s="10">
        <f>IF([1]!s_stmnote_bank_18n(B461,$A461,1)="0","",[1]!s_stmnote_bank_18n(B461,$A461,1))</f>
        <v>0</v>
      </c>
      <c r="Z461" s="41">
        <f>IF([1]!s_stmnote_bank_58(B461,$A461,1)="0","",[1]!s_stmnote_bank_58(B461,$A461,1))</f>
        <v>0</v>
      </c>
      <c r="AA461" s="52">
        <f>IF([1]!s_stmnote_bank_60(B461,$A461,1)="0","",[1]!s_stmnote_bank_60(B461,$A461,1))</f>
        <v>0</v>
      </c>
      <c r="AB461" s="52">
        <f>[1]!s_stmnote_bank_5444(B461,$A461,1)</f>
        <v>0</v>
      </c>
      <c r="AC461" s="38">
        <f>[1]!s_stmnote_bank_129n($B461,$A461,1)</f>
        <v>0</v>
      </c>
      <c r="AD461" s="54">
        <f>[1]!s_stmnote_bank_30(B461,$A461,1)</f>
        <v>0</v>
      </c>
    </row>
    <row r="462" spans="1:30" ht="24">
      <c r="A462" s="1" t="s">
        <v>1110</v>
      </c>
      <c r="B462" s="87" t="s">
        <v>1570</v>
      </c>
      <c r="C462" s="8">
        <f>IF([1]!b_info_issuer(B462)="0","",IFERROR([1]!b_info_issuer(B462),""))</f>
        <v>0</v>
      </c>
      <c r="D462" s="11">
        <f>IF([1]!b_info_latestissurercreditrating(B462)="0","",IFERROR([1]!b_info_latestissurercreditrating(B462),""))</f>
        <v>0</v>
      </c>
      <c r="E462" s="27" t="str">
        <f>IFERROR(([1]!b_stm07_bs($B462,47,$A462,1,100000000))/[1]!b_stm07_bs($B462,109,$A462,1,100000000),"")</f>
        <v/>
      </c>
      <c r="F462" s="18" t="str">
        <f>IFERROR(([1]!s_stmnote_bank_26($B462,$A462,1,100000000)-[1]!s_stmnote_bank_26($B462,#REF!,1,100000000)+#REF!)/[1]!s_stmnote_bank_1n($B462,#REF!,1,100000000),"")</f>
        <v/>
      </c>
      <c r="G462" s="21" t="str">
        <f t="shared" si="14"/>
        <v/>
      </c>
      <c r="H462" s="18" t="str">
        <f>IFERROR([1]!s_stmnote_bank($B462,"34",$A462,100000000)/[1]!s_stmnote_bank_1n(B462,$A462,1,100000000),"")</f>
        <v/>
      </c>
      <c r="I462" s="25">
        <f>[1]!b_stm07_bs(B462,74,$A462,1,100000000)</f>
        <v>0</v>
      </c>
      <c r="J462" s="25">
        <f>[1]!b_stm07_bs(B462,109,$A462,1,100000000)</f>
        <v>0</v>
      </c>
      <c r="K462" s="10">
        <f>[1]!s_stmnote_bank_5n(B462,$A462,1)</f>
        <v>0</v>
      </c>
      <c r="L462" s="25">
        <f>[1]!s_stmnote_bank_23n(B462,$A462,1)</f>
        <v>0</v>
      </c>
      <c r="M462" s="25">
        <f>[1]!s_stmnote_bank_capadequacyratio(B462,$A462,1)</f>
        <v>0</v>
      </c>
      <c r="N462" s="25">
        <f>[1]!s_stmnote_bank_capadequacyratio_ct1(B462,$A462,1)</f>
        <v>0</v>
      </c>
      <c r="O462" s="6">
        <f>IF(OR([1]!s_fa_roe(B462,20201231)="0",[1]!s_fa_roe(B462,20211231)="0",[1]!s_fa_roe(B462,20221231)="0"),"",IFERROR(([1]!s_fa_roe(B462,20221231)+[1]!s_fa_roe(B462,20201231)+[1]!s_fa_roe(B462,20211231))/3,""))</f>
        <v>0</v>
      </c>
      <c r="P462" s="28" t="str">
        <f>IFERROR(([1]!s_stmnote_bank_65(B462,$A462,1,2,4,100000000)+[1]!s_stmnote_bank_65(B462,$A462,1,2,6,100000000))/[1]!s_stmnote_bank_1n(B462,$A462,1,100000000),"")</f>
        <v/>
      </c>
      <c r="Q462" s="28" t="str">
        <f>IFERROR([1]!s_stmnote_bank_614(B462,$A462,1,2,100000000)/[1]!s_stmnote_bank_647(B462,$A462,1,2,100000000),"")</f>
        <v/>
      </c>
      <c r="R462" s="28" t="str">
        <f>IFERROR(([1]!b_stm07_bs(B462,104,$A462,1,100000000)+[1]!b_stm07_bs(B462,106,$A462,1,100000000)+[1]!b_stm07_bs(B462,76,$A462,1,100000000)+[1]!b_stm07_bs(B462,108,$A462,1,100000000)+[1]!b_stm07_bs(B462,95,$A462,1,100000000))/[1]!b_stm07_bs(B462,128,$A462,1,100000000),"")</f>
        <v/>
      </c>
      <c r="S462" s="28" t="str">
        <f>IFERROR(([1]!s_stmnote_bank_614(B462,$A462,1,2,100000000)+[1]!b_stm07_bs(B462,104,$A462,1,100000000)+[1]!b_stm07_bs(B462,106,$A462,1,100000000)+[1]!b_stm07_bs(B462,76,$A462,1,100000000)+[1]!b_stm07_bs(B462,108,$A462,1,100000000)+[1]!b_stm07_bs(B462,95,$A462,1,100000000))/[1]!b_stm07_bs(B462,128,$A462,1,100000000),"")</f>
        <v/>
      </c>
      <c r="T462" s="11">
        <f>[1]!b_issuer_shareholder(B462,"",1)</f>
        <v>0</v>
      </c>
      <c r="U462" s="10">
        <f>[1]!b_issuer_propofshareholder(B462,"",1)</f>
        <v>0</v>
      </c>
      <c r="V462" s="33" t="str">
        <f t="shared" si="15"/>
        <v>0</v>
      </c>
      <c r="W462" s="33">
        <f>[1]!s_info_city(B462)</f>
        <v>0</v>
      </c>
      <c r="X462" s="10">
        <f>IF([1]!s_stmnote_bank_17n(B462,$A462,1)="0","",[1]!s_stmnote_bank_17n(B462,$A462,1))</f>
        <v>0</v>
      </c>
      <c r="Y462" s="10">
        <f>IF([1]!s_stmnote_bank_18n(B462,$A462,1)="0","",[1]!s_stmnote_bank_18n(B462,$A462,1))</f>
        <v>0</v>
      </c>
      <c r="Z462" s="41">
        <f>IF([1]!s_stmnote_bank_58(B462,$A462,1)="0","",[1]!s_stmnote_bank_58(B462,$A462,1))</f>
        <v>0</v>
      </c>
      <c r="AA462" s="52">
        <f>IF([1]!s_stmnote_bank_60(B462,$A462,1)="0","",[1]!s_stmnote_bank_60(B462,$A462,1))</f>
        <v>0</v>
      </c>
      <c r="AB462" s="52">
        <f>[1]!s_stmnote_bank_5444(B462,$A462,1)</f>
        <v>0</v>
      </c>
      <c r="AC462" s="38">
        <f>[1]!s_stmnote_bank_129n($B462,$A462,1)</f>
        <v>0</v>
      </c>
      <c r="AD462" s="54">
        <f>[1]!s_stmnote_bank_30(B462,$A462,1)</f>
        <v>0</v>
      </c>
    </row>
    <row r="463" spans="1:30" ht="24">
      <c r="A463" s="1" t="s">
        <v>1110</v>
      </c>
      <c r="B463" s="87" t="s">
        <v>1571</v>
      </c>
      <c r="C463" s="8">
        <f>IF([1]!b_info_issuer(B463)="0","",IFERROR([1]!b_info_issuer(B463),""))</f>
        <v>0</v>
      </c>
      <c r="D463" s="11">
        <f>IF([1]!b_info_latestissurercreditrating(B463)="0","",IFERROR([1]!b_info_latestissurercreditrating(B463),""))</f>
        <v>0</v>
      </c>
      <c r="E463" s="27" t="str">
        <f>IFERROR(([1]!b_stm07_bs($B463,47,$A463,1,100000000))/[1]!b_stm07_bs($B463,109,$A463,1,100000000),"")</f>
        <v/>
      </c>
      <c r="F463" s="18" t="str">
        <f>IFERROR(([1]!s_stmnote_bank_26($B463,$A463,1,100000000)-[1]!s_stmnote_bank_26($B463,#REF!,1,100000000)+#REF!)/[1]!s_stmnote_bank_1n($B463,#REF!,1,100000000),"")</f>
        <v/>
      </c>
      <c r="G463" s="21" t="str">
        <f t="shared" si="14"/>
        <v/>
      </c>
      <c r="H463" s="18" t="str">
        <f>IFERROR([1]!s_stmnote_bank($B463,"34",$A463,100000000)/[1]!s_stmnote_bank_1n(B463,$A463,1,100000000),"")</f>
        <v/>
      </c>
      <c r="I463" s="25">
        <f>[1]!b_stm07_bs(B463,74,$A463,1,100000000)</f>
        <v>0</v>
      </c>
      <c r="J463" s="25">
        <f>[1]!b_stm07_bs(B463,109,$A463,1,100000000)</f>
        <v>0</v>
      </c>
      <c r="K463" s="10">
        <f>[1]!s_stmnote_bank_5n(B463,$A463,1)</f>
        <v>0</v>
      </c>
      <c r="L463" s="25">
        <f>[1]!s_stmnote_bank_23n(B463,$A463,1)</f>
        <v>0</v>
      </c>
      <c r="M463" s="25">
        <f>[1]!s_stmnote_bank_capadequacyratio(B463,$A463,1)</f>
        <v>0</v>
      </c>
      <c r="N463" s="25">
        <f>[1]!s_stmnote_bank_capadequacyratio_ct1(B463,$A463,1)</f>
        <v>0</v>
      </c>
      <c r="O463" s="6">
        <f>IF(OR([1]!s_fa_roe(B463,20201231)="0",[1]!s_fa_roe(B463,20211231)="0",[1]!s_fa_roe(B463,20221231)="0"),"",IFERROR(([1]!s_fa_roe(B463,20221231)+[1]!s_fa_roe(B463,20201231)+[1]!s_fa_roe(B463,20211231))/3,""))</f>
        <v>0</v>
      </c>
      <c r="P463" s="28" t="str">
        <f>IFERROR(([1]!s_stmnote_bank_65(B463,$A463,1,2,4,100000000)+[1]!s_stmnote_bank_65(B463,$A463,1,2,6,100000000))/[1]!s_stmnote_bank_1n(B463,$A463,1,100000000),"")</f>
        <v/>
      </c>
      <c r="Q463" s="28" t="str">
        <f>IFERROR([1]!s_stmnote_bank_614(B463,$A463,1,2,100000000)/[1]!s_stmnote_bank_647(B463,$A463,1,2,100000000),"")</f>
        <v/>
      </c>
      <c r="R463" s="28" t="str">
        <f>IFERROR(([1]!b_stm07_bs(B463,104,$A463,1,100000000)+[1]!b_stm07_bs(B463,106,$A463,1,100000000)+[1]!b_stm07_bs(B463,76,$A463,1,100000000)+[1]!b_stm07_bs(B463,108,$A463,1,100000000)+[1]!b_stm07_bs(B463,95,$A463,1,100000000))/[1]!b_stm07_bs(B463,128,$A463,1,100000000),"")</f>
        <v/>
      </c>
      <c r="S463" s="28" t="str">
        <f>IFERROR(([1]!s_stmnote_bank_614(B463,$A463,1,2,100000000)+[1]!b_stm07_bs(B463,104,$A463,1,100000000)+[1]!b_stm07_bs(B463,106,$A463,1,100000000)+[1]!b_stm07_bs(B463,76,$A463,1,100000000)+[1]!b_stm07_bs(B463,108,$A463,1,100000000)+[1]!b_stm07_bs(B463,95,$A463,1,100000000))/[1]!b_stm07_bs(B463,128,$A463,1,100000000),"")</f>
        <v/>
      </c>
      <c r="T463" s="11">
        <f>[1]!b_issuer_shareholder(B463,"",1)</f>
        <v>0</v>
      </c>
      <c r="U463" s="10">
        <f>[1]!b_issuer_propofshareholder(B463,"",1)</f>
        <v>0</v>
      </c>
      <c r="V463" s="33" t="str">
        <f t="shared" si="15"/>
        <v>0</v>
      </c>
      <c r="W463" s="33">
        <f>[1]!s_info_city(B463)</f>
        <v>0</v>
      </c>
      <c r="X463" s="10">
        <f>IF([1]!s_stmnote_bank_17n(B463,$A463,1)="0","",[1]!s_stmnote_bank_17n(B463,$A463,1))</f>
        <v>0</v>
      </c>
      <c r="Y463" s="10">
        <f>IF([1]!s_stmnote_bank_18n(B463,$A463,1)="0","",[1]!s_stmnote_bank_18n(B463,$A463,1))</f>
        <v>0</v>
      </c>
      <c r="Z463" s="41">
        <f>IF([1]!s_stmnote_bank_58(B463,$A463,1)="0","",[1]!s_stmnote_bank_58(B463,$A463,1))</f>
        <v>0</v>
      </c>
      <c r="AA463" s="52">
        <f>IF([1]!s_stmnote_bank_60(B463,$A463,1)="0","",[1]!s_stmnote_bank_60(B463,$A463,1))</f>
        <v>0</v>
      </c>
      <c r="AB463" s="52">
        <f>[1]!s_stmnote_bank_5444(B463,$A463,1)</f>
        <v>0</v>
      </c>
      <c r="AC463" s="38">
        <f>[1]!s_stmnote_bank_129n($B463,$A463,1)</f>
        <v>0</v>
      </c>
      <c r="AD463" s="54">
        <f>[1]!s_stmnote_bank_30(B463,$A463,1)</f>
        <v>0</v>
      </c>
    </row>
    <row r="464" spans="1:30" ht="24">
      <c r="A464" s="1" t="s">
        <v>1110</v>
      </c>
      <c r="B464" s="87" t="s">
        <v>1572</v>
      </c>
      <c r="C464" s="8">
        <f>IF([1]!b_info_issuer(B464)="0","",IFERROR([1]!b_info_issuer(B464),""))</f>
        <v>0</v>
      </c>
      <c r="D464" s="11">
        <f>IF([1]!b_info_latestissurercreditrating(B464)="0","",IFERROR([1]!b_info_latestissurercreditrating(B464),""))</f>
        <v>0</v>
      </c>
      <c r="E464" s="27" t="str">
        <f>IFERROR(([1]!b_stm07_bs($B464,47,$A464,1,100000000))/[1]!b_stm07_bs($B464,109,$A464,1,100000000),"")</f>
        <v/>
      </c>
      <c r="F464" s="18" t="str">
        <f>IFERROR(([1]!s_stmnote_bank_26($B464,$A464,1,100000000)-[1]!s_stmnote_bank_26($B464,#REF!,1,100000000)+#REF!)/[1]!s_stmnote_bank_1n($B464,#REF!,1,100000000),"")</f>
        <v/>
      </c>
      <c r="G464" s="21" t="str">
        <f t="shared" si="14"/>
        <v/>
      </c>
      <c r="H464" s="18" t="str">
        <f>IFERROR([1]!s_stmnote_bank($B464,"34",$A464,100000000)/[1]!s_stmnote_bank_1n(B464,$A464,1,100000000),"")</f>
        <v/>
      </c>
      <c r="I464" s="25">
        <f>[1]!b_stm07_bs(B464,74,$A464,1,100000000)</f>
        <v>0</v>
      </c>
      <c r="J464" s="25">
        <f>[1]!b_stm07_bs(B464,109,$A464,1,100000000)</f>
        <v>0</v>
      </c>
      <c r="K464" s="10">
        <f>[1]!s_stmnote_bank_5n(B464,$A464,1)</f>
        <v>0</v>
      </c>
      <c r="L464" s="25">
        <f>[1]!s_stmnote_bank_23n(B464,$A464,1)</f>
        <v>0</v>
      </c>
      <c r="M464" s="25">
        <f>[1]!s_stmnote_bank_capadequacyratio(B464,$A464,1)</f>
        <v>0</v>
      </c>
      <c r="N464" s="25">
        <f>[1]!s_stmnote_bank_capadequacyratio_ct1(B464,$A464,1)</f>
        <v>0</v>
      </c>
      <c r="O464" s="6">
        <f>IF(OR([1]!s_fa_roe(B464,20201231)="0",[1]!s_fa_roe(B464,20211231)="0",[1]!s_fa_roe(B464,20221231)="0"),"",IFERROR(([1]!s_fa_roe(B464,20221231)+[1]!s_fa_roe(B464,20201231)+[1]!s_fa_roe(B464,20211231))/3,""))</f>
        <v>0</v>
      </c>
      <c r="P464" s="28" t="str">
        <f>IFERROR(([1]!s_stmnote_bank_65(B464,$A464,1,2,4,100000000)+[1]!s_stmnote_bank_65(B464,$A464,1,2,6,100000000))/[1]!s_stmnote_bank_1n(B464,$A464,1,100000000),"")</f>
        <v/>
      </c>
      <c r="Q464" s="28" t="str">
        <f>IFERROR([1]!s_stmnote_bank_614(B464,$A464,1,2,100000000)/[1]!s_stmnote_bank_647(B464,$A464,1,2,100000000),"")</f>
        <v/>
      </c>
      <c r="R464" s="28" t="str">
        <f>IFERROR(([1]!b_stm07_bs(B464,104,$A464,1,100000000)+[1]!b_stm07_bs(B464,106,$A464,1,100000000)+[1]!b_stm07_bs(B464,76,$A464,1,100000000)+[1]!b_stm07_bs(B464,108,$A464,1,100000000)+[1]!b_stm07_bs(B464,95,$A464,1,100000000))/[1]!b_stm07_bs(B464,128,$A464,1,100000000),"")</f>
        <v/>
      </c>
      <c r="S464" s="28" t="str">
        <f>IFERROR(([1]!s_stmnote_bank_614(B464,$A464,1,2,100000000)+[1]!b_stm07_bs(B464,104,$A464,1,100000000)+[1]!b_stm07_bs(B464,106,$A464,1,100000000)+[1]!b_stm07_bs(B464,76,$A464,1,100000000)+[1]!b_stm07_bs(B464,108,$A464,1,100000000)+[1]!b_stm07_bs(B464,95,$A464,1,100000000))/[1]!b_stm07_bs(B464,128,$A464,1,100000000),"")</f>
        <v/>
      </c>
      <c r="T464" s="11">
        <f>[1]!b_issuer_shareholder(B464,"",1)</f>
        <v>0</v>
      </c>
      <c r="U464" s="10">
        <f>[1]!b_issuer_propofshareholder(B464,"",1)</f>
        <v>0</v>
      </c>
      <c r="V464" s="33" t="str">
        <f t="shared" si="15"/>
        <v>0</v>
      </c>
      <c r="W464" s="33">
        <f>[1]!s_info_city(B464)</f>
        <v>0</v>
      </c>
      <c r="X464" s="10">
        <f>IF([1]!s_stmnote_bank_17n(B464,$A464,1)="0","",[1]!s_stmnote_bank_17n(B464,$A464,1))</f>
        <v>0</v>
      </c>
      <c r="Y464" s="10">
        <f>IF([1]!s_stmnote_bank_18n(B464,$A464,1)="0","",[1]!s_stmnote_bank_18n(B464,$A464,1))</f>
        <v>0</v>
      </c>
      <c r="Z464" s="41">
        <f>IF([1]!s_stmnote_bank_58(B464,$A464,1)="0","",[1]!s_stmnote_bank_58(B464,$A464,1))</f>
        <v>0</v>
      </c>
      <c r="AA464" s="52">
        <f>IF([1]!s_stmnote_bank_60(B464,$A464,1)="0","",[1]!s_stmnote_bank_60(B464,$A464,1))</f>
        <v>0</v>
      </c>
      <c r="AB464" s="52">
        <f>[1]!s_stmnote_bank_5444(B464,$A464,1)</f>
        <v>0</v>
      </c>
      <c r="AC464" s="38">
        <f>[1]!s_stmnote_bank_129n($B464,$A464,1)</f>
        <v>0</v>
      </c>
      <c r="AD464" s="54">
        <f>[1]!s_stmnote_bank_30(B464,$A464,1)</f>
        <v>0</v>
      </c>
    </row>
    <row r="465" spans="1:30" ht="24">
      <c r="A465" s="1" t="s">
        <v>1110</v>
      </c>
      <c r="B465" s="87" t="s">
        <v>1573</v>
      </c>
      <c r="C465" s="8">
        <f>IF([1]!b_info_issuer(B465)="0","",IFERROR([1]!b_info_issuer(B465),""))</f>
        <v>0</v>
      </c>
      <c r="D465" s="11">
        <f>IF([1]!b_info_latestissurercreditrating(B465)="0","",IFERROR([1]!b_info_latestissurercreditrating(B465),""))</f>
        <v>0</v>
      </c>
      <c r="E465" s="27" t="str">
        <f>IFERROR(([1]!b_stm07_bs($B465,47,$A465,1,100000000))/[1]!b_stm07_bs($B465,109,$A465,1,100000000),"")</f>
        <v/>
      </c>
      <c r="F465" s="18" t="str">
        <f>IFERROR(([1]!s_stmnote_bank_26($B465,$A465,1,100000000)-[1]!s_stmnote_bank_26($B465,#REF!,1,100000000)+#REF!)/[1]!s_stmnote_bank_1n($B465,#REF!,1,100000000),"")</f>
        <v/>
      </c>
      <c r="G465" s="21" t="str">
        <f t="shared" si="14"/>
        <v/>
      </c>
      <c r="H465" s="18" t="str">
        <f>IFERROR([1]!s_stmnote_bank($B465,"34",$A465,100000000)/[1]!s_stmnote_bank_1n(B465,$A465,1,100000000),"")</f>
        <v/>
      </c>
      <c r="I465" s="25">
        <f>[1]!b_stm07_bs(B465,74,$A465,1,100000000)</f>
        <v>0</v>
      </c>
      <c r="J465" s="25">
        <f>[1]!b_stm07_bs(B465,109,$A465,1,100000000)</f>
        <v>0</v>
      </c>
      <c r="K465" s="10">
        <f>[1]!s_stmnote_bank_5n(B465,$A465,1)</f>
        <v>0</v>
      </c>
      <c r="L465" s="25">
        <f>[1]!s_stmnote_bank_23n(B465,$A465,1)</f>
        <v>0</v>
      </c>
      <c r="M465" s="25">
        <f>[1]!s_stmnote_bank_capadequacyratio(B465,$A465,1)</f>
        <v>0</v>
      </c>
      <c r="N465" s="25">
        <f>[1]!s_stmnote_bank_capadequacyratio_ct1(B465,$A465,1)</f>
        <v>0</v>
      </c>
      <c r="O465" s="6">
        <f>IF(OR([1]!s_fa_roe(B465,20201231)="0",[1]!s_fa_roe(B465,20211231)="0",[1]!s_fa_roe(B465,20221231)="0"),"",IFERROR(([1]!s_fa_roe(B465,20221231)+[1]!s_fa_roe(B465,20201231)+[1]!s_fa_roe(B465,20211231))/3,""))</f>
        <v>0</v>
      </c>
      <c r="P465" s="28" t="str">
        <f>IFERROR(([1]!s_stmnote_bank_65(B465,$A465,1,2,4,100000000)+[1]!s_stmnote_bank_65(B465,$A465,1,2,6,100000000))/[1]!s_stmnote_bank_1n(B465,$A465,1,100000000),"")</f>
        <v/>
      </c>
      <c r="Q465" s="28" t="str">
        <f>IFERROR([1]!s_stmnote_bank_614(B465,$A465,1,2,100000000)/[1]!s_stmnote_bank_647(B465,$A465,1,2,100000000),"")</f>
        <v/>
      </c>
      <c r="R465" s="28" t="str">
        <f>IFERROR(([1]!b_stm07_bs(B465,104,$A465,1,100000000)+[1]!b_stm07_bs(B465,106,$A465,1,100000000)+[1]!b_stm07_bs(B465,76,$A465,1,100000000)+[1]!b_stm07_bs(B465,108,$A465,1,100000000)+[1]!b_stm07_bs(B465,95,$A465,1,100000000))/[1]!b_stm07_bs(B465,128,$A465,1,100000000),"")</f>
        <v/>
      </c>
      <c r="S465" s="28" t="str">
        <f>IFERROR(([1]!s_stmnote_bank_614(B465,$A465,1,2,100000000)+[1]!b_stm07_bs(B465,104,$A465,1,100000000)+[1]!b_stm07_bs(B465,106,$A465,1,100000000)+[1]!b_stm07_bs(B465,76,$A465,1,100000000)+[1]!b_stm07_bs(B465,108,$A465,1,100000000)+[1]!b_stm07_bs(B465,95,$A465,1,100000000))/[1]!b_stm07_bs(B465,128,$A465,1,100000000),"")</f>
        <v/>
      </c>
      <c r="T465" s="11">
        <f>[1]!b_issuer_shareholder(B465,"",1)</f>
        <v>0</v>
      </c>
      <c r="U465" s="10">
        <f>[1]!b_issuer_propofshareholder(B465,"",1)</f>
        <v>0</v>
      </c>
      <c r="V465" s="33" t="str">
        <f t="shared" si="15"/>
        <v>0</v>
      </c>
      <c r="W465" s="33">
        <f>[1]!s_info_city(B465)</f>
        <v>0</v>
      </c>
      <c r="X465" s="10">
        <f>IF([1]!s_stmnote_bank_17n(B465,$A465,1)="0","",[1]!s_stmnote_bank_17n(B465,$A465,1))</f>
        <v>0</v>
      </c>
      <c r="Y465" s="10">
        <f>IF([1]!s_stmnote_bank_18n(B465,$A465,1)="0","",[1]!s_stmnote_bank_18n(B465,$A465,1))</f>
        <v>0</v>
      </c>
      <c r="Z465" s="41">
        <f>IF([1]!s_stmnote_bank_58(B465,$A465,1)="0","",[1]!s_stmnote_bank_58(B465,$A465,1))</f>
        <v>0</v>
      </c>
      <c r="AA465" s="52">
        <f>IF([1]!s_stmnote_bank_60(B465,$A465,1)="0","",[1]!s_stmnote_bank_60(B465,$A465,1))</f>
        <v>0</v>
      </c>
      <c r="AB465" s="52">
        <f>[1]!s_stmnote_bank_5444(B465,$A465,1)</f>
        <v>0</v>
      </c>
      <c r="AC465" s="38">
        <f>[1]!s_stmnote_bank_129n($B465,$A465,1)</f>
        <v>0</v>
      </c>
      <c r="AD465" s="54">
        <f>[1]!s_stmnote_bank_30(B465,$A465,1)</f>
        <v>0</v>
      </c>
    </row>
    <row r="466" spans="1:30" ht="24">
      <c r="A466" s="1" t="s">
        <v>1110</v>
      </c>
      <c r="B466" s="87" t="s">
        <v>1574</v>
      </c>
      <c r="C466" s="8">
        <f>IF([1]!b_info_issuer(B466)="0","",IFERROR([1]!b_info_issuer(B466),""))</f>
        <v>0</v>
      </c>
      <c r="D466" s="11">
        <f>IF([1]!b_info_latestissurercreditrating(B466)="0","",IFERROR([1]!b_info_latestissurercreditrating(B466),""))</f>
        <v>0</v>
      </c>
      <c r="E466" s="27" t="str">
        <f>IFERROR(([1]!b_stm07_bs($B466,47,$A466,1,100000000))/[1]!b_stm07_bs($B466,109,$A466,1,100000000),"")</f>
        <v/>
      </c>
      <c r="F466" s="18" t="str">
        <f>IFERROR(([1]!s_stmnote_bank_26($B466,$A466,1,100000000)-[1]!s_stmnote_bank_26($B466,#REF!,1,100000000)+#REF!)/[1]!s_stmnote_bank_1n($B466,#REF!,1,100000000),"")</f>
        <v/>
      </c>
      <c r="G466" s="21" t="str">
        <f t="shared" si="14"/>
        <v/>
      </c>
      <c r="H466" s="18" t="str">
        <f>IFERROR([1]!s_stmnote_bank($B466,"34",$A466,100000000)/[1]!s_stmnote_bank_1n(B466,$A466,1,100000000),"")</f>
        <v/>
      </c>
      <c r="I466" s="25">
        <f>[1]!b_stm07_bs(B466,74,$A466,1,100000000)</f>
        <v>0</v>
      </c>
      <c r="J466" s="25">
        <f>[1]!b_stm07_bs(B466,109,$A466,1,100000000)</f>
        <v>0</v>
      </c>
      <c r="K466" s="10">
        <f>[1]!s_stmnote_bank_5n(B466,$A466,1)</f>
        <v>0</v>
      </c>
      <c r="L466" s="25">
        <f>[1]!s_stmnote_bank_23n(B466,$A466,1)</f>
        <v>0</v>
      </c>
      <c r="M466" s="25">
        <f>[1]!s_stmnote_bank_capadequacyratio(B466,$A466,1)</f>
        <v>0</v>
      </c>
      <c r="N466" s="25">
        <f>[1]!s_stmnote_bank_capadequacyratio_ct1(B466,$A466,1)</f>
        <v>0</v>
      </c>
      <c r="O466" s="6">
        <f>IF(OR([1]!s_fa_roe(B466,20201231)="0",[1]!s_fa_roe(B466,20211231)="0",[1]!s_fa_roe(B466,20221231)="0"),"",IFERROR(([1]!s_fa_roe(B466,20221231)+[1]!s_fa_roe(B466,20201231)+[1]!s_fa_roe(B466,20211231))/3,""))</f>
        <v>0</v>
      </c>
      <c r="P466" s="28" t="str">
        <f>IFERROR(([1]!s_stmnote_bank_65(B466,$A466,1,2,4,100000000)+[1]!s_stmnote_bank_65(B466,$A466,1,2,6,100000000))/[1]!s_stmnote_bank_1n(B466,$A466,1,100000000),"")</f>
        <v/>
      </c>
      <c r="Q466" s="28" t="str">
        <f>IFERROR([1]!s_stmnote_bank_614(B466,$A466,1,2,100000000)/[1]!s_stmnote_bank_647(B466,$A466,1,2,100000000),"")</f>
        <v/>
      </c>
      <c r="R466" s="28" t="str">
        <f>IFERROR(([1]!b_stm07_bs(B466,104,$A466,1,100000000)+[1]!b_stm07_bs(B466,106,$A466,1,100000000)+[1]!b_stm07_bs(B466,76,$A466,1,100000000)+[1]!b_stm07_bs(B466,108,$A466,1,100000000)+[1]!b_stm07_bs(B466,95,$A466,1,100000000))/[1]!b_stm07_bs(B466,128,$A466,1,100000000),"")</f>
        <v/>
      </c>
      <c r="S466" s="28" t="str">
        <f>IFERROR(([1]!s_stmnote_bank_614(B466,$A466,1,2,100000000)+[1]!b_stm07_bs(B466,104,$A466,1,100000000)+[1]!b_stm07_bs(B466,106,$A466,1,100000000)+[1]!b_stm07_bs(B466,76,$A466,1,100000000)+[1]!b_stm07_bs(B466,108,$A466,1,100000000)+[1]!b_stm07_bs(B466,95,$A466,1,100000000))/[1]!b_stm07_bs(B466,128,$A466,1,100000000),"")</f>
        <v/>
      </c>
      <c r="T466" s="11">
        <f>[1]!b_issuer_shareholder(B466,"",1)</f>
        <v>0</v>
      </c>
      <c r="U466" s="10">
        <f>[1]!b_issuer_propofshareholder(B466,"",1)</f>
        <v>0</v>
      </c>
      <c r="V466" s="33" t="str">
        <f t="shared" si="15"/>
        <v>0</v>
      </c>
      <c r="W466" s="33">
        <f>[1]!s_info_city(B466)</f>
        <v>0</v>
      </c>
      <c r="X466" s="10">
        <f>IF([1]!s_stmnote_bank_17n(B466,$A466,1)="0","",[1]!s_stmnote_bank_17n(B466,$A466,1))</f>
        <v>0</v>
      </c>
      <c r="Y466" s="10">
        <f>IF([1]!s_stmnote_bank_18n(B466,$A466,1)="0","",[1]!s_stmnote_bank_18n(B466,$A466,1))</f>
        <v>0</v>
      </c>
      <c r="Z466" s="41">
        <f>IF([1]!s_stmnote_bank_58(B466,$A466,1)="0","",[1]!s_stmnote_bank_58(B466,$A466,1))</f>
        <v>0</v>
      </c>
      <c r="AA466" s="52">
        <f>IF([1]!s_stmnote_bank_60(B466,$A466,1)="0","",[1]!s_stmnote_bank_60(B466,$A466,1))</f>
        <v>0</v>
      </c>
      <c r="AB466" s="52">
        <f>[1]!s_stmnote_bank_5444(B466,$A466,1)</f>
        <v>0</v>
      </c>
      <c r="AC466" s="38">
        <f>[1]!s_stmnote_bank_129n($B466,$A466,1)</f>
        <v>0</v>
      </c>
      <c r="AD466" s="54">
        <f>[1]!s_stmnote_bank_30(B466,$A466,1)</f>
        <v>0</v>
      </c>
    </row>
    <row r="467" spans="1:30" ht="24">
      <c r="A467" s="1" t="s">
        <v>1110</v>
      </c>
      <c r="B467" s="87" t="s">
        <v>1575</v>
      </c>
      <c r="C467" s="8">
        <f>IF([1]!b_info_issuer(B467)="0","",IFERROR([1]!b_info_issuer(B467),""))</f>
        <v>0</v>
      </c>
      <c r="D467" s="11">
        <f>IF([1]!b_info_latestissurercreditrating(B467)="0","",IFERROR([1]!b_info_latestissurercreditrating(B467),""))</f>
        <v>0</v>
      </c>
      <c r="E467" s="27" t="str">
        <f>IFERROR(([1]!b_stm07_bs($B467,47,$A467,1,100000000))/[1]!b_stm07_bs($B467,109,$A467,1,100000000),"")</f>
        <v/>
      </c>
      <c r="F467" s="18" t="str">
        <f>IFERROR(([1]!s_stmnote_bank_26($B467,$A467,1,100000000)-[1]!s_stmnote_bank_26($B467,#REF!,1,100000000)+#REF!)/[1]!s_stmnote_bank_1n($B467,#REF!,1,100000000),"")</f>
        <v/>
      </c>
      <c r="G467" s="21" t="str">
        <f t="shared" si="14"/>
        <v/>
      </c>
      <c r="H467" s="18" t="str">
        <f>IFERROR([1]!s_stmnote_bank($B467,"34",$A467,100000000)/[1]!s_stmnote_bank_1n(B467,$A467,1,100000000),"")</f>
        <v/>
      </c>
      <c r="I467" s="25">
        <f>[1]!b_stm07_bs(B467,74,$A467,1,100000000)</f>
        <v>0</v>
      </c>
      <c r="J467" s="25">
        <f>[1]!b_stm07_bs(B467,109,$A467,1,100000000)</f>
        <v>0</v>
      </c>
      <c r="K467" s="10">
        <f>[1]!s_stmnote_bank_5n(B467,$A467,1)</f>
        <v>0</v>
      </c>
      <c r="L467" s="25">
        <f>[1]!s_stmnote_bank_23n(B467,$A467,1)</f>
        <v>0</v>
      </c>
      <c r="M467" s="25">
        <f>[1]!s_stmnote_bank_capadequacyratio(B467,$A467,1)</f>
        <v>0</v>
      </c>
      <c r="N467" s="25">
        <f>[1]!s_stmnote_bank_capadequacyratio_ct1(B467,$A467,1)</f>
        <v>0</v>
      </c>
      <c r="O467" s="6">
        <f>IF(OR([1]!s_fa_roe(B467,20201231)="0",[1]!s_fa_roe(B467,20211231)="0",[1]!s_fa_roe(B467,20221231)="0"),"",IFERROR(([1]!s_fa_roe(B467,20221231)+[1]!s_fa_roe(B467,20201231)+[1]!s_fa_roe(B467,20211231))/3,""))</f>
        <v>0</v>
      </c>
      <c r="P467" s="28" t="str">
        <f>IFERROR(([1]!s_stmnote_bank_65(B467,$A467,1,2,4,100000000)+[1]!s_stmnote_bank_65(B467,$A467,1,2,6,100000000))/[1]!s_stmnote_bank_1n(B467,$A467,1,100000000),"")</f>
        <v/>
      </c>
      <c r="Q467" s="28" t="str">
        <f>IFERROR([1]!s_stmnote_bank_614(B467,$A467,1,2,100000000)/[1]!s_stmnote_bank_647(B467,$A467,1,2,100000000),"")</f>
        <v/>
      </c>
      <c r="R467" s="28" t="str">
        <f>IFERROR(([1]!b_stm07_bs(B467,104,$A467,1,100000000)+[1]!b_stm07_bs(B467,106,$A467,1,100000000)+[1]!b_stm07_bs(B467,76,$A467,1,100000000)+[1]!b_stm07_bs(B467,108,$A467,1,100000000)+[1]!b_stm07_bs(B467,95,$A467,1,100000000))/[1]!b_stm07_bs(B467,128,$A467,1,100000000),"")</f>
        <v/>
      </c>
      <c r="S467" s="28" t="str">
        <f>IFERROR(([1]!s_stmnote_bank_614(B467,$A467,1,2,100000000)+[1]!b_stm07_bs(B467,104,$A467,1,100000000)+[1]!b_stm07_bs(B467,106,$A467,1,100000000)+[1]!b_stm07_bs(B467,76,$A467,1,100000000)+[1]!b_stm07_bs(B467,108,$A467,1,100000000)+[1]!b_stm07_bs(B467,95,$A467,1,100000000))/[1]!b_stm07_bs(B467,128,$A467,1,100000000),"")</f>
        <v/>
      </c>
      <c r="T467" s="11">
        <f>[1]!b_issuer_shareholder(B467,"",1)</f>
        <v>0</v>
      </c>
      <c r="U467" s="10">
        <f>[1]!b_issuer_propofshareholder(B467,"",1)</f>
        <v>0</v>
      </c>
      <c r="V467" s="33" t="str">
        <f t="shared" si="15"/>
        <v>0</v>
      </c>
      <c r="W467" s="33">
        <f>[1]!s_info_city(B467)</f>
        <v>0</v>
      </c>
      <c r="X467" s="10">
        <f>IF([1]!s_stmnote_bank_17n(B467,$A467,1)="0","",[1]!s_stmnote_bank_17n(B467,$A467,1))</f>
        <v>0</v>
      </c>
      <c r="Y467" s="10">
        <f>IF([1]!s_stmnote_bank_18n(B467,$A467,1)="0","",[1]!s_stmnote_bank_18n(B467,$A467,1))</f>
        <v>0</v>
      </c>
      <c r="Z467" s="41">
        <f>IF([1]!s_stmnote_bank_58(B467,$A467,1)="0","",[1]!s_stmnote_bank_58(B467,$A467,1))</f>
        <v>0</v>
      </c>
      <c r="AA467" s="52">
        <f>IF([1]!s_stmnote_bank_60(B467,$A467,1)="0","",[1]!s_stmnote_bank_60(B467,$A467,1))</f>
        <v>0</v>
      </c>
      <c r="AB467" s="52">
        <f>[1]!s_stmnote_bank_5444(B467,$A467,1)</f>
        <v>0</v>
      </c>
      <c r="AC467" s="38">
        <f>[1]!s_stmnote_bank_129n($B467,$A467,1)</f>
        <v>0</v>
      </c>
      <c r="AD467" s="54">
        <f>[1]!s_stmnote_bank_30(B467,$A467,1)</f>
        <v>0</v>
      </c>
    </row>
    <row r="468" spans="1:30" ht="24">
      <c r="A468" s="1" t="s">
        <v>1110</v>
      </c>
      <c r="B468" s="87" t="s">
        <v>1576</v>
      </c>
      <c r="C468" s="8">
        <f>IF([1]!b_info_issuer(B468)="0","",IFERROR([1]!b_info_issuer(B468),""))</f>
        <v>0</v>
      </c>
      <c r="D468" s="11">
        <f>IF([1]!b_info_latestissurercreditrating(B468)="0","",IFERROR([1]!b_info_latestissurercreditrating(B468),""))</f>
        <v>0</v>
      </c>
      <c r="E468" s="27" t="str">
        <f>IFERROR(([1]!b_stm07_bs($B468,47,$A468,1,100000000))/[1]!b_stm07_bs($B468,109,$A468,1,100000000),"")</f>
        <v/>
      </c>
      <c r="F468" s="18" t="str">
        <f>IFERROR(([1]!s_stmnote_bank_26($B468,$A468,1,100000000)-[1]!s_stmnote_bank_26($B468,#REF!,1,100000000)+#REF!)/[1]!s_stmnote_bank_1n($B468,#REF!,1,100000000),"")</f>
        <v/>
      </c>
      <c r="G468" s="21" t="str">
        <f t="shared" si="14"/>
        <v/>
      </c>
      <c r="H468" s="18" t="str">
        <f>IFERROR([1]!s_stmnote_bank($B468,"34",$A468,100000000)/[1]!s_stmnote_bank_1n(B468,$A468,1,100000000),"")</f>
        <v/>
      </c>
      <c r="I468" s="25">
        <f>[1]!b_stm07_bs(B468,74,$A468,1,100000000)</f>
        <v>0</v>
      </c>
      <c r="J468" s="25">
        <f>[1]!b_stm07_bs(B468,109,$A468,1,100000000)</f>
        <v>0</v>
      </c>
      <c r="K468" s="10">
        <f>[1]!s_stmnote_bank_5n(B468,$A468,1)</f>
        <v>0</v>
      </c>
      <c r="L468" s="25">
        <f>[1]!s_stmnote_bank_23n(B468,$A468,1)</f>
        <v>0</v>
      </c>
      <c r="M468" s="25">
        <f>[1]!s_stmnote_bank_capadequacyratio(B468,$A468,1)</f>
        <v>0</v>
      </c>
      <c r="N468" s="25">
        <f>[1]!s_stmnote_bank_capadequacyratio_ct1(B468,$A468,1)</f>
        <v>0</v>
      </c>
      <c r="O468" s="6">
        <f>IF(OR([1]!s_fa_roe(B468,20201231)="0",[1]!s_fa_roe(B468,20211231)="0",[1]!s_fa_roe(B468,20221231)="0"),"",IFERROR(([1]!s_fa_roe(B468,20221231)+[1]!s_fa_roe(B468,20201231)+[1]!s_fa_roe(B468,20211231))/3,""))</f>
        <v>0</v>
      </c>
      <c r="P468" s="28" t="str">
        <f>IFERROR(([1]!s_stmnote_bank_65(B468,$A468,1,2,4,100000000)+[1]!s_stmnote_bank_65(B468,$A468,1,2,6,100000000))/[1]!s_stmnote_bank_1n(B468,$A468,1,100000000),"")</f>
        <v/>
      </c>
      <c r="Q468" s="28" t="str">
        <f>IFERROR([1]!s_stmnote_bank_614(B468,$A468,1,2,100000000)/[1]!s_stmnote_bank_647(B468,$A468,1,2,100000000),"")</f>
        <v/>
      </c>
      <c r="R468" s="28" t="str">
        <f>IFERROR(([1]!b_stm07_bs(B468,104,$A468,1,100000000)+[1]!b_stm07_bs(B468,106,$A468,1,100000000)+[1]!b_stm07_bs(B468,76,$A468,1,100000000)+[1]!b_stm07_bs(B468,108,$A468,1,100000000)+[1]!b_stm07_bs(B468,95,$A468,1,100000000))/[1]!b_stm07_bs(B468,128,$A468,1,100000000),"")</f>
        <v/>
      </c>
      <c r="S468" s="28" t="str">
        <f>IFERROR(([1]!s_stmnote_bank_614(B468,$A468,1,2,100000000)+[1]!b_stm07_bs(B468,104,$A468,1,100000000)+[1]!b_stm07_bs(B468,106,$A468,1,100000000)+[1]!b_stm07_bs(B468,76,$A468,1,100000000)+[1]!b_stm07_bs(B468,108,$A468,1,100000000)+[1]!b_stm07_bs(B468,95,$A468,1,100000000))/[1]!b_stm07_bs(B468,128,$A468,1,100000000),"")</f>
        <v/>
      </c>
      <c r="T468" s="11">
        <f>[1]!b_issuer_shareholder(B468,"",1)</f>
        <v>0</v>
      </c>
      <c r="U468" s="10">
        <f>[1]!b_issuer_propofshareholder(B468,"",1)</f>
        <v>0</v>
      </c>
      <c r="V468" s="33" t="str">
        <f t="shared" si="15"/>
        <v>0</v>
      </c>
      <c r="W468" s="33">
        <f>[1]!s_info_city(B468)</f>
        <v>0</v>
      </c>
      <c r="X468" s="10">
        <f>IF([1]!s_stmnote_bank_17n(B468,$A468,1)="0","",[1]!s_stmnote_bank_17n(B468,$A468,1))</f>
        <v>0</v>
      </c>
      <c r="Y468" s="10">
        <f>IF([1]!s_stmnote_bank_18n(B468,$A468,1)="0","",[1]!s_stmnote_bank_18n(B468,$A468,1))</f>
        <v>0</v>
      </c>
      <c r="Z468" s="41">
        <f>IF([1]!s_stmnote_bank_58(B468,$A468,1)="0","",[1]!s_stmnote_bank_58(B468,$A468,1))</f>
        <v>0</v>
      </c>
      <c r="AA468" s="52">
        <f>IF([1]!s_stmnote_bank_60(B468,$A468,1)="0","",[1]!s_stmnote_bank_60(B468,$A468,1))</f>
        <v>0</v>
      </c>
      <c r="AB468" s="52">
        <f>[1]!s_stmnote_bank_5444(B468,$A468,1)</f>
        <v>0</v>
      </c>
      <c r="AC468" s="38">
        <f>[1]!s_stmnote_bank_129n($B468,$A468,1)</f>
        <v>0</v>
      </c>
      <c r="AD468" s="54">
        <f>[1]!s_stmnote_bank_30(B468,$A468,1)</f>
        <v>0</v>
      </c>
    </row>
    <row r="469" spans="1:30" ht="24">
      <c r="A469" s="1" t="s">
        <v>1110</v>
      </c>
      <c r="B469" s="87" t="s">
        <v>1577</v>
      </c>
      <c r="C469" s="8">
        <f>IF([1]!b_info_issuer(B469)="0","",IFERROR([1]!b_info_issuer(B469),""))</f>
        <v>0</v>
      </c>
      <c r="D469" s="11">
        <f>IF([1]!b_info_latestissurercreditrating(B469)="0","",IFERROR([1]!b_info_latestissurercreditrating(B469),""))</f>
        <v>0</v>
      </c>
      <c r="E469" s="27" t="str">
        <f>IFERROR(([1]!b_stm07_bs($B469,47,$A469,1,100000000))/[1]!b_stm07_bs($B469,109,$A469,1,100000000),"")</f>
        <v/>
      </c>
      <c r="F469" s="18" t="str">
        <f>IFERROR(([1]!s_stmnote_bank_26($B469,$A469,1,100000000)-[1]!s_stmnote_bank_26($B469,#REF!,1,100000000)+#REF!)/[1]!s_stmnote_bank_1n($B469,#REF!,1,100000000),"")</f>
        <v/>
      </c>
      <c r="G469" s="21" t="str">
        <f t="shared" si="14"/>
        <v/>
      </c>
      <c r="H469" s="18" t="str">
        <f>IFERROR([1]!s_stmnote_bank($B469,"34",$A469,100000000)/[1]!s_stmnote_bank_1n(B469,$A469,1,100000000),"")</f>
        <v/>
      </c>
      <c r="I469" s="25">
        <f>[1]!b_stm07_bs(B469,74,$A469,1,100000000)</f>
        <v>0</v>
      </c>
      <c r="J469" s="25">
        <f>[1]!b_stm07_bs(B469,109,$A469,1,100000000)</f>
        <v>0</v>
      </c>
      <c r="K469" s="10">
        <f>[1]!s_stmnote_bank_5n(B469,$A469,1)</f>
        <v>0</v>
      </c>
      <c r="L469" s="25">
        <f>[1]!s_stmnote_bank_23n(B469,$A469,1)</f>
        <v>0</v>
      </c>
      <c r="M469" s="25">
        <f>[1]!s_stmnote_bank_capadequacyratio(B469,$A469,1)</f>
        <v>0</v>
      </c>
      <c r="N469" s="25">
        <f>[1]!s_stmnote_bank_capadequacyratio_ct1(B469,$A469,1)</f>
        <v>0</v>
      </c>
      <c r="O469" s="6">
        <f>IF(OR([1]!s_fa_roe(B469,20201231)="0",[1]!s_fa_roe(B469,20211231)="0",[1]!s_fa_roe(B469,20221231)="0"),"",IFERROR(([1]!s_fa_roe(B469,20221231)+[1]!s_fa_roe(B469,20201231)+[1]!s_fa_roe(B469,20211231))/3,""))</f>
        <v>0</v>
      </c>
      <c r="P469" s="28" t="str">
        <f>IFERROR(([1]!s_stmnote_bank_65(B469,$A469,1,2,4,100000000)+[1]!s_stmnote_bank_65(B469,$A469,1,2,6,100000000))/[1]!s_stmnote_bank_1n(B469,$A469,1,100000000),"")</f>
        <v/>
      </c>
      <c r="Q469" s="28" t="str">
        <f>IFERROR([1]!s_stmnote_bank_614(B469,$A469,1,2,100000000)/[1]!s_stmnote_bank_647(B469,$A469,1,2,100000000),"")</f>
        <v/>
      </c>
      <c r="R469" s="28" t="str">
        <f>IFERROR(([1]!b_stm07_bs(B469,104,$A469,1,100000000)+[1]!b_stm07_bs(B469,106,$A469,1,100000000)+[1]!b_stm07_bs(B469,76,$A469,1,100000000)+[1]!b_stm07_bs(B469,108,$A469,1,100000000)+[1]!b_stm07_bs(B469,95,$A469,1,100000000))/[1]!b_stm07_bs(B469,128,$A469,1,100000000),"")</f>
        <v/>
      </c>
      <c r="S469" s="28" t="str">
        <f>IFERROR(([1]!s_stmnote_bank_614(B469,$A469,1,2,100000000)+[1]!b_stm07_bs(B469,104,$A469,1,100000000)+[1]!b_stm07_bs(B469,106,$A469,1,100000000)+[1]!b_stm07_bs(B469,76,$A469,1,100000000)+[1]!b_stm07_bs(B469,108,$A469,1,100000000)+[1]!b_stm07_bs(B469,95,$A469,1,100000000))/[1]!b_stm07_bs(B469,128,$A469,1,100000000),"")</f>
        <v/>
      </c>
      <c r="T469" s="11">
        <f>[1]!b_issuer_shareholder(B469,"",1)</f>
        <v>0</v>
      </c>
      <c r="U469" s="10">
        <f>[1]!b_issuer_propofshareholder(B469,"",1)</f>
        <v>0</v>
      </c>
      <c r="V469" s="33" t="str">
        <f t="shared" si="15"/>
        <v>0</v>
      </c>
      <c r="W469" s="33">
        <f>[1]!s_info_city(B469)</f>
        <v>0</v>
      </c>
      <c r="X469" s="10">
        <f>IF([1]!s_stmnote_bank_17n(B469,$A469,1)="0","",[1]!s_stmnote_bank_17n(B469,$A469,1))</f>
        <v>0</v>
      </c>
      <c r="Y469" s="10">
        <f>IF([1]!s_stmnote_bank_18n(B469,$A469,1)="0","",[1]!s_stmnote_bank_18n(B469,$A469,1))</f>
        <v>0</v>
      </c>
      <c r="Z469" s="41">
        <f>IF([1]!s_stmnote_bank_58(B469,$A469,1)="0","",[1]!s_stmnote_bank_58(B469,$A469,1))</f>
        <v>0</v>
      </c>
      <c r="AA469" s="52">
        <f>IF([1]!s_stmnote_bank_60(B469,$A469,1)="0","",[1]!s_stmnote_bank_60(B469,$A469,1))</f>
        <v>0</v>
      </c>
      <c r="AB469" s="52">
        <f>[1]!s_stmnote_bank_5444(B469,$A469,1)</f>
        <v>0</v>
      </c>
      <c r="AC469" s="38">
        <f>[1]!s_stmnote_bank_129n($B469,$A469,1)</f>
        <v>0</v>
      </c>
      <c r="AD469" s="54">
        <f>[1]!s_stmnote_bank_30(B469,$A469,1)</f>
        <v>0</v>
      </c>
    </row>
    <row r="470" spans="1:30" ht="24">
      <c r="A470" s="1" t="s">
        <v>1110</v>
      </c>
      <c r="B470" s="87" t="s">
        <v>1578</v>
      </c>
      <c r="C470" s="8">
        <f>IF([1]!b_info_issuer(B470)="0","",IFERROR([1]!b_info_issuer(B470),""))</f>
        <v>0</v>
      </c>
      <c r="D470" s="11">
        <f>IF([1]!b_info_latestissurercreditrating(B470)="0","",IFERROR([1]!b_info_latestissurercreditrating(B470),""))</f>
        <v>0</v>
      </c>
      <c r="E470" s="27" t="str">
        <f>IFERROR(([1]!b_stm07_bs($B470,47,$A470,1,100000000))/[1]!b_stm07_bs($B470,109,$A470,1,100000000),"")</f>
        <v/>
      </c>
      <c r="F470" s="18" t="str">
        <f>IFERROR(([1]!s_stmnote_bank_26($B470,$A470,1,100000000)-[1]!s_stmnote_bank_26($B470,#REF!,1,100000000)+#REF!)/[1]!s_stmnote_bank_1n($B470,#REF!,1,100000000),"")</f>
        <v/>
      </c>
      <c r="G470" s="21" t="str">
        <f t="shared" si="14"/>
        <v/>
      </c>
      <c r="H470" s="18" t="str">
        <f>IFERROR([1]!s_stmnote_bank($B470,"34",$A470,100000000)/[1]!s_stmnote_bank_1n(B470,$A470,1,100000000),"")</f>
        <v/>
      </c>
      <c r="I470" s="25">
        <f>[1]!b_stm07_bs(B470,74,$A470,1,100000000)</f>
        <v>0</v>
      </c>
      <c r="J470" s="25">
        <f>[1]!b_stm07_bs(B470,109,$A470,1,100000000)</f>
        <v>0</v>
      </c>
      <c r="K470" s="10">
        <f>[1]!s_stmnote_bank_5n(B470,$A470,1)</f>
        <v>0</v>
      </c>
      <c r="L470" s="25">
        <f>[1]!s_stmnote_bank_23n(B470,$A470,1)</f>
        <v>0</v>
      </c>
      <c r="M470" s="25">
        <f>[1]!s_stmnote_bank_capadequacyratio(B470,$A470,1)</f>
        <v>0</v>
      </c>
      <c r="N470" s="25">
        <f>[1]!s_stmnote_bank_capadequacyratio_ct1(B470,$A470,1)</f>
        <v>0</v>
      </c>
      <c r="O470" s="6">
        <f>IF(OR([1]!s_fa_roe(B470,20201231)="0",[1]!s_fa_roe(B470,20211231)="0",[1]!s_fa_roe(B470,20221231)="0"),"",IFERROR(([1]!s_fa_roe(B470,20221231)+[1]!s_fa_roe(B470,20201231)+[1]!s_fa_roe(B470,20211231))/3,""))</f>
        <v>0</v>
      </c>
      <c r="P470" s="28" t="str">
        <f>IFERROR(([1]!s_stmnote_bank_65(B470,$A470,1,2,4,100000000)+[1]!s_stmnote_bank_65(B470,$A470,1,2,6,100000000))/[1]!s_stmnote_bank_1n(B470,$A470,1,100000000),"")</f>
        <v/>
      </c>
      <c r="Q470" s="28" t="str">
        <f>IFERROR([1]!s_stmnote_bank_614(B470,$A470,1,2,100000000)/[1]!s_stmnote_bank_647(B470,$A470,1,2,100000000),"")</f>
        <v/>
      </c>
      <c r="R470" s="28" t="str">
        <f>IFERROR(([1]!b_stm07_bs(B470,104,$A470,1,100000000)+[1]!b_stm07_bs(B470,106,$A470,1,100000000)+[1]!b_stm07_bs(B470,76,$A470,1,100000000)+[1]!b_stm07_bs(B470,108,$A470,1,100000000)+[1]!b_stm07_bs(B470,95,$A470,1,100000000))/[1]!b_stm07_bs(B470,128,$A470,1,100000000),"")</f>
        <v/>
      </c>
      <c r="S470" s="28" t="str">
        <f>IFERROR(([1]!s_stmnote_bank_614(B470,$A470,1,2,100000000)+[1]!b_stm07_bs(B470,104,$A470,1,100000000)+[1]!b_stm07_bs(B470,106,$A470,1,100000000)+[1]!b_stm07_bs(B470,76,$A470,1,100000000)+[1]!b_stm07_bs(B470,108,$A470,1,100000000)+[1]!b_stm07_bs(B470,95,$A470,1,100000000))/[1]!b_stm07_bs(B470,128,$A470,1,100000000),"")</f>
        <v/>
      </c>
      <c r="T470" s="11">
        <f>[1]!b_issuer_shareholder(B470,"",1)</f>
        <v>0</v>
      </c>
      <c r="U470" s="10">
        <f>[1]!b_issuer_propofshareholder(B470,"",1)</f>
        <v>0</v>
      </c>
      <c r="V470" s="33" t="str">
        <f t="shared" si="15"/>
        <v>0</v>
      </c>
      <c r="W470" s="33">
        <f>[1]!s_info_city(B470)</f>
        <v>0</v>
      </c>
      <c r="X470" s="10">
        <f>IF([1]!s_stmnote_bank_17n(B470,$A470,1)="0","",[1]!s_stmnote_bank_17n(B470,$A470,1))</f>
        <v>0</v>
      </c>
      <c r="Y470" s="10">
        <f>IF([1]!s_stmnote_bank_18n(B470,$A470,1)="0","",[1]!s_stmnote_bank_18n(B470,$A470,1))</f>
        <v>0</v>
      </c>
      <c r="Z470" s="41">
        <f>IF([1]!s_stmnote_bank_58(B470,$A470,1)="0","",[1]!s_stmnote_bank_58(B470,$A470,1))</f>
        <v>0</v>
      </c>
      <c r="AA470" s="52">
        <f>IF([1]!s_stmnote_bank_60(B470,$A470,1)="0","",[1]!s_stmnote_bank_60(B470,$A470,1))</f>
        <v>0</v>
      </c>
      <c r="AB470" s="52">
        <f>[1]!s_stmnote_bank_5444(B470,$A470,1)</f>
        <v>0</v>
      </c>
      <c r="AC470" s="38">
        <f>[1]!s_stmnote_bank_129n($B470,$A470,1)</f>
        <v>0</v>
      </c>
      <c r="AD470" s="54">
        <f>[1]!s_stmnote_bank_30(B470,$A470,1)</f>
        <v>0</v>
      </c>
    </row>
    <row r="471" spans="1:30" ht="24">
      <c r="A471" s="1" t="s">
        <v>1110</v>
      </c>
      <c r="B471" s="87" t="s">
        <v>1579</v>
      </c>
      <c r="C471" s="8">
        <f>IF([1]!b_info_issuer(B471)="0","",IFERROR([1]!b_info_issuer(B471),""))</f>
        <v>0</v>
      </c>
      <c r="D471" s="11">
        <f>IF([1]!b_info_latestissurercreditrating(B471)="0","",IFERROR([1]!b_info_latestissurercreditrating(B471),""))</f>
        <v>0</v>
      </c>
      <c r="E471" s="27" t="str">
        <f>IFERROR(([1]!b_stm07_bs($B471,47,$A471,1,100000000))/[1]!b_stm07_bs($B471,109,$A471,1,100000000),"")</f>
        <v/>
      </c>
      <c r="F471" s="18" t="str">
        <f>IFERROR(([1]!s_stmnote_bank_26($B471,$A471,1,100000000)-[1]!s_stmnote_bank_26($B471,#REF!,1,100000000)+#REF!)/[1]!s_stmnote_bank_1n($B471,#REF!,1,100000000),"")</f>
        <v/>
      </c>
      <c r="G471" s="21" t="str">
        <f t="shared" si="14"/>
        <v/>
      </c>
      <c r="H471" s="18" t="str">
        <f>IFERROR([1]!s_stmnote_bank($B471,"34",$A471,100000000)/[1]!s_stmnote_bank_1n(B471,$A471,1,100000000),"")</f>
        <v/>
      </c>
      <c r="I471" s="25">
        <f>[1]!b_stm07_bs(B471,74,$A471,1,100000000)</f>
        <v>0</v>
      </c>
      <c r="J471" s="25">
        <f>[1]!b_stm07_bs(B471,109,$A471,1,100000000)</f>
        <v>0</v>
      </c>
      <c r="K471" s="10">
        <f>[1]!s_stmnote_bank_5n(B471,$A471,1)</f>
        <v>0</v>
      </c>
      <c r="L471" s="25">
        <f>[1]!s_stmnote_bank_23n(B471,$A471,1)</f>
        <v>0</v>
      </c>
      <c r="M471" s="25">
        <f>[1]!s_stmnote_bank_capadequacyratio(B471,$A471,1)</f>
        <v>0</v>
      </c>
      <c r="N471" s="25">
        <f>[1]!s_stmnote_bank_capadequacyratio_ct1(B471,$A471,1)</f>
        <v>0</v>
      </c>
      <c r="O471" s="6">
        <f>IF(OR([1]!s_fa_roe(B471,20201231)="0",[1]!s_fa_roe(B471,20211231)="0",[1]!s_fa_roe(B471,20221231)="0"),"",IFERROR(([1]!s_fa_roe(B471,20221231)+[1]!s_fa_roe(B471,20201231)+[1]!s_fa_roe(B471,20211231))/3,""))</f>
        <v>0</v>
      </c>
      <c r="P471" s="28" t="str">
        <f>IFERROR(([1]!s_stmnote_bank_65(B471,$A471,1,2,4,100000000)+[1]!s_stmnote_bank_65(B471,$A471,1,2,6,100000000))/[1]!s_stmnote_bank_1n(B471,$A471,1,100000000),"")</f>
        <v/>
      </c>
      <c r="Q471" s="28" t="str">
        <f>IFERROR([1]!s_stmnote_bank_614(B471,$A471,1,2,100000000)/[1]!s_stmnote_bank_647(B471,$A471,1,2,100000000),"")</f>
        <v/>
      </c>
      <c r="R471" s="28" t="str">
        <f>IFERROR(([1]!b_stm07_bs(B471,104,$A471,1,100000000)+[1]!b_stm07_bs(B471,106,$A471,1,100000000)+[1]!b_stm07_bs(B471,76,$A471,1,100000000)+[1]!b_stm07_bs(B471,108,$A471,1,100000000)+[1]!b_stm07_bs(B471,95,$A471,1,100000000))/[1]!b_stm07_bs(B471,128,$A471,1,100000000),"")</f>
        <v/>
      </c>
      <c r="S471" s="28" t="str">
        <f>IFERROR(([1]!s_stmnote_bank_614(B471,$A471,1,2,100000000)+[1]!b_stm07_bs(B471,104,$A471,1,100000000)+[1]!b_stm07_bs(B471,106,$A471,1,100000000)+[1]!b_stm07_bs(B471,76,$A471,1,100000000)+[1]!b_stm07_bs(B471,108,$A471,1,100000000)+[1]!b_stm07_bs(B471,95,$A471,1,100000000))/[1]!b_stm07_bs(B471,128,$A471,1,100000000),"")</f>
        <v/>
      </c>
      <c r="T471" s="11">
        <f>[1]!b_issuer_shareholder(B471,"",1)</f>
        <v>0</v>
      </c>
      <c r="U471" s="10">
        <f>[1]!b_issuer_propofshareholder(B471,"",1)</f>
        <v>0</v>
      </c>
      <c r="V471" s="33" t="str">
        <f t="shared" si="15"/>
        <v>0</v>
      </c>
      <c r="W471" s="33">
        <f>[1]!s_info_city(B471)</f>
        <v>0</v>
      </c>
      <c r="X471" s="10">
        <f>IF([1]!s_stmnote_bank_17n(B471,$A471,1)="0","",[1]!s_stmnote_bank_17n(B471,$A471,1))</f>
        <v>0</v>
      </c>
      <c r="Y471" s="10">
        <f>IF([1]!s_stmnote_bank_18n(B471,$A471,1)="0","",[1]!s_stmnote_bank_18n(B471,$A471,1))</f>
        <v>0</v>
      </c>
      <c r="Z471" s="41">
        <f>IF([1]!s_stmnote_bank_58(B471,$A471,1)="0","",[1]!s_stmnote_bank_58(B471,$A471,1))</f>
        <v>0</v>
      </c>
      <c r="AA471" s="52">
        <f>IF([1]!s_stmnote_bank_60(B471,$A471,1)="0","",[1]!s_stmnote_bank_60(B471,$A471,1))</f>
        <v>0</v>
      </c>
      <c r="AB471" s="52">
        <f>[1]!s_stmnote_bank_5444(B471,$A471,1)</f>
        <v>0</v>
      </c>
      <c r="AC471" s="38">
        <f>[1]!s_stmnote_bank_129n($B471,$A471,1)</f>
        <v>0</v>
      </c>
      <c r="AD471" s="54">
        <f>[1]!s_stmnote_bank_30(B471,$A471,1)</f>
        <v>0</v>
      </c>
    </row>
    <row r="472" spans="1:30" ht="24">
      <c r="A472" s="1" t="s">
        <v>1110</v>
      </c>
      <c r="B472" s="87" t="s">
        <v>1580</v>
      </c>
      <c r="C472" s="8">
        <f>IF([1]!b_info_issuer(B472)="0","",IFERROR([1]!b_info_issuer(B472),""))</f>
        <v>0</v>
      </c>
      <c r="D472" s="11">
        <f>IF([1]!b_info_latestissurercreditrating(B472)="0","",IFERROR([1]!b_info_latestissurercreditrating(B472),""))</f>
        <v>0</v>
      </c>
      <c r="E472" s="27" t="str">
        <f>IFERROR(([1]!b_stm07_bs($B472,47,$A472,1,100000000))/[1]!b_stm07_bs($B472,109,$A472,1,100000000),"")</f>
        <v/>
      </c>
      <c r="F472" s="18" t="str">
        <f>IFERROR(([1]!s_stmnote_bank_26($B472,$A472,1,100000000)-[1]!s_stmnote_bank_26($B472,#REF!,1,100000000)+#REF!)/[1]!s_stmnote_bank_1n($B472,#REF!,1,100000000),"")</f>
        <v/>
      </c>
      <c r="G472" s="21" t="str">
        <f t="shared" si="14"/>
        <v/>
      </c>
      <c r="H472" s="18" t="str">
        <f>IFERROR([1]!s_stmnote_bank($B472,"34",$A472,100000000)/[1]!s_stmnote_bank_1n(B472,$A472,1,100000000),"")</f>
        <v/>
      </c>
      <c r="I472" s="25">
        <f>[1]!b_stm07_bs(B472,74,$A472,1,100000000)</f>
        <v>0</v>
      </c>
      <c r="J472" s="25">
        <f>[1]!b_stm07_bs(B472,109,$A472,1,100000000)</f>
        <v>0</v>
      </c>
      <c r="K472" s="10">
        <f>[1]!s_stmnote_bank_5n(B472,$A472,1)</f>
        <v>0</v>
      </c>
      <c r="L472" s="25">
        <f>[1]!s_stmnote_bank_23n(B472,$A472,1)</f>
        <v>0</v>
      </c>
      <c r="M472" s="25">
        <f>[1]!s_stmnote_bank_capadequacyratio(B472,$A472,1)</f>
        <v>0</v>
      </c>
      <c r="N472" s="25">
        <f>[1]!s_stmnote_bank_capadequacyratio_ct1(B472,$A472,1)</f>
        <v>0</v>
      </c>
      <c r="O472" s="6">
        <f>IF(OR([1]!s_fa_roe(B472,20201231)="0",[1]!s_fa_roe(B472,20211231)="0",[1]!s_fa_roe(B472,20221231)="0"),"",IFERROR(([1]!s_fa_roe(B472,20221231)+[1]!s_fa_roe(B472,20201231)+[1]!s_fa_roe(B472,20211231))/3,""))</f>
        <v>0</v>
      </c>
      <c r="P472" s="28" t="str">
        <f>IFERROR(([1]!s_stmnote_bank_65(B472,$A472,1,2,4,100000000)+[1]!s_stmnote_bank_65(B472,$A472,1,2,6,100000000))/[1]!s_stmnote_bank_1n(B472,$A472,1,100000000),"")</f>
        <v/>
      </c>
      <c r="Q472" s="28" t="str">
        <f>IFERROR([1]!s_stmnote_bank_614(B472,$A472,1,2,100000000)/[1]!s_stmnote_bank_647(B472,$A472,1,2,100000000),"")</f>
        <v/>
      </c>
      <c r="R472" s="28" t="str">
        <f>IFERROR(([1]!b_stm07_bs(B472,104,$A472,1,100000000)+[1]!b_stm07_bs(B472,106,$A472,1,100000000)+[1]!b_stm07_bs(B472,76,$A472,1,100000000)+[1]!b_stm07_bs(B472,108,$A472,1,100000000)+[1]!b_stm07_bs(B472,95,$A472,1,100000000))/[1]!b_stm07_bs(B472,128,$A472,1,100000000),"")</f>
        <v/>
      </c>
      <c r="S472" s="28" t="str">
        <f>IFERROR(([1]!s_stmnote_bank_614(B472,$A472,1,2,100000000)+[1]!b_stm07_bs(B472,104,$A472,1,100000000)+[1]!b_stm07_bs(B472,106,$A472,1,100000000)+[1]!b_stm07_bs(B472,76,$A472,1,100000000)+[1]!b_stm07_bs(B472,108,$A472,1,100000000)+[1]!b_stm07_bs(B472,95,$A472,1,100000000))/[1]!b_stm07_bs(B472,128,$A472,1,100000000),"")</f>
        <v/>
      </c>
      <c r="T472" s="11">
        <f>[1]!b_issuer_shareholder(B472,"",1)</f>
        <v>0</v>
      </c>
      <c r="U472" s="10">
        <f>[1]!b_issuer_propofshareholder(B472,"",1)</f>
        <v>0</v>
      </c>
      <c r="V472" s="33" t="str">
        <f t="shared" si="15"/>
        <v>0</v>
      </c>
      <c r="W472" s="33">
        <f>[1]!s_info_city(B472)</f>
        <v>0</v>
      </c>
      <c r="X472" s="10">
        <f>IF([1]!s_stmnote_bank_17n(B472,$A472,1)="0","",[1]!s_stmnote_bank_17n(B472,$A472,1))</f>
        <v>0</v>
      </c>
      <c r="Y472" s="10">
        <f>IF([1]!s_stmnote_bank_18n(B472,$A472,1)="0","",[1]!s_stmnote_bank_18n(B472,$A472,1))</f>
        <v>0</v>
      </c>
      <c r="Z472" s="41">
        <f>IF([1]!s_stmnote_bank_58(B472,$A472,1)="0","",[1]!s_stmnote_bank_58(B472,$A472,1))</f>
        <v>0</v>
      </c>
      <c r="AA472" s="52">
        <f>IF([1]!s_stmnote_bank_60(B472,$A472,1)="0","",[1]!s_stmnote_bank_60(B472,$A472,1))</f>
        <v>0</v>
      </c>
      <c r="AB472" s="52">
        <f>[1]!s_stmnote_bank_5444(B472,$A472,1)</f>
        <v>0</v>
      </c>
      <c r="AC472" s="38">
        <f>[1]!s_stmnote_bank_129n($B472,$A472,1)</f>
        <v>0</v>
      </c>
      <c r="AD472" s="54">
        <f>[1]!s_stmnote_bank_30(B472,$A472,1)</f>
        <v>0</v>
      </c>
    </row>
    <row r="473" spans="1:30" ht="24">
      <c r="A473" s="1" t="s">
        <v>1110</v>
      </c>
      <c r="B473" s="87" t="s">
        <v>1581</v>
      </c>
      <c r="C473" s="8">
        <f>IF([1]!b_info_issuer(B473)="0","",IFERROR([1]!b_info_issuer(B473),""))</f>
        <v>0</v>
      </c>
      <c r="D473" s="11">
        <f>IF([1]!b_info_latestissurercreditrating(B473)="0","",IFERROR([1]!b_info_latestissurercreditrating(B473),""))</f>
        <v>0</v>
      </c>
      <c r="E473" s="27" t="str">
        <f>IFERROR(([1]!b_stm07_bs($B473,47,$A473,1,100000000))/[1]!b_stm07_bs($B473,109,$A473,1,100000000),"")</f>
        <v/>
      </c>
      <c r="F473" s="18" t="str">
        <f>IFERROR(([1]!s_stmnote_bank_26($B473,$A473,1,100000000)-[1]!s_stmnote_bank_26($B473,#REF!,1,100000000)+#REF!)/[1]!s_stmnote_bank_1n($B473,#REF!,1,100000000),"")</f>
        <v/>
      </c>
      <c r="G473" s="21" t="str">
        <f t="shared" si="14"/>
        <v/>
      </c>
      <c r="H473" s="18" t="str">
        <f>IFERROR([1]!s_stmnote_bank($B473,"34",$A473,100000000)/[1]!s_stmnote_bank_1n(B473,$A473,1,100000000),"")</f>
        <v/>
      </c>
      <c r="I473" s="25">
        <f>[1]!b_stm07_bs(B473,74,$A473,1,100000000)</f>
        <v>0</v>
      </c>
      <c r="J473" s="25">
        <f>[1]!b_stm07_bs(B473,109,$A473,1,100000000)</f>
        <v>0</v>
      </c>
      <c r="K473" s="10">
        <f>[1]!s_stmnote_bank_5n(B473,$A473,1)</f>
        <v>0</v>
      </c>
      <c r="L473" s="25">
        <f>[1]!s_stmnote_bank_23n(B473,$A473,1)</f>
        <v>0</v>
      </c>
      <c r="M473" s="25">
        <f>[1]!s_stmnote_bank_capadequacyratio(B473,$A473,1)</f>
        <v>0</v>
      </c>
      <c r="N473" s="25">
        <f>[1]!s_stmnote_bank_capadequacyratio_ct1(B473,$A473,1)</f>
        <v>0</v>
      </c>
      <c r="O473" s="6">
        <f>IF(OR([1]!s_fa_roe(B473,20201231)="0",[1]!s_fa_roe(B473,20211231)="0",[1]!s_fa_roe(B473,20221231)="0"),"",IFERROR(([1]!s_fa_roe(B473,20221231)+[1]!s_fa_roe(B473,20201231)+[1]!s_fa_roe(B473,20211231))/3,""))</f>
        <v>0</v>
      </c>
      <c r="P473" s="28" t="str">
        <f>IFERROR(([1]!s_stmnote_bank_65(B473,$A473,1,2,4,100000000)+[1]!s_stmnote_bank_65(B473,$A473,1,2,6,100000000))/[1]!s_stmnote_bank_1n(B473,$A473,1,100000000),"")</f>
        <v/>
      </c>
      <c r="Q473" s="28" t="str">
        <f>IFERROR([1]!s_stmnote_bank_614(B473,$A473,1,2,100000000)/[1]!s_stmnote_bank_647(B473,$A473,1,2,100000000),"")</f>
        <v/>
      </c>
      <c r="R473" s="28" t="str">
        <f>IFERROR(([1]!b_stm07_bs(B473,104,$A473,1,100000000)+[1]!b_stm07_bs(B473,106,$A473,1,100000000)+[1]!b_stm07_bs(B473,76,$A473,1,100000000)+[1]!b_stm07_bs(B473,108,$A473,1,100000000)+[1]!b_stm07_bs(B473,95,$A473,1,100000000))/[1]!b_stm07_bs(B473,128,$A473,1,100000000),"")</f>
        <v/>
      </c>
      <c r="S473" s="28" t="str">
        <f>IFERROR(([1]!s_stmnote_bank_614(B473,$A473,1,2,100000000)+[1]!b_stm07_bs(B473,104,$A473,1,100000000)+[1]!b_stm07_bs(B473,106,$A473,1,100000000)+[1]!b_stm07_bs(B473,76,$A473,1,100000000)+[1]!b_stm07_bs(B473,108,$A473,1,100000000)+[1]!b_stm07_bs(B473,95,$A473,1,100000000))/[1]!b_stm07_bs(B473,128,$A473,1,100000000),"")</f>
        <v/>
      </c>
      <c r="T473" s="11">
        <f>[1]!b_issuer_shareholder(B473,"",1)</f>
        <v>0</v>
      </c>
      <c r="U473" s="10">
        <f>[1]!b_issuer_propofshareholder(B473,"",1)</f>
        <v>0</v>
      </c>
      <c r="V473" s="33" t="str">
        <f t="shared" si="15"/>
        <v>0</v>
      </c>
      <c r="W473" s="33">
        <f>[1]!s_info_city(B473)</f>
        <v>0</v>
      </c>
      <c r="X473" s="10">
        <f>IF([1]!s_stmnote_bank_17n(B473,$A473,1)="0","",[1]!s_stmnote_bank_17n(B473,$A473,1))</f>
        <v>0</v>
      </c>
      <c r="Y473" s="10">
        <f>IF([1]!s_stmnote_bank_18n(B473,$A473,1)="0","",[1]!s_stmnote_bank_18n(B473,$A473,1))</f>
        <v>0</v>
      </c>
      <c r="Z473" s="41">
        <f>IF([1]!s_stmnote_bank_58(B473,$A473,1)="0","",[1]!s_stmnote_bank_58(B473,$A473,1))</f>
        <v>0</v>
      </c>
      <c r="AA473" s="52">
        <f>IF([1]!s_stmnote_bank_60(B473,$A473,1)="0","",[1]!s_stmnote_bank_60(B473,$A473,1))</f>
        <v>0</v>
      </c>
      <c r="AB473" s="52">
        <f>[1]!s_stmnote_bank_5444(B473,$A473,1)</f>
        <v>0</v>
      </c>
      <c r="AC473" s="38">
        <f>[1]!s_stmnote_bank_129n($B473,$A473,1)</f>
        <v>0</v>
      </c>
      <c r="AD473" s="54">
        <f>[1]!s_stmnote_bank_30(B473,$A473,1)</f>
        <v>0</v>
      </c>
    </row>
    <row r="474" spans="1:30" ht="24">
      <c r="A474" s="1" t="s">
        <v>1110</v>
      </c>
      <c r="B474" s="87" t="s">
        <v>1582</v>
      </c>
      <c r="C474" s="8">
        <f>IF([1]!b_info_issuer(B474)="0","",IFERROR([1]!b_info_issuer(B474),""))</f>
        <v>0</v>
      </c>
      <c r="D474" s="11">
        <f>IF([1]!b_info_latestissurercreditrating(B474)="0","",IFERROR([1]!b_info_latestissurercreditrating(B474),""))</f>
        <v>0</v>
      </c>
      <c r="E474" s="27" t="str">
        <f>IFERROR(([1]!b_stm07_bs($B474,47,$A474,1,100000000))/[1]!b_stm07_bs($B474,109,$A474,1,100000000),"")</f>
        <v/>
      </c>
      <c r="F474" s="18" t="str">
        <f>IFERROR(([1]!s_stmnote_bank_26($B474,$A474,1,100000000)-[1]!s_stmnote_bank_26($B474,#REF!,1,100000000)+#REF!)/[1]!s_stmnote_bank_1n($B474,#REF!,1,100000000),"")</f>
        <v/>
      </c>
      <c r="G474" s="21" t="str">
        <f t="shared" si="14"/>
        <v/>
      </c>
      <c r="H474" s="18" t="str">
        <f>IFERROR([1]!s_stmnote_bank($B474,"34",$A474,100000000)/[1]!s_stmnote_bank_1n(B474,$A474,1,100000000),"")</f>
        <v/>
      </c>
      <c r="I474" s="25">
        <f>[1]!b_stm07_bs(B474,74,$A474,1,100000000)</f>
        <v>0</v>
      </c>
      <c r="J474" s="25">
        <f>[1]!b_stm07_bs(B474,109,$A474,1,100000000)</f>
        <v>0</v>
      </c>
      <c r="K474" s="10">
        <f>[1]!s_stmnote_bank_5n(B474,$A474,1)</f>
        <v>0</v>
      </c>
      <c r="L474" s="25">
        <f>[1]!s_stmnote_bank_23n(B474,$A474,1)</f>
        <v>0</v>
      </c>
      <c r="M474" s="25">
        <f>[1]!s_stmnote_bank_capadequacyratio(B474,$A474,1)</f>
        <v>0</v>
      </c>
      <c r="N474" s="25">
        <f>[1]!s_stmnote_bank_capadequacyratio_ct1(B474,$A474,1)</f>
        <v>0</v>
      </c>
      <c r="O474" s="6">
        <f>IF(OR([1]!s_fa_roe(B474,20201231)="0",[1]!s_fa_roe(B474,20211231)="0",[1]!s_fa_roe(B474,20221231)="0"),"",IFERROR(([1]!s_fa_roe(B474,20221231)+[1]!s_fa_roe(B474,20201231)+[1]!s_fa_roe(B474,20211231))/3,""))</f>
        <v>0</v>
      </c>
      <c r="P474" s="28" t="str">
        <f>IFERROR(([1]!s_stmnote_bank_65(B474,$A474,1,2,4,100000000)+[1]!s_stmnote_bank_65(B474,$A474,1,2,6,100000000))/[1]!s_stmnote_bank_1n(B474,$A474,1,100000000),"")</f>
        <v/>
      </c>
      <c r="Q474" s="28" t="str">
        <f>IFERROR([1]!s_stmnote_bank_614(B474,$A474,1,2,100000000)/[1]!s_stmnote_bank_647(B474,$A474,1,2,100000000),"")</f>
        <v/>
      </c>
      <c r="R474" s="28" t="str">
        <f>IFERROR(([1]!b_stm07_bs(B474,104,$A474,1,100000000)+[1]!b_stm07_bs(B474,106,$A474,1,100000000)+[1]!b_stm07_bs(B474,76,$A474,1,100000000)+[1]!b_stm07_bs(B474,108,$A474,1,100000000)+[1]!b_stm07_bs(B474,95,$A474,1,100000000))/[1]!b_stm07_bs(B474,128,$A474,1,100000000),"")</f>
        <v/>
      </c>
      <c r="S474" s="28" t="str">
        <f>IFERROR(([1]!s_stmnote_bank_614(B474,$A474,1,2,100000000)+[1]!b_stm07_bs(B474,104,$A474,1,100000000)+[1]!b_stm07_bs(B474,106,$A474,1,100000000)+[1]!b_stm07_bs(B474,76,$A474,1,100000000)+[1]!b_stm07_bs(B474,108,$A474,1,100000000)+[1]!b_stm07_bs(B474,95,$A474,1,100000000))/[1]!b_stm07_bs(B474,128,$A474,1,100000000),"")</f>
        <v/>
      </c>
      <c r="T474" s="11">
        <f>[1]!b_issuer_shareholder(B474,"",1)</f>
        <v>0</v>
      </c>
      <c r="U474" s="10">
        <f>[1]!b_issuer_propofshareholder(B474,"",1)</f>
        <v>0</v>
      </c>
      <c r="V474" s="33" t="str">
        <f t="shared" si="15"/>
        <v>0</v>
      </c>
      <c r="W474" s="33">
        <f>[1]!s_info_city(B474)</f>
        <v>0</v>
      </c>
      <c r="X474" s="10">
        <f>IF([1]!s_stmnote_bank_17n(B474,$A474,1)="0","",[1]!s_stmnote_bank_17n(B474,$A474,1))</f>
        <v>0</v>
      </c>
      <c r="Y474" s="10">
        <f>IF([1]!s_stmnote_bank_18n(B474,$A474,1)="0","",[1]!s_stmnote_bank_18n(B474,$A474,1))</f>
        <v>0</v>
      </c>
      <c r="Z474" s="41">
        <f>IF([1]!s_stmnote_bank_58(B474,$A474,1)="0","",[1]!s_stmnote_bank_58(B474,$A474,1))</f>
        <v>0</v>
      </c>
      <c r="AA474" s="52">
        <f>IF([1]!s_stmnote_bank_60(B474,$A474,1)="0","",[1]!s_stmnote_bank_60(B474,$A474,1))</f>
        <v>0</v>
      </c>
      <c r="AB474" s="52">
        <f>[1]!s_stmnote_bank_5444(B474,$A474,1)</f>
        <v>0</v>
      </c>
      <c r="AC474" s="38">
        <f>[1]!s_stmnote_bank_129n($B474,$A474,1)</f>
        <v>0</v>
      </c>
      <c r="AD474" s="54">
        <f>[1]!s_stmnote_bank_30(B474,$A474,1)</f>
        <v>0</v>
      </c>
    </row>
    <row r="475" spans="1:30" ht="24">
      <c r="A475" s="1" t="s">
        <v>1110</v>
      </c>
      <c r="B475" s="87" t="s">
        <v>1583</v>
      </c>
      <c r="C475" s="8">
        <f>IF([1]!b_info_issuer(B475)="0","",IFERROR([1]!b_info_issuer(B475),""))</f>
        <v>0</v>
      </c>
      <c r="D475" s="11">
        <f>IF([1]!b_info_latestissurercreditrating(B475)="0","",IFERROR([1]!b_info_latestissurercreditrating(B475),""))</f>
        <v>0</v>
      </c>
      <c r="E475" s="27" t="str">
        <f>IFERROR(([1]!b_stm07_bs($B475,47,$A475,1,100000000))/[1]!b_stm07_bs($B475,109,$A475,1,100000000),"")</f>
        <v/>
      </c>
      <c r="F475" s="18" t="str">
        <f>IFERROR(([1]!s_stmnote_bank_26($B475,$A475,1,100000000)-[1]!s_stmnote_bank_26($B475,#REF!,1,100000000)+#REF!)/[1]!s_stmnote_bank_1n($B475,#REF!,1,100000000),"")</f>
        <v/>
      </c>
      <c r="G475" s="21" t="str">
        <f t="shared" si="14"/>
        <v/>
      </c>
      <c r="H475" s="18" t="str">
        <f>IFERROR([1]!s_stmnote_bank($B475,"34",$A475,100000000)/[1]!s_stmnote_bank_1n(B475,$A475,1,100000000),"")</f>
        <v/>
      </c>
      <c r="I475" s="25">
        <f>[1]!b_stm07_bs(B475,74,$A475,1,100000000)</f>
        <v>0</v>
      </c>
      <c r="J475" s="25">
        <f>[1]!b_stm07_bs(B475,109,$A475,1,100000000)</f>
        <v>0</v>
      </c>
      <c r="K475" s="10">
        <f>[1]!s_stmnote_bank_5n(B475,$A475,1)</f>
        <v>0</v>
      </c>
      <c r="L475" s="25">
        <f>[1]!s_stmnote_bank_23n(B475,$A475,1)</f>
        <v>0</v>
      </c>
      <c r="M475" s="25">
        <f>[1]!s_stmnote_bank_capadequacyratio(B475,$A475,1)</f>
        <v>0</v>
      </c>
      <c r="N475" s="25">
        <f>[1]!s_stmnote_bank_capadequacyratio_ct1(B475,$A475,1)</f>
        <v>0</v>
      </c>
      <c r="O475" s="6">
        <f>IF(OR([1]!s_fa_roe(B475,20201231)="0",[1]!s_fa_roe(B475,20211231)="0",[1]!s_fa_roe(B475,20221231)="0"),"",IFERROR(([1]!s_fa_roe(B475,20221231)+[1]!s_fa_roe(B475,20201231)+[1]!s_fa_roe(B475,20211231))/3,""))</f>
        <v>0</v>
      </c>
      <c r="P475" s="28" t="str">
        <f>IFERROR(([1]!s_stmnote_bank_65(B475,$A475,1,2,4,100000000)+[1]!s_stmnote_bank_65(B475,$A475,1,2,6,100000000))/[1]!s_stmnote_bank_1n(B475,$A475,1,100000000),"")</f>
        <v/>
      </c>
      <c r="Q475" s="28" t="str">
        <f>IFERROR([1]!s_stmnote_bank_614(B475,$A475,1,2,100000000)/[1]!s_stmnote_bank_647(B475,$A475,1,2,100000000),"")</f>
        <v/>
      </c>
      <c r="R475" s="28" t="str">
        <f>IFERROR(([1]!b_stm07_bs(B475,104,$A475,1,100000000)+[1]!b_stm07_bs(B475,106,$A475,1,100000000)+[1]!b_stm07_bs(B475,76,$A475,1,100000000)+[1]!b_stm07_bs(B475,108,$A475,1,100000000)+[1]!b_stm07_bs(B475,95,$A475,1,100000000))/[1]!b_stm07_bs(B475,128,$A475,1,100000000),"")</f>
        <v/>
      </c>
      <c r="S475" s="28" t="str">
        <f>IFERROR(([1]!s_stmnote_bank_614(B475,$A475,1,2,100000000)+[1]!b_stm07_bs(B475,104,$A475,1,100000000)+[1]!b_stm07_bs(B475,106,$A475,1,100000000)+[1]!b_stm07_bs(B475,76,$A475,1,100000000)+[1]!b_stm07_bs(B475,108,$A475,1,100000000)+[1]!b_stm07_bs(B475,95,$A475,1,100000000))/[1]!b_stm07_bs(B475,128,$A475,1,100000000),"")</f>
        <v/>
      </c>
      <c r="T475" s="11">
        <f>[1]!b_issuer_shareholder(B475,"",1)</f>
        <v>0</v>
      </c>
      <c r="U475" s="10">
        <f>[1]!b_issuer_propofshareholder(B475,"",1)</f>
        <v>0</v>
      </c>
      <c r="V475" s="33" t="str">
        <f t="shared" si="15"/>
        <v>0</v>
      </c>
      <c r="W475" s="33">
        <f>[1]!s_info_city(B475)</f>
        <v>0</v>
      </c>
      <c r="X475" s="10">
        <f>IF([1]!s_stmnote_bank_17n(B475,$A475,1)="0","",[1]!s_stmnote_bank_17n(B475,$A475,1))</f>
        <v>0</v>
      </c>
      <c r="Y475" s="10">
        <f>IF([1]!s_stmnote_bank_18n(B475,$A475,1)="0","",[1]!s_stmnote_bank_18n(B475,$A475,1))</f>
        <v>0</v>
      </c>
      <c r="Z475" s="41">
        <f>IF([1]!s_stmnote_bank_58(B475,$A475,1)="0","",[1]!s_stmnote_bank_58(B475,$A475,1))</f>
        <v>0</v>
      </c>
      <c r="AA475" s="52">
        <f>IF([1]!s_stmnote_bank_60(B475,$A475,1)="0","",[1]!s_stmnote_bank_60(B475,$A475,1))</f>
        <v>0</v>
      </c>
      <c r="AB475" s="52">
        <f>[1]!s_stmnote_bank_5444(B475,$A475,1)</f>
        <v>0</v>
      </c>
      <c r="AC475" s="38">
        <f>[1]!s_stmnote_bank_129n($B475,$A475,1)</f>
        <v>0</v>
      </c>
      <c r="AD475" s="54">
        <f>[1]!s_stmnote_bank_30(B475,$A475,1)</f>
        <v>0</v>
      </c>
    </row>
    <row r="476" spans="1:30" ht="24">
      <c r="A476" s="1" t="s">
        <v>1110</v>
      </c>
      <c r="B476" s="87" t="s">
        <v>1584</v>
      </c>
      <c r="C476" s="8">
        <f>IF([1]!b_info_issuer(B476)="0","",IFERROR([1]!b_info_issuer(B476),""))</f>
        <v>0</v>
      </c>
      <c r="D476" s="11">
        <f>IF([1]!b_info_latestissurercreditrating(B476)="0","",IFERROR([1]!b_info_latestissurercreditrating(B476),""))</f>
        <v>0</v>
      </c>
      <c r="E476" s="27" t="str">
        <f>IFERROR(([1]!b_stm07_bs($B476,47,$A476,1,100000000))/[1]!b_stm07_bs($B476,109,$A476,1,100000000),"")</f>
        <v/>
      </c>
      <c r="F476" s="18" t="str">
        <f>IFERROR(([1]!s_stmnote_bank_26($B476,$A476,1,100000000)-[1]!s_stmnote_bank_26($B476,#REF!,1,100000000)+#REF!)/[1]!s_stmnote_bank_1n($B476,#REF!,1,100000000),"")</f>
        <v/>
      </c>
      <c r="G476" s="21" t="str">
        <f t="shared" si="14"/>
        <v/>
      </c>
      <c r="H476" s="18" t="str">
        <f>IFERROR([1]!s_stmnote_bank($B476,"34",$A476,100000000)/[1]!s_stmnote_bank_1n(B476,$A476,1,100000000),"")</f>
        <v/>
      </c>
      <c r="I476" s="25">
        <f>[1]!b_stm07_bs(B476,74,$A476,1,100000000)</f>
        <v>0</v>
      </c>
      <c r="J476" s="25">
        <f>[1]!b_stm07_bs(B476,109,$A476,1,100000000)</f>
        <v>0</v>
      </c>
      <c r="K476" s="10">
        <f>[1]!s_stmnote_bank_5n(B476,$A476,1)</f>
        <v>0</v>
      </c>
      <c r="L476" s="25">
        <f>[1]!s_stmnote_bank_23n(B476,$A476,1)</f>
        <v>0</v>
      </c>
      <c r="M476" s="25">
        <f>[1]!s_stmnote_bank_capadequacyratio(B476,$A476,1)</f>
        <v>0</v>
      </c>
      <c r="N476" s="25">
        <f>[1]!s_stmnote_bank_capadequacyratio_ct1(B476,$A476,1)</f>
        <v>0</v>
      </c>
      <c r="O476" s="6">
        <f>IF(OR([1]!s_fa_roe(B476,20201231)="0",[1]!s_fa_roe(B476,20211231)="0",[1]!s_fa_roe(B476,20221231)="0"),"",IFERROR(([1]!s_fa_roe(B476,20221231)+[1]!s_fa_roe(B476,20201231)+[1]!s_fa_roe(B476,20211231))/3,""))</f>
        <v>0</v>
      </c>
      <c r="P476" s="28" t="str">
        <f>IFERROR(([1]!s_stmnote_bank_65(B476,$A476,1,2,4,100000000)+[1]!s_stmnote_bank_65(B476,$A476,1,2,6,100000000))/[1]!s_stmnote_bank_1n(B476,$A476,1,100000000),"")</f>
        <v/>
      </c>
      <c r="Q476" s="28" t="str">
        <f>IFERROR([1]!s_stmnote_bank_614(B476,$A476,1,2,100000000)/[1]!s_stmnote_bank_647(B476,$A476,1,2,100000000),"")</f>
        <v/>
      </c>
      <c r="R476" s="28" t="str">
        <f>IFERROR(([1]!b_stm07_bs(B476,104,$A476,1,100000000)+[1]!b_stm07_bs(B476,106,$A476,1,100000000)+[1]!b_stm07_bs(B476,76,$A476,1,100000000)+[1]!b_stm07_bs(B476,108,$A476,1,100000000)+[1]!b_stm07_bs(B476,95,$A476,1,100000000))/[1]!b_stm07_bs(B476,128,$A476,1,100000000),"")</f>
        <v/>
      </c>
      <c r="S476" s="28" t="str">
        <f>IFERROR(([1]!s_stmnote_bank_614(B476,$A476,1,2,100000000)+[1]!b_stm07_bs(B476,104,$A476,1,100000000)+[1]!b_stm07_bs(B476,106,$A476,1,100000000)+[1]!b_stm07_bs(B476,76,$A476,1,100000000)+[1]!b_stm07_bs(B476,108,$A476,1,100000000)+[1]!b_stm07_bs(B476,95,$A476,1,100000000))/[1]!b_stm07_bs(B476,128,$A476,1,100000000),"")</f>
        <v/>
      </c>
      <c r="T476" s="11">
        <f>[1]!b_issuer_shareholder(B476,"",1)</f>
        <v>0</v>
      </c>
      <c r="U476" s="10">
        <f>[1]!b_issuer_propofshareholder(B476,"",1)</f>
        <v>0</v>
      </c>
      <c r="V476" s="33" t="str">
        <f t="shared" si="15"/>
        <v>0</v>
      </c>
      <c r="W476" s="33">
        <f>[1]!s_info_city(B476)</f>
        <v>0</v>
      </c>
      <c r="X476" s="10">
        <f>IF([1]!s_stmnote_bank_17n(B476,$A476,1)="0","",[1]!s_stmnote_bank_17n(B476,$A476,1))</f>
        <v>0</v>
      </c>
      <c r="Y476" s="10">
        <f>IF([1]!s_stmnote_bank_18n(B476,$A476,1)="0","",[1]!s_stmnote_bank_18n(B476,$A476,1))</f>
        <v>0</v>
      </c>
      <c r="Z476" s="41">
        <f>IF([1]!s_stmnote_bank_58(B476,$A476,1)="0","",[1]!s_stmnote_bank_58(B476,$A476,1))</f>
        <v>0</v>
      </c>
      <c r="AA476" s="52">
        <f>IF([1]!s_stmnote_bank_60(B476,$A476,1)="0","",[1]!s_stmnote_bank_60(B476,$A476,1))</f>
        <v>0</v>
      </c>
      <c r="AB476" s="52">
        <f>[1]!s_stmnote_bank_5444(B476,$A476,1)</f>
        <v>0</v>
      </c>
      <c r="AC476" s="38">
        <f>[1]!s_stmnote_bank_129n($B476,$A476,1)</f>
        <v>0</v>
      </c>
      <c r="AD476" s="54">
        <f>[1]!s_stmnote_bank_30(B476,$A476,1)</f>
        <v>0</v>
      </c>
    </row>
    <row r="477" spans="1:30" ht="24">
      <c r="A477" s="1" t="s">
        <v>1110</v>
      </c>
      <c r="B477" s="87" t="s">
        <v>1585</v>
      </c>
      <c r="C477" s="8">
        <f>IF([1]!b_info_issuer(B477)="0","",IFERROR([1]!b_info_issuer(B477),""))</f>
        <v>0</v>
      </c>
      <c r="D477" s="11">
        <f>IF([1]!b_info_latestissurercreditrating(B477)="0","",IFERROR([1]!b_info_latestissurercreditrating(B477),""))</f>
        <v>0</v>
      </c>
      <c r="E477" s="27" t="str">
        <f>IFERROR(([1]!b_stm07_bs($B477,47,$A477,1,100000000))/[1]!b_stm07_bs($B477,109,$A477,1,100000000),"")</f>
        <v/>
      </c>
      <c r="F477" s="18" t="str">
        <f>IFERROR(([1]!s_stmnote_bank_26($B477,$A477,1,100000000)-[1]!s_stmnote_bank_26($B477,#REF!,1,100000000)+#REF!)/[1]!s_stmnote_bank_1n($B477,#REF!,1,100000000),"")</f>
        <v/>
      </c>
      <c r="G477" s="21" t="str">
        <f t="shared" si="14"/>
        <v/>
      </c>
      <c r="H477" s="18" t="str">
        <f>IFERROR([1]!s_stmnote_bank($B477,"34",$A477,100000000)/[1]!s_stmnote_bank_1n(B477,$A477,1,100000000),"")</f>
        <v/>
      </c>
      <c r="I477" s="25">
        <f>[1]!b_stm07_bs(B477,74,$A477,1,100000000)</f>
        <v>0</v>
      </c>
      <c r="J477" s="25">
        <f>[1]!b_stm07_bs(B477,109,$A477,1,100000000)</f>
        <v>0</v>
      </c>
      <c r="K477" s="10">
        <f>[1]!s_stmnote_bank_5n(B477,$A477,1)</f>
        <v>0</v>
      </c>
      <c r="L477" s="25">
        <f>[1]!s_stmnote_bank_23n(B477,$A477,1)</f>
        <v>0</v>
      </c>
      <c r="M477" s="25">
        <f>[1]!s_stmnote_bank_capadequacyratio(B477,$A477,1)</f>
        <v>0</v>
      </c>
      <c r="N477" s="25">
        <f>[1]!s_stmnote_bank_capadequacyratio_ct1(B477,$A477,1)</f>
        <v>0</v>
      </c>
      <c r="O477" s="6">
        <f>IF(OR([1]!s_fa_roe(B477,20201231)="0",[1]!s_fa_roe(B477,20211231)="0",[1]!s_fa_roe(B477,20221231)="0"),"",IFERROR(([1]!s_fa_roe(B477,20221231)+[1]!s_fa_roe(B477,20201231)+[1]!s_fa_roe(B477,20211231))/3,""))</f>
        <v>0</v>
      </c>
      <c r="P477" s="28" t="str">
        <f>IFERROR(([1]!s_stmnote_bank_65(B477,$A477,1,2,4,100000000)+[1]!s_stmnote_bank_65(B477,$A477,1,2,6,100000000))/[1]!s_stmnote_bank_1n(B477,$A477,1,100000000),"")</f>
        <v/>
      </c>
      <c r="Q477" s="28" t="str">
        <f>IFERROR([1]!s_stmnote_bank_614(B477,$A477,1,2,100000000)/[1]!s_stmnote_bank_647(B477,$A477,1,2,100000000),"")</f>
        <v/>
      </c>
      <c r="R477" s="28" t="str">
        <f>IFERROR(([1]!b_stm07_bs(B477,104,$A477,1,100000000)+[1]!b_stm07_bs(B477,106,$A477,1,100000000)+[1]!b_stm07_bs(B477,76,$A477,1,100000000)+[1]!b_stm07_bs(B477,108,$A477,1,100000000)+[1]!b_stm07_bs(B477,95,$A477,1,100000000))/[1]!b_stm07_bs(B477,128,$A477,1,100000000),"")</f>
        <v/>
      </c>
      <c r="S477" s="28" t="str">
        <f>IFERROR(([1]!s_stmnote_bank_614(B477,$A477,1,2,100000000)+[1]!b_stm07_bs(B477,104,$A477,1,100000000)+[1]!b_stm07_bs(B477,106,$A477,1,100000000)+[1]!b_stm07_bs(B477,76,$A477,1,100000000)+[1]!b_stm07_bs(B477,108,$A477,1,100000000)+[1]!b_stm07_bs(B477,95,$A477,1,100000000))/[1]!b_stm07_bs(B477,128,$A477,1,100000000),"")</f>
        <v/>
      </c>
      <c r="T477" s="11">
        <f>[1]!b_issuer_shareholder(B477,"",1)</f>
        <v>0</v>
      </c>
      <c r="U477" s="10">
        <f>[1]!b_issuer_propofshareholder(B477,"",1)</f>
        <v>0</v>
      </c>
      <c r="V477" s="33" t="str">
        <f t="shared" si="15"/>
        <v>0</v>
      </c>
      <c r="W477" s="33">
        <f>[1]!s_info_city(B477)</f>
        <v>0</v>
      </c>
      <c r="X477" s="10">
        <f>IF([1]!s_stmnote_bank_17n(B477,$A477,1)="0","",[1]!s_stmnote_bank_17n(B477,$A477,1))</f>
        <v>0</v>
      </c>
      <c r="Y477" s="10">
        <f>IF([1]!s_stmnote_bank_18n(B477,$A477,1)="0","",[1]!s_stmnote_bank_18n(B477,$A477,1))</f>
        <v>0</v>
      </c>
      <c r="Z477" s="41">
        <f>IF([1]!s_stmnote_bank_58(B477,$A477,1)="0","",[1]!s_stmnote_bank_58(B477,$A477,1))</f>
        <v>0</v>
      </c>
      <c r="AA477" s="52">
        <f>IF([1]!s_stmnote_bank_60(B477,$A477,1)="0","",[1]!s_stmnote_bank_60(B477,$A477,1))</f>
        <v>0</v>
      </c>
      <c r="AB477" s="52">
        <f>[1]!s_stmnote_bank_5444(B477,$A477,1)</f>
        <v>0</v>
      </c>
      <c r="AC477" s="38">
        <f>[1]!s_stmnote_bank_129n($B477,$A477,1)</f>
        <v>0</v>
      </c>
      <c r="AD477" s="54">
        <f>[1]!s_stmnote_bank_30(B477,$A477,1)</f>
        <v>0</v>
      </c>
    </row>
    <row r="478" spans="1:30" ht="24">
      <c r="A478" s="1" t="s">
        <v>1110</v>
      </c>
      <c r="B478" s="87" t="s">
        <v>1586</v>
      </c>
      <c r="C478" s="8">
        <f>IF([1]!b_info_issuer(B478)="0","",IFERROR([1]!b_info_issuer(B478),""))</f>
        <v>0</v>
      </c>
      <c r="D478" s="11">
        <f>IF([1]!b_info_latestissurercreditrating(B478)="0","",IFERROR([1]!b_info_latestissurercreditrating(B478),""))</f>
        <v>0</v>
      </c>
      <c r="E478" s="27" t="str">
        <f>IFERROR(([1]!b_stm07_bs($B478,47,$A478,1,100000000))/[1]!b_stm07_bs($B478,109,$A478,1,100000000),"")</f>
        <v/>
      </c>
      <c r="F478" s="18" t="str">
        <f>IFERROR(([1]!s_stmnote_bank_26($B478,$A478,1,100000000)-[1]!s_stmnote_bank_26($B478,#REF!,1,100000000)+#REF!)/[1]!s_stmnote_bank_1n($B478,#REF!,1,100000000),"")</f>
        <v/>
      </c>
      <c r="G478" s="21" t="str">
        <f t="shared" si="14"/>
        <v/>
      </c>
      <c r="H478" s="18" t="str">
        <f>IFERROR([1]!s_stmnote_bank($B478,"34",$A478,100000000)/[1]!s_stmnote_bank_1n(B478,$A478,1,100000000),"")</f>
        <v/>
      </c>
      <c r="I478" s="25">
        <f>[1]!b_stm07_bs(B478,74,$A478,1,100000000)</f>
        <v>0</v>
      </c>
      <c r="J478" s="25">
        <f>[1]!b_stm07_bs(B478,109,$A478,1,100000000)</f>
        <v>0</v>
      </c>
      <c r="K478" s="10">
        <f>[1]!s_stmnote_bank_5n(B478,$A478,1)</f>
        <v>0</v>
      </c>
      <c r="L478" s="25">
        <f>[1]!s_stmnote_bank_23n(B478,$A478,1)</f>
        <v>0</v>
      </c>
      <c r="M478" s="25">
        <f>[1]!s_stmnote_bank_capadequacyratio(B478,$A478,1)</f>
        <v>0</v>
      </c>
      <c r="N478" s="25">
        <f>[1]!s_stmnote_bank_capadequacyratio_ct1(B478,$A478,1)</f>
        <v>0</v>
      </c>
      <c r="O478" s="6">
        <f>IF(OR([1]!s_fa_roe(B478,20201231)="0",[1]!s_fa_roe(B478,20211231)="0",[1]!s_fa_roe(B478,20221231)="0"),"",IFERROR(([1]!s_fa_roe(B478,20221231)+[1]!s_fa_roe(B478,20201231)+[1]!s_fa_roe(B478,20211231))/3,""))</f>
        <v>0</v>
      </c>
      <c r="P478" s="28" t="str">
        <f>IFERROR(([1]!s_stmnote_bank_65(B478,$A478,1,2,4,100000000)+[1]!s_stmnote_bank_65(B478,$A478,1,2,6,100000000))/[1]!s_stmnote_bank_1n(B478,$A478,1,100000000),"")</f>
        <v/>
      </c>
      <c r="Q478" s="28" t="str">
        <f>IFERROR([1]!s_stmnote_bank_614(B478,$A478,1,2,100000000)/[1]!s_stmnote_bank_647(B478,$A478,1,2,100000000),"")</f>
        <v/>
      </c>
      <c r="R478" s="28" t="str">
        <f>IFERROR(([1]!b_stm07_bs(B478,104,$A478,1,100000000)+[1]!b_stm07_bs(B478,106,$A478,1,100000000)+[1]!b_stm07_bs(B478,76,$A478,1,100000000)+[1]!b_stm07_bs(B478,108,$A478,1,100000000)+[1]!b_stm07_bs(B478,95,$A478,1,100000000))/[1]!b_stm07_bs(B478,128,$A478,1,100000000),"")</f>
        <v/>
      </c>
      <c r="S478" s="28" t="str">
        <f>IFERROR(([1]!s_stmnote_bank_614(B478,$A478,1,2,100000000)+[1]!b_stm07_bs(B478,104,$A478,1,100000000)+[1]!b_stm07_bs(B478,106,$A478,1,100000000)+[1]!b_stm07_bs(B478,76,$A478,1,100000000)+[1]!b_stm07_bs(B478,108,$A478,1,100000000)+[1]!b_stm07_bs(B478,95,$A478,1,100000000))/[1]!b_stm07_bs(B478,128,$A478,1,100000000),"")</f>
        <v/>
      </c>
      <c r="T478" s="11">
        <f>[1]!b_issuer_shareholder(B478,"",1)</f>
        <v>0</v>
      </c>
      <c r="U478" s="10">
        <f>[1]!b_issuer_propofshareholder(B478,"",1)</f>
        <v>0</v>
      </c>
      <c r="V478" s="33" t="str">
        <f t="shared" si="15"/>
        <v>0</v>
      </c>
      <c r="W478" s="33">
        <f>[1]!s_info_city(B478)</f>
        <v>0</v>
      </c>
      <c r="X478" s="10">
        <f>IF([1]!s_stmnote_bank_17n(B478,$A478,1)="0","",[1]!s_stmnote_bank_17n(B478,$A478,1))</f>
        <v>0</v>
      </c>
      <c r="Y478" s="10">
        <f>IF([1]!s_stmnote_bank_18n(B478,$A478,1)="0","",[1]!s_stmnote_bank_18n(B478,$A478,1))</f>
        <v>0</v>
      </c>
      <c r="Z478" s="41">
        <f>IF([1]!s_stmnote_bank_58(B478,$A478,1)="0","",[1]!s_stmnote_bank_58(B478,$A478,1))</f>
        <v>0</v>
      </c>
      <c r="AA478" s="52">
        <f>IF([1]!s_stmnote_bank_60(B478,$A478,1)="0","",[1]!s_stmnote_bank_60(B478,$A478,1))</f>
        <v>0</v>
      </c>
      <c r="AB478" s="52">
        <f>[1]!s_stmnote_bank_5444(B478,$A478,1)</f>
        <v>0</v>
      </c>
      <c r="AC478" s="38">
        <f>[1]!s_stmnote_bank_129n($B478,$A478,1)</f>
        <v>0</v>
      </c>
      <c r="AD478" s="54">
        <f>[1]!s_stmnote_bank_30(B478,$A478,1)</f>
        <v>0</v>
      </c>
    </row>
    <row r="479" spans="1:30" ht="24">
      <c r="A479" s="1" t="s">
        <v>1110</v>
      </c>
      <c r="B479" s="87" t="s">
        <v>1587</v>
      </c>
      <c r="C479" s="8">
        <f>IF([1]!b_info_issuer(B479)="0","",IFERROR([1]!b_info_issuer(B479),""))</f>
        <v>0</v>
      </c>
      <c r="D479" s="11">
        <f>IF([1]!b_info_latestissurercreditrating(B479)="0","",IFERROR([1]!b_info_latestissurercreditrating(B479),""))</f>
        <v>0</v>
      </c>
      <c r="E479" s="27" t="str">
        <f>IFERROR(([1]!b_stm07_bs($B479,47,$A479,1,100000000))/[1]!b_stm07_bs($B479,109,$A479,1,100000000),"")</f>
        <v/>
      </c>
      <c r="F479" s="18" t="str">
        <f>IFERROR(([1]!s_stmnote_bank_26($B479,$A479,1,100000000)-[1]!s_stmnote_bank_26($B479,#REF!,1,100000000)+#REF!)/[1]!s_stmnote_bank_1n($B479,#REF!,1,100000000),"")</f>
        <v/>
      </c>
      <c r="G479" s="21" t="str">
        <f t="shared" si="14"/>
        <v/>
      </c>
      <c r="H479" s="18" t="str">
        <f>IFERROR([1]!s_stmnote_bank($B479,"34",$A479,100000000)/[1]!s_stmnote_bank_1n(B479,$A479,1,100000000),"")</f>
        <v/>
      </c>
      <c r="I479" s="25">
        <f>[1]!b_stm07_bs(B479,74,$A479,1,100000000)</f>
        <v>0</v>
      </c>
      <c r="J479" s="25">
        <f>[1]!b_stm07_bs(B479,109,$A479,1,100000000)</f>
        <v>0</v>
      </c>
      <c r="K479" s="10">
        <f>[1]!s_stmnote_bank_5n(B479,$A479,1)</f>
        <v>0</v>
      </c>
      <c r="L479" s="25">
        <f>[1]!s_stmnote_bank_23n(B479,$A479,1)</f>
        <v>0</v>
      </c>
      <c r="M479" s="25">
        <f>[1]!s_stmnote_bank_capadequacyratio(B479,$A479,1)</f>
        <v>0</v>
      </c>
      <c r="N479" s="25">
        <f>[1]!s_stmnote_bank_capadequacyratio_ct1(B479,$A479,1)</f>
        <v>0</v>
      </c>
      <c r="O479" s="6">
        <f>IF(OR([1]!s_fa_roe(B479,20201231)="0",[1]!s_fa_roe(B479,20211231)="0",[1]!s_fa_roe(B479,20221231)="0"),"",IFERROR(([1]!s_fa_roe(B479,20221231)+[1]!s_fa_roe(B479,20201231)+[1]!s_fa_roe(B479,20211231))/3,""))</f>
        <v>0</v>
      </c>
      <c r="P479" s="28" t="str">
        <f>IFERROR(([1]!s_stmnote_bank_65(B479,$A479,1,2,4,100000000)+[1]!s_stmnote_bank_65(B479,$A479,1,2,6,100000000))/[1]!s_stmnote_bank_1n(B479,$A479,1,100000000),"")</f>
        <v/>
      </c>
      <c r="Q479" s="28" t="str">
        <f>IFERROR([1]!s_stmnote_bank_614(B479,$A479,1,2,100000000)/[1]!s_stmnote_bank_647(B479,$A479,1,2,100000000),"")</f>
        <v/>
      </c>
      <c r="R479" s="28" t="str">
        <f>IFERROR(([1]!b_stm07_bs(B479,104,$A479,1,100000000)+[1]!b_stm07_bs(B479,106,$A479,1,100000000)+[1]!b_stm07_bs(B479,76,$A479,1,100000000)+[1]!b_stm07_bs(B479,108,$A479,1,100000000)+[1]!b_stm07_bs(B479,95,$A479,1,100000000))/[1]!b_stm07_bs(B479,128,$A479,1,100000000),"")</f>
        <v/>
      </c>
      <c r="S479" s="28" t="str">
        <f>IFERROR(([1]!s_stmnote_bank_614(B479,$A479,1,2,100000000)+[1]!b_stm07_bs(B479,104,$A479,1,100000000)+[1]!b_stm07_bs(B479,106,$A479,1,100000000)+[1]!b_stm07_bs(B479,76,$A479,1,100000000)+[1]!b_stm07_bs(B479,108,$A479,1,100000000)+[1]!b_stm07_bs(B479,95,$A479,1,100000000))/[1]!b_stm07_bs(B479,128,$A479,1,100000000),"")</f>
        <v/>
      </c>
      <c r="T479" s="11">
        <f>[1]!b_issuer_shareholder(B479,"",1)</f>
        <v>0</v>
      </c>
      <c r="U479" s="10">
        <f>[1]!b_issuer_propofshareholder(B479,"",1)</f>
        <v>0</v>
      </c>
      <c r="V479" s="33" t="str">
        <f t="shared" si="15"/>
        <v>0</v>
      </c>
      <c r="W479" s="33">
        <f>[1]!s_info_city(B479)</f>
        <v>0</v>
      </c>
      <c r="X479" s="10">
        <f>IF([1]!s_stmnote_bank_17n(B479,$A479,1)="0","",[1]!s_stmnote_bank_17n(B479,$A479,1))</f>
        <v>0</v>
      </c>
      <c r="Y479" s="10">
        <f>IF([1]!s_stmnote_bank_18n(B479,$A479,1)="0","",[1]!s_stmnote_bank_18n(B479,$A479,1))</f>
        <v>0</v>
      </c>
      <c r="Z479" s="41">
        <f>IF([1]!s_stmnote_bank_58(B479,$A479,1)="0","",[1]!s_stmnote_bank_58(B479,$A479,1))</f>
        <v>0</v>
      </c>
      <c r="AA479" s="52">
        <f>IF([1]!s_stmnote_bank_60(B479,$A479,1)="0","",[1]!s_stmnote_bank_60(B479,$A479,1))</f>
        <v>0</v>
      </c>
      <c r="AB479" s="52">
        <f>[1]!s_stmnote_bank_5444(B479,$A479,1)</f>
        <v>0</v>
      </c>
      <c r="AC479" s="38">
        <f>[1]!s_stmnote_bank_129n($B479,$A479,1)</f>
        <v>0</v>
      </c>
      <c r="AD479" s="54">
        <f>[1]!s_stmnote_bank_30(B479,$A479,1)</f>
        <v>0</v>
      </c>
    </row>
    <row r="480" spans="1:30" ht="24">
      <c r="A480" s="1" t="s">
        <v>1110</v>
      </c>
      <c r="B480" s="87" t="s">
        <v>1588</v>
      </c>
      <c r="C480" s="8">
        <f>IF([1]!b_info_issuer(B480)="0","",IFERROR([1]!b_info_issuer(B480),""))</f>
        <v>0</v>
      </c>
      <c r="D480" s="11">
        <f>IF([1]!b_info_latestissurercreditrating(B480)="0","",IFERROR([1]!b_info_latestissurercreditrating(B480),""))</f>
        <v>0</v>
      </c>
      <c r="E480" s="27" t="str">
        <f>IFERROR(([1]!b_stm07_bs($B480,47,$A480,1,100000000))/[1]!b_stm07_bs($B480,109,$A480,1,100000000),"")</f>
        <v/>
      </c>
      <c r="F480" s="18" t="str">
        <f>IFERROR(([1]!s_stmnote_bank_26($B480,$A480,1,100000000)-[1]!s_stmnote_bank_26($B480,#REF!,1,100000000)+#REF!)/[1]!s_stmnote_bank_1n($B480,#REF!,1,100000000),"")</f>
        <v/>
      </c>
      <c r="G480" s="21" t="str">
        <f t="shared" si="14"/>
        <v/>
      </c>
      <c r="H480" s="18" t="str">
        <f>IFERROR([1]!s_stmnote_bank($B480,"34",$A480,100000000)/[1]!s_stmnote_bank_1n(B480,$A480,1,100000000),"")</f>
        <v/>
      </c>
      <c r="I480" s="25">
        <f>[1]!b_stm07_bs(B480,74,$A480,1,100000000)</f>
        <v>0</v>
      </c>
      <c r="J480" s="25">
        <f>[1]!b_stm07_bs(B480,109,$A480,1,100000000)</f>
        <v>0</v>
      </c>
      <c r="K480" s="10">
        <f>[1]!s_stmnote_bank_5n(B480,$A480,1)</f>
        <v>0</v>
      </c>
      <c r="L480" s="25">
        <f>[1]!s_stmnote_bank_23n(B480,$A480,1)</f>
        <v>0</v>
      </c>
      <c r="M480" s="25">
        <f>[1]!s_stmnote_bank_capadequacyratio(B480,$A480,1)</f>
        <v>0</v>
      </c>
      <c r="N480" s="25">
        <f>[1]!s_stmnote_bank_capadequacyratio_ct1(B480,$A480,1)</f>
        <v>0</v>
      </c>
      <c r="O480" s="6">
        <f>IF(OR([1]!s_fa_roe(B480,20201231)="0",[1]!s_fa_roe(B480,20211231)="0",[1]!s_fa_roe(B480,20221231)="0"),"",IFERROR(([1]!s_fa_roe(B480,20221231)+[1]!s_fa_roe(B480,20201231)+[1]!s_fa_roe(B480,20211231))/3,""))</f>
        <v>0</v>
      </c>
      <c r="P480" s="28" t="str">
        <f>IFERROR(([1]!s_stmnote_bank_65(B480,$A480,1,2,4,100000000)+[1]!s_stmnote_bank_65(B480,$A480,1,2,6,100000000))/[1]!s_stmnote_bank_1n(B480,$A480,1,100000000),"")</f>
        <v/>
      </c>
      <c r="Q480" s="28" t="str">
        <f>IFERROR([1]!s_stmnote_bank_614(B480,$A480,1,2,100000000)/[1]!s_stmnote_bank_647(B480,$A480,1,2,100000000),"")</f>
        <v/>
      </c>
      <c r="R480" s="28" t="str">
        <f>IFERROR(([1]!b_stm07_bs(B480,104,$A480,1,100000000)+[1]!b_stm07_bs(B480,106,$A480,1,100000000)+[1]!b_stm07_bs(B480,76,$A480,1,100000000)+[1]!b_stm07_bs(B480,108,$A480,1,100000000)+[1]!b_stm07_bs(B480,95,$A480,1,100000000))/[1]!b_stm07_bs(B480,128,$A480,1,100000000),"")</f>
        <v/>
      </c>
      <c r="S480" s="28" t="str">
        <f>IFERROR(([1]!s_stmnote_bank_614(B480,$A480,1,2,100000000)+[1]!b_stm07_bs(B480,104,$A480,1,100000000)+[1]!b_stm07_bs(B480,106,$A480,1,100000000)+[1]!b_stm07_bs(B480,76,$A480,1,100000000)+[1]!b_stm07_bs(B480,108,$A480,1,100000000)+[1]!b_stm07_bs(B480,95,$A480,1,100000000))/[1]!b_stm07_bs(B480,128,$A480,1,100000000),"")</f>
        <v/>
      </c>
      <c r="T480" s="11">
        <f>[1]!b_issuer_shareholder(B480,"",1)</f>
        <v>0</v>
      </c>
      <c r="U480" s="10">
        <f>[1]!b_issuer_propofshareholder(B480,"",1)</f>
        <v>0</v>
      </c>
      <c r="V480" s="33" t="str">
        <f t="shared" si="15"/>
        <v>0</v>
      </c>
      <c r="W480" s="33">
        <f>[1]!s_info_city(B480)</f>
        <v>0</v>
      </c>
      <c r="X480" s="10">
        <f>IF([1]!s_stmnote_bank_17n(B480,$A480,1)="0","",[1]!s_stmnote_bank_17n(B480,$A480,1))</f>
        <v>0</v>
      </c>
      <c r="Y480" s="10">
        <f>IF([1]!s_stmnote_bank_18n(B480,$A480,1)="0","",[1]!s_stmnote_bank_18n(B480,$A480,1))</f>
        <v>0</v>
      </c>
      <c r="Z480" s="41">
        <f>IF([1]!s_stmnote_bank_58(B480,$A480,1)="0","",[1]!s_stmnote_bank_58(B480,$A480,1))</f>
        <v>0</v>
      </c>
      <c r="AA480" s="52">
        <f>IF([1]!s_stmnote_bank_60(B480,$A480,1)="0","",[1]!s_stmnote_bank_60(B480,$A480,1))</f>
        <v>0</v>
      </c>
      <c r="AB480" s="52">
        <f>[1]!s_stmnote_bank_5444(B480,$A480,1)</f>
        <v>0</v>
      </c>
      <c r="AC480" s="38">
        <f>[1]!s_stmnote_bank_129n($B480,$A480,1)</f>
        <v>0</v>
      </c>
      <c r="AD480" s="54">
        <f>[1]!s_stmnote_bank_30(B480,$A480,1)</f>
        <v>0</v>
      </c>
    </row>
    <row r="481" spans="1:30" ht="24">
      <c r="A481" s="1" t="s">
        <v>1110</v>
      </c>
      <c r="B481" s="87" t="s">
        <v>1589</v>
      </c>
      <c r="C481" s="8">
        <f>IF([1]!b_info_issuer(B481)="0","",IFERROR([1]!b_info_issuer(B481),""))</f>
        <v>0</v>
      </c>
      <c r="D481" s="11">
        <f>IF([1]!b_info_latestissurercreditrating(B481)="0","",IFERROR([1]!b_info_latestissurercreditrating(B481),""))</f>
        <v>0</v>
      </c>
      <c r="E481" s="27" t="str">
        <f>IFERROR(([1]!b_stm07_bs($B481,47,$A481,1,100000000))/[1]!b_stm07_bs($B481,109,$A481,1,100000000),"")</f>
        <v/>
      </c>
      <c r="F481" s="18" t="str">
        <f>IFERROR(([1]!s_stmnote_bank_26($B481,$A481,1,100000000)-[1]!s_stmnote_bank_26($B481,#REF!,1,100000000)+#REF!)/[1]!s_stmnote_bank_1n($B481,#REF!,1,100000000),"")</f>
        <v/>
      </c>
      <c r="G481" s="21" t="str">
        <f t="shared" si="14"/>
        <v/>
      </c>
      <c r="H481" s="18" t="str">
        <f>IFERROR([1]!s_stmnote_bank($B481,"34",$A481,100000000)/[1]!s_stmnote_bank_1n(B481,$A481,1,100000000),"")</f>
        <v/>
      </c>
      <c r="I481" s="25">
        <f>[1]!b_stm07_bs(B481,74,$A481,1,100000000)</f>
        <v>0</v>
      </c>
      <c r="J481" s="25">
        <f>[1]!b_stm07_bs(B481,109,$A481,1,100000000)</f>
        <v>0</v>
      </c>
      <c r="K481" s="10">
        <f>[1]!s_stmnote_bank_5n(B481,$A481,1)</f>
        <v>0</v>
      </c>
      <c r="L481" s="25">
        <f>[1]!s_stmnote_bank_23n(B481,$A481,1)</f>
        <v>0</v>
      </c>
      <c r="M481" s="25">
        <f>[1]!s_stmnote_bank_capadequacyratio(B481,$A481,1)</f>
        <v>0</v>
      </c>
      <c r="N481" s="25">
        <f>[1]!s_stmnote_bank_capadequacyratio_ct1(B481,$A481,1)</f>
        <v>0</v>
      </c>
      <c r="O481" s="6">
        <f>IF(OR([1]!s_fa_roe(B481,20201231)="0",[1]!s_fa_roe(B481,20211231)="0",[1]!s_fa_roe(B481,20221231)="0"),"",IFERROR(([1]!s_fa_roe(B481,20221231)+[1]!s_fa_roe(B481,20201231)+[1]!s_fa_roe(B481,20211231))/3,""))</f>
        <v>0</v>
      </c>
      <c r="P481" s="28" t="str">
        <f>IFERROR(([1]!s_stmnote_bank_65(B481,$A481,1,2,4,100000000)+[1]!s_stmnote_bank_65(B481,$A481,1,2,6,100000000))/[1]!s_stmnote_bank_1n(B481,$A481,1,100000000),"")</f>
        <v/>
      </c>
      <c r="Q481" s="28" t="str">
        <f>IFERROR([1]!s_stmnote_bank_614(B481,$A481,1,2,100000000)/[1]!s_stmnote_bank_647(B481,$A481,1,2,100000000),"")</f>
        <v/>
      </c>
      <c r="R481" s="28" t="str">
        <f>IFERROR(([1]!b_stm07_bs(B481,104,$A481,1,100000000)+[1]!b_stm07_bs(B481,106,$A481,1,100000000)+[1]!b_stm07_bs(B481,76,$A481,1,100000000)+[1]!b_stm07_bs(B481,108,$A481,1,100000000)+[1]!b_stm07_bs(B481,95,$A481,1,100000000))/[1]!b_stm07_bs(B481,128,$A481,1,100000000),"")</f>
        <v/>
      </c>
      <c r="S481" s="28" t="str">
        <f>IFERROR(([1]!s_stmnote_bank_614(B481,$A481,1,2,100000000)+[1]!b_stm07_bs(B481,104,$A481,1,100000000)+[1]!b_stm07_bs(B481,106,$A481,1,100000000)+[1]!b_stm07_bs(B481,76,$A481,1,100000000)+[1]!b_stm07_bs(B481,108,$A481,1,100000000)+[1]!b_stm07_bs(B481,95,$A481,1,100000000))/[1]!b_stm07_bs(B481,128,$A481,1,100000000),"")</f>
        <v/>
      </c>
      <c r="T481" s="11">
        <f>[1]!b_issuer_shareholder(B481,"",1)</f>
        <v>0</v>
      </c>
      <c r="U481" s="10">
        <f>[1]!b_issuer_propofshareholder(B481,"",1)</f>
        <v>0</v>
      </c>
      <c r="V481" s="33" t="str">
        <f t="shared" si="15"/>
        <v>0</v>
      </c>
      <c r="W481" s="33">
        <f>[1]!s_info_city(B481)</f>
        <v>0</v>
      </c>
      <c r="X481" s="10">
        <f>IF([1]!s_stmnote_bank_17n(B481,$A481,1)="0","",[1]!s_stmnote_bank_17n(B481,$A481,1))</f>
        <v>0</v>
      </c>
      <c r="Y481" s="10">
        <f>IF([1]!s_stmnote_bank_18n(B481,$A481,1)="0","",[1]!s_stmnote_bank_18n(B481,$A481,1))</f>
        <v>0</v>
      </c>
      <c r="Z481" s="41">
        <f>IF([1]!s_stmnote_bank_58(B481,$A481,1)="0","",[1]!s_stmnote_bank_58(B481,$A481,1))</f>
        <v>0</v>
      </c>
      <c r="AA481" s="52">
        <f>IF([1]!s_stmnote_bank_60(B481,$A481,1)="0","",[1]!s_stmnote_bank_60(B481,$A481,1))</f>
        <v>0</v>
      </c>
      <c r="AB481" s="52">
        <f>[1]!s_stmnote_bank_5444(B481,$A481,1)</f>
        <v>0</v>
      </c>
      <c r="AC481" s="38">
        <f>[1]!s_stmnote_bank_129n($B481,$A481,1)</f>
        <v>0</v>
      </c>
      <c r="AD481" s="54">
        <f>[1]!s_stmnote_bank_30(B481,$A481,1)</f>
        <v>0</v>
      </c>
    </row>
    <row r="482" spans="1:30" ht="24">
      <c r="A482" s="1" t="s">
        <v>1110</v>
      </c>
      <c r="B482" s="87" t="s">
        <v>1590</v>
      </c>
      <c r="C482" s="8">
        <f>IF([1]!b_info_issuer(B482)="0","",IFERROR([1]!b_info_issuer(B482),""))</f>
        <v>0</v>
      </c>
      <c r="D482" s="11">
        <f>IF([1]!b_info_latestissurercreditrating(B482)="0","",IFERROR([1]!b_info_latestissurercreditrating(B482),""))</f>
        <v>0</v>
      </c>
      <c r="E482" s="27" t="str">
        <f>IFERROR(([1]!b_stm07_bs($B482,47,$A482,1,100000000))/[1]!b_stm07_bs($B482,109,$A482,1,100000000),"")</f>
        <v/>
      </c>
      <c r="F482" s="18" t="str">
        <f>IFERROR(([1]!s_stmnote_bank_26($B482,$A482,1,100000000)-[1]!s_stmnote_bank_26($B482,#REF!,1,100000000)+#REF!)/[1]!s_stmnote_bank_1n($B482,#REF!,1,100000000),"")</f>
        <v/>
      </c>
      <c r="G482" s="21" t="str">
        <f t="shared" si="14"/>
        <v/>
      </c>
      <c r="H482" s="18" t="str">
        <f>IFERROR([1]!s_stmnote_bank($B482,"34",$A482,100000000)/[1]!s_stmnote_bank_1n(B482,$A482,1,100000000),"")</f>
        <v/>
      </c>
      <c r="I482" s="25">
        <f>[1]!b_stm07_bs(B482,74,$A482,1,100000000)</f>
        <v>0</v>
      </c>
      <c r="J482" s="25">
        <f>[1]!b_stm07_bs(B482,109,$A482,1,100000000)</f>
        <v>0</v>
      </c>
      <c r="K482" s="10">
        <f>[1]!s_stmnote_bank_5n(B482,$A482,1)</f>
        <v>0</v>
      </c>
      <c r="L482" s="25">
        <f>[1]!s_stmnote_bank_23n(B482,$A482,1)</f>
        <v>0</v>
      </c>
      <c r="M482" s="25">
        <f>[1]!s_stmnote_bank_capadequacyratio(B482,$A482,1)</f>
        <v>0</v>
      </c>
      <c r="N482" s="25">
        <f>[1]!s_stmnote_bank_capadequacyratio_ct1(B482,$A482,1)</f>
        <v>0</v>
      </c>
      <c r="O482" s="6">
        <f>IF(OR([1]!s_fa_roe(B482,20201231)="0",[1]!s_fa_roe(B482,20211231)="0",[1]!s_fa_roe(B482,20221231)="0"),"",IFERROR(([1]!s_fa_roe(B482,20221231)+[1]!s_fa_roe(B482,20201231)+[1]!s_fa_roe(B482,20211231))/3,""))</f>
        <v>0</v>
      </c>
      <c r="P482" s="28" t="str">
        <f>IFERROR(([1]!s_stmnote_bank_65(B482,$A482,1,2,4,100000000)+[1]!s_stmnote_bank_65(B482,$A482,1,2,6,100000000))/[1]!s_stmnote_bank_1n(B482,$A482,1,100000000),"")</f>
        <v/>
      </c>
      <c r="Q482" s="28" t="str">
        <f>IFERROR([1]!s_stmnote_bank_614(B482,$A482,1,2,100000000)/[1]!s_stmnote_bank_647(B482,$A482,1,2,100000000),"")</f>
        <v/>
      </c>
      <c r="R482" s="28" t="str">
        <f>IFERROR(([1]!b_stm07_bs(B482,104,$A482,1,100000000)+[1]!b_stm07_bs(B482,106,$A482,1,100000000)+[1]!b_stm07_bs(B482,76,$A482,1,100000000)+[1]!b_stm07_bs(B482,108,$A482,1,100000000)+[1]!b_stm07_bs(B482,95,$A482,1,100000000))/[1]!b_stm07_bs(B482,128,$A482,1,100000000),"")</f>
        <v/>
      </c>
      <c r="S482" s="28" t="str">
        <f>IFERROR(([1]!s_stmnote_bank_614(B482,$A482,1,2,100000000)+[1]!b_stm07_bs(B482,104,$A482,1,100000000)+[1]!b_stm07_bs(B482,106,$A482,1,100000000)+[1]!b_stm07_bs(B482,76,$A482,1,100000000)+[1]!b_stm07_bs(B482,108,$A482,1,100000000)+[1]!b_stm07_bs(B482,95,$A482,1,100000000))/[1]!b_stm07_bs(B482,128,$A482,1,100000000),"")</f>
        <v/>
      </c>
      <c r="T482" s="11">
        <f>[1]!b_issuer_shareholder(B482,"",1)</f>
        <v>0</v>
      </c>
      <c r="U482" s="10">
        <f>[1]!b_issuer_propofshareholder(B482,"",1)</f>
        <v>0</v>
      </c>
      <c r="V482" s="33" t="str">
        <f t="shared" si="15"/>
        <v>0</v>
      </c>
      <c r="W482" s="33">
        <f>[1]!s_info_city(B482)</f>
        <v>0</v>
      </c>
      <c r="X482" s="10">
        <f>IF([1]!s_stmnote_bank_17n(B482,$A482,1)="0","",[1]!s_stmnote_bank_17n(B482,$A482,1))</f>
        <v>0</v>
      </c>
      <c r="Y482" s="10">
        <f>IF([1]!s_stmnote_bank_18n(B482,$A482,1)="0","",[1]!s_stmnote_bank_18n(B482,$A482,1))</f>
        <v>0</v>
      </c>
      <c r="Z482" s="41">
        <f>IF([1]!s_stmnote_bank_58(B482,$A482,1)="0","",[1]!s_stmnote_bank_58(B482,$A482,1))</f>
        <v>0</v>
      </c>
      <c r="AA482" s="52">
        <f>IF([1]!s_stmnote_bank_60(B482,$A482,1)="0","",[1]!s_stmnote_bank_60(B482,$A482,1))</f>
        <v>0</v>
      </c>
      <c r="AB482" s="52">
        <f>[1]!s_stmnote_bank_5444(B482,$A482,1)</f>
        <v>0</v>
      </c>
      <c r="AC482" s="38">
        <f>[1]!s_stmnote_bank_129n($B482,$A482,1)</f>
        <v>0</v>
      </c>
      <c r="AD482" s="54">
        <f>[1]!s_stmnote_bank_30(B482,$A482,1)</f>
        <v>0</v>
      </c>
    </row>
    <row r="483" spans="1:30" ht="24">
      <c r="A483" s="1" t="s">
        <v>1110</v>
      </c>
      <c r="B483" s="87" t="s">
        <v>1591</v>
      </c>
      <c r="C483" s="8">
        <f>IF([1]!b_info_issuer(B483)="0","",IFERROR([1]!b_info_issuer(B483),""))</f>
        <v>0</v>
      </c>
      <c r="D483" s="11">
        <f>IF([1]!b_info_latestissurercreditrating(B483)="0","",IFERROR([1]!b_info_latestissurercreditrating(B483),""))</f>
        <v>0</v>
      </c>
      <c r="E483" s="27" t="str">
        <f>IFERROR(([1]!b_stm07_bs($B483,47,$A483,1,100000000))/[1]!b_stm07_bs($B483,109,$A483,1,100000000),"")</f>
        <v/>
      </c>
      <c r="F483" s="18" t="str">
        <f>IFERROR(([1]!s_stmnote_bank_26($B483,$A483,1,100000000)-[1]!s_stmnote_bank_26($B483,#REF!,1,100000000)+#REF!)/[1]!s_stmnote_bank_1n($B483,#REF!,1,100000000),"")</f>
        <v/>
      </c>
      <c r="G483" s="21" t="str">
        <f t="shared" si="14"/>
        <v/>
      </c>
      <c r="H483" s="18" t="str">
        <f>IFERROR([1]!s_stmnote_bank($B483,"34",$A483,100000000)/[1]!s_stmnote_bank_1n(B483,$A483,1,100000000),"")</f>
        <v/>
      </c>
      <c r="I483" s="25">
        <f>[1]!b_stm07_bs(B483,74,$A483,1,100000000)</f>
        <v>0</v>
      </c>
      <c r="J483" s="25">
        <f>[1]!b_stm07_bs(B483,109,$A483,1,100000000)</f>
        <v>0</v>
      </c>
      <c r="K483" s="10">
        <f>[1]!s_stmnote_bank_5n(B483,$A483,1)</f>
        <v>0</v>
      </c>
      <c r="L483" s="25">
        <f>[1]!s_stmnote_bank_23n(B483,$A483,1)</f>
        <v>0</v>
      </c>
      <c r="M483" s="25">
        <f>[1]!s_stmnote_bank_capadequacyratio(B483,$A483,1)</f>
        <v>0</v>
      </c>
      <c r="N483" s="25">
        <f>[1]!s_stmnote_bank_capadequacyratio_ct1(B483,$A483,1)</f>
        <v>0</v>
      </c>
      <c r="O483" s="6">
        <f>IF(OR([1]!s_fa_roe(B483,20201231)="0",[1]!s_fa_roe(B483,20211231)="0",[1]!s_fa_roe(B483,20221231)="0"),"",IFERROR(([1]!s_fa_roe(B483,20221231)+[1]!s_fa_roe(B483,20201231)+[1]!s_fa_roe(B483,20211231))/3,""))</f>
        <v>0</v>
      </c>
      <c r="P483" s="28" t="str">
        <f>IFERROR(([1]!s_stmnote_bank_65(B483,$A483,1,2,4,100000000)+[1]!s_stmnote_bank_65(B483,$A483,1,2,6,100000000))/[1]!s_stmnote_bank_1n(B483,$A483,1,100000000),"")</f>
        <v/>
      </c>
      <c r="Q483" s="28" t="str">
        <f>IFERROR([1]!s_stmnote_bank_614(B483,$A483,1,2,100000000)/[1]!s_stmnote_bank_647(B483,$A483,1,2,100000000),"")</f>
        <v/>
      </c>
      <c r="R483" s="28" t="str">
        <f>IFERROR(([1]!b_stm07_bs(B483,104,$A483,1,100000000)+[1]!b_stm07_bs(B483,106,$A483,1,100000000)+[1]!b_stm07_bs(B483,76,$A483,1,100000000)+[1]!b_stm07_bs(B483,108,$A483,1,100000000)+[1]!b_stm07_bs(B483,95,$A483,1,100000000))/[1]!b_stm07_bs(B483,128,$A483,1,100000000),"")</f>
        <v/>
      </c>
      <c r="S483" s="28" t="str">
        <f>IFERROR(([1]!s_stmnote_bank_614(B483,$A483,1,2,100000000)+[1]!b_stm07_bs(B483,104,$A483,1,100000000)+[1]!b_stm07_bs(B483,106,$A483,1,100000000)+[1]!b_stm07_bs(B483,76,$A483,1,100000000)+[1]!b_stm07_bs(B483,108,$A483,1,100000000)+[1]!b_stm07_bs(B483,95,$A483,1,100000000))/[1]!b_stm07_bs(B483,128,$A483,1,100000000),"")</f>
        <v/>
      </c>
      <c r="T483" s="11">
        <f>[1]!b_issuer_shareholder(B483,"",1)</f>
        <v>0</v>
      </c>
      <c r="U483" s="10">
        <f>[1]!b_issuer_propofshareholder(B483,"",1)</f>
        <v>0</v>
      </c>
      <c r="V483" s="33" t="str">
        <f t="shared" si="15"/>
        <v>0</v>
      </c>
      <c r="W483" s="33">
        <f>[1]!s_info_city(B483)</f>
        <v>0</v>
      </c>
      <c r="X483" s="10">
        <f>IF([1]!s_stmnote_bank_17n(B483,$A483,1)="0","",[1]!s_stmnote_bank_17n(B483,$A483,1))</f>
        <v>0</v>
      </c>
      <c r="Y483" s="10">
        <f>IF([1]!s_stmnote_bank_18n(B483,$A483,1)="0","",[1]!s_stmnote_bank_18n(B483,$A483,1))</f>
        <v>0</v>
      </c>
      <c r="Z483" s="41">
        <f>IF([1]!s_stmnote_bank_58(B483,$A483,1)="0","",[1]!s_stmnote_bank_58(B483,$A483,1))</f>
        <v>0</v>
      </c>
      <c r="AA483" s="52">
        <f>IF([1]!s_stmnote_bank_60(B483,$A483,1)="0","",[1]!s_stmnote_bank_60(B483,$A483,1))</f>
        <v>0</v>
      </c>
      <c r="AB483" s="52">
        <f>[1]!s_stmnote_bank_5444(B483,$A483,1)</f>
        <v>0</v>
      </c>
      <c r="AC483" s="38">
        <f>[1]!s_stmnote_bank_129n($B483,$A483,1)</f>
        <v>0</v>
      </c>
      <c r="AD483" s="54">
        <f>[1]!s_stmnote_bank_30(B483,$A483,1)</f>
        <v>0</v>
      </c>
    </row>
    <row r="484" spans="1:30" ht="24">
      <c r="A484" s="1" t="s">
        <v>1110</v>
      </c>
      <c r="B484" s="87" t="s">
        <v>1592</v>
      </c>
      <c r="C484" s="8">
        <f>IF([1]!b_info_issuer(B484)="0","",IFERROR([1]!b_info_issuer(B484),""))</f>
        <v>0</v>
      </c>
      <c r="D484" s="11">
        <f>IF([1]!b_info_latestissurercreditrating(B484)="0","",IFERROR([1]!b_info_latestissurercreditrating(B484),""))</f>
        <v>0</v>
      </c>
      <c r="E484" s="27" t="str">
        <f>IFERROR(([1]!b_stm07_bs($B484,47,$A484,1,100000000))/[1]!b_stm07_bs($B484,109,$A484,1,100000000),"")</f>
        <v/>
      </c>
      <c r="F484" s="18" t="str">
        <f>IFERROR(([1]!s_stmnote_bank_26($B484,$A484,1,100000000)-[1]!s_stmnote_bank_26($B484,#REF!,1,100000000)+#REF!)/[1]!s_stmnote_bank_1n($B484,#REF!,1,100000000),"")</f>
        <v/>
      </c>
      <c r="G484" s="21" t="str">
        <f t="shared" si="14"/>
        <v/>
      </c>
      <c r="H484" s="18" t="str">
        <f>IFERROR([1]!s_stmnote_bank($B484,"34",$A484,100000000)/[1]!s_stmnote_bank_1n(B484,$A484,1,100000000),"")</f>
        <v/>
      </c>
      <c r="I484" s="25">
        <f>[1]!b_stm07_bs(B484,74,$A484,1,100000000)</f>
        <v>0</v>
      </c>
      <c r="J484" s="25">
        <f>[1]!b_stm07_bs(B484,109,$A484,1,100000000)</f>
        <v>0</v>
      </c>
      <c r="K484" s="10">
        <f>[1]!s_stmnote_bank_5n(B484,$A484,1)</f>
        <v>0</v>
      </c>
      <c r="L484" s="25">
        <f>[1]!s_stmnote_bank_23n(B484,$A484,1)</f>
        <v>0</v>
      </c>
      <c r="M484" s="25">
        <f>[1]!s_stmnote_bank_capadequacyratio(B484,$A484,1)</f>
        <v>0</v>
      </c>
      <c r="N484" s="25">
        <f>[1]!s_stmnote_bank_capadequacyratio_ct1(B484,$A484,1)</f>
        <v>0</v>
      </c>
      <c r="O484" s="6">
        <f>IF(OR([1]!s_fa_roe(B484,20201231)="0",[1]!s_fa_roe(B484,20211231)="0",[1]!s_fa_roe(B484,20221231)="0"),"",IFERROR(([1]!s_fa_roe(B484,20221231)+[1]!s_fa_roe(B484,20201231)+[1]!s_fa_roe(B484,20211231))/3,""))</f>
        <v>0</v>
      </c>
      <c r="P484" s="28" t="str">
        <f>IFERROR(([1]!s_stmnote_bank_65(B484,$A484,1,2,4,100000000)+[1]!s_stmnote_bank_65(B484,$A484,1,2,6,100000000))/[1]!s_stmnote_bank_1n(B484,$A484,1,100000000),"")</f>
        <v/>
      </c>
      <c r="Q484" s="28" t="str">
        <f>IFERROR([1]!s_stmnote_bank_614(B484,$A484,1,2,100000000)/[1]!s_stmnote_bank_647(B484,$A484,1,2,100000000),"")</f>
        <v/>
      </c>
      <c r="R484" s="28" t="str">
        <f>IFERROR(([1]!b_stm07_bs(B484,104,$A484,1,100000000)+[1]!b_stm07_bs(B484,106,$A484,1,100000000)+[1]!b_stm07_bs(B484,76,$A484,1,100000000)+[1]!b_stm07_bs(B484,108,$A484,1,100000000)+[1]!b_stm07_bs(B484,95,$A484,1,100000000))/[1]!b_stm07_bs(B484,128,$A484,1,100000000),"")</f>
        <v/>
      </c>
      <c r="S484" s="28" t="str">
        <f>IFERROR(([1]!s_stmnote_bank_614(B484,$A484,1,2,100000000)+[1]!b_stm07_bs(B484,104,$A484,1,100000000)+[1]!b_stm07_bs(B484,106,$A484,1,100000000)+[1]!b_stm07_bs(B484,76,$A484,1,100000000)+[1]!b_stm07_bs(B484,108,$A484,1,100000000)+[1]!b_stm07_bs(B484,95,$A484,1,100000000))/[1]!b_stm07_bs(B484,128,$A484,1,100000000),"")</f>
        <v/>
      </c>
      <c r="T484" s="11">
        <f>[1]!b_issuer_shareholder(B484,"",1)</f>
        <v>0</v>
      </c>
      <c r="U484" s="10">
        <f>[1]!b_issuer_propofshareholder(B484,"",1)</f>
        <v>0</v>
      </c>
      <c r="V484" s="33" t="str">
        <f t="shared" si="15"/>
        <v>0</v>
      </c>
      <c r="W484" s="33">
        <f>[1]!s_info_city(B484)</f>
        <v>0</v>
      </c>
      <c r="X484" s="10">
        <f>IF([1]!s_stmnote_bank_17n(B484,$A484,1)="0","",[1]!s_stmnote_bank_17n(B484,$A484,1))</f>
        <v>0</v>
      </c>
      <c r="Y484" s="10">
        <f>IF([1]!s_stmnote_bank_18n(B484,$A484,1)="0","",[1]!s_stmnote_bank_18n(B484,$A484,1))</f>
        <v>0</v>
      </c>
      <c r="Z484" s="41">
        <f>IF([1]!s_stmnote_bank_58(B484,$A484,1)="0","",[1]!s_stmnote_bank_58(B484,$A484,1))</f>
        <v>0</v>
      </c>
      <c r="AA484" s="52">
        <f>IF([1]!s_stmnote_bank_60(B484,$A484,1)="0","",[1]!s_stmnote_bank_60(B484,$A484,1))</f>
        <v>0</v>
      </c>
      <c r="AB484" s="52">
        <f>[1]!s_stmnote_bank_5444(B484,$A484,1)</f>
        <v>0</v>
      </c>
      <c r="AC484" s="38">
        <f>[1]!s_stmnote_bank_129n($B484,$A484,1)</f>
        <v>0</v>
      </c>
      <c r="AD484" s="54">
        <f>[1]!s_stmnote_bank_30(B484,$A484,1)</f>
        <v>0</v>
      </c>
    </row>
    <row r="485" spans="1:30" ht="24">
      <c r="A485" s="1" t="s">
        <v>1110</v>
      </c>
      <c r="B485" s="87" t="s">
        <v>1593</v>
      </c>
      <c r="C485" s="8">
        <f>IF([1]!b_info_issuer(B485)="0","",IFERROR([1]!b_info_issuer(B485),""))</f>
        <v>0</v>
      </c>
      <c r="D485" s="11">
        <f>IF([1]!b_info_latestissurercreditrating(B485)="0","",IFERROR([1]!b_info_latestissurercreditrating(B485),""))</f>
        <v>0</v>
      </c>
      <c r="E485" s="27" t="str">
        <f>IFERROR(([1]!b_stm07_bs($B485,47,$A485,1,100000000))/[1]!b_stm07_bs($B485,109,$A485,1,100000000),"")</f>
        <v/>
      </c>
      <c r="F485" s="18" t="str">
        <f>IFERROR(([1]!s_stmnote_bank_26($B485,$A485,1,100000000)-[1]!s_stmnote_bank_26($B485,#REF!,1,100000000)+#REF!)/[1]!s_stmnote_bank_1n($B485,#REF!,1,100000000),"")</f>
        <v/>
      </c>
      <c r="G485" s="21" t="str">
        <f t="shared" si="14"/>
        <v/>
      </c>
      <c r="H485" s="18" t="str">
        <f>IFERROR([1]!s_stmnote_bank($B485,"34",$A485,100000000)/[1]!s_stmnote_bank_1n(B485,$A485,1,100000000),"")</f>
        <v/>
      </c>
      <c r="I485" s="25">
        <f>[1]!b_stm07_bs(B485,74,$A485,1,100000000)</f>
        <v>0</v>
      </c>
      <c r="J485" s="25">
        <f>[1]!b_stm07_bs(B485,109,$A485,1,100000000)</f>
        <v>0</v>
      </c>
      <c r="K485" s="10">
        <f>[1]!s_stmnote_bank_5n(B485,$A485,1)</f>
        <v>0</v>
      </c>
      <c r="L485" s="25">
        <f>[1]!s_stmnote_bank_23n(B485,$A485,1)</f>
        <v>0</v>
      </c>
      <c r="M485" s="25">
        <f>[1]!s_stmnote_bank_capadequacyratio(B485,$A485,1)</f>
        <v>0</v>
      </c>
      <c r="N485" s="25">
        <f>[1]!s_stmnote_bank_capadequacyratio_ct1(B485,$A485,1)</f>
        <v>0</v>
      </c>
      <c r="O485" s="6">
        <f>IF(OR([1]!s_fa_roe(B485,20201231)="0",[1]!s_fa_roe(B485,20211231)="0",[1]!s_fa_roe(B485,20221231)="0"),"",IFERROR(([1]!s_fa_roe(B485,20221231)+[1]!s_fa_roe(B485,20201231)+[1]!s_fa_roe(B485,20211231))/3,""))</f>
        <v>0</v>
      </c>
      <c r="P485" s="28" t="str">
        <f>IFERROR(([1]!s_stmnote_bank_65(B485,$A485,1,2,4,100000000)+[1]!s_stmnote_bank_65(B485,$A485,1,2,6,100000000))/[1]!s_stmnote_bank_1n(B485,$A485,1,100000000),"")</f>
        <v/>
      </c>
      <c r="Q485" s="28" t="str">
        <f>IFERROR([1]!s_stmnote_bank_614(B485,$A485,1,2,100000000)/[1]!s_stmnote_bank_647(B485,$A485,1,2,100000000),"")</f>
        <v/>
      </c>
      <c r="R485" s="28" t="str">
        <f>IFERROR(([1]!b_stm07_bs(B485,104,$A485,1,100000000)+[1]!b_stm07_bs(B485,106,$A485,1,100000000)+[1]!b_stm07_bs(B485,76,$A485,1,100000000)+[1]!b_stm07_bs(B485,108,$A485,1,100000000)+[1]!b_stm07_bs(B485,95,$A485,1,100000000))/[1]!b_stm07_bs(B485,128,$A485,1,100000000),"")</f>
        <v/>
      </c>
      <c r="S485" s="28" t="str">
        <f>IFERROR(([1]!s_stmnote_bank_614(B485,$A485,1,2,100000000)+[1]!b_stm07_bs(B485,104,$A485,1,100000000)+[1]!b_stm07_bs(B485,106,$A485,1,100000000)+[1]!b_stm07_bs(B485,76,$A485,1,100000000)+[1]!b_stm07_bs(B485,108,$A485,1,100000000)+[1]!b_stm07_bs(B485,95,$A485,1,100000000))/[1]!b_stm07_bs(B485,128,$A485,1,100000000),"")</f>
        <v/>
      </c>
      <c r="T485" s="11">
        <f>[1]!b_issuer_shareholder(B485,"",1)</f>
        <v>0</v>
      </c>
      <c r="U485" s="10">
        <f>[1]!b_issuer_propofshareholder(B485,"",1)</f>
        <v>0</v>
      </c>
      <c r="V485" s="33" t="str">
        <f t="shared" si="15"/>
        <v>0</v>
      </c>
      <c r="W485" s="33">
        <f>[1]!s_info_city(B485)</f>
        <v>0</v>
      </c>
      <c r="X485" s="10">
        <f>IF([1]!s_stmnote_bank_17n(B485,$A485,1)="0","",[1]!s_stmnote_bank_17n(B485,$A485,1))</f>
        <v>0</v>
      </c>
      <c r="Y485" s="10">
        <f>IF([1]!s_stmnote_bank_18n(B485,$A485,1)="0","",[1]!s_stmnote_bank_18n(B485,$A485,1))</f>
        <v>0</v>
      </c>
      <c r="Z485" s="41">
        <f>IF([1]!s_stmnote_bank_58(B485,$A485,1)="0","",[1]!s_stmnote_bank_58(B485,$A485,1))</f>
        <v>0</v>
      </c>
      <c r="AA485" s="52">
        <f>IF([1]!s_stmnote_bank_60(B485,$A485,1)="0","",[1]!s_stmnote_bank_60(B485,$A485,1))</f>
        <v>0</v>
      </c>
      <c r="AB485" s="52">
        <f>[1]!s_stmnote_bank_5444(B485,$A485,1)</f>
        <v>0</v>
      </c>
      <c r="AC485" s="38">
        <f>[1]!s_stmnote_bank_129n($B485,$A485,1)</f>
        <v>0</v>
      </c>
      <c r="AD485" s="54">
        <f>[1]!s_stmnote_bank_30(B485,$A485,1)</f>
        <v>0</v>
      </c>
    </row>
    <row r="486" spans="1:30" ht="24">
      <c r="A486" s="1" t="s">
        <v>1110</v>
      </c>
      <c r="B486" s="87" t="s">
        <v>1594</v>
      </c>
      <c r="C486" s="8">
        <f>IF([1]!b_info_issuer(B486)="0","",IFERROR([1]!b_info_issuer(B486),""))</f>
        <v>0</v>
      </c>
      <c r="D486" s="11">
        <f>IF([1]!b_info_latestissurercreditrating(B486)="0","",IFERROR([1]!b_info_latestissurercreditrating(B486),""))</f>
        <v>0</v>
      </c>
      <c r="E486" s="27" t="str">
        <f>IFERROR(([1]!b_stm07_bs($B486,47,$A486,1,100000000))/[1]!b_stm07_bs($B486,109,$A486,1,100000000),"")</f>
        <v/>
      </c>
      <c r="F486" s="18" t="str">
        <f>IFERROR(([1]!s_stmnote_bank_26($B486,$A486,1,100000000)-[1]!s_stmnote_bank_26($B486,#REF!,1,100000000)+#REF!)/[1]!s_stmnote_bank_1n($B486,#REF!,1,100000000),"")</f>
        <v/>
      </c>
      <c r="G486" s="21" t="str">
        <f t="shared" si="14"/>
        <v/>
      </c>
      <c r="H486" s="18" t="str">
        <f>IFERROR([1]!s_stmnote_bank($B486,"34",$A486,100000000)/[1]!s_stmnote_bank_1n(B486,$A486,1,100000000),"")</f>
        <v/>
      </c>
      <c r="I486" s="25">
        <f>[1]!b_stm07_bs(B486,74,$A486,1,100000000)</f>
        <v>0</v>
      </c>
      <c r="J486" s="25">
        <f>[1]!b_stm07_bs(B486,109,$A486,1,100000000)</f>
        <v>0</v>
      </c>
      <c r="K486" s="10">
        <f>[1]!s_stmnote_bank_5n(B486,$A486,1)</f>
        <v>0</v>
      </c>
      <c r="L486" s="25">
        <f>[1]!s_stmnote_bank_23n(B486,$A486,1)</f>
        <v>0</v>
      </c>
      <c r="M486" s="25">
        <f>[1]!s_stmnote_bank_capadequacyratio(B486,$A486,1)</f>
        <v>0</v>
      </c>
      <c r="N486" s="25">
        <f>[1]!s_stmnote_bank_capadequacyratio_ct1(B486,$A486,1)</f>
        <v>0</v>
      </c>
      <c r="O486" s="6">
        <f>IF(OR([1]!s_fa_roe(B486,20201231)="0",[1]!s_fa_roe(B486,20211231)="0",[1]!s_fa_roe(B486,20221231)="0"),"",IFERROR(([1]!s_fa_roe(B486,20221231)+[1]!s_fa_roe(B486,20201231)+[1]!s_fa_roe(B486,20211231))/3,""))</f>
        <v>0</v>
      </c>
      <c r="P486" s="28" t="str">
        <f>IFERROR(([1]!s_stmnote_bank_65(B486,$A486,1,2,4,100000000)+[1]!s_stmnote_bank_65(B486,$A486,1,2,6,100000000))/[1]!s_stmnote_bank_1n(B486,$A486,1,100000000),"")</f>
        <v/>
      </c>
      <c r="Q486" s="28" t="str">
        <f>IFERROR([1]!s_stmnote_bank_614(B486,$A486,1,2,100000000)/[1]!s_stmnote_bank_647(B486,$A486,1,2,100000000),"")</f>
        <v/>
      </c>
      <c r="R486" s="28" t="str">
        <f>IFERROR(([1]!b_stm07_bs(B486,104,$A486,1,100000000)+[1]!b_stm07_bs(B486,106,$A486,1,100000000)+[1]!b_stm07_bs(B486,76,$A486,1,100000000)+[1]!b_stm07_bs(B486,108,$A486,1,100000000)+[1]!b_stm07_bs(B486,95,$A486,1,100000000))/[1]!b_stm07_bs(B486,128,$A486,1,100000000),"")</f>
        <v/>
      </c>
      <c r="S486" s="28" t="str">
        <f>IFERROR(([1]!s_stmnote_bank_614(B486,$A486,1,2,100000000)+[1]!b_stm07_bs(B486,104,$A486,1,100000000)+[1]!b_stm07_bs(B486,106,$A486,1,100000000)+[1]!b_stm07_bs(B486,76,$A486,1,100000000)+[1]!b_stm07_bs(B486,108,$A486,1,100000000)+[1]!b_stm07_bs(B486,95,$A486,1,100000000))/[1]!b_stm07_bs(B486,128,$A486,1,100000000),"")</f>
        <v/>
      </c>
      <c r="T486" s="11">
        <f>[1]!b_issuer_shareholder(B486,"",1)</f>
        <v>0</v>
      </c>
      <c r="U486" s="10">
        <f>[1]!b_issuer_propofshareholder(B486,"",1)</f>
        <v>0</v>
      </c>
      <c r="V486" s="33" t="str">
        <f t="shared" si="15"/>
        <v>0</v>
      </c>
      <c r="W486" s="33">
        <f>[1]!s_info_city(B486)</f>
        <v>0</v>
      </c>
      <c r="X486" s="10">
        <f>IF([1]!s_stmnote_bank_17n(B486,$A486,1)="0","",[1]!s_stmnote_bank_17n(B486,$A486,1))</f>
        <v>0</v>
      </c>
      <c r="Y486" s="10">
        <f>IF([1]!s_stmnote_bank_18n(B486,$A486,1)="0","",[1]!s_stmnote_bank_18n(B486,$A486,1))</f>
        <v>0</v>
      </c>
      <c r="Z486" s="41">
        <f>IF([1]!s_stmnote_bank_58(B486,$A486,1)="0","",[1]!s_stmnote_bank_58(B486,$A486,1))</f>
        <v>0</v>
      </c>
      <c r="AA486" s="52">
        <f>IF([1]!s_stmnote_bank_60(B486,$A486,1)="0","",[1]!s_stmnote_bank_60(B486,$A486,1))</f>
        <v>0</v>
      </c>
      <c r="AB486" s="52">
        <f>[1]!s_stmnote_bank_5444(B486,$A486,1)</f>
        <v>0</v>
      </c>
      <c r="AC486" s="38">
        <f>[1]!s_stmnote_bank_129n($B486,$A486,1)</f>
        <v>0</v>
      </c>
      <c r="AD486" s="54">
        <f>[1]!s_stmnote_bank_30(B486,$A486,1)</f>
        <v>0</v>
      </c>
    </row>
    <row r="487" spans="1:30" ht="24">
      <c r="A487" s="1" t="s">
        <v>1110</v>
      </c>
      <c r="B487" s="87" t="s">
        <v>1595</v>
      </c>
      <c r="C487" s="8">
        <f>IF([1]!b_info_issuer(B487)="0","",IFERROR([1]!b_info_issuer(B487),""))</f>
        <v>0</v>
      </c>
      <c r="D487" s="11">
        <f>IF([1]!b_info_latestissurercreditrating(B487)="0","",IFERROR([1]!b_info_latestissurercreditrating(B487),""))</f>
        <v>0</v>
      </c>
      <c r="E487" s="27" t="str">
        <f>IFERROR(([1]!b_stm07_bs($B487,47,$A487,1,100000000))/[1]!b_stm07_bs($B487,109,$A487,1,100000000),"")</f>
        <v/>
      </c>
      <c r="F487" s="18" t="str">
        <f>IFERROR(([1]!s_stmnote_bank_26($B487,$A487,1,100000000)-[1]!s_stmnote_bank_26($B487,#REF!,1,100000000)+#REF!)/[1]!s_stmnote_bank_1n($B487,#REF!,1,100000000),"")</f>
        <v/>
      </c>
      <c r="G487" s="21" t="str">
        <f t="shared" si="14"/>
        <v/>
      </c>
      <c r="H487" s="18" t="str">
        <f>IFERROR([1]!s_stmnote_bank($B487,"34",$A487,100000000)/[1]!s_stmnote_bank_1n(B487,$A487,1,100000000),"")</f>
        <v/>
      </c>
      <c r="I487" s="25">
        <f>[1]!b_stm07_bs(B487,74,$A487,1,100000000)</f>
        <v>0</v>
      </c>
      <c r="J487" s="25">
        <f>[1]!b_stm07_bs(B487,109,$A487,1,100000000)</f>
        <v>0</v>
      </c>
      <c r="K487" s="10">
        <f>[1]!s_stmnote_bank_5n(B487,$A487,1)</f>
        <v>0</v>
      </c>
      <c r="L487" s="25">
        <f>[1]!s_stmnote_bank_23n(B487,$A487,1)</f>
        <v>0</v>
      </c>
      <c r="M487" s="25">
        <f>[1]!s_stmnote_bank_capadequacyratio(B487,$A487,1)</f>
        <v>0</v>
      </c>
      <c r="N487" s="25">
        <f>[1]!s_stmnote_bank_capadequacyratio_ct1(B487,$A487,1)</f>
        <v>0</v>
      </c>
      <c r="O487" s="6">
        <f>IF(OR([1]!s_fa_roe(B487,20201231)="0",[1]!s_fa_roe(B487,20211231)="0",[1]!s_fa_roe(B487,20221231)="0"),"",IFERROR(([1]!s_fa_roe(B487,20221231)+[1]!s_fa_roe(B487,20201231)+[1]!s_fa_roe(B487,20211231))/3,""))</f>
        <v>0</v>
      </c>
      <c r="P487" s="28" t="str">
        <f>IFERROR(([1]!s_stmnote_bank_65(B487,$A487,1,2,4,100000000)+[1]!s_stmnote_bank_65(B487,$A487,1,2,6,100000000))/[1]!s_stmnote_bank_1n(B487,$A487,1,100000000),"")</f>
        <v/>
      </c>
      <c r="Q487" s="28" t="str">
        <f>IFERROR([1]!s_stmnote_bank_614(B487,$A487,1,2,100000000)/[1]!s_stmnote_bank_647(B487,$A487,1,2,100000000),"")</f>
        <v/>
      </c>
      <c r="R487" s="28" t="str">
        <f>IFERROR(([1]!b_stm07_bs(B487,104,$A487,1,100000000)+[1]!b_stm07_bs(B487,106,$A487,1,100000000)+[1]!b_stm07_bs(B487,76,$A487,1,100000000)+[1]!b_stm07_bs(B487,108,$A487,1,100000000)+[1]!b_stm07_bs(B487,95,$A487,1,100000000))/[1]!b_stm07_bs(B487,128,$A487,1,100000000),"")</f>
        <v/>
      </c>
      <c r="S487" s="28" t="str">
        <f>IFERROR(([1]!s_stmnote_bank_614(B487,$A487,1,2,100000000)+[1]!b_stm07_bs(B487,104,$A487,1,100000000)+[1]!b_stm07_bs(B487,106,$A487,1,100000000)+[1]!b_stm07_bs(B487,76,$A487,1,100000000)+[1]!b_stm07_bs(B487,108,$A487,1,100000000)+[1]!b_stm07_bs(B487,95,$A487,1,100000000))/[1]!b_stm07_bs(B487,128,$A487,1,100000000),"")</f>
        <v/>
      </c>
      <c r="T487" s="11">
        <f>[1]!b_issuer_shareholder(B487,"",1)</f>
        <v>0</v>
      </c>
      <c r="U487" s="10">
        <f>[1]!b_issuer_propofshareholder(B487,"",1)</f>
        <v>0</v>
      </c>
      <c r="V487" s="33" t="str">
        <f t="shared" si="15"/>
        <v>0</v>
      </c>
      <c r="W487" s="33">
        <f>[1]!s_info_city(B487)</f>
        <v>0</v>
      </c>
      <c r="X487" s="10">
        <f>IF([1]!s_stmnote_bank_17n(B487,$A487,1)="0","",[1]!s_stmnote_bank_17n(B487,$A487,1))</f>
        <v>0</v>
      </c>
      <c r="Y487" s="10">
        <f>IF([1]!s_stmnote_bank_18n(B487,$A487,1)="0","",[1]!s_stmnote_bank_18n(B487,$A487,1))</f>
        <v>0</v>
      </c>
      <c r="Z487" s="41">
        <f>IF([1]!s_stmnote_bank_58(B487,$A487,1)="0","",[1]!s_stmnote_bank_58(B487,$A487,1))</f>
        <v>0</v>
      </c>
      <c r="AA487" s="52">
        <f>IF([1]!s_stmnote_bank_60(B487,$A487,1)="0","",[1]!s_stmnote_bank_60(B487,$A487,1))</f>
        <v>0</v>
      </c>
      <c r="AB487" s="52">
        <f>[1]!s_stmnote_bank_5444(B487,$A487,1)</f>
        <v>0</v>
      </c>
      <c r="AC487" s="38">
        <f>[1]!s_stmnote_bank_129n($B487,$A487,1)</f>
        <v>0</v>
      </c>
      <c r="AD487" s="54">
        <f>[1]!s_stmnote_bank_30(B487,$A487,1)</f>
        <v>0</v>
      </c>
    </row>
    <row r="488" spans="1:30" ht="24">
      <c r="A488" s="1" t="s">
        <v>1110</v>
      </c>
      <c r="B488" s="87" t="s">
        <v>1596</v>
      </c>
      <c r="C488" s="8">
        <f>IF([1]!b_info_issuer(B488)="0","",IFERROR([1]!b_info_issuer(B488),""))</f>
        <v>0</v>
      </c>
      <c r="D488" s="11">
        <f>IF([1]!b_info_latestissurercreditrating(B488)="0","",IFERROR([1]!b_info_latestissurercreditrating(B488),""))</f>
        <v>0</v>
      </c>
      <c r="E488" s="27" t="str">
        <f>IFERROR(([1]!b_stm07_bs($B488,47,$A488,1,100000000))/[1]!b_stm07_bs($B488,109,$A488,1,100000000),"")</f>
        <v/>
      </c>
      <c r="F488" s="18" t="str">
        <f>IFERROR(([1]!s_stmnote_bank_26($B488,$A488,1,100000000)-[1]!s_stmnote_bank_26($B488,#REF!,1,100000000)+#REF!)/[1]!s_stmnote_bank_1n($B488,#REF!,1,100000000),"")</f>
        <v/>
      </c>
      <c r="G488" s="21" t="str">
        <f t="shared" si="14"/>
        <v/>
      </c>
      <c r="H488" s="18" t="str">
        <f>IFERROR([1]!s_stmnote_bank($B488,"34",$A488,100000000)/[1]!s_stmnote_bank_1n(B488,$A488,1,100000000),"")</f>
        <v/>
      </c>
      <c r="I488" s="25">
        <f>[1]!b_stm07_bs(B488,74,$A488,1,100000000)</f>
        <v>0</v>
      </c>
      <c r="J488" s="25">
        <f>[1]!b_stm07_bs(B488,109,$A488,1,100000000)</f>
        <v>0</v>
      </c>
      <c r="K488" s="10">
        <f>[1]!s_stmnote_bank_5n(B488,$A488,1)</f>
        <v>0</v>
      </c>
      <c r="L488" s="25">
        <f>[1]!s_stmnote_bank_23n(B488,$A488,1)</f>
        <v>0</v>
      </c>
      <c r="M488" s="25">
        <f>[1]!s_stmnote_bank_capadequacyratio(B488,$A488,1)</f>
        <v>0</v>
      </c>
      <c r="N488" s="25">
        <f>[1]!s_stmnote_bank_capadequacyratio_ct1(B488,$A488,1)</f>
        <v>0</v>
      </c>
      <c r="O488" s="6">
        <f>IF(OR([1]!s_fa_roe(B488,20201231)="0",[1]!s_fa_roe(B488,20211231)="0",[1]!s_fa_roe(B488,20221231)="0"),"",IFERROR(([1]!s_fa_roe(B488,20221231)+[1]!s_fa_roe(B488,20201231)+[1]!s_fa_roe(B488,20211231))/3,""))</f>
        <v>0</v>
      </c>
      <c r="P488" s="28" t="str">
        <f>IFERROR(([1]!s_stmnote_bank_65(B488,$A488,1,2,4,100000000)+[1]!s_stmnote_bank_65(B488,$A488,1,2,6,100000000))/[1]!s_stmnote_bank_1n(B488,$A488,1,100000000),"")</f>
        <v/>
      </c>
      <c r="Q488" s="28" t="str">
        <f>IFERROR([1]!s_stmnote_bank_614(B488,$A488,1,2,100000000)/[1]!s_stmnote_bank_647(B488,$A488,1,2,100000000),"")</f>
        <v/>
      </c>
      <c r="R488" s="28" t="str">
        <f>IFERROR(([1]!b_stm07_bs(B488,104,$A488,1,100000000)+[1]!b_stm07_bs(B488,106,$A488,1,100000000)+[1]!b_stm07_bs(B488,76,$A488,1,100000000)+[1]!b_stm07_bs(B488,108,$A488,1,100000000)+[1]!b_stm07_bs(B488,95,$A488,1,100000000))/[1]!b_stm07_bs(B488,128,$A488,1,100000000),"")</f>
        <v/>
      </c>
      <c r="S488" s="28" t="str">
        <f>IFERROR(([1]!s_stmnote_bank_614(B488,$A488,1,2,100000000)+[1]!b_stm07_bs(B488,104,$A488,1,100000000)+[1]!b_stm07_bs(B488,106,$A488,1,100000000)+[1]!b_stm07_bs(B488,76,$A488,1,100000000)+[1]!b_stm07_bs(B488,108,$A488,1,100000000)+[1]!b_stm07_bs(B488,95,$A488,1,100000000))/[1]!b_stm07_bs(B488,128,$A488,1,100000000),"")</f>
        <v/>
      </c>
      <c r="T488" s="11">
        <f>[1]!b_issuer_shareholder(B488,"",1)</f>
        <v>0</v>
      </c>
      <c r="U488" s="10">
        <f>[1]!b_issuer_propofshareholder(B488,"",1)</f>
        <v>0</v>
      </c>
      <c r="V488" s="33" t="str">
        <f t="shared" si="15"/>
        <v>0</v>
      </c>
      <c r="W488" s="33">
        <f>[1]!s_info_city(B488)</f>
        <v>0</v>
      </c>
      <c r="X488" s="10">
        <f>IF([1]!s_stmnote_bank_17n(B488,$A488,1)="0","",[1]!s_stmnote_bank_17n(B488,$A488,1))</f>
        <v>0</v>
      </c>
      <c r="Y488" s="10">
        <f>IF([1]!s_stmnote_bank_18n(B488,$A488,1)="0","",[1]!s_stmnote_bank_18n(B488,$A488,1))</f>
        <v>0</v>
      </c>
      <c r="Z488" s="41">
        <f>IF([1]!s_stmnote_bank_58(B488,$A488,1)="0","",[1]!s_stmnote_bank_58(B488,$A488,1))</f>
        <v>0</v>
      </c>
      <c r="AA488" s="52">
        <f>IF([1]!s_stmnote_bank_60(B488,$A488,1)="0","",[1]!s_stmnote_bank_60(B488,$A488,1))</f>
        <v>0</v>
      </c>
      <c r="AB488" s="52">
        <f>[1]!s_stmnote_bank_5444(B488,$A488,1)</f>
        <v>0</v>
      </c>
      <c r="AC488" s="38">
        <f>[1]!s_stmnote_bank_129n($B488,$A488,1)</f>
        <v>0</v>
      </c>
      <c r="AD488" s="54">
        <f>[1]!s_stmnote_bank_30(B488,$A488,1)</f>
        <v>0</v>
      </c>
    </row>
    <row r="489" spans="1:30" ht="24">
      <c r="A489" s="1" t="s">
        <v>1110</v>
      </c>
      <c r="B489" s="87" t="s">
        <v>1597</v>
      </c>
      <c r="C489" s="8">
        <f>IF([1]!b_info_issuer(B489)="0","",IFERROR([1]!b_info_issuer(B489),""))</f>
        <v>0</v>
      </c>
      <c r="D489" s="11">
        <f>IF([1]!b_info_latestissurercreditrating(B489)="0","",IFERROR([1]!b_info_latestissurercreditrating(B489),""))</f>
        <v>0</v>
      </c>
      <c r="E489" s="27" t="str">
        <f>IFERROR(([1]!b_stm07_bs($B489,47,$A489,1,100000000))/[1]!b_stm07_bs($B489,109,$A489,1,100000000),"")</f>
        <v/>
      </c>
      <c r="F489" s="18" t="str">
        <f>IFERROR(([1]!s_stmnote_bank_26($B489,$A489,1,100000000)-[1]!s_stmnote_bank_26($B489,#REF!,1,100000000)+#REF!)/[1]!s_stmnote_bank_1n($B489,#REF!,1,100000000),"")</f>
        <v/>
      </c>
      <c r="G489" s="21" t="str">
        <f t="shared" si="14"/>
        <v/>
      </c>
      <c r="H489" s="18" t="str">
        <f>IFERROR([1]!s_stmnote_bank($B489,"34",$A489,100000000)/[1]!s_stmnote_bank_1n(B489,$A489,1,100000000),"")</f>
        <v/>
      </c>
      <c r="I489" s="25">
        <f>[1]!b_stm07_bs(B489,74,$A489,1,100000000)</f>
        <v>0</v>
      </c>
      <c r="J489" s="25">
        <f>[1]!b_stm07_bs(B489,109,$A489,1,100000000)</f>
        <v>0</v>
      </c>
      <c r="K489" s="10">
        <f>[1]!s_stmnote_bank_5n(B489,$A489,1)</f>
        <v>0</v>
      </c>
      <c r="L489" s="25">
        <f>[1]!s_stmnote_bank_23n(B489,$A489,1)</f>
        <v>0</v>
      </c>
      <c r="M489" s="25">
        <f>[1]!s_stmnote_bank_capadequacyratio(B489,$A489,1)</f>
        <v>0</v>
      </c>
      <c r="N489" s="25">
        <f>[1]!s_stmnote_bank_capadequacyratio_ct1(B489,$A489,1)</f>
        <v>0</v>
      </c>
      <c r="O489" s="6">
        <f>IF(OR([1]!s_fa_roe(B489,20201231)="0",[1]!s_fa_roe(B489,20211231)="0",[1]!s_fa_roe(B489,20221231)="0"),"",IFERROR(([1]!s_fa_roe(B489,20221231)+[1]!s_fa_roe(B489,20201231)+[1]!s_fa_roe(B489,20211231))/3,""))</f>
        <v>0</v>
      </c>
      <c r="P489" s="28" t="str">
        <f>IFERROR(([1]!s_stmnote_bank_65(B489,$A489,1,2,4,100000000)+[1]!s_stmnote_bank_65(B489,$A489,1,2,6,100000000))/[1]!s_stmnote_bank_1n(B489,$A489,1,100000000),"")</f>
        <v/>
      </c>
      <c r="Q489" s="28" t="str">
        <f>IFERROR([1]!s_stmnote_bank_614(B489,$A489,1,2,100000000)/[1]!s_stmnote_bank_647(B489,$A489,1,2,100000000),"")</f>
        <v/>
      </c>
      <c r="R489" s="28" t="str">
        <f>IFERROR(([1]!b_stm07_bs(B489,104,$A489,1,100000000)+[1]!b_stm07_bs(B489,106,$A489,1,100000000)+[1]!b_stm07_bs(B489,76,$A489,1,100000000)+[1]!b_stm07_bs(B489,108,$A489,1,100000000)+[1]!b_stm07_bs(B489,95,$A489,1,100000000))/[1]!b_stm07_bs(B489,128,$A489,1,100000000),"")</f>
        <v/>
      </c>
      <c r="S489" s="28" t="str">
        <f>IFERROR(([1]!s_stmnote_bank_614(B489,$A489,1,2,100000000)+[1]!b_stm07_bs(B489,104,$A489,1,100000000)+[1]!b_stm07_bs(B489,106,$A489,1,100000000)+[1]!b_stm07_bs(B489,76,$A489,1,100000000)+[1]!b_stm07_bs(B489,108,$A489,1,100000000)+[1]!b_stm07_bs(B489,95,$A489,1,100000000))/[1]!b_stm07_bs(B489,128,$A489,1,100000000),"")</f>
        <v/>
      </c>
      <c r="T489" s="11">
        <f>[1]!b_issuer_shareholder(B489,"",1)</f>
        <v>0</v>
      </c>
      <c r="U489" s="10">
        <f>[1]!b_issuer_propofshareholder(B489,"",1)</f>
        <v>0</v>
      </c>
      <c r="V489" s="33" t="str">
        <f t="shared" si="15"/>
        <v>0</v>
      </c>
      <c r="W489" s="33">
        <f>[1]!s_info_city(B489)</f>
        <v>0</v>
      </c>
      <c r="X489" s="10">
        <f>IF([1]!s_stmnote_bank_17n(B489,$A489,1)="0","",[1]!s_stmnote_bank_17n(B489,$A489,1))</f>
        <v>0</v>
      </c>
      <c r="Y489" s="10">
        <f>IF([1]!s_stmnote_bank_18n(B489,$A489,1)="0","",[1]!s_stmnote_bank_18n(B489,$A489,1))</f>
        <v>0</v>
      </c>
      <c r="Z489" s="41">
        <f>IF([1]!s_stmnote_bank_58(B489,$A489,1)="0","",[1]!s_stmnote_bank_58(B489,$A489,1))</f>
        <v>0</v>
      </c>
      <c r="AA489" s="52">
        <f>IF([1]!s_stmnote_bank_60(B489,$A489,1)="0","",[1]!s_stmnote_bank_60(B489,$A489,1))</f>
        <v>0</v>
      </c>
      <c r="AB489" s="52">
        <f>[1]!s_stmnote_bank_5444(B489,$A489,1)</f>
        <v>0</v>
      </c>
      <c r="AC489" s="38">
        <f>[1]!s_stmnote_bank_129n($B489,$A489,1)</f>
        <v>0</v>
      </c>
      <c r="AD489" s="54">
        <f>[1]!s_stmnote_bank_30(B489,$A489,1)</f>
        <v>0</v>
      </c>
    </row>
    <row r="490" spans="1:30" ht="24">
      <c r="A490" s="1" t="s">
        <v>1110</v>
      </c>
      <c r="B490" s="87" t="s">
        <v>1598</v>
      </c>
      <c r="C490" s="8">
        <f>IF([1]!b_info_issuer(B490)="0","",IFERROR([1]!b_info_issuer(B490),""))</f>
        <v>0</v>
      </c>
      <c r="D490" s="11">
        <f>IF([1]!b_info_latestissurercreditrating(B490)="0","",IFERROR([1]!b_info_latestissurercreditrating(B490),""))</f>
        <v>0</v>
      </c>
      <c r="E490" s="27" t="str">
        <f>IFERROR(([1]!b_stm07_bs($B490,47,$A490,1,100000000))/[1]!b_stm07_bs($B490,109,$A490,1,100000000),"")</f>
        <v/>
      </c>
      <c r="F490" s="18" t="str">
        <f>IFERROR(([1]!s_stmnote_bank_26($B490,$A490,1,100000000)-[1]!s_stmnote_bank_26($B490,#REF!,1,100000000)+#REF!)/[1]!s_stmnote_bank_1n($B490,#REF!,1,100000000),"")</f>
        <v/>
      </c>
      <c r="G490" s="21" t="str">
        <f t="shared" si="14"/>
        <v/>
      </c>
      <c r="H490" s="18" t="str">
        <f>IFERROR([1]!s_stmnote_bank($B490,"34",$A490,100000000)/[1]!s_stmnote_bank_1n(B490,$A490,1,100000000),"")</f>
        <v/>
      </c>
      <c r="I490" s="25">
        <f>[1]!b_stm07_bs(B490,74,$A490,1,100000000)</f>
        <v>0</v>
      </c>
      <c r="J490" s="25">
        <f>[1]!b_stm07_bs(B490,109,$A490,1,100000000)</f>
        <v>0</v>
      </c>
      <c r="K490" s="10">
        <f>[1]!s_stmnote_bank_5n(B490,$A490,1)</f>
        <v>0</v>
      </c>
      <c r="L490" s="25">
        <f>[1]!s_stmnote_bank_23n(B490,$A490,1)</f>
        <v>0</v>
      </c>
      <c r="M490" s="25">
        <f>[1]!s_stmnote_bank_capadequacyratio(B490,$A490,1)</f>
        <v>0</v>
      </c>
      <c r="N490" s="25">
        <f>[1]!s_stmnote_bank_capadequacyratio_ct1(B490,$A490,1)</f>
        <v>0</v>
      </c>
      <c r="O490" s="6">
        <f>IF(OR([1]!s_fa_roe(B490,20201231)="0",[1]!s_fa_roe(B490,20211231)="0",[1]!s_fa_roe(B490,20221231)="0"),"",IFERROR(([1]!s_fa_roe(B490,20221231)+[1]!s_fa_roe(B490,20201231)+[1]!s_fa_roe(B490,20211231))/3,""))</f>
        <v>0</v>
      </c>
      <c r="P490" s="28" t="str">
        <f>IFERROR(([1]!s_stmnote_bank_65(B490,$A490,1,2,4,100000000)+[1]!s_stmnote_bank_65(B490,$A490,1,2,6,100000000))/[1]!s_stmnote_bank_1n(B490,$A490,1,100000000),"")</f>
        <v/>
      </c>
      <c r="Q490" s="28" t="str">
        <f>IFERROR([1]!s_stmnote_bank_614(B490,$A490,1,2,100000000)/[1]!s_stmnote_bank_647(B490,$A490,1,2,100000000),"")</f>
        <v/>
      </c>
      <c r="R490" s="28" t="str">
        <f>IFERROR(([1]!b_stm07_bs(B490,104,$A490,1,100000000)+[1]!b_stm07_bs(B490,106,$A490,1,100000000)+[1]!b_stm07_bs(B490,76,$A490,1,100000000)+[1]!b_stm07_bs(B490,108,$A490,1,100000000)+[1]!b_stm07_bs(B490,95,$A490,1,100000000))/[1]!b_stm07_bs(B490,128,$A490,1,100000000),"")</f>
        <v/>
      </c>
      <c r="S490" s="28" t="str">
        <f>IFERROR(([1]!s_stmnote_bank_614(B490,$A490,1,2,100000000)+[1]!b_stm07_bs(B490,104,$A490,1,100000000)+[1]!b_stm07_bs(B490,106,$A490,1,100000000)+[1]!b_stm07_bs(B490,76,$A490,1,100000000)+[1]!b_stm07_bs(B490,108,$A490,1,100000000)+[1]!b_stm07_bs(B490,95,$A490,1,100000000))/[1]!b_stm07_bs(B490,128,$A490,1,100000000),"")</f>
        <v/>
      </c>
      <c r="T490" s="11">
        <f>[1]!b_issuer_shareholder(B490,"",1)</f>
        <v>0</v>
      </c>
      <c r="U490" s="10">
        <f>[1]!b_issuer_propofshareholder(B490,"",1)</f>
        <v>0</v>
      </c>
      <c r="V490" s="33" t="str">
        <f t="shared" si="15"/>
        <v>0</v>
      </c>
      <c r="W490" s="33">
        <f>[1]!s_info_city(B490)</f>
        <v>0</v>
      </c>
      <c r="X490" s="10">
        <f>IF([1]!s_stmnote_bank_17n(B490,$A490,1)="0","",[1]!s_stmnote_bank_17n(B490,$A490,1))</f>
        <v>0</v>
      </c>
      <c r="Y490" s="10">
        <f>IF([1]!s_stmnote_bank_18n(B490,$A490,1)="0","",[1]!s_stmnote_bank_18n(B490,$A490,1))</f>
        <v>0</v>
      </c>
      <c r="Z490" s="41">
        <f>IF([1]!s_stmnote_bank_58(B490,$A490,1)="0","",[1]!s_stmnote_bank_58(B490,$A490,1))</f>
        <v>0</v>
      </c>
      <c r="AA490" s="52">
        <f>IF([1]!s_stmnote_bank_60(B490,$A490,1)="0","",[1]!s_stmnote_bank_60(B490,$A490,1))</f>
        <v>0</v>
      </c>
      <c r="AB490" s="52">
        <f>[1]!s_stmnote_bank_5444(B490,$A490,1)</f>
        <v>0</v>
      </c>
      <c r="AC490" s="38">
        <f>[1]!s_stmnote_bank_129n($B490,$A490,1)</f>
        <v>0</v>
      </c>
      <c r="AD490" s="54">
        <f>[1]!s_stmnote_bank_30(B490,$A490,1)</f>
        <v>0</v>
      </c>
    </row>
    <row r="491" spans="1:30" ht="24">
      <c r="A491" s="1" t="s">
        <v>1110</v>
      </c>
      <c r="B491" s="87" t="s">
        <v>1599</v>
      </c>
      <c r="C491" s="8">
        <f>IF([1]!b_info_issuer(B491)="0","",IFERROR([1]!b_info_issuer(B491),""))</f>
        <v>0</v>
      </c>
      <c r="D491" s="11">
        <f>IF([1]!b_info_latestissurercreditrating(B491)="0","",IFERROR([1]!b_info_latestissurercreditrating(B491),""))</f>
        <v>0</v>
      </c>
      <c r="E491" s="27" t="str">
        <f>IFERROR(([1]!b_stm07_bs($B491,47,$A491,1,100000000))/[1]!b_stm07_bs($B491,109,$A491,1,100000000),"")</f>
        <v/>
      </c>
      <c r="F491" s="18" t="str">
        <f>IFERROR(([1]!s_stmnote_bank_26($B491,$A491,1,100000000)-[1]!s_stmnote_bank_26($B491,#REF!,1,100000000)+#REF!)/[1]!s_stmnote_bank_1n($B491,#REF!,1,100000000),"")</f>
        <v/>
      </c>
      <c r="G491" s="21" t="str">
        <f t="shared" si="14"/>
        <v/>
      </c>
      <c r="H491" s="18" t="str">
        <f>IFERROR([1]!s_stmnote_bank($B491,"34",$A491,100000000)/[1]!s_stmnote_bank_1n(B491,$A491,1,100000000),"")</f>
        <v/>
      </c>
      <c r="I491" s="25">
        <f>[1]!b_stm07_bs(B491,74,$A491,1,100000000)</f>
        <v>0</v>
      </c>
      <c r="J491" s="25">
        <f>[1]!b_stm07_bs(B491,109,$A491,1,100000000)</f>
        <v>0</v>
      </c>
      <c r="K491" s="10">
        <f>[1]!s_stmnote_bank_5n(B491,$A491,1)</f>
        <v>0</v>
      </c>
      <c r="L491" s="25">
        <f>[1]!s_stmnote_bank_23n(B491,$A491,1)</f>
        <v>0</v>
      </c>
      <c r="M491" s="25">
        <f>[1]!s_stmnote_bank_capadequacyratio(B491,$A491,1)</f>
        <v>0</v>
      </c>
      <c r="N491" s="25">
        <f>[1]!s_stmnote_bank_capadequacyratio_ct1(B491,$A491,1)</f>
        <v>0</v>
      </c>
      <c r="O491" s="6">
        <f>IF(OR([1]!s_fa_roe(B491,20201231)="0",[1]!s_fa_roe(B491,20211231)="0",[1]!s_fa_roe(B491,20221231)="0"),"",IFERROR(([1]!s_fa_roe(B491,20221231)+[1]!s_fa_roe(B491,20201231)+[1]!s_fa_roe(B491,20211231))/3,""))</f>
        <v>0</v>
      </c>
      <c r="P491" s="28" t="str">
        <f>IFERROR(([1]!s_stmnote_bank_65(B491,$A491,1,2,4,100000000)+[1]!s_stmnote_bank_65(B491,$A491,1,2,6,100000000))/[1]!s_stmnote_bank_1n(B491,$A491,1,100000000),"")</f>
        <v/>
      </c>
      <c r="Q491" s="28" t="str">
        <f>IFERROR([1]!s_stmnote_bank_614(B491,$A491,1,2,100000000)/[1]!s_stmnote_bank_647(B491,$A491,1,2,100000000),"")</f>
        <v/>
      </c>
      <c r="R491" s="28" t="str">
        <f>IFERROR(([1]!b_stm07_bs(B491,104,$A491,1,100000000)+[1]!b_stm07_bs(B491,106,$A491,1,100000000)+[1]!b_stm07_bs(B491,76,$A491,1,100000000)+[1]!b_stm07_bs(B491,108,$A491,1,100000000)+[1]!b_stm07_bs(B491,95,$A491,1,100000000))/[1]!b_stm07_bs(B491,128,$A491,1,100000000),"")</f>
        <v/>
      </c>
      <c r="S491" s="28" t="str">
        <f>IFERROR(([1]!s_stmnote_bank_614(B491,$A491,1,2,100000000)+[1]!b_stm07_bs(B491,104,$A491,1,100000000)+[1]!b_stm07_bs(B491,106,$A491,1,100000000)+[1]!b_stm07_bs(B491,76,$A491,1,100000000)+[1]!b_stm07_bs(B491,108,$A491,1,100000000)+[1]!b_stm07_bs(B491,95,$A491,1,100000000))/[1]!b_stm07_bs(B491,128,$A491,1,100000000),"")</f>
        <v/>
      </c>
      <c r="T491" s="11">
        <f>[1]!b_issuer_shareholder(B491,"",1)</f>
        <v>0</v>
      </c>
      <c r="U491" s="10">
        <f>[1]!b_issuer_propofshareholder(B491,"",1)</f>
        <v>0</v>
      </c>
      <c r="V491" s="33" t="str">
        <f t="shared" si="15"/>
        <v>0</v>
      </c>
      <c r="W491" s="33">
        <f>[1]!s_info_city(B491)</f>
        <v>0</v>
      </c>
      <c r="X491" s="10">
        <f>IF([1]!s_stmnote_bank_17n(B491,$A491,1)="0","",[1]!s_stmnote_bank_17n(B491,$A491,1))</f>
        <v>0</v>
      </c>
      <c r="Y491" s="10">
        <f>IF([1]!s_stmnote_bank_18n(B491,$A491,1)="0","",[1]!s_stmnote_bank_18n(B491,$A491,1))</f>
        <v>0</v>
      </c>
      <c r="Z491" s="41">
        <f>IF([1]!s_stmnote_bank_58(B491,$A491,1)="0","",[1]!s_stmnote_bank_58(B491,$A491,1))</f>
        <v>0</v>
      </c>
      <c r="AA491" s="52">
        <f>IF([1]!s_stmnote_bank_60(B491,$A491,1)="0","",[1]!s_stmnote_bank_60(B491,$A491,1))</f>
        <v>0</v>
      </c>
      <c r="AB491" s="52">
        <f>[1]!s_stmnote_bank_5444(B491,$A491,1)</f>
        <v>0</v>
      </c>
      <c r="AC491" s="38">
        <f>[1]!s_stmnote_bank_129n($B491,$A491,1)</f>
        <v>0</v>
      </c>
      <c r="AD491" s="54">
        <f>[1]!s_stmnote_bank_30(B491,$A491,1)</f>
        <v>0</v>
      </c>
    </row>
    <row r="492" spans="1:30" ht="24">
      <c r="A492" s="1" t="s">
        <v>1110</v>
      </c>
      <c r="B492" s="87" t="s">
        <v>1600</v>
      </c>
      <c r="C492" s="8">
        <f>IF([1]!b_info_issuer(B492)="0","",IFERROR([1]!b_info_issuer(B492),""))</f>
        <v>0</v>
      </c>
      <c r="D492" s="11">
        <f>IF([1]!b_info_latestissurercreditrating(B492)="0","",IFERROR([1]!b_info_latestissurercreditrating(B492),""))</f>
        <v>0</v>
      </c>
      <c r="E492" s="27" t="str">
        <f>IFERROR(([1]!b_stm07_bs($B492,47,$A492,1,100000000))/[1]!b_stm07_bs($B492,109,$A492,1,100000000),"")</f>
        <v/>
      </c>
      <c r="F492" s="18" t="str">
        <f>IFERROR(([1]!s_stmnote_bank_26($B492,$A492,1,100000000)-[1]!s_stmnote_bank_26($B492,#REF!,1,100000000)+#REF!)/[1]!s_stmnote_bank_1n($B492,#REF!,1,100000000),"")</f>
        <v/>
      </c>
      <c r="G492" s="21" t="str">
        <f t="shared" si="14"/>
        <v/>
      </c>
      <c r="H492" s="18" t="str">
        <f>IFERROR([1]!s_stmnote_bank($B492,"34",$A492,100000000)/[1]!s_stmnote_bank_1n(B492,$A492,1,100000000),"")</f>
        <v/>
      </c>
      <c r="I492" s="25">
        <f>[1]!b_stm07_bs(B492,74,$A492,1,100000000)</f>
        <v>0</v>
      </c>
      <c r="J492" s="25">
        <f>[1]!b_stm07_bs(B492,109,$A492,1,100000000)</f>
        <v>0</v>
      </c>
      <c r="K492" s="10">
        <f>[1]!s_stmnote_bank_5n(B492,$A492,1)</f>
        <v>0</v>
      </c>
      <c r="L492" s="25">
        <f>[1]!s_stmnote_bank_23n(B492,$A492,1)</f>
        <v>0</v>
      </c>
      <c r="M492" s="25">
        <f>[1]!s_stmnote_bank_capadequacyratio(B492,$A492,1)</f>
        <v>0</v>
      </c>
      <c r="N492" s="25">
        <f>[1]!s_stmnote_bank_capadequacyratio_ct1(B492,$A492,1)</f>
        <v>0</v>
      </c>
      <c r="O492" s="6">
        <f>IF(OR([1]!s_fa_roe(B492,20201231)="0",[1]!s_fa_roe(B492,20211231)="0",[1]!s_fa_roe(B492,20221231)="0"),"",IFERROR(([1]!s_fa_roe(B492,20221231)+[1]!s_fa_roe(B492,20201231)+[1]!s_fa_roe(B492,20211231))/3,""))</f>
        <v>0</v>
      </c>
      <c r="P492" s="28" t="str">
        <f>IFERROR(([1]!s_stmnote_bank_65(B492,$A492,1,2,4,100000000)+[1]!s_stmnote_bank_65(B492,$A492,1,2,6,100000000))/[1]!s_stmnote_bank_1n(B492,$A492,1,100000000),"")</f>
        <v/>
      </c>
      <c r="Q492" s="28" t="str">
        <f>IFERROR([1]!s_stmnote_bank_614(B492,$A492,1,2,100000000)/[1]!s_stmnote_bank_647(B492,$A492,1,2,100000000),"")</f>
        <v/>
      </c>
      <c r="R492" s="28" t="str">
        <f>IFERROR(([1]!b_stm07_bs(B492,104,$A492,1,100000000)+[1]!b_stm07_bs(B492,106,$A492,1,100000000)+[1]!b_stm07_bs(B492,76,$A492,1,100000000)+[1]!b_stm07_bs(B492,108,$A492,1,100000000)+[1]!b_stm07_bs(B492,95,$A492,1,100000000))/[1]!b_stm07_bs(B492,128,$A492,1,100000000),"")</f>
        <v/>
      </c>
      <c r="S492" s="28" t="str">
        <f>IFERROR(([1]!s_stmnote_bank_614(B492,$A492,1,2,100000000)+[1]!b_stm07_bs(B492,104,$A492,1,100000000)+[1]!b_stm07_bs(B492,106,$A492,1,100000000)+[1]!b_stm07_bs(B492,76,$A492,1,100000000)+[1]!b_stm07_bs(B492,108,$A492,1,100000000)+[1]!b_stm07_bs(B492,95,$A492,1,100000000))/[1]!b_stm07_bs(B492,128,$A492,1,100000000),"")</f>
        <v/>
      </c>
      <c r="T492" s="11">
        <f>[1]!b_issuer_shareholder(B492,"",1)</f>
        <v>0</v>
      </c>
      <c r="U492" s="10">
        <f>[1]!b_issuer_propofshareholder(B492,"",1)</f>
        <v>0</v>
      </c>
      <c r="V492" s="33" t="str">
        <f t="shared" si="15"/>
        <v>0</v>
      </c>
      <c r="W492" s="33">
        <f>[1]!s_info_city(B492)</f>
        <v>0</v>
      </c>
      <c r="X492" s="10">
        <f>IF([1]!s_stmnote_bank_17n(B492,$A492,1)="0","",[1]!s_stmnote_bank_17n(B492,$A492,1))</f>
        <v>0</v>
      </c>
      <c r="Y492" s="10">
        <f>IF([1]!s_stmnote_bank_18n(B492,$A492,1)="0","",[1]!s_stmnote_bank_18n(B492,$A492,1))</f>
        <v>0</v>
      </c>
      <c r="Z492" s="41">
        <f>IF([1]!s_stmnote_bank_58(B492,$A492,1)="0","",[1]!s_stmnote_bank_58(B492,$A492,1))</f>
        <v>0</v>
      </c>
      <c r="AA492" s="52">
        <f>IF([1]!s_stmnote_bank_60(B492,$A492,1)="0","",[1]!s_stmnote_bank_60(B492,$A492,1))</f>
        <v>0</v>
      </c>
      <c r="AB492" s="52">
        <f>[1]!s_stmnote_bank_5444(B492,$A492,1)</f>
        <v>0</v>
      </c>
      <c r="AC492" s="38">
        <f>[1]!s_stmnote_bank_129n($B492,$A492,1)</f>
        <v>0</v>
      </c>
      <c r="AD492" s="54">
        <f>[1]!s_stmnote_bank_30(B492,$A492,1)</f>
        <v>0</v>
      </c>
    </row>
    <row r="493" spans="1:30" ht="24">
      <c r="A493" s="1" t="s">
        <v>1110</v>
      </c>
      <c r="B493" s="87" t="s">
        <v>1601</v>
      </c>
      <c r="C493" s="8">
        <f>IF([1]!b_info_issuer(B493)="0","",IFERROR([1]!b_info_issuer(B493),""))</f>
        <v>0</v>
      </c>
      <c r="D493" s="11">
        <f>IF([1]!b_info_latestissurercreditrating(B493)="0","",IFERROR([1]!b_info_latestissurercreditrating(B493),""))</f>
        <v>0</v>
      </c>
      <c r="E493" s="27" t="str">
        <f>IFERROR(([1]!b_stm07_bs($B493,47,$A493,1,100000000))/[1]!b_stm07_bs($B493,109,$A493,1,100000000),"")</f>
        <v/>
      </c>
      <c r="F493" s="18" t="str">
        <f>IFERROR(([1]!s_stmnote_bank_26($B493,$A493,1,100000000)-[1]!s_stmnote_bank_26($B493,#REF!,1,100000000)+#REF!)/[1]!s_stmnote_bank_1n($B493,#REF!,1,100000000),"")</f>
        <v/>
      </c>
      <c r="G493" s="21" t="str">
        <f t="shared" si="14"/>
        <v/>
      </c>
      <c r="H493" s="18" t="str">
        <f>IFERROR([1]!s_stmnote_bank($B493,"34",$A493,100000000)/[1]!s_stmnote_bank_1n(B493,$A493,1,100000000),"")</f>
        <v/>
      </c>
      <c r="I493" s="25">
        <f>[1]!b_stm07_bs(B493,74,$A493,1,100000000)</f>
        <v>0</v>
      </c>
      <c r="J493" s="25">
        <f>[1]!b_stm07_bs(B493,109,$A493,1,100000000)</f>
        <v>0</v>
      </c>
      <c r="K493" s="10">
        <f>[1]!s_stmnote_bank_5n(B493,$A493,1)</f>
        <v>0</v>
      </c>
      <c r="L493" s="25">
        <f>[1]!s_stmnote_bank_23n(B493,$A493,1)</f>
        <v>0</v>
      </c>
      <c r="M493" s="25">
        <f>[1]!s_stmnote_bank_capadequacyratio(B493,$A493,1)</f>
        <v>0</v>
      </c>
      <c r="N493" s="25">
        <f>[1]!s_stmnote_bank_capadequacyratio_ct1(B493,$A493,1)</f>
        <v>0</v>
      </c>
      <c r="O493" s="6">
        <f>IF(OR([1]!s_fa_roe(B493,20201231)="0",[1]!s_fa_roe(B493,20211231)="0",[1]!s_fa_roe(B493,20221231)="0"),"",IFERROR(([1]!s_fa_roe(B493,20221231)+[1]!s_fa_roe(B493,20201231)+[1]!s_fa_roe(B493,20211231))/3,""))</f>
        <v>0</v>
      </c>
      <c r="P493" s="28" t="str">
        <f>IFERROR(([1]!s_stmnote_bank_65(B493,$A493,1,2,4,100000000)+[1]!s_stmnote_bank_65(B493,$A493,1,2,6,100000000))/[1]!s_stmnote_bank_1n(B493,$A493,1,100000000),"")</f>
        <v/>
      </c>
      <c r="Q493" s="28" t="str">
        <f>IFERROR([1]!s_stmnote_bank_614(B493,$A493,1,2,100000000)/[1]!s_stmnote_bank_647(B493,$A493,1,2,100000000),"")</f>
        <v/>
      </c>
      <c r="R493" s="28" t="str">
        <f>IFERROR(([1]!b_stm07_bs(B493,104,$A493,1,100000000)+[1]!b_stm07_bs(B493,106,$A493,1,100000000)+[1]!b_stm07_bs(B493,76,$A493,1,100000000)+[1]!b_stm07_bs(B493,108,$A493,1,100000000)+[1]!b_stm07_bs(B493,95,$A493,1,100000000))/[1]!b_stm07_bs(B493,128,$A493,1,100000000),"")</f>
        <v/>
      </c>
      <c r="S493" s="28" t="str">
        <f>IFERROR(([1]!s_stmnote_bank_614(B493,$A493,1,2,100000000)+[1]!b_stm07_bs(B493,104,$A493,1,100000000)+[1]!b_stm07_bs(B493,106,$A493,1,100000000)+[1]!b_stm07_bs(B493,76,$A493,1,100000000)+[1]!b_stm07_bs(B493,108,$A493,1,100000000)+[1]!b_stm07_bs(B493,95,$A493,1,100000000))/[1]!b_stm07_bs(B493,128,$A493,1,100000000),"")</f>
        <v/>
      </c>
      <c r="T493" s="11">
        <f>[1]!b_issuer_shareholder(B493,"",1)</f>
        <v>0</v>
      </c>
      <c r="U493" s="10">
        <f>[1]!b_issuer_propofshareholder(B493,"",1)</f>
        <v>0</v>
      </c>
      <c r="V493" s="33" t="str">
        <f t="shared" si="15"/>
        <v>0</v>
      </c>
      <c r="W493" s="33">
        <f>[1]!s_info_city(B493)</f>
        <v>0</v>
      </c>
      <c r="X493" s="10">
        <f>IF([1]!s_stmnote_bank_17n(B493,$A493,1)="0","",[1]!s_stmnote_bank_17n(B493,$A493,1))</f>
        <v>0</v>
      </c>
      <c r="Y493" s="10">
        <f>IF([1]!s_stmnote_bank_18n(B493,$A493,1)="0","",[1]!s_stmnote_bank_18n(B493,$A493,1))</f>
        <v>0</v>
      </c>
      <c r="Z493" s="41">
        <f>IF([1]!s_stmnote_bank_58(B493,$A493,1)="0","",[1]!s_stmnote_bank_58(B493,$A493,1))</f>
        <v>0</v>
      </c>
      <c r="AA493" s="52">
        <f>IF([1]!s_stmnote_bank_60(B493,$A493,1)="0","",[1]!s_stmnote_bank_60(B493,$A493,1))</f>
        <v>0</v>
      </c>
      <c r="AB493" s="52">
        <f>[1]!s_stmnote_bank_5444(B493,$A493,1)</f>
        <v>0</v>
      </c>
      <c r="AC493" s="38">
        <f>[1]!s_stmnote_bank_129n($B493,$A493,1)</f>
        <v>0</v>
      </c>
      <c r="AD493" s="54">
        <f>[1]!s_stmnote_bank_30(B493,$A493,1)</f>
        <v>0</v>
      </c>
    </row>
    <row r="494" spans="1:30" ht="24">
      <c r="A494" s="1" t="s">
        <v>1110</v>
      </c>
      <c r="B494" s="87" t="s">
        <v>1602</v>
      </c>
      <c r="C494" s="8">
        <f>IF([1]!b_info_issuer(B494)="0","",IFERROR([1]!b_info_issuer(B494),""))</f>
        <v>0</v>
      </c>
      <c r="D494" s="11">
        <f>IF([1]!b_info_latestissurercreditrating(B494)="0","",IFERROR([1]!b_info_latestissurercreditrating(B494),""))</f>
        <v>0</v>
      </c>
      <c r="E494" s="27" t="str">
        <f>IFERROR(([1]!b_stm07_bs($B494,47,$A494,1,100000000))/[1]!b_stm07_bs($B494,109,$A494,1,100000000),"")</f>
        <v/>
      </c>
      <c r="F494" s="18" t="str">
        <f>IFERROR(([1]!s_stmnote_bank_26($B494,$A494,1,100000000)-[1]!s_stmnote_bank_26($B494,#REF!,1,100000000)+#REF!)/[1]!s_stmnote_bank_1n($B494,#REF!,1,100000000),"")</f>
        <v/>
      </c>
      <c r="G494" s="21" t="str">
        <f t="shared" si="14"/>
        <v/>
      </c>
      <c r="H494" s="18" t="str">
        <f>IFERROR([1]!s_stmnote_bank($B494,"34",$A494,100000000)/[1]!s_stmnote_bank_1n(B494,$A494,1,100000000),"")</f>
        <v/>
      </c>
      <c r="I494" s="25">
        <f>[1]!b_stm07_bs(B494,74,$A494,1,100000000)</f>
        <v>0</v>
      </c>
      <c r="J494" s="25">
        <f>[1]!b_stm07_bs(B494,109,$A494,1,100000000)</f>
        <v>0</v>
      </c>
      <c r="K494" s="10">
        <f>[1]!s_stmnote_bank_5n(B494,$A494,1)</f>
        <v>0</v>
      </c>
      <c r="L494" s="25">
        <f>[1]!s_stmnote_bank_23n(B494,$A494,1)</f>
        <v>0</v>
      </c>
      <c r="M494" s="25">
        <f>[1]!s_stmnote_bank_capadequacyratio(B494,$A494,1)</f>
        <v>0</v>
      </c>
      <c r="N494" s="25">
        <f>[1]!s_stmnote_bank_capadequacyratio_ct1(B494,$A494,1)</f>
        <v>0</v>
      </c>
      <c r="O494" s="6">
        <f>IF(OR([1]!s_fa_roe(B494,20201231)="0",[1]!s_fa_roe(B494,20211231)="0",[1]!s_fa_roe(B494,20221231)="0"),"",IFERROR(([1]!s_fa_roe(B494,20221231)+[1]!s_fa_roe(B494,20201231)+[1]!s_fa_roe(B494,20211231))/3,""))</f>
        <v>0</v>
      </c>
      <c r="P494" s="28" t="str">
        <f>IFERROR(([1]!s_stmnote_bank_65(B494,$A494,1,2,4,100000000)+[1]!s_stmnote_bank_65(B494,$A494,1,2,6,100000000))/[1]!s_stmnote_bank_1n(B494,$A494,1,100000000),"")</f>
        <v/>
      </c>
      <c r="Q494" s="28" t="str">
        <f>IFERROR([1]!s_stmnote_bank_614(B494,$A494,1,2,100000000)/[1]!s_stmnote_bank_647(B494,$A494,1,2,100000000),"")</f>
        <v/>
      </c>
      <c r="R494" s="28" t="str">
        <f>IFERROR(([1]!b_stm07_bs(B494,104,$A494,1,100000000)+[1]!b_stm07_bs(B494,106,$A494,1,100000000)+[1]!b_stm07_bs(B494,76,$A494,1,100000000)+[1]!b_stm07_bs(B494,108,$A494,1,100000000)+[1]!b_stm07_bs(B494,95,$A494,1,100000000))/[1]!b_stm07_bs(B494,128,$A494,1,100000000),"")</f>
        <v/>
      </c>
      <c r="S494" s="28" t="str">
        <f>IFERROR(([1]!s_stmnote_bank_614(B494,$A494,1,2,100000000)+[1]!b_stm07_bs(B494,104,$A494,1,100000000)+[1]!b_stm07_bs(B494,106,$A494,1,100000000)+[1]!b_stm07_bs(B494,76,$A494,1,100000000)+[1]!b_stm07_bs(B494,108,$A494,1,100000000)+[1]!b_stm07_bs(B494,95,$A494,1,100000000))/[1]!b_stm07_bs(B494,128,$A494,1,100000000),"")</f>
        <v/>
      </c>
      <c r="T494" s="11">
        <f>[1]!b_issuer_shareholder(B494,"",1)</f>
        <v>0</v>
      </c>
      <c r="U494" s="10">
        <f>[1]!b_issuer_propofshareholder(B494,"",1)</f>
        <v>0</v>
      </c>
      <c r="V494" s="33" t="str">
        <f t="shared" si="15"/>
        <v>0</v>
      </c>
      <c r="W494" s="33">
        <f>[1]!s_info_city(B494)</f>
        <v>0</v>
      </c>
      <c r="X494" s="10">
        <f>IF([1]!s_stmnote_bank_17n(B494,$A494,1)="0","",[1]!s_stmnote_bank_17n(B494,$A494,1))</f>
        <v>0</v>
      </c>
      <c r="Y494" s="10">
        <f>IF([1]!s_stmnote_bank_18n(B494,$A494,1)="0","",[1]!s_stmnote_bank_18n(B494,$A494,1))</f>
        <v>0</v>
      </c>
      <c r="Z494" s="41">
        <f>IF([1]!s_stmnote_bank_58(B494,$A494,1)="0","",[1]!s_stmnote_bank_58(B494,$A494,1))</f>
        <v>0</v>
      </c>
      <c r="AA494" s="52">
        <f>IF([1]!s_stmnote_bank_60(B494,$A494,1)="0","",[1]!s_stmnote_bank_60(B494,$A494,1))</f>
        <v>0</v>
      </c>
      <c r="AB494" s="52">
        <f>[1]!s_stmnote_bank_5444(B494,$A494,1)</f>
        <v>0</v>
      </c>
      <c r="AC494" s="38">
        <f>[1]!s_stmnote_bank_129n($B494,$A494,1)</f>
        <v>0</v>
      </c>
      <c r="AD494" s="54">
        <f>[1]!s_stmnote_bank_30(B494,$A494,1)</f>
        <v>0</v>
      </c>
    </row>
    <row r="495" spans="1:30" ht="24">
      <c r="A495" s="1" t="s">
        <v>1110</v>
      </c>
      <c r="B495" s="87" t="s">
        <v>1603</v>
      </c>
      <c r="C495" s="8">
        <f>IF([1]!b_info_issuer(B495)="0","",IFERROR([1]!b_info_issuer(B495),""))</f>
        <v>0</v>
      </c>
      <c r="D495" s="11">
        <f>IF([1]!b_info_latestissurercreditrating(B495)="0","",IFERROR([1]!b_info_latestissurercreditrating(B495),""))</f>
        <v>0</v>
      </c>
      <c r="E495" s="27" t="str">
        <f>IFERROR(([1]!b_stm07_bs($B495,47,$A495,1,100000000))/[1]!b_stm07_bs($B495,109,$A495,1,100000000),"")</f>
        <v/>
      </c>
      <c r="F495" s="18" t="str">
        <f>IFERROR(([1]!s_stmnote_bank_26($B495,$A495,1,100000000)-[1]!s_stmnote_bank_26($B495,#REF!,1,100000000)+#REF!)/[1]!s_stmnote_bank_1n($B495,#REF!,1,100000000),"")</f>
        <v/>
      </c>
      <c r="G495" s="21" t="str">
        <f t="shared" si="14"/>
        <v/>
      </c>
      <c r="H495" s="18" t="str">
        <f>IFERROR([1]!s_stmnote_bank($B495,"34",$A495,100000000)/[1]!s_stmnote_bank_1n(B495,$A495,1,100000000),"")</f>
        <v/>
      </c>
      <c r="I495" s="25">
        <f>[1]!b_stm07_bs(B495,74,$A495,1,100000000)</f>
        <v>0</v>
      </c>
      <c r="J495" s="25">
        <f>[1]!b_stm07_bs(B495,109,$A495,1,100000000)</f>
        <v>0</v>
      </c>
      <c r="K495" s="10">
        <f>[1]!s_stmnote_bank_5n(B495,$A495,1)</f>
        <v>0</v>
      </c>
      <c r="L495" s="25">
        <f>[1]!s_stmnote_bank_23n(B495,$A495,1)</f>
        <v>0</v>
      </c>
      <c r="M495" s="25">
        <f>[1]!s_stmnote_bank_capadequacyratio(B495,$A495,1)</f>
        <v>0</v>
      </c>
      <c r="N495" s="25">
        <f>[1]!s_stmnote_bank_capadequacyratio_ct1(B495,$A495,1)</f>
        <v>0</v>
      </c>
      <c r="O495" s="6">
        <f>IF(OR([1]!s_fa_roe(B495,20201231)="0",[1]!s_fa_roe(B495,20211231)="0",[1]!s_fa_roe(B495,20221231)="0"),"",IFERROR(([1]!s_fa_roe(B495,20221231)+[1]!s_fa_roe(B495,20201231)+[1]!s_fa_roe(B495,20211231))/3,""))</f>
        <v>0</v>
      </c>
      <c r="P495" s="28" t="str">
        <f>IFERROR(([1]!s_stmnote_bank_65(B495,$A495,1,2,4,100000000)+[1]!s_stmnote_bank_65(B495,$A495,1,2,6,100000000))/[1]!s_stmnote_bank_1n(B495,$A495,1,100000000),"")</f>
        <v/>
      </c>
      <c r="Q495" s="28" t="str">
        <f>IFERROR([1]!s_stmnote_bank_614(B495,$A495,1,2,100000000)/[1]!s_stmnote_bank_647(B495,$A495,1,2,100000000),"")</f>
        <v/>
      </c>
      <c r="R495" s="28" t="str">
        <f>IFERROR(([1]!b_stm07_bs(B495,104,$A495,1,100000000)+[1]!b_stm07_bs(B495,106,$A495,1,100000000)+[1]!b_stm07_bs(B495,76,$A495,1,100000000)+[1]!b_stm07_bs(B495,108,$A495,1,100000000)+[1]!b_stm07_bs(B495,95,$A495,1,100000000))/[1]!b_stm07_bs(B495,128,$A495,1,100000000),"")</f>
        <v/>
      </c>
      <c r="S495" s="28" t="str">
        <f>IFERROR(([1]!s_stmnote_bank_614(B495,$A495,1,2,100000000)+[1]!b_stm07_bs(B495,104,$A495,1,100000000)+[1]!b_stm07_bs(B495,106,$A495,1,100000000)+[1]!b_stm07_bs(B495,76,$A495,1,100000000)+[1]!b_stm07_bs(B495,108,$A495,1,100000000)+[1]!b_stm07_bs(B495,95,$A495,1,100000000))/[1]!b_stm07_bs(B495,128,$A495,1,100000000),"")</f>
        <v/>
      </c>
      <c r="T495" s="11">
        <f>[1]!b_issuer_shareholder(B495,"",1)</f>
        <v>0</v>
      </c>
      <c r="U495" s="10">
        <f>[1]!b_issuer_propofshareholder(B495,"",1)</f>
        <v>0</v>
      </c>
      <c r="V495" s="33" t="str">
        <f t="shared" si="15"/>
        <v>0</v>
      </c>
      <c r="W495" s="33">
        <f>[1]!s_info_city(B495)</f>
        <v>0</v>
      </c>
      <c r="X495" s="10">
        <f>IF([1]!s_stmnote_bank_17n(B495,$A495,1)="0","",[1]!s_stmnote_bank_17n(B495,$A495,1))</f>
        <v>0</v>
      </c>
      <c r="Y495" s="10">
        <f>IF([1]!s_stmnote_bank_18n(B495,$A495,1)="0","",[1]!s_stmnote_bank_18n(B495,$A495,1))</f>
        <v>0</v>
      </c>
      <c r="Z495" s="41">
        <f>IF([1]!s_stmnote_bank_58(B495,$A495,1)="0","",[1]!s_stmnote_bank_58(B495,$A495,1))</f>
        <v>0</v>
      </c>
      <c r="AA495" s="52">
        <f>IF([1]!s_stmnote_bank_60(B495,$A495,1)="0","",[1]!s_stmnote_bank_60(B495,$A495,1))</f>
        <v>0</v>
      </c>
      <c r="AB495" s="52">
        <f>[1]!s_stmnote_bank_5444(B495,$A495,1)</f>
        <v>0</v>
      </c>
      <c r="AC495" s="38">
        <f>[1]!s_stmnote_bank_129n($B495,$A495,1)</f>
        <v>0</v>
      </c>
      <c r="AD495" s="54">
        <f>[1]!s_stmnote_bank_30(B495,$A495,1)</f>
        <v>0</v>
      </c>
    </row>
    <row r="496" spans="1:30" ht="24">
      <c r="A496" s="1" t="s">
        <v>1110</v>
      </c>
      <c r="B496" s="87" t="s">
        <v>1604</v>
      </c>
      <c r="C496" s="8">
        <f>IF([1]!b_info_issuer(B496)="0","",IFERROR([1]!b_info_issuer(B496),""))</f>
        <v>0</v>
      </c>
      <c r="D496" s="11">
        <f>IF([1]!b_info_latestissurercreditrating(B496)="0","",IFERROR([1]!b_info_latestissurercreditrating(B496),""))</f>
        <v>0</v>
      </c>
      <c r="E496" s="27" t="str">
        <f>IFERROR(([1]!b_stm07_bs($B496,47,$A496,1,100000000))/[1]!b_stm07_bs($B496,109,$A496,1,100000000),"")</f>
        <v/>
      </c>
      <c r="F496" s="18" t="str">
        <f>IFERROR(([1]!s_stmnote_bank_26($B496,$A496,1,100000000)-[1]!s_stmnote_bank_26($B496,#REF!,1,100000000)+#REF!)/[1]!s_stmnote_bank_1n($B496,#REF!,1,100000000),"")</f>
        <v/>
      </c>
      <c r="G496" s="21" t="str">
        <f t="shared" si="14"/>
        <v/>
      </c>
      <c r="H496" s="18" t="str">
        <f>IFERROR([1]!s_stmnote_bank($B496,"34",$A496,100000000)/[1]!s_stmnote_bank_1n(B496,$A496,1,100000000),"")</f>
        <v/>
      </c>
      <c r="I496" s="25">
        <f>[1]!b_stm07_bs(B496,74,$A496,1,100000000)</f>
        <v>0</v>
      </c>
      <c r="J496" s="25">
        <f>[1]!b_stm07_bs(B496,109,$A496,1,100000000)</f>
        <v>0</v>
      </c>
      <c r="K496" s="10">
        <f>[1]!s_stmnote_bank_5n(B496,$A496,1)</f>
        <v>0</v>
      </c>
      <c r="L496" s="25">
        <f>[1]!s_stmnote_bank_23n(B496,$A496,1)</f>
        <v>0</v>
      </c>
      <c r="M496" s="25">
        <f>[1]!s_stmnote_bank_capadequacyratio(B496,$A496,1)</f>
        <v>0</v>
      </c>
      <c r="N496" s="25">
        <f>[1]!s_stmnote_bank_capadequacyratio_ct1(B496,$A496,1)</f>
        <v>0</v>
      </c>
      <c r="O496" s="6">
        <f>IF(OR([1]!s_fa_roe(B496,20201231)="0",[1]!s_fa_roe(B496,20211231)="0",[1]!s_fa_roe(B496,20221231)="0"),"",IFERROR(([1]!s_fa_roe(B496,20221231)+[1]!s_fa_roe(B496,20201231)+[1]!s_fa_roe(B496,20211231))/3,""))</f>
        <v>0</v>
      </c>
      <c r="P496" s="28" t="str">
        <f>IFERROR(([1]!s_stmnote_bank_65(B496,$A496,1,2,4,100000000)+[1]!s_stmnote_bank_65(B496,$A496,1,2,6,100000000))/[1]!s_stmnote_bank_1n(B496,$A496,1,100000000),"")</f>
        <v/>
      </c>
      <c r="Q496" s="28" t="str">
        <f>IFERROR([1]!s_stmnote_bank_614(B496,$A496,1,2,100000000)/[1]!s_stmnote_bank_647(B496,$A496,1,2,100000000),"")</f>
        <v/>
      </c>
      <c r="R496" s="28" t="str">
        <f>IFERROR(([1]!b_stm07_bs(B496,104,$A496,1,100000000)+[1]!b_stm07_bs(B496,106,$A496,1,100000000)+[1]!b_stm07_bs(B496,76,$A496,1,100000000)+[1]!b_stm07_bs(B496,108,$A496,1,100000000)+[1]!b_stm07_bs(B496,95,$A496,1,100000000))/[1]!b_stm07_bs(B496,128,$A496,1,100000000),"")</f>
        <v/>
      </c>
      <c r="S496" s="28" t="str">
        <f>IFERROR(([1]!s_stmnote_bank_614(B496,$A496,1,2,100000000)+[1]!b_stm07_bs(B496,104,$A496,1,100000000)+[1]!b_stm07_bs(B496,106,$A496,1,100000000)+[1]!b_stm07_bs(B496,76,$A496,1,100000000)+[1]!b_stm07_bs(B496,108,$A496,1,100000000)+[1]!b_stm07_bs(B496,95,$A496,1,100000000))/[1]!b_stm07_bs(B496,128,$A496,1,100000000),"")</f>
        <v/>
      </c>
      <c r="T496" s="11">
        <f>[1]!b_issuer_shareholder(B496,"",1)</f>
        <v>0</v>
      </c>
      <c r="U496" s="10">
        <f>[1]!b_issuer_propofshareholder(B496,"",1)</f>
        <v>0</v>
      </c>
      <c r="V496" s="33" t="str">
        <f t="shared" si="15"/>
        <v>0</v>
      </c>
      <c r="W496" s="33">
        <f>[1]!s_info_city(B496)</f>
        <v>0</v>
      </c>
      <c r="X496" s="10">
        <f>IF([1]!s_stmnote_bank_17n(B496,$A496,1)="0","",[1]!s_stmnote_bank_17n(B496,$A496,1))</f>
        <v>0</v>
      </c>
      <c r="Y496" s="10">
        <f>IF([1]!s_stmnote_bank_18n(B496,$A496,1)="0","",[1]!s_stmnote_bank_18n(B496,$A496,1))</f>
        <v>0</v>
      </c>
      <c r="Z496" s="41">
        <f>IF([1]!s_stmnote_bank_58(B496,$A496,1)="0","",[1]!s_stmnote_bank_58(B496,$A496,1))</f>
        <v>0</v>
      </c>
      <c r="AA496" s="52">
        <f>IF([1]!s_stmnote_bank_60(B496,$A496,1)="0","",[1]!s_stmnote_bank_60(B496,$A496,1))</f>
        <v>0</v>
      </c>
      <c r="AB496" s="52">
        <f>[1]!s_stmnote_bank_5444(B496,$A496,1)</f>
        <v>0</v>
      </c>
      <c r="AC496" s="38">
        <f>[1]!s_stmnote_bank_129n($B496,$A496,1)</f>
        <v>0</v>
      </c>
      <c r="AD496" s="54">
        <f>[1]!s_stmnote_bank_30(B496,$A496,1)</f>
        <v>0</v>
      </c>
    </row>
    <row r="497" spans="1:30" ht="24">
      <c r="A497" s="1" t="s">
        <v>1110</v>
      </c>
      <c r="B497" s="87" t="s">
        <v>1605</v>
      </c>
      <c r="C497" s="8">
        <f>IF([1]!b_info_issuer(B497)="0","",IFERROR([1]!b_info_issuer(B497),""))</f>
        <v>0</v>
      </c>
      <c r="D497" s="11">
        <f>IF([1]!b_info_latestissurercreditrating(B497)="0","",IFERROR([1]!b_info_latestissurercreditrating(B497),""))</f>
        <v>0</v>
      </c>
      <c r="E497" s="27" t="str">
        <f>IFERROR(([1]!b_stm07_bs($B497,47,$A497,1,100000000))/[1]!b_stm07_bs($B497,109,$A497,1,100000000),"")</f>
        <v/>
      </c>
      <c r="F497" s="18" t="str">
        <f>IFERROR(([1]!s_stmnote_bank_26($B497,$A497,1,100000000)-[1]!s_stmnote_bank_26($B497,#REF!,1,100000000)+#REF!)/[1]!s_stmnote_bank_1n($B497,#REF!,1,100000000),"")</f>
        <v/>
      </c>
      <c r="G497" s="21" t="str">
        <f t="shared" si="14"/>
        <v/>
      </c>
      <c r="H497" s="18" t="str">
        <f>IFERROR([1]!s_stmnote_bank($B497,"34",$A497,100000000)/[1]!s_stmnote_bank_1n(B497,$A497,1,100000000),"")</f>
        <v/>
      </c>
      <c r="I497" s="25">
        <f>[1]!b_stm07_bs(B497,74,$A497,1,100000000)</f>
        <v>0</v>
      </c>
      <c r="J497" s="25">
        <f>[1]!b_stm07_bs(B497,109,$A497,1,100000000)</f>
        <v>0</v>
      </c>
      <c r="K497" s="10">
        <f>[1]!s_stmnote_bank_5n(B497,$A497,1)</f>
        <v>0</v>
      </c>
      <c r="L497" s="25">
        <f>[1]!s_stmnote_bank_23n(B497,$A497,1)</f>
        <v>0</v>
      </c>
      <c r="M497" s="25">
        <f>[1]!s_stmnote_bank_capadequacyratio(B497,$A497,1)</f>
        <v>0</v>
      </c>
      <c r="N497" s="25">
        <f>[1]!s_stmnote_bank_capadequacyratio_ct1(B497,$A497,1)</f>
        <v>0</v>
      </c>
      <c r="O497" s="6">
        <f>IF(OR([1]!s_fa_roe(B497,20201231)="0",[1]!s_fa_roe(B497,20211231)="0",[1]!s_fa_roe(B497,20221231)="0"),"",IFERROR(([1]!s_fa_roe(B497,20221231)+[1]!s_fa_roe(B497,20201231)+[1]!s_fa_roe(B497,20211231))/3,""))</f>
        <v>0</v>
      </c>
      <c r="P497" s="28" t="str">
        <f>IFERROR(([1]!s_stmnote_bank_65(B497,$A497,1,2,4,100000000)+[1]!s_stmnote_bank_65(B497,$A497,1,2,6,100000000))/[1]!s_stmnote_bank_1n(B497,$A497,1,100000000),"")</f>
        <v/>
      </c>
      <c r="Q497" s="28" t="str">
        <f>IFERROR([1]!s_stmnote_bank_614(B497,$A497,1,2,100000000)/[1]!s_stmnote_bank_647(B497,$A497,1,2,100000000),"")</f>
        <v/>
      </c>
      <c r="R497" s="28" t="str">
        <f>IFERROR(([1]!b_stm07_bs(B497,104,$A497,1,100000000)+[1]!b_stm07_bs(B497,106,$A497,1,100000000)+[1]!b_stm07_bs(B497,76,$A497,1,100000000)+[1]!b_stm07_bs(B497,108,$A497,1,100000000)+[1]!b_stm07_bs(B497,95,$A497,1,100000000))/[1]!b_stm07_bs(B497,128,$A497,1,100000000),"")</f>
        <v/>
      </c>
      <c r="S497" s="28" t="str">
        <f>IFERROR(([1]!s_stmnote_bank_614(B497,$A497,1,2,100000000)+[1]!b_stm07_bs(B497,104,$A497,1,100000000)+[1]!b_stm07_bs(B497,106,$A497,1,100000000)+[1]!b_stm07_bs(B497,76,$A497,1,100000000)+[1]!b_stm07_bs(B497,108,$A497,1,100000000)+[1]!b_stm07_bs(B497,95,$A497,1,100000000))/[1]!b_stm07_bs(B497,128,$A497,1,100000000),"")</f>
        <v/>
      </c>
      <c r="T497" s="11">
        <f>[1]!b_issuer_shareholder(B497,"",1)</f>
        <v>0</v>
      </c>
      <c r="U497" s="10">
        <f>[1]!b_issuer_propofshareholder(B497,"",1)</f>
        <v>0</v>
      </c>
      <c r="V497" s="33" t="str">
        <f t="shared" si="15"/>
        <v>0</v>
      </c>
      <c r="W497" s="33">
        <f>[1]!s_info_city(B497)</f>
        <v>0</v>
      </c>
      <c r="X497" s="10">
        <f>IF([1]!s_stmnote_bank_17n(B497,$A497,1)="0","",[1]!s_stmnote_bank_17n(B497,$A497,1))</f>
        <v>0</v>
      </c>
      <c r="Y497" s="10">
        <f>IF([1]!s_stmnote_bank_18n(B497,$A497,1)="0","",[1]!s_stmnote_bank_18n(B497,$A497,1))</f>
        <v>0</v>
      </c>
      <c r="Z497" s="41">
        <f>IF([1]!s_stmnote_bank_58(B497,$A497,1)="0","",[1]!s_stmnote_bank_58(B497,$A497,1))</f>
        <v>0</v>
      </c>
      <c r="AA497" s="52">
        <f>IF([1]!s_stmnote_bank_60(B497,$A497,1)="0","",[1]!s_stmnote_bank_60(B497,$A497,1))</f>
        <v>0</v>
      </c>
      <c r="AB497" s="52">
        <f>[1]!s_stmnote_bank_5444(B497,$A497,1)</f>
        <v>0</v>
      </c>
      <c r="AC497" s="38">
        <f>[1]!s_stmnote_bank_129n($B497,$A497,1)</f>
        <v>0</v>
      </c>
      <c r="AD497" s="54">
        <f>[1]!s_stmnote_bank_30(B497,$A497,1)</f>
        <v>0</v>
      </c>
    </row>
    <row r="498" spans="1:30" ht="24">
      <c r="A498" s="1" t="s">
        <v>1110</v>
      </c>
      <c r="B498" s="87" t="s">
        <v>1606</v>
      </c>
      <c r="C498" s="8">
        <f>IF([1]!b_info_issuer(B498)="0","",IFERROR([1]!b_info_issuer(B498),""))</f>
        <v>0</v>
      </c>
      <c r="D498" s="11">
        <f>IF([1]!b_info_latestissurercreditrating(B498)="0","",IFERROR([1]!b_info_latestissurercreditrating(B498),""))</f>
        <v>0</v>
      </c>
      <c r="E498" s="27" t="str">
        <f>IFERROR(([1]!b_stm07_bs($B498,47,$A498,1,100000000))/[1]!b_stm07_bs($B498,109,$A498,1,100000000),"")</f>
        <v/>
      </c>
      <c r="F498" s="18" t="str">
        <f>IFERROR(([1]!s_stmnote_bank_26($B498,$A498,1,100000000)-[1]!s_stmnote_bank_26($B498,#REF!,1,100000000)+#REF!)/[1]!s_stmnote_bank_1n($B498,#REF!,1,100000000),"")</f>
        <v/>
      </c>
      <c r="G498" s="21" t="str">
        <f t="shared" si="14"/>
        <v/>
      </c>
      <c r="H498" s="18" t="str">
        <f>IFERROR([1]!s_stmnote_bank($B498,"34",$A498,100000000)/[1]!s_stmnote_bank_1n(B498,$A498,1,100000000),"")</f>
        <v/>
      </c>
      <c r="I498" s="25">
        <f>[1]!b_stm07_bs(B498,74,$A498,1,100000000)</f>
        <v>0</v>
      </c>
      <c r="J498" s="25">
        <f>[1]!b_stm07_bs(B498,109,$A498,1,100000000)</f>
        <v>0</v>
      </c>
      <c r="K498" s="10">
        <f>[1]!s_stmnote_bank_5n(B498,$A498,1)</f>
        <v>0</v>
      </c>
      <c r="L498" s="25">
        <f>[1]!s_stmnote_bank_23n(B498,$A498,1)</f>
        <v>0</v>
      </c>
      <c r="M498" s="25">
        <f>[1]!s_stmnote_bank_capadequacyratio(B498,$A498,1)</f>
        <v>0</v>
      </c>
      <c r="N498" s="25">
        <f>[1]!s_stmnote_bank_capadequacyratio_ct1(B498,$A498,1)</f>
        <v>0</v>
      </c>
      <c r="O498" s="6">
        <f>IF(OR([1]!s_fa_roe(B498,20201231)="0",[1]!s_fa_roe(B498,20211231)="0",[1]!s_fa_roe(B498,20221231)="0"),"",IFERROR(([1]!s_fa_roe(B498,20221231)+[1]!s_fa_roe(B498,20201231)+[1]!s_fa_roe(B498,20211231))/3,""))</f>
        <v>0</v>
      </c>
      <c r="P498" s="28" t="str">
        <f>IFERROR(([1]!s_stmnote_bank_65(B498,$A498,1,2,4,100000000)+[1]!s_stmnote_bank_65(B498,$A498,1,2,6,100000000))/[1]!s_stmnote_bank_1n(B498,$A498,1,100000000),"")</f>
        <v/>
      </c>
      <c r="Q498" s="28" t="str">
        <f>IFERROR([1]!s_stmnote_bank_614(B498,$A498,1,2,100000000)/[1]!s_stmnote_bank_647(B498,$A498,1,2,100000000),"")</f>
        <v/>
      </c>
      <c r="R498" s="28" t="str">
        <f>IFERROR(([1]!b_stm07_bs(B498,104,$A498,1,100000000)+[1]!b_stm07_bs(B498,106,$A498,1,100000000)+[1]!b_stm07_bs(B498,76,$A498,1,100000000)+[1]!b_stm07_bs(B498,108,$A498,1,100000000)+[1]!b_stm07_bs(B498,95,$A498,1,100000000))/[1]!b_stm07_bs(B498,128,$A498,1,100000000),"")</f>
        <v/>
      </c>
      <c r="S498" s="28" t="str">
        <f>IFERROR(([1]!s_stmnote_bank_614(B498,$A498,1,2,100000000)+[1]!b_stm07_bs(B498,104,$A498,1,100000000)+[1]!b_stm07_bs(B498,106,$A498,1,100000000)+[1]!b_stm07_bs(B498,76,$A498,1,100000000)+[1]!b_stm07_bs(B498,108,$A498,1,100000000)+[1]!b_stm07_bs(B498,95,$A498,1,100000000))/[1]!b_stm07_bs(B498,128,$A498,1,100000000),"")</f>
        <v/>
      </c>
      <c r="T498" s="11">
        <f>[1]!b_issuer_shareholder(B498,"",1)</f>
        <v>0</v>
      </c>
      <c r="U498" s="10">
        <f>[1]!b_issuer_propofshareholder(B498,"",1)</f>
        <v>0</v>
      </c>
      <c r="V498" s="33" t="str">
        <f t="shared" si="15"/>
        <v>0</v>
      </c>
      <c r="W498" s="33">
        <f>[1]!s_info_city(B498)</f>
        <v>0</v>
      </c>
      <c r="X498" s="10">
        <f>IF([1]!s_stmnote_bank_17n(B498,$A498,1)="0","",[1]!s_stmnote_bank_17n(B498,$A498,1))</f>
        <v>0</v>
      </c>
      <c r="Y498" s="10">
        <f>IF([1]!s_stmnote_bank_18n(B498,$A498,1)="0","",[1]!s_stmnote_bank_18n(B498,$A498,1))</f>
        <v>0</v>
      </c>
      <c r="Z498" s="41">
        <f>IF([1]!s_stmnote_bank_58(B498,$A498,1)="0","",[1]!s_stmnote_bank_58(B498,$A498,1))</f>
        <v>0</v>
      </c>
      <c r="AA498" s="52">
        <f>IF([1]!s_stmnote_bank_60(B498,$A498,1)="0","",[1]!s_stmnote_bank_60(B498,$A498,1))</f>
        <v>0</v>
      </c>
      <c r="AB498" s="52">
        <f>[1]!s_stmnote_bank_5444(B498,$A498,1)</f>
        <v>0</v>
      </c>
      <c r="AC498" s="38">
        <f>[1]!s_stmnote_bank_129n($B498,$A498,1)</f>
        <v>0</v>
      </c>
      <c r="AD498" s="54">
        <f>[1]!s_stmnote_bank_30(B498,$A498,1)</f>
        <v>0</v>
      </c>
    </row>
    <row r="499" spans="1:30" ht="24">
      <c r="A499" s="1" t="s">
        <v>1110</v>
      </c>
      <c r="B499" s="87" t="s">
        <v>1607</v>
      </c>
      <c r="C499" s="8">
        <f>IF([1]!b_info_issuer(B499)="0","",IFERROR([1]!b_info_issuer(B499),""))</f>
        <v>0</v>
      </c>
      <c r="D499" s="11">
        <f>IF([1]!b_info_latestissurercreditrating(B499)="0","",IFERROR([1]!b_info_latestissurercreditrating(B499),""))</f>
        <v>0</v>
      </c>
      <c r="E499" s="27" t="str">
        <f>IFERROR(([1]!b_stm07_bs($B499,47,$A499,1,100000000))/[1]!b_stm07_bs($B499,109,$A499,1,100000000),"")</f>
        <v/>
      </c>
      <c r="F499" s="18" t="str">
        <f>IFERROR(([1]!s_stmnote_bank_26($B499,$A499,1,100000000)-[1]!s_stmnote_bank_26($B499,#REF!,1,100000000)+#REF!)/[1]!s_stmnote_bank_1n($B499,#REF!,1,100000000),"")</f>
        <v/>
      </c>
      <c r="G499" s="21" t="str">
        <f t="shared" si="14"/>
        <v/>
      </c>
      <c r="H499" s="18" t="str">
        <f>IFERROR([1]!s_stmnote_bank($B499,"34",$A499,100000000)/[1]!s_stmnote_bank_1n(B499,$A499,1,100000000),"")</f>
        <v/>
      </c>
      <c r="I499" s="25">
        <f>[1]!b_stm07_bs(B499,74,$A499,1,100000000)</f>
        <v>0</v>
      </c>
      <c r="J499" s="25">
        <f>[1]!b_stm07_bs(B499,109,$A499,1,100000000)</f>
        <v>0</v>
      </c>
      <c r="K499" s="10">
        <f>[1]!s_stmnote_bank_5n(B499,$A499,1)</f>
        <v>0</v>
      </c>
      <c r="L499" s="25">
        <f>[1]!s_stmnote_bank_23n(B499,$A499,1)</f>
        <v>0</v>
      </c>
      <c r="M499" s="25">
        <f>[1]!s_stmnote_bank_capadequacyratio(B499,$A499,1)</f>
        <v>0</v>
      </c>
      <c r="N499" s="25">
        <f>[1]!s_stmnote_bank_capadequacyratio_ct1(B499,$A499,1)</f>
        <v>0</v>
      </c>
      <c r="O499" s="6">
        <f>IF(OR([1]!s_fa_roe(B499,20201231)="0",[1]!s_fa_roe(B499,20211231)="0",[1]!s_fa_roe(B499,20221231)="0"),"",IFERROR(([1]!s_fa_roe(B499,20221231)+[1]!s_fa_roe(B499,20201231)+[1]!s_fa_roe(B499,20211231))/3,""))</f>
        <v>0</v>
      </c>
      <c r="P499" s="28" t="str">
        <f>IFERROR(([1]!s_stmnote_bank_65(B499,$A499,1,2,4,100000000)+[1]!s_stmnote_bank_65(B499,$A499,1,2,6,100000000))/[1]!s_stmnote_bank_1n(B499,$A499,1,100000000),"")</f>
        <v/>
      </c>
      <c r="Q499" s="28" t="str">
        <f>IFERROR([1]!s_stmnote_bank_614(B499,$A499,1,2,100000000)/[1]!s_stmnote_bank_647(B499,$A499,1,2,100000000),"")</f>
        <v/>
      </c>
      <c r="R499" s="28" t="str">
        <f>IFERROR(([1]!b_stm07_bs(B499,104,$A499,1,100000000)+[1]!b_stm07_bs(B499,106,$A499,1,100000000)+[1]!b_stm07_bs(B499,76,$A499,1,100000000)+[1]!b_stm07_bs(B499,108,$A499,1,100000000)+[1]!b_stm07_bs(B499,95,$A499,1,100000000))/[1]!b_stm07_bs(B499,128,$A499,1,100000000),"")</f>
        <v/>
      </c>
      <c r="S499" s="28" t="str">
        <f>IFERROR(([1]!s_stmnote_bank_614(B499,$A499,1,2,100000000)+[1]!b_stm07_bs(B499,104,$A499,1,100000000)+[1]!b_stm07_bs(B499,106,$A499,1,100000000)+[1]!b_stm07_bs(B499,76,$A499,1,100000000)+[1]!b_stm07_bs(B499,108,$A499,1,100000000)+[1]!b_stm07_bs(B499,95,$A499,1,100000000))/[1]!b_stm07_bs(B499,128,$A499,1,100000000),"")</f>
        <v/>
      </c>
      <c r="T499" s="11">
        <f>[1]!b_issuer_shareholder(B499,"",1)</f>
        <v>0</v>
      </c>
      <c r="U499" s="10">
        <f>[1]!b_issuer_propofshareholder(B499,"",1)</f>
        <v>0</v>
      </c>
      <c r="V499" s="33" t="str">
        <f t="shared" si="15"/>
        <v>0</v>
      </c>
      <c r="W499" s="33">
        <f>[1]!s_info_city(B499)</f>
        <v>0</v>
      </c>
      <c r="X499" s="10">
        <f>IF([1]!s_stmnote_bank_17n(B499,$A499,1)="0","",[1]!s_stmnote_bank_17n(B499,$A499,1))</f>
        <v>0</v>
      </c>
      <c r="Y499" s="10">
        <f>IF([1]!s_stmnote_bank_18n(B499,$A499,1)="0","",[1]!s_stmnote_bank_18n(B499,$A499,1))</f>
        <v>0</v>
      </c>
      <c r="Z499" s="41">
        <f>IF([1]!s_stmnote_bank_58(B499,$A499,1)="0","",[1]!s_stmnote_bank_58(B499,$A499,1))</f>
        <v>0</v>
      </c>
      <c r="AA499" s="52">
        <f>IF([1]!s_stmnote_bank_60(B499,$A499,1)="0","",[1]!s_stmnote_bank_60(B499,$A499,1))</f>
        <v>0</v>
      </c>
      <c r="AB499" s="52">
        <f>[1]!s_stmnote_bank_5444(B499,$A499,1)</f>
        <v>0</v>
      </c>
      <c r="AC499" s="38">
        <f>[1]!s_stmnote_bank_129n($B499,$A499,1)</f>
        <v>0</v>
      </c>
      <c r="AD499" s="54">
        <f>[1]!s_stmnote_bank_30(B499,$A499,1)</f>
        <v>0</v>
      </c>
    </row>
    <row r="500" spans="1:30" ht="24">
      <c r="A500" s="1" t="s">
        <v>1110</v>
      </c>
      <c r="B500" s="87" t="s">
        <v>1608</v>
      </c>
      <c r="C500" s="8">
        <f>IF([1]!b_info_issuer(B500)="0","",IFERROR([1]!b_info_issuer(B500),""))</f>
        <v>0</v>
      </c>
      <c r="D500" s="11">
        <f>IF([1]!b_info_latestissurercreditrating(B500)="0","",IFERROR([1]!b_info_latestissurercreditrating(B500),""))</f>
        <v>0</v>
      </c>
      <c r="E500" s="27" t="str">
        <f>IFERROR(([1]!b_stm07_bs($B500,47,$A500,1,100000000))/[1]!b_stm07_bs($B500,109,$A500,1,100000000),"")</f>
        <v/>
      </c>
      <c r="F500" s="18" t="str">
        <f>IFERROR(([1]!s_stmnote_bank_26($B500,$A500,1,100000000)-[1]!s_stmnote_bank_26($B500,#REF!,1,100000000)+#REF!)/[1]!s_stmnote_bank_1n($B500,#REF!,1,100000000),"")</f>
        <v/>
      </c>
      <c r="G500" s="21" t="str">
        <f t="shared" si="14"/>
        <v/>
      </c>
      <c r="H500" s="18" t="str">
        <f>IFERROR([1]!s_stmnote_bank($B500,"34",$A500,100000000)/[1]!s_stmnote_bank_1n(B500,$A500,1,100000000),"")</f>
        <v/>
      </c>
      <c r="I500" s="25">
        <f>[1]!b_stm07_bs(B500,74,$A500,1,100000000)</f>
        <v>0</v>
      </c>
      <c r="J500" s="25">
        <f>[1]!b_stm07_bs(B500,109,$A500,1,100000000)</f>
        <v>0</v>
      </c>
      <c r="K500" s="10">
        <f>[1]!s_stmnote_bank_5n(B500,$A500,1)</f>
        <v>0</v>
      </c>
      <c r="L500" s="25">
        <f>[1]!s_stmnote_bank_23n(B500,$A500,1)</f>
        <v>0</v>
      </c>
      <c r="M500" s="25">
        <f>[1]!s_stmnote_bank_capadequacyratio(B500,$A500,1)</f>
        <v>0</v>
      </c>
      <c r="N500" s="25">
        <f>[1]!s_stmnote_bank_capadequacyratio_ct1(B500,$A500,1)</f>
        <v>0</v>
      </c>
      <c r="O500" s="6">
        <f>IF(OR([1]!s_fa_roe(B500,20201231)="0",[1]!s_fa_roe(B500,20211231)="0",[1]!s_fa_roe(B500,20221231)="0"),"",IFERROR(([1]!s_fa_roe(B500,20221231)+[1]!s_fa_roe(B500,20201231)+[1]!s_fa_roe(B500,20211231))/3,""))</f>
        <v>0</v>
      </c>
      <c r="P500" s="28" t="str">
        <f>IFERROR(([1]!s_stmnote_bank_65(B500,$A500,1,2,4,100000000)+[1]!s_stmnote_bank_65(B500,$A500,1,2,6,100000000))/[1]!s_stmnote_bank_1n(B500,$A500,1,100000000),"")</f>
        <v/>
      </c>
      <c r="Q500" s="28" t="str">
        <f>IFERROR([1]!s_stmnote_bank_614(B500,$A500,1,2,100000000)/[1]!s_stmnote_bank_647(B500,$A500,1,2,100000000),"")</f>
        <v/>
      </c>
      <c r="R500" s="28" t="str">
        <f>IFERROR(([1]!b_stm07_bs(B500,104,$A500,1,100000000)+[1]!b_stm07_bs(B500,106,$A500,1,100000000)+[1]!b_stm07_bs(B500,76,$A500,1,100000000)+[1]!b_stm07_bs(B500,108,$A500,1,100000000)+[1]!b_stm07_bs(B500,95,$A500,1,100000000))/[1]!b_stm07_bs(B500,128,$A500,1,100000000),"")</f>
        <v/>
      </c>
      <c r="S500" s="28" t="str">
        <f>IFERROR(([1]!s_stmnote_bank_614(B500,$A500,1,2,100000000)+[1]!b_stm07_bs(B500,104,$A500,1,100000000)+[1]!b_stm07_bs(B500,106,$A500,1,100000000)+[1]!b_stm07_bs(B500,76,$A500,1,100000000)+[1]!b_stm07_bs(B500,108,$A500,1,100000000)+[1]!b_stm07_bs(B500,95,$A500,1,100000000))/[1]!b_stm07_bs(B500,128,$A500,1,100000000),"")</f>
        <v/>
      </c>
      <c r="T500" s="11">
        <f>[1]!b_issuer_shareholder(B500,"",1)</f>
        <v>0</v>
      </c>
      <c r="U500" s="10">
        <f>[1]!b_issuer_propofshareholder(B500,"",1)</f>
        <v>0</v>
      </c>
      <c r="V500" s="33" t="str">
        <f t="shared" si="15"/>
        <v>0</v>
      </c>
      <c r="W500" s="33">
        <f>[1]!s_info_city(B500)</f>
        <v>0</v>
      </c>
      <c r="X500" s="10">
        <f>IF([1]!s_stmnote_bank_17n(B500,$A500,1)="0","",[1]!s_stmnote_bank_17n(B500,$A500,1))</f>
        <v>0</v>
      </c>
      <c r="Y500" s="10">
        <f>IF([1]!s_stmnote_bank_18n(B500,$A500,1)="0","",[1]!s_stmnote_bank_18n(B500,$A500,1))</f>
        <v>0</v>
      </c>
      <c r="Z500" s="41">
        <f>IF([1]!s_stmnote_bank_58(B500,$A500,1)="0","",[1]!s_stmnote_bank_58(B500,$A500,1))</f>
        <v>0</v>
      </c>
      <c r="AA500" s="52">
        <f>IF([1]!s_stmnote_bank_60(B500,$A500,1)="0","",[1]!s_stmnote_bank_60(B500,$A500,1))</f>
        <v>0</v>
      </c>
      <c r="AB500" s="52">
        <f>[1]!s_stmnote_bank_5444(B500,$A500,1)</f>
        <v>0</v>
      </c>
      <c r="AC500" s="38">
        <f>[1]!s_stmnote_bank_129n($B500,$A500,1)</f>
        <v>0</v>
      </c>
      <c r="AD500" s="54">
        <f>[1]!s_stmnote_bank_30(B500,$A500,1)</f>
        <v>0</v>
      </c>
    </row>
    <row r="501" spans="1:30" ht="24">
      <c r="A501" s="1" t="s">
        <v>1110</v>
      </c>
      <c r="B501" s="87" t="s">
        <v>1609</v>
      </c>
      <c r="C501" s="8">
        <f>IF([1]!b_info_issuer(B501)="0","",IFERROR([1]!b_info_issuer(B501),""))</f>
        <v>0</v>
      </c>
      <c r="D501" s="11">
        <f>IF([1]!b_info_latestissurercreditrating(B501)="0","",IFERROR([1]!b_info_latestissurercreditrating(B501),""))</f>
        <v>0</v>
      </c>
      <c r="E501" s="27" t="str">
        <f>IFERROR(([1]!b_stm07_bs($B501,47,$A501,1,100000000))/[1]!b_stm07_bs($B501,109,$A501,1,100000000),"")</f>
        <v/>
      </c>
      <c r="F501" s="18" t="str">
        <f>IFERROR(([1]!s_stmnote_bank_26($B501,$A501,1,100000000)-[1]!s_stmnote_bank_26($B501,#REF!,1,100000000)+#REF!)/[1]!s_stmnote_bank_1n($B501,#REF!,1,100000000),"")</f>
        <v/>
      </c>
      <c r="G501" s="21" t="str">
        <f t="shared" si="14"/>
        <v/>
      </c>
      <c r="H501" s="18" t="str">
        <f>IFERROR([1]!s_stmnote_bank($B501,"34",$A501,100000000)/[1]!s_stmnote_bank_1n(B501,$A501,1,100000000),"")</f>
        <v/>
      </c>
      <c r="I501" s="25">
        <f>[1]!b_stm07_bs(B501,74,$A501,1,100000000)</f>
        <v>0</v>
      </c>
      <c r="J501" s="25">
        <f>[1]!b_stm07_bs(B501,109,$A501,1,100000000)</f>
        <v>0</v>
      </c>
      <c r="K501" s="10">
        <f>[1]!s_stmnote_bank_5n(B501,$A501,1)</f>
        <v>0</v>
      </c>
      <c r="L501" s="25">
        <f>[1]!s_stmnote_bank_23n(B501,$A501,1)</f>
        <v>0</v>
      </c>
      <c r="M501" s="25">
        <f>[1]!s_stmnote_bank_capadequacyratio(B501,$A501,1)</f>
        <v>0</v>
      </c>
      <c r="N501" s="25">
        <f>[1]!s_stmnote_bank_capadequacyratio_ct1(B501,$A501,1)</f>
        <v>0</v>
      </c>
      <c r="O501" s="6">
        <f>IF(OR([1]!s_fa_roe(B501,20201231)="0",[1]!s_fa_roe(B501,20211231)="0",[1]!s_fa_roe(B501,20221231)="0"),"",IFERROR(([1]!s_fa_roe(B501,20221231)+[1]!s_fa_roe(B501,20201231)+[1]!s_fa_roe(B501,20211231))/3,""))</f>
        <v>0</v>
      </c>
      <c r="P501" s="28" t="str">
        <f>IFERROR(([1]!s_stmnote_bank_65(B501,$A501,1,2,4,100000000)+[1]!s_stmnote_bank_65(B501,$A501,1,2,6,100000000))/[1]!s_stmnote_bank_1n(B501,$A501,1,100000000),"")</f>
        <v/>
      </c>
      <c r="Q501" s="28" t="str">
        <f>IFERROR([1]!s_stmnote_bank_614(B501,$A501,1,2,100000000)/[1]!s_stmnote_bank_647(B501,$A501,1,2,100000000),"")</f>
        <v/>
      </c>
      <c r="R501" s="28" t="str">
        <f>IFERROR(([1]!b_stm07_bs(B501,104,$A501,1,100000000)+[1]!b_stm07_bs(B501,106,$A501,1,100000000)+[1]!b_stm07_bs(B501,76,$A501,1,100000000)+[1]!b_stm07_bs(B501,108,$A501,1,100000000)+[1]!b_stm07_bs(B501,95,$A501,1,100000000))/[1]!b_stm07_bs(B501,128,$A501,1,100000000),"")</f>
        <v/>
      </c>
      <c r="S501" s="28" t="str">
        <f>IFERROR(([1]!s_stmnote_bank_614(B501,$A501,1,2,100000000)+[1]!b_stm07_bs(B501,104,$A501,1,100000000)+[1]!b_stm07_bs(B501,106,$A501,1,100000000)+[1]!b_stm07_bs(B501,76,$A501,1,100000000)+[1]!b_stm07_bs(B501,108,$A501,1,100000000)+[1]!b_stm07_bs(B501,95,$A501,1,100000000))/[1]!b_stm07_bs(B501,128,$A501,1,100000000),"")</f>
        <v/>
      </c>
      <c r="T501" s="11">
        <f>[1]!b_issuer_shareholder(B501,"",1)</f>
        <v>0</v>
      </c>
      <c r="U501" s="10">
        <f>[1]!b_issuer_propofshareholder(B501,"",1)</f>
        <v>0</v>
      </c>
      <c r="V501" s="33" t="str">
        <f t="shared" si="15"/>
        <v>0</v>
      </c>
      <c r="W501" s="33">
        <f>[1]!s_info_city(B501)</f>
        <v>0</v>
      </c>
      <c r="X501" s="10">
        <f>IF([1]!s_stmnote_bank_17n(B501,$A501,1)="0","",[1]!s_stmnote_bank_17n(B501,$A501,1))</f>
        <v>0</v>
      </c>
      <c r="Y501" s="10">
        <f>IF([1]!s_stmnote_bank_18n(B501,$A501,1)="0","",[1]!s_stmnote_bank_18n(B501,$A501,1))</f>
        <v>0</v>
      </c>
      <c r="Z501" s="41">
        <f>IF([1]!s_stmnote_bank_58(B501,$A501,1)="0","",[1]!s_stmnote_bank_58(B501,$A501,1))</f>
        <v>0</v>
      </c>
      <c r="AA501" s="52">
        <f>IF([1]!s_stmnote_bank_60(B501,$A501,1)="0","",[1]!s_stmnote_bank_60(B501,$A501,1))</f>
        <v>0</v>
      </c>
      <c r="AB501" s="52">
        <f>[1]!s_stmnote_bank_5444(B501,$A501,1)</f>
        <v>0</v>
      </c>
      <c r="AC501" s="38">
        <f>[1]!s_stmnote_bank_129n($B501,$A501,1)</f>
        <v>0</v>
      </c>
      <c r="AD501" s="54">
        <f>[1]!s_stmnote_bank_30(B501,$A501,1)</f>
        <v>0</v>
      </c>
    </row>
    <row r="502" spans="1:30" ht="24">
      <c r="A502" s="1" t="s">
        <v>1110</v>
      </c>
      <c r="B502" s="87" t="s">
        <v>1610</v>
      </c>
      <c r="C502" s="8">
        <f>IF([1]!b_info_issuer(B502)="0","",IFERROR([1]!b_info_issuer(B502),""))</f>
        <v>0</v>
      </c>
      <c r="D502" s="11">
        <f>IF([1]!b_info_latestissurercreditrating(B502)="0","",IFERROR([1]!b_info_latestissurercreditrating(B502),""))</f>
        <v>0</v>
      </c>
      <c r="E502" s="27" t="str">
        <f>IFERROR(([1]!b_stm07_bs($B502,47,$A502,1,100000000))/[1]!b_stm07_bs($B502,109,$A502,1,100000000),"")</f>
        <v/>
      </c>
      <c r="F502" s="18" t="str">
        <f>IFERROR(([1]!s_stmnote_bank_26($B502,$A502,1,100000000)-[1]!s_stmnote_bank_26($B502,#REF!,1,100000000)+#REF!)/[1]!s_stmnote_bank_1n($B502,#REF!,1,100000000),"")</f>
        <v/>
      </c>
      <c r="G502" s="21" t="str">
        <f t="shared" si="14"/>
        <v/>
      </c>
      <c r="H502" s="18" t="str">
        <f>IFERROR([1]!s_stmnote_bank($B502,"34",$A502,100000000)/[1]!s_stmnote_bank_1n(B502,$A502,1,100000000),"")</f>
        <v/>
      </c>
      <c r="I502" s="25">
        <f>[1]!b_stm07_bs(B502,74,$A502,1,100000000)</f>
        <v>0</v>
      </c>
      <c r="J502" s="25">
        <f>[1]!b_stm07_bs(B502,109,$A502,1,100000000)</f>
        <v>0</v>
      </c>
      <c r="K502" s="10">
        <f>[1]!s_stmnote_bank_5n(B502,$A502,1)</f>
        <v>0</v>
      </c>
      <c r="L502" s="25">
        <f>[1]!s_stmnote_bank_23n(B502,$A502,1)</f>
        <v>0</v>
      </c>
      <c r="M502" s="25">
        <f>[1]!s_stmnote_bank_capadequacyratio(B502,$A502,1)</f>
        <v>0</v>
      </c>
      <c r="N502" s="25">
        <f>[1]!s_stmnote_bank_capadequacyratio_ct1(B502,$A502,1)</f>
        <v>0</v>
      </c>
      <c r="O502" s="6">
        <f>IF(OR([1]!s_fa_roe(B502,20201231)="0",[1]!s_fa_roe(B502,20211231)="0",[1]!s_fa_roe(B502,20221231)="0"),"",IFERROR(([1]!s_fa_roe(B502,20221231)+[1]!s_fa_roe(B502,20201231)+[1]!s_fa_roe(B502,20211231))/3,""))</f>
        <v>0</v>
      </c>
      <c r="P502" s="28" t="str">
        <f>IFERROR(([1]!s_stmnote_bank_65(B502,$A502,1,2,4,100000000)+[1]!s_stmnote_bank_65(B502,$A502,1,2,6,100000000))/[1]!s_stmnote_bank_1n(B502,$A502,1,100000000),"")</f>
        <v/>
      </c>
      <c r="Q502" s="28" t="str">
        <f>IFERROR([1]!s_stmnote_bank_614(B502,$A502,1,2,100000000)/[1]!s_stmnote_bank_647(B502,$A502,1,2,100000000),"")</f>
        <v/>
      </c>
      <c r="R502" s="28" t="str">
        <f>IFERROR(([1]!b_stm07_bs(B502,104,$A502,1,100000000)+[1]!b_stm07_bs(B502,106,$A502,1,100000000)+[1]!b_stm07_bs(B502,76,$A502,1,100000000)+[1]!b_stm07_bs(B502,108,$A502,1,100000000)+[1]!b_stm07_bs(B502,95,$A502,1,100000000))/[1]!b_stm07_bs(B502,128,$A502,1,100000000),"")</f>
        <v/>
      </c>
      <c r="S502" s="28" t="str">
        <f>IFERROR(([1]!s_stmnote_bank_614(B502,$A502,1,2,100000000)+[1]!b_stm07_bs(B502,104,$A502,1,100000000)+[1]!b_stm07_bs(B502,106,$A502,1,100000000)+[1]!b_stm07_bs(B502,76,$A502,1,100000000)+[1]!b_stm07_bs(B502,108,$A502,1,100000000)+[1]!b_stm07_bs(B502,95,$A502,1,100000000))/[1]!b_stm07_bs(B502,128,$A502,1,100000000),"")</f>
        <v/>
      </c>
      <c r="T502" s="11">
        <f>[1]!b_issuer_shareholder(B502,"",1)</f>
        <v>0</v>
      </c>
      <c r="U502" s="10">
        <f>[1]!b_issuer_propofshareholder(B502,"",1)</f>
        <v>0</v>
      </c>
      <c r="V502" s="33" t="str">
        <f t="shared" si="15"/>
        <v>0</v>
      </c>
      <c r="W502" s="33">
        <f>[1]!s_info_city(B502)</f>
        <v>0</v>
      </c>
      <c r="X502" s="10">
        <f>IF([1]!s_stmnote_bank_17n(B502,$A502,1)="0","",[1]!s_stmnote_bank_17n(B502,$A502,1))</f>
        <v>0</v>
      </c>
      <c r="Y502" s="10">
        <f>IF([1]!s_stmnote_bank_18n(B502,$A502,1)="0","",[1]!s_stmnote_bank_18n(B502,$A502,1))</f>
        <v>0</v>
      </c>
      <c r="Z502" s="41">
        <f>IF([1]!s_stmnote_bank_58(B502,$A502,1)="0","",[1]!s_stmnote_bank_58(B502,$A502,1))</f>
        <v>0</v>
      </c>
      <c r="AA502" s="52">
        <f>IF([1]!s_stmnote_bank_60(B502,$A502,1)="0","",[1]!s_stmnote_bank_60(B502,$A502,1))</f>
        <v>0</v>
      </c>
      <c r="AB502" s="52">
        <f>[1]!s_stmnote_bank_5444(B502,$A502,1)</f>
        <v>0</v>
      </c>
      <c r="AC502" s="38">
        <f>[1]!s_stmnote_bank_129n($B502,$A502,1)</f>
        <v>0</v>
      </c>
      <c r="AD502" s="54">
        <f>[1]!s_stmnote_bank_30(B502,$A502,1)</f>
        <v>0</v>
      </c>
    </row>
    <row r="503" spans="1:30" ht="24">
      <c r="A503" s="1" t="s">
        <v>1110</v>
      </c>
      <c r="B503" s="87" t="s">
        <v>1611</v>
      </c>
      <c r="C503" s="8">
        <f>IF([1]!b_info_issuer(B503)="0","",IFERROR([1]!b_info_issuer(B503),""))</f>
        <v>0</v>
      </c>
      <c r="D503" s="11">
        <f>IF([1]!b_info_latestissurercreditrating(B503)="0","",IFERROR([1]!b_info_latestissurercreditrating(B503),""))</f>
        <v>0</v>
      </c>
      <c r="E503" s="27" t="str">
        <f>IFERROR(([1]!b_stm07_bs($B503,47,$A503,1,100000000))/[1]!b_stm07_bs($B503,109,$A503,1,100000000),"")</f>
        <v/>
      </c>
      <c r="F503" s="18" t="str">
        <f>IFERROR(([1]!s_stmnote_bank_26($B503,$A503,1,100000000)-[1]!s_stmnote_bank_26($B503,#REF!,1,100000000)+#REF!)/[1]!s_stmnote_bank_1n($B503,#REF!,1,100000000),"")</f>
        <v/>
      </c>
      <c r="G503" s="21" t="str">
        <f t="shared" si="14"/>
        <v/>
      </c>
      <c r="H503" s="18" t="str">
        <f>IFERROR([1]!s_stmnote_bank($B503,"34",$A503,100000000)/[1]!s_stmnote_bank_1n(B503,$A503,1,100000000),"")</f>
        <v/>
      </c>
      <c r="I503" s="25">
        <f>[1]!b_stm07_bs(B503,74,$A503,1,100000000)</f>
        <v>0</v>
      </c>
      <c r="J503" s="25">
        <f>[1]!b_stm07_bs(B503,109,$A503,1,100000000)</f>
        <v>0</v>
      </c>
      <c r="K503" s="10">
        <f>[1]!s_stmnote_bank_5n(B503,$A503,1)</f>
        <v>0</v>
      </c>
      <c r="L503" s="25">
        <f>[1]!s_stmnote_bank_23n(B503,$A503,1)</f>
        <v>0</v>
      </c>
      <c r="M503" s="25">
        <f>[1]!s_stmnote_bank_capadequacyratio(B503,$A503,1)</f>
        <v>0</v>
      </c>
      <c r="N503" s="25">
        <f>[1]!s_stmnote_bank_capadequacyratio_ct1(B503,$A503,1)</f>
        <v>0</v>
      </c>
      <c r="O503" s="6">
        <f>IF(OR([1]!s_fa_roe(B503,20201231)="0",[1]!s_fa_roe(B503,20211231)="0",[1]!s_fa_roe(B503,20221231)="0"),"",IFERROR(([1]!s_fa_roe(B503,20221231)+[1]!s_fa_roe(B503,20201231)+[1]!s_fa_roe(B503,20211231))/3,""))</f>
        <v>0</v>
      </c>
      <c r="P503" s="28" t="str">
        <f>IFERROR(([1]!s_stmnote_bank_65(B503,$A503,1,2,4,100000000)+[1]!s_stmnote_bank_65(B503,$A503,1,2,6,100000000))/[1]!s_stmnote_bank_1n(B503,$A503,1,100000000),"")</f>
        <v/>
      </c>
      <c r="Q503" s="28" t="str">
        <f>IFERROR([1]!s_stmnote_bank_614(B503,$A503,1,2,100000000)/[1]!s_stmnote_bank_647(B503,$A503,1,2,100000000),"")</f>
        <v/>
      </c>
      <c r="R503" s="28" t="str">
        <f>IFERROR(([1]!b_stm07_bs(B503,104,$A503,1,100000000)+[1]!b_stm07_bs(B503,106,$A503,1,100000000)+[1]!b_stm07_bs(B503,76,$A503,1,100000000)+[1]!b_stm07_bs(B503,108,$A503,1,100000000)+[1]!b_stm07_bs(B503,95,$A503,1,100000000))/[1]!b_stm07_bs(B503,128,$A503,1,100000000),"")</f>
        <v/>
      </c>
      <c r="S503" s="28" t="str">
        <f>IFERROR(([1]!s_stmnote_bank_614(B503,$A503,1,2,100000000)+[1]!b_stm07_bs(B503,104,$A503,1,100000000)+[1]!b_stm07_bs(B503,106,$A503,1,100000000)+[1]!b_stm07_bs(B503,76,$A503,1,100000000)+[1]!b_stm07_bs(B503,108,$A503,1,100000000)+[1]!b_stm07_bs(B503,95,$A503,1,100000000))/[1]!b_stm07_bs(B503,128,$A503,1,100000000),"")</f>
        <v/>
      </c>
      <c r="T503" s="11">
        <f>[1]!b_issuer_shareholder(B503,"",1)</f>
        <v>0</v>
      </c>
      <c r="U503" s="10">
        <f>[1]!b_issuer_propofshareholder(B503,"",1)</f>
        <v>0</v>
      </c>
      <c r="V503" s="33" t="str">
        <f t="shared" si="15"/>
        <v>0</v>
      </c>
      <c r="W503" s="33">
        <f>[1]!s_info_city(B503)</f>
        <v>0</v>
      </c>
      <c r="X503" s="10">
        <f>IF([1]!s_stmnote_bank_17n(B503,$A503,1)="0","",[1]!s_stmnote_bank_17n(B503,$A503,1))</f>
        <v>0</v>
      </c>
      <c r="Y503" s="10">
        <f>IF([1]!s_stmnote_bank_18n(B503,$A503,1)="0","",[1]!s_stmnote_bank_18n(B503,$A503,1))</f>
        <v>0</v>
      </c>
      <c r="Z503" s="41">
        <f>IF([1]!s_stmnote_bank_58(B503,$A503,1)="0","",[1]!s_stmnote_bank_58(B503,$A503,1))</f>
        <v>0</v>
      </c>
      <c r="AA503" s="52">
        <f>IF([1]!s_stmnote_bank_60(B503,$A503,1)="0","",[1]!s_stmnote_bank_60(B503,$A503,1))</f>
        <v>0</v>
      </c>
      <c r="AB503" s="52">
        <f>[1]!s_stmnote_bank_5444(B503,$A503,1)</f>
        <v>0</v>
      </c>
      <c r="AC503" s="38">
        <f>[1]!s_stmnote_bank_129n($B503,$A503,1)</f>
        <v>0</v>
      </c>
      <c r="AD503" s="54">
        <f>[1]!s_stmnote_bank_30(B503,$A503,1)</f>
        <v>0</v>
      </c>
    </row>
    <row r="504" spans="1:30" ht="24">
      <c r="A504" s="1" t="s">
        <v>1110</v>
      </c>
      <c r="B504" s="87" t="s">
        <v>1612</v>
      </c>
      <c r="C504" s="8">
        <f>IF([1]!b_info_issuer(B504)="0","",IFERROR([1]!b_info_issuer(B504),""))</f>
        <v>0</v>
      </c>
      <c r="D504" s="11">
        <f>IF([1]!b_info_latestissurercreditrating(B504)="0","",IFERROR([1]!b_info_latestissurercreditrating(B504),""))</f>
        <v>0</v>
      </c>
      <c r="E504" s="27" t="str">
        <f>IFERROR(([1]!b_stm07_bs($B504,47,$A504,1,100000000))/[1]!b_stm07_bs($B504,109,$A504,1,100000000),"")</f>
        <v/>
      </c>
      <c r="F504" s="18" t="str">
        <f>IFERROR(([1]!s_stmnote_bank_26($B504,$A504,1,100000000)-[1]!s_stmnote_bank_26($B504,#REF!,1,100000000)+#REF!)/[1]!s_stmnote_bank_1n($B504,#REF!,1,100000000),"")</f>
        <v/>
      </c>
      <c r="G504" s="21" t="str">
        <f t="shared" si="14"/>
        <v/>
      </c>
      <c r="H504" s="18" t="str">
        <f>IFERROR([1]!s_stmnote_bank($B504,"34",$A504,100000000)/[1]!s_stmnote_bank_1n(B504,$A504,1,100000000),"")</f>
        <v/>
      </c>
      <c r="I504" s="25">
        <f>[1]!b_stm07_bs(B504,74,$A504,1,100000000)</f>
        <v>0</v>
      </c>
      <c r="J504" s="25">
        <f>[1]!b_stm07_bs(B504,109,$A504,1,100000000)</f>
        <v>0</v>
      </c>
      <c r="K504" s="10">
        <f>[1]!s_stmnote_bank_5n(B504,$A504,1)</f>
        <v>0</v>
      </c>
      <c r="L504" s="25">
        <f>[1]!s_stmnote_bank_23n(B504,$A504,1)</f>
        <v>0</v>
      </c>
      <c r="M504" s="25">
        <f>[1]!s_stmnote_bank_capadequacyratio(B504,$A504,1)</f>
        <v>0</v>
      </c>
      <c r="N504" s="25">
        <f>[1]!s_stmnote_bank_capadequacyratio_ct1(B504,$A504,1)</f>
        <v>0</v>
      </c>
      <c r="O504" s="6">
        <f>IF(OR([1]!s_fa_roe(B504,20201231)="0",[1]!s_fa_roe(B504,20211231)="0",[1]!s_fa_roe(B504,20221231)="0"),"",IFERROR(([1]!s_fa_roe(B504,20221231)+[1]!s_fa_roe(B504,20201231)+[1]!s_fa_roe(B504,20211231))/3,""))</f>
        <v>0</v>
      </c>
      <c r="P504" s="28" t="str">
        <f>IFERROR(([1]!s_stmnote_bank_65(B504,$A504,1,2,4,100000000)+[1]!s_stmnote_bank_65(B504,$A504,1,2,6,100000000))/[1]!s_stmnote_bank_1n(B504,$A504,1,100000000),"")</f>
        <v/>
      </c>
      <c r="Q504" s="28" t="str">
        <f>IFERROR([1]!s_stmnote_bank_614(B504,$A504,1,2,100000000)/[1]!s_stmnote_bank_647(B504,$A504,1,2,100000000),"")</f>
        <v/>
      </c>
      <c r="R504" s="28" t="str">
        <f>IFERROR(([1]!b_stm07_bs(B504,104,$A504,1,100000000)+[1]!b_stm07_bs(B504,106,$A504,1,100000000)+[1]!b_stm07_bs(B504,76,$A504,1,100000000)+[1]!b_stm07_bs(B504,108,$A504,1,100000000)+[1]!b_stm07_bs(B504,95,$A504,1,100000000))/[1]!b_stm07_bs(B504,128,$A504,1,100000000),"")</f>
        <v/>
      </c>
      <c r="S504" s="28" t="str">
        <f>IFERROR(([1]!s_stmnote_bank_614(B504,$A504,1,2,100000000)+[1]!b_stm07_bs(B504,104,$A504,1,100000000)+[1]!b_stm07_bs(B504,106,$A504,1,100000000)+[1]!b_stm07_bs(B504,76,$A504,1,100000000)+[1]!b_stm07_bs(B504,108,$A504,1,100000000)+[1]!b_stm07_bs(B504,95,$A504,1,100000000))/[1]!b_stm07_bs(B504,128,$A504,1,100000000),"")</f>
        <v/>
      </c>
      <c r="T504" s="11">
        <f>[1]!b_issuer_shareholder(B504,"",1)</f>
        <v>0</v>
      </c>
      <c r="U504" s="10">
        <f>[1]!b_issuer_propofshareholder(B504,"",1)</f>
        <v>0</v>
      </c>
      <c r="V504" s="33" t="str">
        <f t="shared" si="15"/>
        <v>0</v>
      </c>
      <c r="W504" s="33">
        <f>[1]!s_info_city(B504)</f>
        <v>0</v>
      </c>
      <c r="X504" s="10">
        <f>IF([1]!s_stmnote_bank_17n(B504,$A504,1)="0","",[1]!s_stmnote_bank_17n(B504,$A504,1))</f>
        <v>0</v>
      </c>
      <c r="Y504" s="10">
        <f>IF([1]!s_stmnote_bank_18n(B504,$A504,1)="0","",[1]!s_stmnote_bank_18n(B504,$A504,1))</f>
        <v>0</v>
      </c>
      <c r="Z504" s="41">
        <f>IF([1]!s_stmnote_bank_58(B504,$A504,1)="0","",[1]!s_stmnote_bank_58(B504,$A504,1))</f>
        <v>0</v>
      </c>
      <c r="AA504" s="52">
        <f>IF([1]!s_stmnote_bank_60(B504,$A504,1)="0","",[1]!s_stmnote_bank_60(B504,$A504,1))</f>
        <v>0</v>
      </c>
      <c r="AB504" s="52">
        <f>[1]!s_stmnote_bank_5444(B504,$A504,1)</f>
        <v>0</v>
      </c>
      <c r="AC504" s="38">
        <f>[1]!s_stmnote_bank_129n($B504,$A504,1)</f>
        <v>0</v>
      </c>
      <c r="AD504" s="54">
        <f>[1]!s_stmnote_bank_30(B504,$A504,1)</f>
        <v>0</v>
      </c>
    </row>
    <row r="505" spans="1:30" ht="24">
      <c r="A505" s="1" t="s">
        <v>1110</v>
      </c>
      <c r="B505" s="87" t="s">
        <v>1613</v>
      </c>
      <c r="C505" s="8">
        <f>IF([1]!b_info_issuer(B505)="0","",IFERROR([1]!b_info_issuer(B505),""))</f>
        <v>0</v>
      </c>
      <c r="D505" s="11">
        <f>IF([1]!b_info_latestissurercreditrating(B505)="0","",IFERROR([1]!b_info_latestissurercreditrating(B505),""))</f>
        <v>0</v>
      </c>
      <c r="E505" s="27" t="str">
        <f>IFERROR(([1]!b_stm07_bs($B505,47,$A505,1,100000000))/[1]!b_stm07_bs($B505,109,$A505,1,100000000),"")</f>
        <v/>
      </c>
      <c r="F505" s="18" t="str">
        <f>IFERROR(([1]!s_stmnote_bank_26($B505,$A505,1,100000000)-[1]!s_stmnote_bank_26($B505,#REF!,1,100000000)+#REF!)/[1]!s_stmnote_bank_1n($B505,#REF!,1,100000000),"")</f>
        <v/>
      </c>
      <c r="G505" s="21" t="str">
        <f t="shared" si="14"/>
        <v/>
      </c>
      <c r="H505" s="18" t="str">
        <f>IFERROR([1]!s_stmnote_bank($B505,"34",$A505,100000000)/[1]!s_stmnote_bank_1n(B505,$A505,1,100000000),"")</f>
        <v/>
      </c>
      <c r="I505" s="25">
        <f>[1]!b_stm07_bs(B505,74,$A505,1,100000000)</f>
        <v>0</v>
      </c>
      <c r="J505" s="25">
        <f>[1]!b_stm07_bs(B505,109,$A505,1,100000000)</f>
        <v>0</v>
      </c>
      <c r="K505" s="10">
        <f>[1]!s_stmnote_bank_5n(B505,$A505,1)</f>
        <v>0</v>
      </c>
      <c r="L505" s="25">
        <f>[1]!s_stmnote_bank_23n(B505,$A505,1)</f>
        <v>0</v>
      </c>
      <c r="M505" s="25">
        <f>[1]!s_stmnote_bank_capadequacyratio(B505,$A505,1)</f>
        <v>0</v>
      </c>
      <c r="N505" s="25">
        <f>[1]!s_stmnote_bank_capadequacyratio_ct1(B505,$A505,1)</f>
        <v>0</v>
      </c>
      <c r="O505" s="6">
        <f>IF(OR([1]!s_fa_roe(B505,20201231)="0",[1]!s_fa_roe(B505,20211231)="0",[1]!s_fa_roe(B505,20221231)="0"),"",IFERROR(([1]!s_fa_roe(B505,20221231)+[1]!s_fa_roe(B505,20201231)+[1]!s_fa_roe(B505,20211231))/3,""))</f>
        <v>0</v>
      </c>
      <c r="P505" s="28" t="str">
        <f>IFERROR(([1]!s_stmnote_bank_65(B505,$A505,1,2,4,100000000)+[1]!s_stmnote_bank_65(B505,$A505,1,2,6,100000000))/[1]!s_stmnote_bank_1n(B505,$A505,1,100000000),"")</f>
        <v/>
      </c>
      <c r="Q505" s="28" t="str">
        <f>IFERROR([1]!s_stmnote_bank_614(B505,$A505,1,2,100000000)/[1]!s_stmnote_bank_647(B505,$A505,1,2,100000000),"")</f>
        <v/>
      </c>
      <c r="R505" s="28" t="str">
        <f>IFERROR(([1]!b_stm07_bs(B505,104,$A505,1,100000000)+[1]!b_stm07_bs(B505,106,$A505,1,100000000)+[1]!b_stm07_bs(B505,76,$A505,1,100000000)+[1]!b_stm07_bs(B505,108,$A505,1,100000000)+[1]!b_stm07_bs(B505,95,$A505,1,100000000))/[1]!b_stm07_bs(B505,128,$A505,1,100000000),"")</f>
        <v/>
      </c>
      <c r="S505" s="28" t="str">
        <f>IFERROR(([1]!s_stmnote_bank_614(B505,$A505,1,2,100000000)+[1]!b_stm07_bs(B505,104,$A505,1,100000000)+[1]!b_stm07_bs(B505,106,$A505,1,100000000)+[1]!b_stm07_bs(B505,76,$A505,1,100000000)+[1]!b_stm07_bs(B505,108,$A505,1,100000000)+[1]!b_stm07_bs(B505,95,$A505,1,100000000))/[1]!b_stm07_bs(B505,128,$A505,1,100000000),"")</f>
        <v/>
      </c>
      <c r="T505" s="11">
        <f>[1]!b_issuer_shareholder(B505,"",1)</f>
        <v>0</v>
      </c>
      <c r="U505" s="10">
        <f>[1]!b_issuer_propofshareholder(B505,"",1)</f>
        <v>0</v>
      </c>
      <c r="V505" s="33" t="str">
        <f t="shared" si="15"/>
        <v>0</v>
      </c>
      <c r="W505" s="33">
        <f>[1]!s_info_city(B505)</f>
        <v>0</v>
      </c>
      <c r="X505" s="10">
        <f>IF([1]!s_stmnote_bank_17n(B505,$A505,1)="0","",[1]!s_stmnote_bank_17n(B505,$A505,1))</f>
        <v>0</v>
      </c>
      <c r="Y505" s="10">
        <f>IF([1]!s_stmnote_bank_18n(B505,$A505,1)="0","",[1]!s_stmnote_bank_18n(B505,$A505,1))</f>
        <v>0</v>
      </c>
      <c r="Z505" s="41">
        <f>IF([1]!s_stmnote_bank_58(B505,$A505,1)="0","",[1]!s_stmnote_bank_58(B505,$A505,1))</f>
        <v>0</v>
      </c>
      <c r="AA505" s="52">
        <f>IF([1]!s_stmnote_bank_60(B505,$A505,1)="0","",[1]!s_stmnote_bank_60(B505,$A505,1))</f>
        <v>0</v>
      </c>
      <c r="AB505" s="52">
        <f>[1]!s_stmnote_bank_5444(B505,$A505,1)</f>
        <v>0</v>
      </c>
      <c r="AC505" s="38">
        <f>[1]!s_stmnote_bank_129n($B505,$A505,1)</f>
        <v>0</v>
      </c>
      <c r="AD505" s="54">
        <f>[1]!s_stmnote_bank_30(B505,$A505,1)</f>
        <v>0</v>
      </c>
    </row>
    <row r="506" spans="1:30" ht="24">
      <c r="A506" s="1" t="s">
        <v>1110</v>
      </c>
      <c r="B506" s="87" t="s">
        <v>1614</v>
      </c>
      <c r="C506" s="8">
        <f>IF([1]!b_info_issuer(B506)="0","",IFERROR([1]!b_info_issuer(B506),""))</f>
        <v>0</v>
      </c>
      <c r="D506" s="11">
        <f>IF([1]!b_info_latestissurercreditrating(B506)="0","",IFERROR([1]!b_info_latestissurercreditrating(B506),""))</f>
        <v>0</v>
      </c>
      <c r="E506" s="27" t="str">
        <f>IFERROR(([1]!b_stm07_bs($B506,47,$A506,1,100000000))/[1]!b_stm07_bs($B506,109,$A506,1,100000000),"")</f>
        <v/>
      </c>
      <c r="F506" s="18" t="str">
        <f>IFERROR(([1]!s_stmnote_bank_26($B506,$A506,1,100000000)-[1]!s_stmnote_bank_26($B506,#REF!,1,100000000)+#REF!)/[1]!s_stmnote_bank_1n($B506,#REF!,1,100000000),"")</f>
        <v/>
      </c>
      <c r="G506" s="21" t="str">
        <f t="shared" si="14"/>
        <v/>
      </c>
      <c r="H506" s="18" t="str">
        <f>IFERROR([1]!s_stmnote_bank($B506,"34",$A506,100000000)/[1]!s_stmnote_bank_1n(B506,$A506,1,100000000),"")</f>
        <v/>
      </c>
      <c r="I506" s="25">
        <f>[1]!b_stm07_bs(B506,74,$A506,1,100000000)</f>
        <v>0</v>
      </c>
      <c r="J506" s="25">
        <f>[1]!b_stm07_bs(B506,109,$A506,1,100000000)</f>
        <v>0</v>
      </c>
      <c r="K506" s="10">
        <f>[1]!s_stmnote_bank_5n(B506,$A506,1)</f>
        <v>0</v>
      </c>
      <c r="L506" s="25">
        <f>[1]!s_stmnote_bank_23n(B506,$A506,1)</f>
        <v>0</v>
      </c>
      <c r="M506" s="25">
        <f>[1]!s_stmnote_bank_capadequacyratio(B506,$A506,1)</f>
        <v>0</v>
      </c>
      <c r="N506" s="25">
        <f>[1]!s_stmnote_bank_capadequacyratio_ct1(B506,$A506,1)</f>
        <v>0</v>
      </c>
      <c r="O506" s="6">
        <f>IF(OR([1]!s_fa_roe(B506,20201231)="0",[1]!s_fa_roe(B506,20211231)="0",[1]!s_fa_roe(B506,20221231)="0"),"",IFERROR(([1]!s_fa_roe(B506,20221231)+[1]!s_fa_roe(B506,20201231)+[1]!s_fa_roe(B506,20211231))/3,""))</f>
        <v>0</v>
      </c>
      <c r="P506" s="28" t="str">
        <f>IFERROR(([1]!s_stmnote_bank_65(B506,$A506,1,2,4,100000000)+[1]!s_stmnote_bank_65(B506,$A506,1,2,6,100000000))/[1]!s_stmnote_bank_1n(B506,$A506,1,100000000),"")</f>
        <v/>
      </c>
      <c r="Q506" s="28" t="str">
        <f>IFERROR([1]!s_stmnote_bank_614(B506,$A506,1,2,100000000)/[1]!s_stmnote_bank_647(B506,$A506,1,2,100000000),"")</f>
        <v/>
      </c>
      <c r="R506" s="28" t="str">
        <f>IFERROR(([1]!b_stm07_bs(B506,104,$A506,1,100000000)+[1]!b_stm07_bs(B506,106,$A506,1,100000000)+[1]!b_stm07_bs(B506,76,$A506,1,100000000)+[1]!b_stm07_bs(B506,108,$A506,1,100000000)+[1]!b_stm07_bs(B506,95,$A506,1,100000000))/[1]!b_stm07_bs(B506,128,$A506,1,100000000),"")</f>
        <v/>
      </c>
      <c r="S506" s="28" t="str">
        <f>IFERROR(([1]!s_stmnote_bank_614(B506,$A506,1,2,100000000)+[1]!b_stm07_bs(B506,104,$A506,1,100000000)+[1]!b_stm07_bs(B506,106,$A506,1,100000000)+[1]!b_stm07_bs(B506,76,$A506,1,100000000)+[1]!b_stm07_bs(B506,108,$A506,1,100000000)+[1]!b_stm07_bs(B506,95,$A506,1,100000000))/[1]!b_stm07_bs(B506,128,$A506,1,100000000),"")</f>
        <v/>
      </c>
      <c r="T506" s="11">
        <f>[1]!b_issuer_shareholder(B506,"",1)</f>
        <v>0</v>
      </c>
      <c r="U506" s="10">
        <f>[1]!b_issuer_propofshareholder(B506,"",1)</f>
        <v>0</v>
      </c>
      <c r="V506" s="33" t="str">
        <f t="shared" si="15"/>
        <v>0</v>
      </c>
      <c r="W506" s="33">
        <f>[1]!s_info_city(B506)</f>
        <v>0</v>
      </c>
      <c r="X506" s="10">
        <f>IF([1]!s_stmnote_bank_17n(B506,$A506,1)="0","",[1]!s_stmnote_bank_17n(B506,$A506,1))</f>
        <v>0</v>
      </c>
      <c r="Y506" s="10">
        <f>IF([1]!s_stmnote_bank_18n(B506,$A506,1)="0","",[1]!s_stmnote_bank_18n(B506,$A506,1))</f>
        <v>0</v>
      </c>
      <c r="Z506" s="41">
        <f>IF([1]!s_stmnote_bank_58(B506,$A506,1)="0","",[1]!s_stmnote_bank_58(B506,$A506,1))</f>
        <v>0</v>
      </c>
      <c r="AA506" s="52">
        <f>IF([1]!s_stmnote_bank_60(B506,$A506,1)="0","",[1]!s_stmnote_bank_60(B506,$A506,1))</f>
        <v>0</v>
      </c>
      <c r="AB506" s="52">
        <f>[1]!s_stmnote_bank_5444(B506,$A506,1)</f>
        <v>0</v>
      </c>
      <c r="AC506" s="38">
        <f>[1]!s_stmnote_bank_129n($B506,$A506,1)</f>
        <v>0</v>
      </c>
      <c r="AD506" s="54">
        <f>[1]!s_stmnote_bank_30(B506,$A506,1)</f>
        <v>0</v>
      </c>
    </row>
    <row r="507" spans="1:30" ht="24">
      <c r="A507" s="1" t="s">
        <v>1110</v>
      </c>
      <c r="B507" s="87" t="s">
        <v>1615</v>
      </c>
      <c r="C507" s="8">
        <f>IF([1]!b_info_issuer(B507)="0","",IFERROR([1]!b_info_issuer(B507),""))</f>
        <v>0</v>
      </c>
      <c r="D507" s="11">
        <f>IF([1]!b_info_latestissurercreditrating(B507)="0","",IFERROR([1]!b_info_latestissurercreditrating(B507),""))</f>
        <v>0</v>
      </c>
      <c r="E507" s="27" t="str">
        <f>IFERROR(([1]!b_stm07_bs($B507,47,$A507,1,100000000))/[1]!b_stm07_bs($B507,109,$A507,1,100000000),"")</f>
        <v/>
      </c>
      <c r="F507" s="18" t="str">
        <f>IFERROR(([1]!s_stmnote_bank_26($B507,$A507,1,100000000)-[1]!s_stmnote_bank_26($B507,#REF!,1,100000000)+#REF!)/[1]!s_stmnote_bank_1n($B507,#REF!,1,100000000),"")</f>
        <v/>
      </c>
      <c r="G507" s="21" t="str">
        <f t="shared" si="14"/>
        <v/>
      </c>
      <c r="H507" s="18" t="str">
        <f>IFERROR([1]!s_stmnote_bank($B507,"34",$A507,100000000)/[1]!s_stmnote_bank_1n(B507,$A507,1,100000000),"")</f>
        <v/>
      </c>
      <c r="I507" s="25">
        <f>[1]!b_stm07_bs(B507,74,$A507,1,100000000)</f>
        <v>0</v>
      </c>
      <c r="J507" s="25">
        <f>[1]!b_stm07_bs(B507,109,$A507,1,100000000)</f>
        <v>0</v>
      </c>
      <c r="K507" s="10">
        <f>[1]!s_stmnote_bank_5n(B507,$A507,1)</f>
        <v>0</v>
      </c>
      <c r="L507" s="25">
        <f>[1]!s_stmnote_bank_23n(B507,$A507,1)</f>
        <v>0</v>
      </c>
      <c r="M507" s="25">
        <f>[1]!s_stmnote_bank_capadequacyratio(B507,$A507,1)</f>
        <v>0</v>
      </c>
      <c r="N507" s="25">
        <f>[1]!s_stmnote_bank_capadequacyratio_ct1(B507,$A507,1)</f>
        <v>0</v>
      </c>
      <c r="O507" s="6">
        <f>IF(OR([1]!s_fa_roe(B507,20201231)="0",[1]!s_fa_roe(B507,20211231)="0",[1]!s_fa_roe(B507,20221231)="0"),"",IFERROR(([1]!s_fa_roe(B507,20221231)+[1]!s_fa_roe(B507,20201231)+[1]!s_fa_roe(B507,20211231))/3,""))</f>
        <v>0</v>
      </c>
      <c r="P507" s="28" t="str">
        <f>IFERROR(([1]!s_stmnote_bank_65(B507,$A507,1,2,4,100000000)+[1]!s_stmnote_bank_65(B507,$A507,1,2,6,100000000))/[1]!s_stmnote_bank_1n(B507,$A507,1,100000000),"")</f>
        <v/>
      </c>
      <c r="Q507" s="28" t="str">
        <f>IFERROR([1]!s_stmnote_bank_614(B507,$A507,1,2,100000000)/[1]!s_stmnote_bank_647(B507,$A507,1,2,100000000),"")</f>
        <v/>
      </c>
      <c r="R507" s="28" t="str">
        <f>IFERROR(([1]!b_stm07_bs(B507,104,$A507,1,100000000)+[1]!b_stm07_bs(B507,106,$A507,1,100000000)+[1]!b_stm07_bs(B507,76,$A507,1,100000000)+[1]!b_stm07_bs(B507,108,$A507,1,100000000)+[1]!b_stm07_bs(B507,95,$A507,1,100000000))/[1]!b_stm07_bs(B507,128,$A507,1,100000000),"")</f>
        <v/>
      </c>
      <c r="S507" s="28" t="str">
        <f>IFERROR(([1]!s_stmnote_bank_614(B507,$A507,1,2,100000000)+[1]!b_stm07_bs(B507,104,$A507,1,100000000)+[1]!b_stm07_bs(B507,106,$A507,1,100000000)+[1]!b_stm07_bs(B507,76,$A507,1,100000000)+[1]!b_stm07_bs(B507,108,$A507,1,100000000)+[1]!b_stm07_bs(B507,95,$A507,1,100000000))/[1]!b_stm07_bs(B507,128,$A507,1,100000000),"")</f>
        <v/>
      </c>
      <c r="T507" s="11">
        <f>[1]!b_issuer_shareholder(B507,"",1)</f>
        <v>0</v>
      </c>
      <c r="U507" s="10">
        <f>[1]!b_issuer_propofshareholder(B507,"",1)</f>
        <v>0</v>
      </c>
      <c r="V507" s="33" t="str">
        <f t="shared" si="15"/>
        <v>0</v>
      </c>
      <c r="W507" s="33">
        <f>[1]!s_info_city(B507)</f>
        <v>0</v>
      </c>
      <c r="X507" s="10">
        <f>IF([1]!s_stmnote_bank_17n(B507,$A507,1)="0","",[1]!s_stmnote_bank_17n(B507,$A507,1))</f>
        <v>0</v>
      </c>
      <c r="Y507" s="10">
        <f>IF([1]!s_stmnote_bank_18n(B507,$A507,1)="0","",[1]!s_stmnote_bank_18n(B507,$A507,1))</f>
        <v>0</v>
      </c>
      <c r="Z507" s="41">
        <f>IF([1]!s_stmnote_bank_58(B507,$A507,1)="0","",[1]!s_stmnote_bank_58(B507,$A507,1))</f>
        <v>0</v>
      </c>
      <c r="AA507" s="52">
        <f>IF([1]!s_stmnote_bank_60(B507,$A507,1)="0","",[1]!s_stmnote_bank_60(B507,$A507,1))</f>
        <v>0</v>
      </c>
      <c r="AB507" s="52">
        <f>[1]!s_stmnote_bank_5444(B507,$A507,1)</f>
        <v>0</v>
      </c>
      <c r="AC507" s="38">
        <f>[1]!s_stmnote_bank_129n($B507,$A507,1)</f>
        <v>0</v>
      </c>
      <c r="AD507" s="54">
        <f>[1]!s_stmnote_bank_30(B507,$A507,1)</f>
        <v>0</v>
      </c>
    </row>
    <row r="508" spans="1:30" ht="24">
      <c r="A508" s="1" t="s">
        <v>1110</v>
      </c>
      <c r="B508" s="87" t="s">
        <v>1616</v>
      </c>
      <c r="C508" s="8">
        <f>IF([1]!b_info_issuer(B508)="0","",IFERROR([1]!b_info_issuer(B508),""))</f>
        <v>0</v>
      </c>
      <c r="D508" s="11">
        <f>IF([1]!b_info_latestissurercreditrating(B508)="0","",IFERROR([1]!b_info_latestissurercreditrating(B508),""))</f>
        <v>0</v>
      </c>
      <c r="E508" s="27" t="str">
        <f>IFERROR(([1]!b_stm07_bs($B508,47,$A508,1,100000000))/[1]!b_stm07_bs($B508,109,$A508,1,100000000),"")</f>
        <v/>
      </c>
      <c r="F508" s="18" t="str">
        <f>IFERROR(([1]!s_stmnote_bank_26($B508,$A508,1,100000000)-[1]!s_stmnote_bank_26($B508,#REF!,1,100000000)+#REF!)/[1]!s_stmnote_bank_1n($B508,#REF!,1,100000000),"")</f>
        <v/>
      </c>
      <c r="G508" s="21" t="str">
        <f t="shared" si="14"/>
        <v/>
      </c>
      <c r="H508" s="18" t="str">
        <f>IFERROR([1]!s_stmnote_bank($B508,"34",$A508,100000000)/[1]!s_stmnote_bank_1n(B508,$A508,1,100000000),"")</f>
        <v/>
      </c>
      <c r="I508" s="25">
        <f>[1]!b_stm07_bs(B508,74,$A508,1,100000000)</f>
        <v>0</v>
      </c>
      <c r="J508" s="25">
        <f>[1]!b_stm07_bs(B508,109,$A508,1,100000000)</f>
        <v>0</v>
      </c>
      <c r="K508" s="10">
        <f>[1]!s_stmnote_bank_5n(B508,$A508,1)</f>
        <v>0</v>
      </c>
      <c r="L508" s="25">
        <f>[1]!s_stmnote_bank_23n(B508,$A508,1)</f>
        <v>0</v>
      </c>
      <c r="M508" s="25">
        <f>[1]!s_stmnote_bank_capadequacyratio(B508,$A508,1)</f>
        <v>0</v>
      </c>
      <c r="N508" s="25">
        <f>[1]!s_stmnote_bank_capadequacyratio_ct1(B508,$A508,1)</f>
        <v>0</v>
      </c>
      <c r="O508" s="6">
        <f>IF(OR([1]!s_fa_roe(B508,20201231)="0",[1]!s_fa_roe(B508,20211231)="0",[1]!s_fa_roe(B508,20221231)="0"),"",IFERROR(([1]!s_fa_roe(B508,20221231)+[1]!s_fa_roe(B508,20201231)+[1]!s_fa_roe(B508,20211231))/3,""))</f>
        <v>0</v>
      </c>
      <c r="P508" s="28" t="str">
        <f>IFERROR(([1]!s_stmnote_bank_65(B508,$A508,1,2,4,100000000)+[1]!s_stmnote_bank_65(B508,$A508,1,2,6,100000000))/[1]!s_stmnote_bank_1n(B508,$A508,1,100000000),"")</f>
        <v/>
      </c>
      <c r="Q508" s="28" t="str">
        <f>IFERROR([1]!s_stmnote_bank_614(B508,$A508,1,2,100000000)/[1]!s_stmnote_bank_647(B508,$A508,1,2,100000000),"")</f>
        <v/>
      </c>
      <c r="R508" s="28" t="str">
        <f>IFERROR(([1]!b_stm07_bs(B508,104,$A508,1,100000000)+[1]!b_stm07_bs(B508,106,$A508,1,100000000)+[1]!b_stm07_bs(B508,76,$A508,1,100000000)+[1]!b_stm07_bs(B508,108,$A508,1,100000000)+[1]!b_stm07_bs(B508,95,$A508,1,100000000))/[1]!b_stm07_bs(B508,128,$A508,1,100000000),"")</f>
        <v/>
      </c>
      <c r="S508" s="28" t="str">
        <f>IFERROR(([1]!s_stmnote_bank_614(B508,$A508,1,2,100000000)+[1]!b_stm07_bs(B508,104,$A508,1,100000000)+[1]!b_stm07_bs(B508,106,$A508,1,100000000)+[1]!b_stm07_bs(B508,76,$A508,1,100000000)+[1]!b_stm07_bs(B508,108,$A508,1,100000000)+[1]!b_stm07_bs(B508,95,$A508,1,100000000))/[1]!b_stm07_bs(B508,128,$A508,1,100000000),"")</f>
        <v/>
      </c>
      <c r="T508" s="11">
        <f>[1]!b_issuer_shareholder(B508,"",1)</f>
        <v>0</v>
      </c>
      <c r="U508" s="10">
        <f>[1]!b_issuer_propofshareholder(B508,"",1)</f>
        <v>0</v>
      </c>
      <c r="V508" s="33" t="str">
        <f t="shared" si="15"/>
        <v>0</v>
      </c>
      <c r="W508" s="33">
        <f>[1]!s_info_city(B508)</f>
        <v>0</v>
      </c>
      <c r="X508" s="10">
        <f>IF([1]!s_stmnote_bank_17n(B508,$A508,1)="0","",[1]!s_stmnote_bank_17n(B508,$A508,1))</f>
        <v>0</v>
      </c>
      <c r="Y508" s="10">
        <f>IF([1]!s_stmnote_bank_18n(B508,$A508,1)="0","",[1]!s_stmnote_bank_18n(B508,$A508,1))</f>
        <v>0</v>
      </c>
      <c r="Z508" s="41">
        <f>IF([1]!s_stmnote_bank_58(B508,$A508,1)="0","",[1]!s_stmnote_bank_58(B508,$A508,1))</f>
        <v>0</v>
      </c>
      <c r="AA508" s="52">
        <f>IF([1]!s_stmnote_bank_60(B508,$A508,1)="0","",[1]!s_stmnote_bank_60(B508,$A508,1))</f>
        <v>0</v>
      </c>
      <c r="AB508" s="52">
        <f>[1]!s_stmnote_bank_5444(B508,$A508,1)</f>
        <v>0</v>
      </c>
      <c r="AC508" s="38">
        <f>[1]!s_stmnote_bank_129n($B508,$A508,1)</f>
        <v>0</v>
      </c>
      <c r="AD508" s="54">
        <f>[1]!s_stmnote_bank_30(B508,$A508,1)</f>
        <v>0</v>
      </c>
    </row>
    <row r="509" spans="1:30" ht="24">
      <c r="A509" s="1" t="s">
        <v>1110</v>
      </c>
      <c r="B509" s="87" t="s">
        <v>1617</v>
      </c>
      <c r="C509" s="8">
        <f>IF([1]!b_info_issuer(B509)="0","",IFERROR([1]!b_info_issuer(B509),""))</f>
        <v>0</v>
      </c>
      <c r="D509" s="11">
        <f>IF([1]!b_info_latestissurercreditrating(B509)="0","",IFERROR([1]!b_info_latestissurercreditrating(B509),""))</f>
        <v>0</v>
      </c>
      <c r="E509" s="27" t="str">
        <f>IFERROR(([1]!b_stm07_bs($B509,47,$A509,1,100000000))/[1]!b_stm07_bs($B509,109,$A509,1,100000000),"")</f>
        <v/>
      </c>
      <c r="F509" s="18" t="str">
        <f>IFERROR(([1]!s_stmnote_bank_26($B509,$A509,1,100000000)-[1]!s_stmnote_bank_26($B509,#REF!,1,100000000)+#REF!)/[1]!s_stmnote_bank_1n($B509,#REF!,1,100000000),"")</f>
        <v/>
      </c>
      <c r="G509" s="21" t="str">
        <f t="shared" si="14"/>
        <v/>
      </c>
      <c r="H509" s="18" t="str">
        <f>IFERROR([1]!s_stmnote_bank($B509,"34",$A509,100000000)/[1]!s_stmnote_bank_1n(B509,$A509,1,100000000),"")</f>
        <v/>
      </c>
      <c r="I509" s="25">
        <f>[1]!b_stm07_bs(B509,74,$A509,1,100000000)</f>
        <v>0</v>
      </c>
      <c r="J509" s="25">
        <f>[1]!b_stm07_bs(B509,109,$A509,1,100000000)</f>
        <v>0</v>
      </c>
      <c r="K509" s="10">
        <f>[1]!s_stmnote_bank_5n(B509,$A509,1)</f>
        <v>0</v>
      </c>
      <c r="L509" s="25">
        <f>[1]!s_stmnote_bank_23n(B509,$A509,1)</f>
        <v>0</v>
      </c>
      <c r="M509" s="25">
        <f>[1]!s_stmnote_bank_capadequacyratio(B509,$A509,1)</f>
        <v>0</v>
      </c>
      <c r="N509" s="25">
        <f>[1]!s_stmnote_bank_capadequacyratio_ct1(B509,$A509,1)</f>
        <v>0</v>
      </c>
      <c r="O509" s="6">
        <f>IF(OR([1]!s_fa_roe(B509,20201231)="0",[1]!s_fa_roe(B509,20211231)="0",[1]!s_fa_roe(B509,20221231)="0"),"",IFERROR(([1]!s_fa_roe(B509,20221231)+[1]!s_fa_roe(B509,20201231)+[1]!s_fa_roe(B509,20211231))/3,""))</f>
        <v>0</v>
      </c>
      <c r="P509" s="28" t="str">
        <f>IFERROR(([1]!s_stmnote_bank_65(B509,$A509,1,2,4,100000000)+[1]!s_stmnote_bank_65(B509,$A509,1,2,6,100000000))/[1]!s_stmnote_bank_1n(B509,$A509,1,100000000),"")</f>
        <v/>
      </c>
      <c r="Q509" s="28" t="str">
        <f>IFERROR([1]!s_stmnote_bank_614(B509,$A509,1,2,100000000)/[1]!s_stmnote_bank_647(B509,$A509,1,2,100000000),"")</f>
        <v/>
      </c>
      <c r="R509" s="28" t="str">
        <f>IFERROR(([1]!b_stm07_bs(B509,104,$A509,1,100000000)+[1]!b_stm07_bs(B509,106,$A509,1,100000000)+[1]!b_stm07_bs(B509,76,$A509,1,100000000)+[1]!b_stm07_bs(B509,108,$A509,1,100000000)+[1]!b_stm07_bs(B509,95,$A509,1,100000000))/[1]!b_stm07_bs(B509,128,$A509,1,100000000),"")</f>
        <v/>
      </c>
      <c r="S509" s="28" t="str">
        <f>IFERROR(([1]!s_stmnote_bank_614(B509,$A509,1,2,100000000)+[1]!b_stm07_bs(B509,104,$A509,1,100000000)+[1]!b_stm07_bs(B509,106,$A509,1,100000000)+[1]!b_stm07_bs(B509,76,$A509,1,100000000)+[1]!b_stm07_bs(B509,108,$A509,1,100000000)+[1]!b_stm07_bs(B509,95,$A509,1,100000000))/[1]!b_stm07_bs(B509,128,$A509,1,100000000),"")</f>
        <v/>
      </c>
      <c r="T509" s="11">
        <f>[1]!b_issuer_shareholder(B509,"",1)</f>
        <v>0</v>
      </c>
      <c r="U509" s="10">
        <f>[1]!b_issuer_propofshareholder(B509,"",1)</f>
        <v>0</v>
      </c>
      <c r="V509" s="33" t="str">
        <f t="shared" si="15"/>
        <v>0</v>
      </c>
      <c r="W509" s="33">
        <f>[1]!s_info_city(B509)</f>
        <v>0</v>
      </c>
      <c r="X509" s="10">
        <f>IF([1]!s_stmnote_bank_17n(B509,$A509,1)="0","",[1]!s_stmnote_bank_17n(B509,$A509,1))</f>
        <v>0</v>
      </c>
      <c r="Y509" s="10">
        <f>IF([1]!s_stmnote_bank_18n(B509,$A509,1)="0","",[1]!s_stmnote_bank_18n(B509,$A509,1))</f>
        <v>0</v>
      </c>
      <c r="Z509" s="41">
        <f>IF([1]!s_stmnote_bank_58(B509,$A509,1)="0","",[1]!s_stmnote_bank_58(B509,$A509,1))</f>
        <v>0</v>
      </c>
      <c r="AA509" s="52">
        <f>IF([1]!s_stmnote_bank_60(B509,$A509,1)="0","",[1]!s_stmnote_bank_60(B509,$A509,1))</f>
        <v>0</v>
      </c>
      <c r="AB509" s="52">
        <f>[1]!s_stmnote_bank_5444(B509,$A509,1)</f>
        <v>0</v>
      </c>
      <c r="AC509" s="38">
        <f>[1]!s_stmnote_bank_129n($B509,$A509,1)</f>
        <v>0</v>
      </c>
      <c r="AD509" s="54">
        <f>[1]!s_stmnote_bank_30(B509,$A509,1)</f>
        <v>0</v>
      </c>
    </row>
    <row r="510" spans="1:30" ht="24">
      <c r="A510" s="1" t="s">
        <v>1110</v>
      </c>
      <c r="B510" s="87" t="s">
        <v>1618</v>
      </c>
      <c r="C510" s="8">
        <f>IF([1]!b_info_issuer(B510)="0","",IFERROR([1]!b_info_issuer(B510),""))</f>
        <v>0</v>
      </c>
      <c r="D510" s="11">
        <f>IF([1]!b_info_latestissurercreditrating(B510)="0","",IFERROR([1]!b_info_latestissurercreditrating(B510),""))</f>
        <v>0</v>
      </c>
      <c r="E510" s="27" t="str">
        <f>IFERROR(([1]!b_stm07_bs($B510,47,$A510,1,100000000))/[1]!b_stm07_bs($B510,109,$A510,1,100000000),"")</f>
        <v/>
      </c>
      <c r="F510" s="18" t="str">
        <f>IFERROR(([1]!s_stmnote_bank_26($B510,$A510,1,100000000)-[1]!s_stmnote_bank_26($B510,#REF!,1,100000000)+#REF!)/[1]!s_stmnote_bank_1n($B510,#REF!,1,100000000),"")</f>
        <v/>
      </c>
      <c r="G510" s="21" t="str">
        <f t="shared" si="14"/>
        <v/>
      </c>
      <c r="H510" s="18" t="str">
        <f>IFERROR([1]!s_stmnote_bank($B510,"34",$A510,100000000)/[1]!s_stmnote_bank_1n(B510,$A510,1,100000000),"")</f>
        <v/>
      </c>
      <c r="I510" s="25">
        <f>[1]!b_stm07_bs(B510,74,$A510,1,100000000)</f>
        <v>0</v>
      </c>
      <c r="J510" s="25">
        <f>[1]!b_stm07_bs(B510,109,$A510,1,100000000)</f>
        <v>0</v>
      </c>
      <c r="K510" s="10">
        <f>[1]!s_stmnote_bank_5n(B510,$A510,1)</f>
        <v>0</v>
      </c>
      <c r="L510" s="25">
        <f>[1]!s_stmnote_bank_23n(B510,$A510,1)</f>
        <v>0</v>
      </c>
      <c r="M510" s="25">
        <f>[1]!s_stmnote_bank_capadequacyratio(B510,$A510,1)</f>
        <v>0</v>
      </c>
      <c r="N510" s="25">
        <f>[1]!s_stmnote_bank_capadequacyratio_ct1(B510,$A510,1)</f>
        <v>0</v>
      </c>
      <c r="O510" s="6">
        <f>IF(OR([1]!s_fa_roe(B510,20201231)="0",[1]!s_fa_roe(B510,20211231)="0",[1]!s_fa_roe(B510,20221231)="0"),"",IFERROR(([1]!s_fa_roe(B510,20221231)+[1]!s_fa_roe(B510,20201231)+[1]!s_fa_roe(B510,20211231))/3,""))</f>
        <v>0</v>
      </c>
      <c r="P510" s="28" t="str">
        <f>IFERROR(([1]!s_stmnote_bank_65(B510,$A510,1,2,4,100000000)+[1]!s_stmnote_bank_65(B510,$A510,1,2,6,100000000))/[1]!s_stmnote_bank_1n(B510,$A510,1,100000000),"")</f>
        <v/>
      </c>
      <c r="Q510" s="28" t="str">
        <f>IFERROR([1]!s_stmnote_bank_614(B510,$A510,1,2,100000000)/[1]!s_stmnote_bank_647(B510,$A510,1,2,100000000),"")</f>
        <v/>
      </c>
      <c r="R510" s="28" t="str">
        <f>IFERROR(([1]!b_stm07_bs(B510,104,$A510,1,100000000)+[1]!b_stm07_bs(B510,106,$A510,1,100000000)+[1]!b_stm07_bs(B510,76,$A510,1,100000000)+[1]!b_stm07_bs(B510,108,$A510,1,100000000)+[1]!b_stm07_bs(B510,95,$A510,1,100000000))/[1]!b_stm07_bs(B510,128,$A510,1,100000000),"")</f>
        <v/>
      </c>
      <c r="S510" s="28" t="str">
        <f>IFERROR(([1]!s_stmnote_bank_614(B510,$A510,1,2,100000000)+[1]!b_stm07_bs(B510,104,$A510,1,100000000)+[1]!b_stm07_bs(B510,106,$A510,1,100000000)+[1]!b_stm07_bs(B510,76,$A510,1,100000000)+[1]!b_stm07_bs(B510,108,$A510,1,100000000)+[1]!b_stm07_bs(B510,95,$A510,1,100000000))/[1]!b_stm07_bs(B510,128,$A510,1,100000000),"")</f>
        <v/>
      </c>
      <c r="T510" s="11">
        <f>[1]!b_issuer_shareholder(B510,"",1)</f>
        <v>0</v>
      </c>
      <c r="U510" s="10">
        <f>[1]!b_issuer_propofshareholder(B510,"",1)</f>
        <v>0</v>
      </c>
      <c r="V510" s="33" t="str">
        <f t="shared" si="15"/>
        <v>0</v>
      </c>
      <c r="W510" s="33">
        <f>[1]!s_info_city(B510)</f>
        <v>0</v>
      </c>
      <c r="X510" s="10">
        <f>IF([1]!s_stmnote_bank_17n(B510,$A510,1)="0","",[1]!s_stmnote_bank_17n(B510,$A510,1))</f>
        <v>0</v>
      </c>
      <c r="Y510" s="10">
        <f>IF([1]!s_stmnote_bank_18n(B510,$A510,1)="0","",[1]!s_stmnote_bank_18n(B510,$A510,1))</f>
        <v>0</v>
      </c>
      <c r="Z510" s="41">
        <f>IF([1]!s_stmnote_bank_58(B510,$A510,1)="0","",[1]!s_stmnote_bank_58(B510,$A510,1))</f>
        <v>0</v>
      </c>
      <c r="AA510" s="52">
        <f>IF([1]!s_stmnote_bank_60(B510,$A510,1)="0","",[1]!s_stmnote_bank_60(B510,$A510,1))</f>
        <v>0</v>
      </c>
      <c r="AB510" s="52">
        <f>[1]!s_stmnote_bank_5444(B510,$A510,1)</f>
        <v>0</v>
      </c>
      <c r="AC510" s="38">
        <f>[1]!s_stmnote_bank_129n($B510,$A510,1)</f>
        <v>0</v>
      </c>
      <c r="AD510" s="54">
        <f>[1]!s_stmnote_bank_30(B510,$A510,1)</f>
        <v>0</v>
      </c>
    </row>
    <row r="511" spans="1:30" ht="24">
      <c r="A511" s="1" t="s">
        <v>1110</v>
      </c>
      <c r="B511" s="87" t="s">
        <v>1619</v>
      </c>
      <c r="C511" s="8">
        <f>IF([1]!b_info_issuer(B511)="0","",IFERROR([1]!b_info_issuer(B511),""))</f>
        <v>0</v>
      </c>
      <c r="D511" s="11">
        <f>IF([1]!b_info_latestissurercreditrating(B511)="0","",IFERROR([1]!b_info_latestissurercreditrating(B511),""))</f>
        <v>0</v>
      </c>
      <c r="E511" s="27" t="str">
        <f>IFERROR(([1]!b_stm07_bs($B511,47,$A511,1,100000000))/[1]!b_stm07_bs($B511,109,$A511,1,100000000),"")</f>
        <v/>
      </c>
      <c r="F511" s="18" t="str">
        <f>IFERROR(([1]!s_stmnote_bank_26($B511,$A511,1,100000000)-[1]!s_stmnote_bank_26($B511,#REF!,1,100000000)+#REF!)/[1]!s_stmnote_bank_1n($B511,#REF!,1,100000000),"")</f>
        <v/>
      </c>
      <c r="G511" s="21" t="str">
        <f t="shared" si="14"/>
        <v/>
      </c>
      <c r="H511" s="18" t="str">
        <f>IFERROR([1]!s_stmnote_bank($B511,"34",$A511,100000000)/[1]!s_stmnote_bank_1n(B511,$A511,1,100000000),"")</f>
        <v/>
      </c>
      <c r="I511" s="25">
        <f>[1]!b_stm07_bs(B511,74,$A511,1,100000000)</f>
        <v>0</v>
      </c>
      <c r="J511" s="25">
        <f>[1]!b_stm07_bs(B511,109,$A511,1,100000000)</f>
        <v>0</v>
      </c>
      <c r="K511" s="10">
        <f>[1]!s_stmnote_bank_5n(B511,$A511,1)</f>
        <v>0</v>
      </c>
      <c r="L511" s="25">
        <f>[1]!s_stmnote_bank_23n(B511,$A511,1)</f>
        <v>0</v>
      </c>
      <c r="M511" s="25">
        <f>[1]!s_stmnote_bank_capadequacyratio(B511,$A511,1)</f>
        <v>0</v>
      </c>
      <c r="N511" s="25">
        <f>[1]!s_stmnote_bank_capadequacyratio_ct1(B511,$A511,1)</f>
        <v>0</v>
      </c>
      <c r="O511" s="6">
        <f>IF(OR([1]!s_fa_roe(B511,20201231)="0",[1]!s_fa_roe(B511,20211231)="0",[1]!s_fa_roe(B511,20221231)="0"),"",IFERROR(([1]!s_fa_roe(B511,20221231)+[1]!s_fa_roe(B511,20201231)+[1]!s_fa_roe(B511,20211231))/3,""))</f>
        <v>0</v>
      </c>
      <c r="P511" s="28" t="str">
        <f>IFERROR(([1]!s_stmnote_bank_65(B511,$A511,1,2,4,100000000)+[1]!s_stmnote_bank_65(B511,$A511,1,2,6,100000000))/[1]!s_stmnote_bank_1n(B511,$A511,1,100000000),"")</f>
        <v/>
      </c>
      <c r="Q511" s="28" t="str">
        <f>IFERROR([1]!s_stmnote_bank_614(B511,$A511,1,2,100000000)/[1]!s_stmnote_bank_647(B511,$A511,1,2,100000000),"")</f>
        <v/>
      </c>
      <c r="R511" s="28" t="str">
        <f>IFERROR(([1]!b_stm07_bs(B511,104,$A511,1,100000000)+[1]!b_stm07_bs(B511,106,$A511,1,100000000)+[1]!b_stm07_bs(B511,76,$A511,1,100000000)+[1]!b_stm07_bs(B511,108,$A511,1,100000000)+[1]!b_stm07_bs(B511,95,$A511,1,100000000))/[1]!b_stm07_bs(B511,128,$A511,1,100000000),"")</f>
        <v/>
      </c>
      <c r="S511" s="28" t="str">
        <f>IFERROR(([1]!s_stmnote_bank_614(B511,$A511,1,2,100000000)+[1]!b_stm07_bs(B511,104,$A511,1,100000000)+[1]!b_stm07_bs(B511,106,$A511,1,100000000)+[1]!b_stm07_bs(B511,76,$A511,1,100000000)+[1]!b_stm07_bs(B511,108,$A511,1,100000000)+[1]!b_stm07_bs(B511,95,$A511,1,100000000))/[1]!b_stm07_bs(B511,128,$A511,1,100000000),"")</f>
        <v/>
      </c>
      <c r="T511" s="11">
        <f>[1]!b_issuer_shareholder(B511,"",1)</f>
        <v>0</v>
      </c>
      <c r="U511" s="10">
        <f>[1]!b_issuer_propofshareholder(B511,"",1)</f>
        <v>0</v>
      </c>
      <c r="V511" s="33" t="str">
        <f t="shared" si="15"/>
        <v>0</v>
      </c>
      <c r="W511" s="33">
        <f>[1]!s_info_city(B511)</f>
        <v>0</v>
      </c>
      <c r="X511" s="10">
        <f>IF([1]!s_stmnote_bank_17n(B511,$A511,1)="0","",[1]!s_stmnote_bank_17n(B511,$A511,1))</f>
        <v>0</v>
      </c>
      <c r="Y511" s="10">
        <f>IF([1]!s_stmnote_bank_18n(B511,$A511,1)="0","",[1]!s_stmnote_bank_18n(B511,$A511,1))</f>
        <v>0</v>
      </c>
      <c r="Z511" s="41">
        <f>IF([1]!s_stmnote_bank_58(B511,$A511,1)="0","",[1]!s_stmnote_bank_58(B511,$A511,1))</f>
        <v>0</v>
      </c>
      <c r="AA511" s="52">
        <f>IF([1]!s_stmnote_bank_60(B511,$A511,1)="0","",[1]!s_stmnote_bank_60(B511,$A511,1))</f>
        <v>0</v>
      </c>
      <c r="AB511" s="52">
        <f>[1]!s_stmnote_bank_5444(B511,$A511,1)</f>
        <v>0</v>
      </c>
      <c r="AC511" s="38">
        <f>[1]!s_stmnote_bank_129n($B511,$A511,1)</f>
        <v>0</v>
      </c>
      <c r="AD511" s="54">
        <f>[1]!s_stmnote_bank_30(B511,$A511,1)</f>
        <v>0</v>
      </c>
    </row>
    <row r="512" spans="1:30" ht="24">
      <c r="A512" s="1" t="s">
        <v>1110</v>
      </c>
      <c r="B512" s="87" t="s">
        <v>1620</v>
      </c>
      <c r="C512" s="8">
        <f>IF([1]!b_info_issuer(B512)="0","",IFERROR([1]!b_info_issuer(B512),""))</f>
        <v>0</v>
      </c>
      <c r="D512" s="11">
        <f>IF([1]!b_info_latestissurercreditrating(B512)="0","",IFERROR([1]!b_info_latestissurercreditrating(B512),""))</f>
        <v>0</v>
      </c>
      <c r="E512" s="27" t="str">
        <f>IFERROR(([1]!b_stm07_bs($B512,47,$A512,1,100000000))/[1]!b_stm07_bs($B512,109,$A512,1,100000000),"")</f>
        <v/>
      </c>
      <c r="F512" s="18" t="str">
        <f>IFERROR(([1]!s_stmnote_bank_26($B512,$A512,1,100000000)-[1]!s_stmnote_bank_26($B512,#REF!,1,100000000)+#REF!)/[1]!s_stmnote_bank_1n($B512,#REF!,1,100000000),"")</f>
        <v/>
      </c>
      <c r="G512" s="21" t="str">
        <f t="shared" si="14"/>
        <v/>
      </c>
      <c r="H512" s="18" t="str">
        <f>IFERROR([1]!s_stmnote_bank($B512,"34",$A512,100000000)/[1]!s_stmnote_bank_1n(B512,$A512,1,100000000),"")</f>
        <v/>
      </c>
      <c r="I512" s="25">
        <f>[1]!b_stm07_bs(B512,74,$A512,1,100000000)</f>
        <v>0</v>
      </c>
      <c r="J512" s="25">
        <f>[1]!b_stm07_bs(B512,109,$A512,1,100000000)</f>
        <v>0</v>
      </c>
      <c r="K512" s="10">
        <f>[1]!s_stmnote_bank_5n(B512,$A512,1)</f>
        <v>0</v>
      </c>
      <c r="L512" s="25">
        <f>[1]!s_stmnote_bank_23n(B512,$A512,1)</f>
        <v>0</v>
      </c>
      <c r="M512" s="25">
        <f>[1]!s_stmnote_bank_capadequacyratio(B512,$A512,1)</f>
        <v>0</v>
      </c>
      <c r="N512" s="25">
        <f>[1]!s_stmnote_bank_capadequacyratio_ct1(B512,$A512,1)</f>
        <v>0</v>
      </c>
      <c r="O512" s="6">
        <f>IF(OR([1]!s_fa_roe(B512,20201231)="0",[1]!s_fa_roe(B512,20211231)="0",[1]!s_fa_roe(B512,20221231)="0"),"",IFERROR(([1]!s_fa_roe(B512,20221231)+[1]!s_fa_roe(B512,20201231)+[1]!s_fa_roe(B512,20211231))/3,""))</f>
        <v>0</v>
      </c>
      <c r="P512" s="28" t="str">
        <f>IFERROR(([1]!s_stmnote_bank_65(B512,$A512,1,2,4,100000000)+[1]!s_stmnote_bank_65(B512,$A512,1,2,6,100000000))/[1]!s_stmnote_bank_1n(B512,$A512,1,100000000),"")</f>
        <v/>
      </c>
      <c r="Q512" s="28" t="str">
        <f>IFERROR([1]!s_stmnote_bank_614(B512,$A512,1,2,100000000)/[1]!s_stmnote_bank_647(B512,$A512,1,2,100000000),"")</f>
        <v/>
      </c>
      <c r="R512" s="28" t="str">
        <f>IFERROR(([1]!b_stm07_bs(B512,104,$A512,1,100000000)+[1]!b_stm07_bs(B512,106,$A512,1,100000000)+[1]!b_stm07_bs(B512,76,$A512,1,100000000)+[1]!b_stm07_bs(B512,108,$A512,1,100000000)+[1]!b_stm07_bs(B512,95,$A512,1,100000000))/[1]!b_stm07_bs(B512,128,$A512,1,100000000),"")</f>
        <v/>
      </c>
      <c r="S512" s="28" t="str">
        <f>IFERROR(([1]!s_stmnote_bank_614(B512,$A512,1,2,100000000)+[1]!b_stm07_bs(B512,104,$A512,1,100000000)+[1]!b_stm07_bs(B512,106,$A512,1,100000000)+[1]!b_stm07_bs(B512,76,$A512,1,100000000)+[1]!b_stm07_bs(B512,108,$A512,1,100000000)+[1]!b_stm07_bs(B512,95,$A512,1,100000000))/[1]!b_stm07_bs(B512,128,$A512,1,100000000),"")</f>
        <v/>
      </c>
      <c r="T512" s="11">
        <f>[1]!b_issuer_shareholder(B512,"",1)</f>
        <v>0</v>
      </c>
      <c r="U512" s="10">
        <f>[1]!b_issuer_propofshareholder(B512,"",1)</f>
        <v>0</v>
      </c>
      <c r="V512" s="33" t="str">
        <f t="shared" si="15"/>
        <v>0</v>
      </c>
      <c r="W512" s="33">
        <f>[1]!s_info_city(B512)</f>
        <v>0</v>
      </c>
      <c r="X512" s="10">
        <f>IF([1]!s_stmnote_bank_17n(B512,$A512,1)="0","",[1]!s_stmnote_bank_17n(B512,$A512,1))</f>
        <v>0</v>
      </c>
      <c r="Y512" s="10">
        <f>IF([1]!s_stmnote_bank_18n(B512,$A512,1)="0","",[1]!s_stmnote_bank_18n(B512,$A512,1))</f>
        <v>0</v>
      </c>
      <c r="Z512" s="41">
        <f>IF([1]!s_stmnote_bank_58(B512,$A512,1)="0","",[1]!s_stmnote_bank_58(B512,$A512,1))</f>
        <v>0</v>
      </c>
      <c r="AA512" s="52">
        <f>IF([1]!s_stmnote_bank_60(B512,$A512,1)="0","",[1]!s_stmnote_bank_60(B512,$A512,1))</f>
        <v>0</v>
      </c>
      <c r="AB512" s="52">
        <f>[1]!s_stmnote_bank_5444(B512,$A512,1)</f>
        <v>0</v>
      </c>
      <c r="AC512" s="38">
        <f>[1]!s_stmnote_bank_129n($B512,$A512,1)</f>
        <v>0</v>
      </c>
      <c r="AD512" s="54">
        <f>[1]!s_stmnote_bank_30(B512,$A512,1)</f>
        <v>0</v>
      </c>
    </row>
    <row r="513" spans="1:30" ht="24">
      <c r="A513" s="1" t="s">
        <v>1110</v>
      </c>
      <c r="B513" s="87" t="s">
        <v>1621</v>
      </c>
      <c r="C513" s="8">
        <f>IF([1]!b_info_issuer(B513)="0","",IFERROR([1]!b_info_issuer(B513),""))</f>
        <v>0</v>
      </c>
      <c r="D513" s="11">
        <f>IF([1]!b_info_latestissurercreditrating(B513)="0","",IFERROR([1]!b_info_latestissurercreditrating(B513),""))</f>
        <v>0</v>
      </c>
      <c r="E513" s="27" t="str">
        <f>IFERROR(([1]!b_stm07_bs($B513,47,$A513,1,100000000))/[1]!b_stm07_bs($B513,109,$A513,1,100000000),"")</f>
        <v/>
      </c>
      <c r="F513" s="18" t="str">
        <f>IFERROR(([1]!s_stmnote_bank_26($B513,$A513,1,100000000)-[1]!s_stmnote_bank_26($B513,#REF!,1,100000000)+#REF!)/[1]!s_stmnote_bank_1n($B513,#REF!,1,100000000),"")</f>
        <v/>
      </c>
      <c r="G513" s="21" t="str">
        <f t="shared" si="14"/>
        <v/>
      </c>
      <c r="H513" s="18" t="str">
        <f>IFERROR([1]!s_stmnote_bank($B513,"34",$A513,100000000)/[1]!s_stmnote_bank_1n(B513,$A513,1,100000000),"")</f>
        <v/>
      </c>
      <c r="I513" s="25">
        <f>[1]!b_stm07_bs(B513,74,$A513,1,100000000)</f>
        <v>0</v>
      </c>
      <c r="J513" s="25">
        <f>[1]!b_stm07_bs(B513,109,$A513,1,100000000)</f>
        <v>0</v>
      </c>
      <c r="K513" s="10">
        <f>[1]!s_stmnote_bank_5n(B513,$A513,1)</f>
        <v>0</v>
      </c>
      <c r="L513" s="25">
        <f>[1]!s_stmnote_bank_23n(B513,$A513,1)</f>
        <v>0</v>
      </c>
      <c r="M513" s="25">
        <f>[1]!s_stmnote_bank_capadequacyratio(B513,$A513,1)</f>
        <v>0</v>
      </c>
      <c r="N513" s="25">
        <f>[1]!s_stmnote_bank_capadequacyratio_ct1(B513,$A513,1)</f>
        <v>0</v>
      </c>
      <c r="O513" s="6">
        <f>IF(OR([1]!s_fa_roe(B513,20201231)="0",[1]!s_fa_roe(B513,20211231)="0",[1]!s_fa_roe(B513,20221231)="0"),"",IFERROR(([1]!s_fa_roe(B513,20221231)+[1]!s_fa_roe(B513,20201231)+[1]!s_fa_roe(B513,20211231))/3,""))</f>
        <v>0</v>
      </c>
      <c r="P513" s="28" t="str">
        <f>IFERROR(([1]!s_stmnote_bank_65(B513,$A513,1,2,4,100000000)+[1]!s_stmnote_bank_65(B513,$A513,1,2,6,100000000))/[1]!s_stmnote_bank_1n(B513,$A513,1,100000000),"")</f>
        <v/>
      </c>
      <c r="Q513" s="28" t="str">
        <f>IFERROR([1]!s_stmnote_bank_614(B513,$A513,1,2,100000000)/[1]!s_stmnote_bank_647(B513,$A513,1,2,100000000),"")</f>
        <v/>
      </c>
      <c r="R513" s="28" t="str">
        <f>IFERROR(([1]!b_stm07_bs(B513,104,$A513,1,100000000)+[1]!b_stm07_bs(B513,106,$A513,1,100000000)+[1]!b_stm07_bs(B513,76,$A513,1,100000000)+[1]!b_stm07_bs(B513,108,$A513,1,100000000)+[1]!b_stm07_bs(B513,95,$A513,1,100000000))/[1]!b_stm07_bs(B513,128,$A513,1,100000000),"")</f>
        <v/>
      </c>
      <c r="S513" s="28" t="str">
        <f>IFERROR(([1]!s_stmnote_bank_614(B513,$A513,1,2,100000000)+[1]!b_stm07_bs(B513,104,$A513,1,100000000)+[1]!b_stm07_bs(B513,106,$A513,1,100000000)+[1]!b_stm07_bs(B513,76,$A513,1,100000000)+[1]!b_stm07_bs(B513,108,$A513,1,100000000)+[1]!b_stm07_bs(B513,95,$A513,1,100000000))/[1]!b_stm07_bs(B513,128,$A513,1,100000000),"")</f>
        <v/>
      </c>
      <c r="T513" s="11">
        <f>[1]!b_issuer_shareholder(B513,"",1)</f>
        <v>0</v>
      </c>
      <c r="U513" s="10">
        <f>[1]!b_issuer_propofshareholder(B513,"",1)</f>
        <v>0</v>
      </c>
      <c r="V513" s="33" t="str">
        <f t="shared" si="15"/>
        <v>0</v>
      </c>
      <c r="W513" s="33">
        <f>[1]!s_info_city(B513)</f>
        <v>0</v>
      </c>
      <c r="X513" s="10">
        <f>IF([1]!s_stmnote_bank_17n(B513,$A513,1)="0","",[1]!s_stmnote_bank_17n(B513,$A513,1))</f>
        <v>0</v>
      </c>
      <c r="Y513" s="10">
        <f>IF([1]!s_stmnote_bank_18n(B513,$A513,1)="0","",[1]!s_stmnote_bank_18n(B513,$A513,1))</f>
        <v>0</v>
      </c>
      <c r="Z513" s="41">
        <f>IF([1]!s_stmnote_bank_58(B513,$A513,1)="0","",[1]!s_stmnote_bank_58(B513,$A513,1))</f>
        <v>0</v>
      </c>
      <c r="AA513" s="52">
        <f>IF([1]!s_stmnote_bank_60(B513,$A513,1)="0","",[1]!s_stmnote_bank_60(B513,$A513,1))</f>
        <v>0</v>
      </c>
      <c r="AB513" s="52">
        <f>[1]!s_stmnote_bank_5444(B513,$A513,1)</f>
        <v>0</v>
      </c>
      <c r="AC513" s="38">
        <f>[1]!s_stmnote_bank_129n($B513,$A513,1)</f>
        <v>0</v>
      </c>
      <c r="AD513" s="54">
        <f>[1]!s_stmnote_bank_30(B513,$A513,1)</f>
        <v>0</v>
      </c>
    </row>
    <row r="514" spans="1:30" ht="24">
      <c r="A514" s="1" t="s">
        <v>1110</v>
      </c>
      <c r="B514" s="87" t="s">
        <v>1622</v>
      </c>
      <c r="C514" s="8">
        <f>IF([1]!b_info_issuer(B514)="0","",IFERROR([1]!b_info_issuer(B514),""))</f>
        <v>0</v>
      </c>
      <c r="D514" s="11">
        <f>IF([1]!b_info_latestissurercreditrating(B514)="0","",IFERROR([1]!b_info_latestissurercreditrating(B514),""))</f>
        <v>0</v>
      </c>
      <c r="E514" s="27" t="str">
        <f>IFERROR(([1]!b_stm07_bs($B514,47,$A514,1,100000000))/[1]!b_stm07_bs($B514,109,$A514,1,100000000),"")</f>
        <v/>
      </c>
      <c r="F514" s="18" t="str">
        <f>IFERROR(([1]!s_stmnote_bank_26($B514,$A514,1,100000000)-[1]!s_stmnote_bank_26($B514,#REF!,1,100000000)+#REF!)/[1]!s_stmnote_bank_1n($B514,#REF!,1,100000000),"")</f>
        <v/>
      </c>
      <c r="G514" s="21" t="str">
        <f t="shared" si="14"/>
        <v/>
      </c>
      <c r="H514" s="18" t="str">
        <f>IFERROR([1]!s_stmnote_bank($B514,"34",$A514,100000000)/[1]!s_stmnote_bank_1n(B514,$A514,1,100000000),"")</f>
        <v/>
      </c>
      <c r="I514" s="25">
        <f>[1]!b_stm07_bs(B514,74,$A514,1,100000000)</f>
        <v>0</v>
      </c>
      <c r="J514" s="25">
        <f>[1]!b_stm07_bs(B514,109,$A514,1,100000000)</f>
        <v>0</v>
      </c>
      <c r="K514" s="10">
        <f>[1]!s_stmnote_bank_5n(B514,$A514,1)</f>
        <v>0</v>
      </c>
      <c r="L514" s="25">
        <f>[1]!s_stmnote_bank_23n(B514,$A514,1)</f>
        <v>0</v>
      </c>
      <c r="M514" s="25">
        <f>[1]!s_stmnote_bank_capadequacyratio(B514,$A514,1)</f>
        <v>0</v>
      </c>
      <c r="N514" s="25">
        <f>[1]!s_stmnote_bank_capadequacyratio_ct1(B514,$A514,1)</f>
        <v>0</v>
      </c>
      <c r="O514" s="6">
        <f>IF(OR([1]!s_fa_roe(B514,20201231)="0",[1]!s_fa_roe(B514,20211231)="0",[1]!s_fa_roe(B514,20221231)="0"),"",IFERROR(([1]!s_fa_roe(B514,20221231)+[1]!s_fa_roe(B514,20201231)+[1]!s_fa_roe(B514,20211231))/3,""))</f>
        <v>0</v>
      </c>
      <c r="P514" s="28" t="str">
        <f>IFERROR(([1]!s_stmnote_bank_65(B514,$A514,1,2,4,100000000)+[1]!s_stmnote_bank_65(B514,$A514,1,2,6,100000000))/[1]!s_stmnote_bank_1n(B514,$A514,1,100000000),"")</f>
        <v/>
      </c>
      <c r="Q514" s="28" t="str">
        <f>IFERROR([1]!s_stmnote_bank_614(B514,$A514,1,2,100000000)/[1]!s_stmnote_bank_647(B514,$A514,1,2,100000000),"")</f>
        <v/>
      </c>
      <c r="R514" s="28" t="str">
        <f>IFERROR(([1]!b_stm07_bs(B514,104,$A514,1,100000000)+[1]!b_stm07_bs(B514,106,$A514,1,100000000)+[1]!b_stm07_bs(B514,76,$A514,1,100000000)+[1]!b_stm07_bs(B514,108,$A514,1,100000000)+[1]!b_stm07_bs(B514,95,$A514,1,100000000))/[1]!b_stm07_bs(B514,128,$A514,1,100000000),"")</f>
        <v/>
      </c>
      <c r="S514" s="28" t="str">
        <f>IFERROR(([1]!s_stmnote_bank_614(B514,$A514,1,2,100000000)+[1]!b_stm07_bs(B514,104,$A514,1,100000000)+[1]!b_stm07_bs(B514,106,$A514,1,100000000)+[1]!b_stm07_bs(B514,76,$A514,1,100000000)+[1]!b_stm07_bs(B514,108,$A514,1,100000000)+[1]!b_stm07_bs(B514,95,$A514,1,100000000))/[1]!b_stm07_bs(B514,128,$A514,1,100000000),"")</f>
        <v/>
      </c>
      <c r="T514" s="11">
        <f>[1]!b_issuer_shareholder(B514,"",1)</f>
        <v>0</v>
      </c>
      <c r="U514" s="10">
        <f>[1]!b_issuer_propofshareholder(B514,"",1)</f>
        <v>0</v>
      </c>
      <c r="V514" s="33" t="str">
        <f t="shared" si="15"/>
        <v>0</v>
      </c>
      <c r="W514" s="33">
        <f>[1]!s_info_city(B514)</f>
        <v>0</v>
      </c>
      <c r="X514" s="10">
        <f>IF([1]!s_stmnote_bank_17n(B514,$A514,1)="0","",[1]!s_stmnote_bank_17n(B514,$A514,1))</f>
        <v>0</v>
      </c>
      <c r="Y514" s="10">
        <f>IF([1]!s_stmnote_bank_18n(B514,$A514,1)="0","",[1]!s_stmnote_bank_18n(B514,$A514,1))</f>
        <v>0</v>
      </c>
      <c r="Z514" s="41">
        <f>IF([1]!s_stmnote_bank_58(B514,$A514,1)="0","",[1]!s_stmnote_bank_58(B514,$A514,1))</f>
        <v>0</v>
      </c>
      <c r="AA514" s="52">
        <f>IF([1]!s_stmnote_bank_60(B514,$A514,1)="0","",[1]!s_stmnote_bank_60(B514,$A514,1))</f>
        <v>0</v>
      </c>
      <c r="AB514" s="52">
        <f>[1]!s_stmnote_bank_5444(B514,$A514,1)</f>
        <v>0</v>
      </c>
      <c r="AC514" s="38">
        <f>[1]!s_stmnote_bank_129n($B514,$A514,1)</f>
        <v>0</v>
      </c>
      <c r="AD514" s="54">
        <f>[1]!s_stmnote_bank_30(B514,$A514,1)</f>
        <v>0</v>
      </c>
    </row>
    <row r="515" spans="1:30" ht="24">
      <c r="A515" s="1" t="s">
        <v>1110</v>
      </c>
      <c r="B515" s="87" t="s">
        <v>1623</v>
      </c>
      <c r="C515" s="8">
        <f>IF([1]!b_info_issuer(B515)="0","",IFERROR([1]!b_info_issuer(B515),""))</f>
        <v>0</v>
      </c>
      <c r="D515" s="11">
        <f>IF([1]!b_info_latestissurercreditrating(B515)="0","",IFERROR([1]!b_info_latestissurercreditrating(B515),""))</f>
        <v>0</v>
      </c>
      <c r="E515" s="27" t="str">
        <f>IFERROR(([1]!b_stm07_bs($B515,47,$A515,1,100000000))/[1]!b_stm07_bs($B515,109,$A515,1,100000000),"")</f>
        <v/>
      </c>
      <c r="F515" s="18" t="str">
        <f>IFERROR(([1]!s_stmnote_bank_26($B515,$A515,1,100000000)-[1]!s_stmnote_bank_26($B515,#REF!,1,100000000)+#REF!)/[1]!s_stmnote_bank_1n($B515,#REF!,1,100000000),"")</f>
        <v/>
      </c>
      <c r="G515" s="21" t="str">
        <f t="shared" ref="G515:G568" si="16">IFERROR(H515+K515/100,"")</f>
        <v/>
      </c>
      <c r="H515" s="18" t="str">
        <f>IFERROR([1]!s_stmnote_bank($B515,"34",$A515,100000000)/[1]!s_stmnote_bank_1n(B515,$A515,1,100000000),"")</f>
        <v/>
      </c>
      <c r="I515" s="25">
        <f>[1]!b_stm07_bs(B515,74,$A515,1,100000000)</f>
        <v>0</v>
      </c>
      <c r="J515" s="25">
        <f>[1]!b_stm07_bs(B515,109,$A515,1,100000000)</f>
        <v>0</v>
      </c>
      <c r="K515" s="10">
        <f>[1]!s_stmnote_bank_5n(B515,$A515,1)</f>
        <v>0</v>
      </c>
      <c r="L515" s="25">
        <f>[1]!s_stmnote_bank_23n(B515,$A515,1)</f>
        <v>0</v>
      </c>
      <c r="M515" s="25">
        <f>[1]!s_stmnote_bank_capadequacyratio(B515,$A515,1)</f>
        <v>0</v>
      </c>
      <c r="N515" s="25">
        <f>[1]!s_stmnote_bank_capadequacyratio_ct1(B515,$A515,1)</f>
        <v>0</v>
      </c>
      <c r="O515" s="6">
        <f>IF(OR([1]!s_fa_roe(B515,20201231)="0",[1]!s_fa_roe(B515,20211231)="0",[1]!s_fa_roe(B515,20221231)="0"),"",IFERROR(([1]!s_fa_roe(B515,20221231)+[1]!s_fa_roe(B515,20201231)+[1]!s_fa_roe(B515,20211231))/3,""))</f>
        <v>0</v>
      </c>
      <c r="P515" s="28" t="str">
        <f>IFERROR(([1]!s_stmnote_bank_65(B515,$A515,1,2,4,100000000)+[1]!s_stmnote_bank_65(B515,$A515,1,2,6,100000000))/[1]!s_stmnote_bank_1n(B515,$A515,1,100000000),"")</f>
        <v/>
      </c>
      <c r="Q515" s="28" t="str">
        <f>IFERROR([1]!s_stmnote_bank_614(B515,$A515,1,2,100000000)/[1]!s_stmnote_bank_647(B515,$A515,1,2,100000000),"")</f>
        <v/>
      </c>
      <c r="R515" s="28" t="str">
        <f>IFERROR(([1]!b_stm07_bs(B515,104,$A515,1,100000000)+[1]!b_stm07_bs(B515,106,$A515,1,100000000)+[1]!b_stm07_bs(B515,76,$A515,1,100000000)+[1]!b_stm07_bs(B515,108,$A515,1,100000000)+[1]!b_stm07_bs(B515,95,$A515,1,100000000))/[1]!b_stm07_bs(B515,128,$A515,1,100000000),"")</f>
        <v/>
      </c>
      <c r="S515" s="28" t="str">
        <f>IFERROR(([1]!s_stmnote_bank_614(B515,$A515,1,2,100000000)+[1]!b_stm07_bs(B515,104,$A515,1,100000000)+[1]!b_stm07_bs(B515,106,$A515,1,100000000)+[1]!b_stm07_bs(B515,76,$A515,1,100000000)+[1]!b_stm07_bs(B515,108,$A515,1,100000000)+[1]!b_stm07_bs(B515,95,$A515,1,100000000))/[1]!b_stm07_bs(B515,128,$A515,1,100000000),"")</f>
        <v/>
      </c>
      <c r="T515" s="11">
        <f>[1]!b_issuer_shareholder(B515,"",1)</f>
        <v>0</v>
      </c>
      <c r="U515" s="10">
        <f>[1]!b_issuer_propofshareholder(B515,"",1)</f>
        <v>0</v>
      </c>
      <c r="V515" s="33" t="str">
        <f t="shared" ref="V515:V568" si="17">LEFT(C515,2)</f>
        <v>0</v>
      </c>
      <c r="W515" s="33">
        <f>[1]!s_info_city(B515)</f>
        <v>0</v>
      </c>
      <c r="X515" s="10">
        <f>IF([1]!s_stmnote_bank_17n(B515,$A515,1)="0","",[1]!s_stmnote_bank_17n(B515,$A515,1))</f>
        <v>0</v>
      </c>
      <c r="Y515" s="10">
        <f>IF([1]!s_stmnote_bank_18n(B515,$A515,1)="0","",[1]!s_stmnote_bank_18n(B515,$A515,1))</f>
        <v>0</v>
      </c>
      <c r="Z515" s="41">
        <f>IF([1]!s_stmnote_bank_58(B515,$A515,1)="0","",[1]!s_stmnote_bank_58(B515,$A515,1))</f>
        <v>0</v>
      </c>
      <c r="AA515" s="52">
        <f>IF([1]!s_stmnote_bank_60(B515,$A515,1)="0","",[1]!s_stmnote_bank_60(B515,$A515,1))</f>
        <v>0</v>
      </c>
      <c r="AB515" s="52">
        <f>[1]!s_stmnote_bank_5444(B515,$A515,1)</f>
        <v>0</v>
      </c>
      <c r="AC515" s="38">
        <f>[1]!s_stmnote_bank_129n($B515,$A515,1)</f>
        <v>0</v>
      </c>
      <c r="AD515" s="54">
        <f>[1]!s_stmnote_bank_30(B515,$A515,1)</f>
        <v>0</v>
      </c>
    </row>
    <row r="516" spans="1:30" ht="24">
      <c r="A516" s="1" t="s">
        <v>1110</v>
      </c>
      <c r="B516" s="87" t="s">
        <v>1624</v>
      </c>
      <c r="C516" s="8">
        <f>IF([1]!b_info_issuer(B516)="0","",IFERROR([1]!b_info_issuer(B516),""))</f>
        <v>0</v>
      </c>
      <c r="D516" s="11">
        <f>IF([1]!b_info_latestissurercreditrating(B516)="0","",IFERROR([1]!b_info_latestissurercreditrating(B516),""))</f>
        <v>0</v>
      </c>
      <c r="E516" s="27" t="str">
        <f>IFERROR(([1]!b_stm07_bs($B516,47,$A516,1,100000000))/[1]!b_stm07_bs($B516,109,$A516,1,100000000),"")</f>
        <v/>
      </c>
      <c r="F516" s="18" t="str">
        <f>IFERROR(([1]!s_stmnote_bank_26($B516,$A516,1,100000000)-[1]!s_stmnote_bank_26($B516,#REF!,1,100000000)+#REF!)/[1]!s_stmnote_bank_1n($B516,#REF!,1,100000000),"")</f>
        <v/>
      </c>
      <c r="G516" s="21" t="str">
        <f t="shared" si="16"/>
        <v/>
      </c>
      <c r="H516" s="18" t="str">
        <f>IFERROR([1]!s_stmnote_bank($B516,"34",$A516,100000000)/[1]!s_stmnote_bank_1n(B516,$A516,1,100000000),"")</f>
        <v/>
      </c>
      <c r="I516" s="25">
        <f>[1]!b_stm07_bs(B516,74,$A516,1,100000000)</f>
        <v>0</v>
      </c>
      <c r="J516" s="25">
        <f>[1]!b_stm07_bs(B516,109,$A516,1,100000000)</f>
        <v>0</v>
      </c>
      <c r="K516" s="10">
        <f>[1]!s_stmnote_bank_5n(B516,$A516,1)</f>
        <v>0</v>
      </c>
      <c r="L516" s="25">
        <f>[1]!s_stmnote_bank_23n(B516,$A516,1)</f>
        <v>0</v>
      </c>
      <c r="M516" s="25">
        <f>[1]!s_stmnote_bank_capadequacyratio(B516,$A516,1)</f>
        <v>0</v>
      </c>
      <c r="N516" s="25">
        <f>[1]!s_stmnote_bank_capadequacyratio_ct1(B516,$A516,1)</f>
        <v>0</v>
      </c>
      <c r="O516" s="6">
        <f>IF(OR([1]!s_fa_roe(B516,20201231)="0",[1]!s_fa_roe(B516,20211231)="0",[1]!s_fa_roe(B516,20221231)="0"),"",IFERROR(([1]!s_fa_roe(B516,20221231)+[1]!s_fa_roe(B516,20201231)+[1]!s_fa_roe(B516,20211231))/3,""))</f>
        <v>0</v>
      </c>
      <c r="P516" s="28" t="str">
        <f>IFERROR(([1]!s_stmnote_bank_65(B516,$A516,1,2,4,100000000)+[1]!s_stmnote_bank_65(B516,$A516,1,2,6,100000000))/[1]!s_stmnote_bank_1n(B516,$A516,1,100000000),"")</f>
        <v/>
      </c>
      <c r="Q516" s="28" t="str">
        <f>IFERROR([1]!s_stmnote_bank_614(B516,$A516,1,2,100000000)/[1]!s_stmnote_bank_647(B516,$A516,1,2,100000000),"")</f>
        <v/>
      </c>
      <c r="R516" s="28" t="str">
        <f>IFERROR(([1]!b_stm07_bs(B516,104,$A516,1,100000000)+[1]!b_stm07_bs(B516,106,$A516,1,100000000)+[1]!b_stm07_bs(B516,76,$A516,1,100000000)+[1]!b_stm07_bs(B516,108,$A516,1,100000000)+[1]!b_stm07_bs(B516,95,$A516,1,100000000))/[1]!b_stm07_bs(B516,128,$A516,1,100000000),"")</f>
        <v/>
      </c>
      <c r="S516" s="28" t="str">
        <f>IFERROR(([1]!s_stmnote_bank_614(B516,$A516,1,2,100000000)+[1]!b_stm07_bs(B516,104,$A516,1,100000000)+[1]!b_stm07_bs(B516,106,$A516,1,100000000)+[1]!b_stm07_bs(B516,76,$A516,1,100000000)+[1]!b_stm07_bs(B516,108,$A516,1,100000000)+[1]!b_stm07_bs(B516,95,$A516,1,100000000))/[1]!b_stm07_bs(B516,128,$A516,1,100000000),"")</f>
        <v/>
      </c>
      <c r="T516" s="11">
        <f>[1]!b_issuer_shareholder(B516,"",1)</f>
        <v>0</v>
      </c>
      <c r="U516" s="10">
        <f>[1]!b_issuer_propofshareholder(B516,"",1)</f>
        <v>0</v>
      </c>
      <c r="V516" s="33" t="str">
        <f t="shared" si="17"/>
        <v>0</v>
      </c>
      <c r="W516" s="33">
        <f>[1]!s_info_city(B516)</f>
        <v>0</v>
      </c>
      <c r="X516" s="10">
        <f>IF([1]!s_stmnote_bank_17n(B516,$A516,1)="0","",[1]!s_stmnote_bank_17n(B516,$A516,1))</f>
        <v>0</v>
      </c>
      <c r="Y516" s="10">
        <f>IF([1]!s_stmnote_bank_18n(B516,$A516,1)="0","",[1]!s_stmnote_bank_18n(B516,$A516,1))</f>
        <v>0</v>
      </c>
      <c r="Z516" s="41">
        <f>IF([1]!s_stmnote_bank_58(B516,$A516,1)="0","",[1]!s_stmnote_bank_58(B516,$A516,1))</f>
        <v>0</v>
      </c>
      <c r="AA516" s="52">
        <f>IF([1]!s_stmnote_bank_60(B516,$A516,1)="0","",[1]!s_stmnote_bank_60(B516,$A516,1))</f>
        <v>0</v>
      </c>
      <c r="AB516" s="52">
        <f>[1]!s_stmnote_bank_5444(B516,$A516,1)</f>
        <v>0</v>
      </c>
      <c r="AC516" s="38">
        <f>[1]!s_stmnote_bank_129n($B516,$A516,1)</f>
        <v>0</v>
      </c>
      <c r="AD516" s="54">
        <f>[1]!s_stmnote_bank_30(B516,$A516,1)</f>
        <v>0</v>
      </c>
    </row>
    <row r="517" spans="1:30" ht="24">
      <c r="A517" s="1" t="s">
        <v>1110</v>
      </c>
      <c r="B517" s="87" t="s">
        <v>1625</v>
      </c>
      <c r="C517" s="8">
        <f>IF([1]!b_info_issuer(B517)="0","",IFERROR([1]!b_info_issuer(B517),""))</f>
        <v>0</v>
      </c>
      <c r="D517" s="11">
        <f>IF([1]!b_info_latestissurercreditrating(B517)="0","",IFERROR([1]!b_info_latestissurercreditrating(B517),""))</f>
        <v>0</v>
      </c>
      <c r="E517" s="27" t="str">
        <f>IFERROR(([1]!b_stm07_bs($B517,47,$A517,1,100000000))/[1]!b_stm07_bs($B517,109,$A517,1,100000000),"")</f>
        <v/>
      </c>
      <c r="F517" s="18" t="str">
        <f>IFERROR(([1]!s_stmnote_bank_26($B517,$A517,1,100000000)-[1]!s_stmnote_bank_26($B517,#REF!,1,100000000)+#REF!)/[1]!s_stmnote_bank_1n($B517,#REF!,1,100000000),"")</f>
        <v/>
      </c>
      <c r="G517" s="21" t="str">
        <f t="shared" si="16"/>
        <v/>
      </c>
      <c r="H517" s="18" t="str">
        <f>IFERROR([1]!s_stmnote_bank($B517,"34",$A517,100000000)/[1]!s_stmnote_bank_1n(B517,$A517,1,100000000),"")</f>
        <v/>
      </c>
      <c r="I517" s="25">
        <f>[1]!b_stm07_bs(B517,74,$A517,1,100000000)</f>
        <v>0</v>
      </c>
      <c r="J517" s="25">
        <f>[1]!b_stm07_bs(B517,109,$A517,1,100000000)</f>
        <v>0</v>
      </c>
      <c r="K517" s="10">
        <f>[1]!s_stmnote_bank_5n(B517,$A517,1)</f>
        <v>0</v>
      </c>
      <c r="L517" s="25">
        <f>[1]!s_stmnote_bank_23n(B517,$A517,1)</f>
        <v>0</v>
      </c>
      <c r="M517" s="25">
        <f>[1]!s_stmnote_bank_capadequacyratio(B517,$A517,1)</f>
        <v>0</v>
      </c>
      <c r="N517" s="25">
        <f>[1]!s_stmnote_bank_capadequacyratio_ct1(B517,$A517,1)</f>
        <v>0</v>
      </c>
      <c r="O517" s="6">
        <f>IF(OR([1]!s_fa_roe(B517,20201231)="0",[1]!s_fa_roe(B517,20211231)="0",[1]!s_fa_roe(B517,20221231)="0"),"",IFERROR(([1]!s_fa_roe(B517,20221231)+[1]!s_fa_roe(B517,20201231)+[1]!s_fa_roe(B517,20211231))/3,""))</f>
        <v>0</v>
      </c>
      <c r="P517" s="28" t="str">
        <f>IFERROR(([1]!s_stmnote_bank_65(B517,$A517,1,2,4,100000000)+[1]!s_stmnote_bank_65(B517,$A517,1,2,6,100000000))/[1]!s_stmnote_bank_1n(B517,$A517,1,100000000),"")</f>
        <v/>
      </c>
      <c r="Q517" s="28" t="str">
        <f>IFERROR([1]!s_stmnote_bank_614(B517,$A517,1,2,100000000)/[1]!s_stmnote_bank_647(B517,$A517,1,2,100000000),"")</f>
        <v/>
      </c>
      <c r="R517" s="28" t="str">
        <f>IFERROR(([1]!b_stm07_bs(B517,104,$A517,1,100000000)+[1]!b_stm07_bs(B517,106,$A517,1,100000000)+[1]!b_stm07_bs(B517,76,$A517,1,100000000)+[1]!b_stm07_bs(B517,108,$A517,1,100000000)+[1]!b_stm07_bs(B517,95,$A517,1,100000000))/[1]!b_stm07_bs(B517,128,$A517,1,100000000),"")</f>
        <v/>
      </c>
      <c r="S517" s="28" t="str">
        <f>IFERROR(([1]!s_stmnote_bank_614(B517,$A517,1,2,100000000)+[1]!b_stm07_bs(B517,104,$A517,1,100000000)+[1]!b_stm07_bs(B517,106,$A517,1,100000000)+[1]!b_stm07_bs(B517,76,$A517,1,100000000)+[1]!b_stm07_bs(B517,108,$A517,1,100000000)+[1]!b_stm07_bs(B517,95,$A517,1,100000000))/[1]!b_stm07_bs(B517,128,$A517,1,100000000),"")</f>
        <v/>
      </c>
      <c r="T517" s="11">
        <f>[1]!b_issuer_shareholder(B517,"",1)</f>
        <v>0</v>
      </c>
      <c r="U517" s="10">
        <f>[1]!b_issuer_propofshareholder(B517,"",1)</f>
        <v>0</v>
      </c>
      <c r="V517" s="33" t="str">
        <f t="shared" si="17"/>
        <v>0</v>
      </c>
      <c r="W517" s="33">
        <f>[1]!s_info_city(B517)</f>
        <v>0</v>
      </c>
      <c r="X517" s="10">
        <f>IF([1]!s_stmnote_bank_17n(B517,$A517,1)="0","",[1]!s_stmnote_bank_17n(B517,$A517,1))</f>
        <v>0</v>
      </c>
      <c r="Y517" s="10">
        <f>IF([1]!s_stmnote_bank_18n(B517,$A517,1)="0","",[1]!s_stmnote_bank_18n(B517,$A517,1))</f>
        <v>0</v>
      </c>
      <c r="Z517" s="41">
        <f>IF([1]!s_stmnote_bank_58(B517,$A517,1)="0","",[1]!s_stmnote_bank_58(B517,$A517,1))</f>
        <v>0</v>
      </c>
      <c r="AA517" s="52">
        <f>IF([1]!s_stmnote_bank_60(B517,$A517,1)="0","",[1]!s_stmnote_bank_60(B517,$A517,1))</f>
        <v>0</v>
      </c>
      <c r="AB517" s="52">
        <f>[1]!s_stmnote_bank_5444(B517,$A517,1)</f>
        <v>0</v>
      </c>
      <c r="AC517" s="38">
        <f>[1]!s_stmnote_bank_129n($B517,$A517,1)</f>
        <v>0</v>
      </c>
      <c r="AD517" s="54">
        <f>[1]!s_stmnote_bank_30(B517,$A517,1)</f>
        <v>0</v>
      </c>
    </row>
    <row r="518" spans="1:30" ht="24">
      <c r="A518" s="1" t="s">
        <v>1110</v>
      </c>
      <c r="B518" s="87" t="s">
        <v>1626</v>
      </c>
      <c r="C518" s="8">
        <f>IF([1]!b_info_issuer(B518)="0","",IFERROR([1]!b_info_issuer(B518),""))</f>
        <v>0</v>
      </c>
      <c r="D518" s="11">
        <f>IF([1]!b_info_latestissurercreditrating(B518)="0","",IFERROR([1]!b_info_latestissurercreditrating(B518),""))</f>
        <v>0</v>
      </c>
      <c r="E518" s="27" t="str">
        <f>IFERROR(([1]!b_stm07_bs($B518,47,$A518,1,100000000))/[1]!b_stm07_bs($B518,109,$A518,1,100000000),"")</f>
        <v/>
      </c>
      <c r="F518" s="18" t="str">
        <f>IFERROR(([1]!s_stmnote_bank_26($B518,$A518,1,100000000)-[1]!s_stmnote_bank_26($B518,#REF!,1,100000000)+#REF!)/[1]!s_stmnote_bank_1n($B518,#REF!,1,100000000),"")</f>
        <v/>
      </c>
      <c r="G518" s="21" t="str">
        <f t="shared" si="16"/>
        <v/>
      </c>
      <c r="H518" s="18" t="str">
        <f>IFERROR([1]!s_stmnote_bank($B518,"34",$A518,100000000)/[1]!s_stmnote_bank_1n(B518,$A518,1,100000000),"")</f>
        <v/>
      </c>
      <c r="I518" s="25">
        <f>[1]!b_stm07_bs(B518,74,$A518,1,100000000)</f>
        <v>0</v>
      </c>
      <c r="J518" s="25">
        <f>[1]!b_stm07_bs(B518,109,$A518,1,100000000)</f>
        <v>0</v>
      </c>
      <c r="K518" s="10">
        <f>[1]!s_stmnote_bank_5n(B518,$A518,1)</f>
        <v>0</v>
      </c>
      <c r="L518" s="25">
        <f>[1]!s_stmnote_bank_23n(B518,$A518,1)</f>
        <v>0</v>
      </c>
      <c r="M518" s="25">
        <f>[1]!s_stmnote_bank_capadequacyratio(B518,$A518,1)</f>
        <v>0</v>
      </c>
      <c r="N518" s="25">
        <f>[1]!s_stmnote_bank_capadequacyratio_ct1(B518,$A518,1)</f>
        <v>0</v>
      </c>
      <c r="O518" s="6">
        <f>IF(OR([1]!s_fa_roe(B518,20201231)="0",[1]!s_fa_roe(B518,20211231)="0",[1]!s_fa_roe(B518,20221231)="0"),"",IFERROR(([1]!s_fa_roe(B518,20221231)+[1]!s_fa_roe(B518,20201231)+[1]!s_fa_roe(B518,20211231))/3,""))</f>
        <v>0</v>
      </c>
      <c r="P518" s="28" t="str">
        <f>IFERROR(([1]!s_stmnote_bank_65(B518,$A518,1,2,4,100000000)+[1]!s_stmnote_bank_65(B518,$A518,1,2,6,100000000))/[1]!s_stmnote_bank_1n(B518,$A518,1,100000000),"")</f>
        <v/>
      </c>
      <c r="Q518" s="28" t="str">
        <f>IFERROR([1]!s_stmnote_bank_614(B518,$A518,1,2,100000000)/[1]!s_stmnote_bank_647(B518,$A518,1,2,100000000),"")</f>
        <v/>
      </c>
      <c r="R518" s="28" t="str">
        <f>IFERROR(([1]!b_stm07_bs(B518,104,$A518,1,100000000)+[1]!b_stm07_bs(B518,106,$A518,1,100000000)+[1]!b_stm07_bs(B518,76,$A518,1,100000000)+[1]!b_stm07_bs(B518,108,$A518,1,100000000)+[1]!b_stm07_bs(B518,95,$A518,1,100000000))/[1]!b_stm07_bs(B518,128,$A518,1,100000000),"")</f>
        <v/>
      </c>
      <c r="S518" s="28" t="str">
        <f>IFERROR(([1]!s_stmnote_bank_614(B518,$A518,1,2,100000000)+[1]!b_stm07_bs(B518,104,$A518,1,100000000)+[1]!b_stm07_bs(B518,106,$A518,1,100000000)+[1]!b_stm07_bs(B518,76,$A518,1,100000000)+[1]!b_stm07_bs(B518,108,$A518,1,100000000)+[1]!b_stm07_bs(B518,95,$A518,1,100000000))/[1]!b_stm07_bs(B518,128,$A518,1,100000000),"")</f>
        <v/>
      </c>
      <c r="T518" s="11">
        <f>[1]!b_issuer_shareholder(B518,"",1)</f>
        <v>0</v>
      </c>
      <c r="U518" s="10">
        <f>[1]!b_issuer_propofshareholder(B518,"",1)</f>
        <v>0</v>
      </c>
      <c r="V518" s="33" t="str">
        <f t="shared" si="17"/>
        <v>0</v>
      </c>
      <c r="W518" s="33">
        <f>[1]!s_info_city(B518)</f>
        <v>0</v>
      </c>
      <c r="X518" s="10">
        <f>IF([1]!s_stmnote_bank_17n(B518,$A518,1)="0","",[1]!s_stmnote_bank_17n(B518,$A518,1))</f>
        <v>0</v>
      </c>
      <c r="Y518" s="10">
        <f>IF([1]!s_stmnote_bank_18n(B518,$A518,1)="0","",[1]!s_stmnote_bank_18n(B518,$A518,1))</f>
        <v>0</v>
      </c>
      <c r="Z518" s="41">
        <f>IF([1]!s_stmnote_bank_58(B518,$A518,1)="0","",[1]!s_stmnote_bank_58(B518,$A518,1))</f>
        <v>0</v>
      </c>
      <c r="AA518" s="52">
        <f>IF([1]!s_stmnote_bank_60(B518,$A518,1)="0","",[1]!s_stmnote_bank_60(B518,$A518,1))</f>
        <v>0</v>
      </c>
      <c r="AB518" s="52">
        <f>[1]!s_stmnote_bank_5444(B518,$A518,1)</f>
        <v>0</v>
      </c>
      <c r="AC518" s="38">
        <f>[1]!s_stmnote_bank_129n($B518,$A518,1)</f>
        <v>0</v>
      </c>
      <c r="AD518" s="54">
        <f>[1]!s_stmnote_bank_30(B518,$A518,1)</f>
        <v>0</v>
      </c>
    </row>
    <row r="519" spans="1:30" ht="24">
      <c r="A519" s="1" t="s">
        <v>1110</v>
      </c>
      <c r="B519" s="87" t="s">
        <v>1627</v>
      </c>
      <c r="C519" s="8">
        <f>IF([1]!b_info_issuer(B519)="0","",IFERROR([1]!b_info_issuer(B519),""))</f>
        <v>0</v>
      </c>
      <c r="D519" s="11">
        <f>IF([1]!b_info_latestissurercreditrating(B519)="0","",IFERROR([1]!b_info_latestissurercreditrating(B519),""))</f>
        <v>0</v>
      </c>
      <c r="E519" s="27" t="str">
        <f>IFERROR(([1]!b_stm07_bs($B519,47,$A519,1,100000000))/[1]!b_stm07_bs($B519,109,$A519,1,100000000),"")</f>
        <v/>
      </c>
      <c r="F519" s="18" t="str">
        <f>IFERROR(([1]!s_stmnote_bank_26($B519,$A519,1,100000000)-[1]!s_stmnote_bank_26($B519,#REF!,1,100000000)+#REF!)/[1]!s_stmnote_bank_1n($B519,#REF!,1,100000000),"")</f>
        <v/>
      </c>
      <c r="G519" s="21" t="str">
        <f t="shared" si="16"/>
        <v/>
      </c>
      <c r="H519" s="18" t="str">
        <f>IFERROR([1]!s_stmnote_bank($B519,"34",$A519,100000000)/[1]!s_stmnote_bank_1n(B519,$A519,1,100000000),"")</f>
        <v/>
      </c>
      <c r="I519" s="25">
        <f>[1]!b_stm07_bs(B519,74,$A519,1,100000000)</f>
        <v>0</v>
      </c>
      <c r="J519" s="25">
        <f>[1]!b_stm07_bs(B519,109,$A519,1,100000000)</f>
        <v>0</v>
      </c>
      <c r="K519" s="10">
        <f>[1]!s_stmnote_bank_5n(B519,$A519,1)</f>
        <v>0</v>
      </c>
      <c r="L519" s="25">
        <f>[1]!s_stmnote_bank_23n(B519,$A519,1)</f>
        <v>0</v>
      </c>
      <c r="M519" s="25">
        <f>[1]!s_stmnote_bank_capadequacyratio(B519,$A519,1)</f>
        <v>0</v>
      </c>
      <c r="N519" s="25">
        <f>[1]!s_stmnote_bank_capadequacyratio_ct1(B519,$A519,1)</f>
        <v>0</v>
      </c>
      <c r="O519" s="6">
        <f>IF(OR([1]!s_fa_roe(B519,20201231)="0",[1]!s_fa_roe(B519,20211231)="0",[1]!s_fa_roe(B519,20221231)="0"),"",IFERROR(([1]!s_fa_roe(B519,20221231)+[1]!s_fa_roe(B519,20201231)+[1]!s_fa_roe(B519,20211231))/3,""))</f>
        <v>0</v>
      </c>
      <c r="P519" s="28" t="str">
        <f>IFERROR(([1]!s_stmnote_bank_65(B519,$A519,1,2,4,100000000)+[1]!s_stmnote_bank_65(B519,$A519,1,2,6,100000000))/[1]!s_stmnote_bank_1n(B519,$A519,1,100000000),"")</f>
        <v/>
      </c>
      <c r="Q519" s="28" t="str">
        <f>IFERROR([1]!s_stmnote_bank_614(B519,$A519,1,2,100000000)/[1]!s_stmnote_bank_647(B519,$A519,1,2,100000000),"")</f>
        <v/>
      </c>
      <c r="R519" s="28" t="str">
        <f>IFERROR(([1]!b_stm07_bs(B519,104,$A519,1,100000000)+[1]!b_stm07_bs(B519,106,$A519,1,100000000)+[1]!b_stm07_bs(B519,76,$A519,1,100000000)+[1]!b_stm07_bs(B519,108,$A519,1,100000000)+[1]!b_stm07_bs(B519,95,$A519,1,100000000))/[1]!b_stm07_bs(B519,128,$A519,1,100000000),"")</f>
        <v/>
      </c>
      <c r="S519" s="28" t="str">
        <f>IFERROR(([1]!s_stmnote_bank_614(B519,$A519,1,2,100000000)+[1]!b_stm07_bs(B519,104,$A519,1,100000000)+[1]!b_stm07_bs(B519,106,$A519,1,100000000)+[1]!b_stm07_bs(B519,76,$A519,1,100000000)+[1]!b_stm07_bs(B519,108,$A519,1,100000000)+[1]!b_stm07_bs(B519,95,$A519,1,100000000))/[1]!b_stm07_bs(B519,128,$A519,1,100000000),"")</f>
        <v/>
      </c>
      <c r="T519" s="11">
        <f>[1]!b_issuer_shareholder(B519,"",1)</f>
        <v>0</v>
      </c>
      <c r="U519" s="10">
        <f>[1]!b_issuer_propofshareholder(B519,"",1)</f>
        <v>0</v>
      </c>
      <c r="V519" s="33" t="str">
        <f t="shared" si="17"/>
        <v>0</v>
      </c>
      <c r="W519" s="33">
        <f>[1]!s_info_city(B519)</f>
        <v>0</v>
      </c>
      <c r="X519" s="10">
        <f>IF([1]!s_stmnote_bank_17n(B519,$A519,1)="0","",[1]!s_stmnote_bank_17n(B519,$A519,1))</f>
        <v>0</v>
      </c>
      <c r="Y519" s="10">
        <f>IF([1]!s_stmnote_bank_18n(B519,$A519,1)="0","",[1]!s_stmnote_bank_18n(B519,$A519,1))</f>
        <v>0</v>
      </c>
      <c r="Z519" s="41">
        <f>IF([1]!s_stmnote_bank_58(B519,$A519,1)="0","",[1]!s_stmnote_bank_58(B519,$A519,1))</f>
        <v>0</v>
      </c>
      <c r="AA519" s="52">
        <f>IF([1]!s_stmnote_bank_60(B519,$A519,1)="0","",[1]!s_stmnote_bank_60(B519,$A519,1))</f>
        <v>0</v>
      </c>
      <c r="AB519" s="52">
        <f>[1]!s_stmnote_bank_5444(B519,$A519,1)</f>
        <v>0</v>
      </c>
      <c r="AC519" s="38">
        <f>[1]!s_stmnote_bank_129n($B519,$A519,1)</f>
        <v>0</v>
      </c>
      <c r="AD519" s="54">
        <f>[1]!s_stmnote_bank_30(B519,$A519,1)</f>
        <v>0</v>
      </c>
    </row>
    <row r="520" spans="1:30" ht="24">
      <c r="A520" s="1" t="s">
        <v>1110</v>
      </c>
      <c r="B520" s="87" t="s">
        <v>1628</v>
      </c>
      <c r="C520" s="8">
        <f>IF([1]!b_info_issuer(B520)="0","",IFERROR([1]!b_info_issuer(B520),""))</f>
        <v>0</v>
      </c>
      <c r="D520" s="11">
        <f>IF([1]!b_info_latestissurercreditrating(B520)="0","",IFERROR([1]!b_info_latestissurercreditrating(B520),""))</f>
        <v>0</v>
      </c>
      <c r="E520" s="27" t="str">
        <f>IFERROR(([1]!b_stm07_bs($B520,47,$A520,1,100000000))/[1]!b_stm07_bs($B520,109,$A520,1,100000000),"")</f>
        <v/>
      </c>
      <c r="F520" s="18" t="str">
        <f>IFERROR(([1]!s_stmnote_bank_26($B520,$A520,1,100000000)-[1]!s_stmnote_bank_26($B520,#REF!,1,100000000)+#REF!)/[1]!s_stmnote_bank_1n($B520,#REF!,1,100000000),"")</f>
        <v/>
      </c>
      <c r="G520" s="21" t="str">
        <f t="shared" si="16"/>
        <v/>
      </c>
      <c r="H520" s="18" t="str">
        <f>IFERROR([1]!s_stmnote_bank($B520,"34",$A520,100000000)/[1]!s_stmnote_bank_1n(B520,$A520,1,100000000),"")</f>
        <v/>
      </c>
      <c r="I520" s="25">
        <f>[1]!b_stm07_bs(B520,74,$A520,1,100000000)</f>
        <v>0</v>
      </c>
      <c r="J520" s="25">
        <f>[1]!b_stm07_bs(B520,109,$A520,1,100000000)</f>
        <v>0</v>
      </c>
      <c r="K520" s="10">
        <f>[1]!s_stmnote_bank_5n(B520,$A520,1)</f>
        <v>0</v>
      </c>
      <c r="L520" s="25">
        <f>[1]!s_stmnote_bank_23n(B520,$A520,1)</f>
        <v>0</v>
      </c>
      <c r="M520" s="25">
        <f>[1]!s_stmnote_bank_capadequacyratio(B520,$A520,1)</f>
        <v>0</v>
      </c>
      <c r="N520" s="25">
        <f>[1]!s_stmnote_bank_capadequacyratio_ct1(B520,$A520,1)</f>
        <v>0</v>
      </c>
      <c r="O520" s="6">
        <f>IF(OR([1]!s_fa_roe(B520,20201231)="0",[1]!s_fa_roe(B520,20211231)="0",[1]!s_fa_roe(B520,20221231)="0"),"",IFERROR(([1]!s_fa_roe(B520,20221231)+[1]!s_fa_roe(B520,20201231)+[1]!s_fa_roe(B520,20211231))/3,""))</f>
        <v>0</v>
      </c>
      <c r="P520" s="28" t="str">
        <f>IFERROR(([1]!s_stmnote_bank_65(B520,$A520,1,2,4,100000000)+[1]!s_stmnote_bank_65(B520,$A520,1,2,6,100000000))/[1]!s_stmnote_bank_1n(B520,$A520,1,100000000),"")</f>
        <v/>
      </c>
      <c r="Q520" s="28" t="str">
        <f>IFERROR([1]!s_stmnote_bank_614(B520,$A520,1,2,100000000)/[1]!s_stmnote_bank_647(B520,$A520,1,2,100000000),"")</f>
        <v/>
      </c>
      <c r="R520" s="28" t="str">
        <f>IFERROR(([1]!b_stm07_bs(B520,104,$A520,1,100000000)+[1]!b_stm07_bs(B520,106,$A520,1,100000000)+[1]!b_stm07_bs(B520,76,$A520,1,100000000)+[1]!b_stm07_bs(B520,108,$A520,1,100000000)+[1]!b_stm07_bs(B520,95,$A520,1,100000000))/[1]!b_stm07_bs(B520,128,$A520,1,100000000),"")</f>
        <v/>
      </c>
      <c r="S520" s="28" t="str">
        <f>IFERROR(([1]!s_stmnote_bank_614(B520,$A520,1,2,100000000)+[1]!b_stm07_bs(B520,104,$A520,1,100000000)+[1]!b_stm07_bs(B520,106,$A520,1,100000000)+[1]!b_stm07_bs(B520,76,$A520,1,100000000)+[1]!b_stm07_bs(B520,108,$A520,1,100000000)+[1]!b_stm07_bs(B520,95,$A520,1,100000000))/[1]!b_stm07_bs(B520,128,$A520,1,100000000),"")</f>
        <v/>
      </c>
      <c r="T520" s="11">
        <f>[1]!b_issuer_shareholder(B520,"",1)</f>
        <v>0</v>
      </c>
      <c r="U520" s="10">
        <f>[1]!b_issuer_propofshareholder(B520,"",1)</f>
        <v>0</v>
      </c>
      <c r="V520" s="33" t="str">
        <f t="shared" si="17"/>
        <v>0</v>
      </c>
      <c r="W520" s="33">
        <f>[1]!s_info_city(B520)</f>
        <v>0</v>
      </c>
      <c r="X520" s="10">
        <f>IF([1]!s_stmnote_bank_17n(B520,$A520,1)="0","",[1]!s_stmnote_bank_17n(B520,$A520,1))</f>
        <v>0</v>
      </c>
      <c r="Y520" s="10">
        <f>IF([1]!s_stmnote_bank_18n(B520,$A520,1)="0","",[1]!s_stmnote_bank_18n(B520,$A520,1))</f>
        <v>0</v>
      </c>
      <c r="Z520" s="41">
        <f>IF([1]!s_stmnote_bank_58(B520,$A520,1)="0","",[1]!s_stmnote_bank_58(B520,$A520,1))</f>
        <v>0</v>
      </c>
      <c r="AA520" s="52">
        <f>IF([1]!s_stmnote_bank_60(B520,$A520,1)="0","",[1]!s_stmnote_bank_60(B520,$A520,1))</f>
        <v>0</v>
      </c>
      <c r="AB520" s="52">
        <f>[1]!s_stmnote_bank_5444(B520,$A520,1)</f>
        <v>0</v>
      </c>
      <c r="AC520" s="38">
        <f>[1]!s_stmnote_bank_129n($B520,$A520,1)</f>
        <v>0</v>
      </c>
      <c r="AD520" s="54">
        <f>[1]!s_stmnote_bank_30(B520,$A520,1)</f>
        <v>0</v>
      </c>
    </row>
    <row r="521" spans="1:30" ht="24">
      <c r="A521" s="1" t="s">
        <v>1110</v>
      </c>
      <c r="B521" s="87" t="s">
        <v>1629</v>
      </c>
      <c r="C521" s="8">
        <f>IF([1]!b_info_issuer(B521)="0","",IFERROR([1]!b_info_issuer(B521),""))</f>
        <v>0</v>
      </c>
      <c r="D521" s="11">
        <f>IF([1]!b_info_latestissurercreditrating(B521)="0","",IFERROR([1]!b_info_latestissurercreditrating(B521),""))</f>
        <v>0</v>
      </c>
      <c r="E521" s="27" t="str">
        <f>IFERROR(([1]!b_stm07_bs($B521,47,$A521,1,100000000))/[1]!b_stm07_bs($B521,109,$A521,1,100000000),"")</f>
        <v/>
      </c>
      <c r="F521" s="18" t="str">
        <f>IFERROR(([1]!s_stmnote_bank_26($B521,$A521,1,100000000)-[1]!s_stmnote_bank_26($B521,#REF!,1,100000000)+#REF!)/[1]!s_stmnote_bank_1n($B521,#REF!,1,100000000),"")</f>
        <v/>
      </c>
      <c r="G521" s="21" t="str">
        <f t="shared" si="16"/>
        <v/>
      </c>
      <c r="H521" s="18" t="str">
        <f>IFERROR([1]!s_stmnote_bank($B521,"34",$A521,100000000)/[1]!s_stmnote_bank_1n(B521,$A521,1,100000000),"")</f>
        <v/>
      </c>
      <c r="I521" s="25">
        <f>[1]!b_stm07_bs(B521,74,$A521,1,100000000)</f>
        <v>0</v>
      </c>
      <c r="J521" s="25">
        <f>[1]!b_stm07_bs(B521,109,$A521,1,100000000)</f>
        <v>0</v>
      </c>
      <c r="K521" s="10">
        <f>[1]!s_stmnote_bank_5n(B521,$A521,1)</f>
        <v>0</v>
      </c>
      <c r="L521" s="25">
        <f>[1]!s_stmnote_bank_23n(B521,$A521,1)</f>
        <v>0</v>
      </c>
      <c r="M521" s="25">
        <f>[1]!s_stmnote_bank_capadequacyratio(B521,$A521,1)</f>
        <v>0</v>
      </c>
      <c r="N521" s="25">
        <f>[1]!s_stmnote_bank_capadequacyratio_ct1(B521,$A521,1)</f>
        <v>0</v>
      </c>
      <c r="O521" s="6">
        <f>IF(OR([1]!s_fa_roe(B521,20201231)="0",[1]!s_fa_roe(B521,20211231)="0",[1]!s_fa_roe(B521,20221231)="0"),"",IFERROR(([1]!s_fa_roe(B521,20221231)+[1]!s_fa_roe(B521,20201231)+[1]!s_fa_roe(B521,20211231))/3,""))</f>
        <v>0</v>
      </c>
      <c r="P521" s="28" t="str">
        <f>IFERROR(([1]!s_stmnote_bank_65(B521,$A521,1,2,4,100000000)+[1]!s_stmnote_bank_65(B521,$A521,1,2,6,100000000))/[1]!s_stmnote_bank_1n(B521,$A521,1,100000000),"")</f>
        <v/>
      </c>
      <c r="Q521" s="28" t="str">
        <f>IFERROR([1]!s_stmnote_bank_614(B521,$A521,1,2,100000000)/[1]!s_stmnote_bank_647(B521,$A521,1,2,100000000),"")</f>
        <v/>
      </c>
      <c r="R521" s="28" t="str">
        <f>IFERROR(([1]!b_stm07_bs(B521,104,$A521,1,100000000)+[1]!b_stm07_bs(B521,106,$A521,1,100000000)+[1]!b_stm07_bs(B521,76,$A521,1,100000000)+[1]!b_stm07_bs(B521,108,$A521,1,100000000)+[1]!b_stm07_bs(B521,95,$A521,1,100000000))/[1]!b_stm07_bs(B521,128,$A521,1,100000000),"")</f>
        <v/>
      </c>
      <c r="S521" s="28" t="str">
        <f>IFERROR(([1]!s_stmnote_bank_614(B521,$A521,1,2,100000000)+[1]!b_stm07_bs(B521,104,$A521,1,100000000)+[1]!b_stm07_bs(B521,106,$A521,1,100000000)+[1]!b_stm07_bs(B521,76,$A521,1,100000000)+[1]!b_stm07_bs(B521,108,$A521,1,100000000)+[1]!b_stm07_bs(B521,95,$A521,1,100000000))/[1]!b_stm07_bs(B521,128,$A521,1,100000000),"")</f>
        <v/>
      </c>
      <c r="T521" s="11">
        <f>[1]!b_issuer_shareholder(B521,"",1)</f>
        <v>0</v>
      </c>
      <c r="U521" s="10">
        <f>[1]!b_issuer_propofshareholder(B521,"",1)</f>
        <v>0</v>
      </c>
      <c r="V521" s="33" t="str">
        <f t="shared" si="17"/>
        <v>0</v>
      </c>
      <c r="W521" s="33">
        <f>[1]!s_info_city(B521)</f>
        <v>0</v>
      </c>
      <c r="X521" s="10">
        <f>IF([1]!s_stmnote_bank_17n(B521,$A521,1)="0","",[1]!s_stmnote_bank_17n(B521,$A521,1))</f>
        <v>0</v>
      </c>
      <c r="Y521" s="10">
        <f>IF([1]!s_stmnote_bank_18n(B521,$A521,1)="0","",[1]!s_stmnote_bank_18n(B521,$A521,1))</f>
        <v>0</v>
      </c>
      <c r="Z521" s="41">
        <f>IF([1]!s_stmnote_bank_58(B521,$A521,1)="0","",[1]!s_stmnote_bank_58(B521,$A521,1))</f>
        <v>0</v>
      </c>
      <c r="AA521" s="52">
        <f>IF([1]!s_stmnote_bank_60(B521,$A521,1)="0","",[1]!s_stmnote_bank_60(B521,$A521,1))</f>
        <v>0</v>
      </c>
      <c r="AB521" s="52">
        <f>[1]!s_stmnote_bank_5444(B521,$A521,1)</f>
        <v>0</v>
      </c>
      <c r="AC521" s="38">
        <f>[1]!s_stmnote_bank_129n($B521,$A521,1)</f>
        <v>0</v>
      </c>
      <c r="AD521" s="54">
        <f>[1]!s_stmnote_bank_30(B521,$A521,1)</f>
        <v>0</v>
      </c>
    </row>
    <row r="522" spans="1:30" ht="24">
      <c r="A522" s="1" t="s">
        <v>1110</v>
      </c>
      <c r="B522" s="87" t="s">
        <v>1630</v>
      </c>
      <c r="C522" s="8">
        <f>IF([1]!b_info_issuer(B522)="0","",IFERROR([1]!b_info_issuer(B522),""))</f>
        <v>0</v>
      </c>
      <c r="D522" s="11">
        <f>IF([1]!b_info_latestissurercreditrating(B522)="0","",IFERROR([1]!b_info_latestissurercreditrating(B522),""))</f>
        <v>0</v>
      </c>
      <c r="E522" s="27" t="str">
        <f>IFERROR(([1]!b_stm07_bs($B522,47,$A522,1,100000000))/[1]!b_stm07_bs($B522,109,$A522,1,100000000),"")</f>
        <v/>
      </c>
      <c r="F522" s="18" t="str">
        <f>IFERROR(([1]!s_stmnote_bank_26($B522,$A522,1,100000000)-[1]!s_stmnote_bank_26($B522,#REF!,1,100000000)+#REF!)/[1]!s_stmnote_bank_1n($B522,#REF!,1,100000000),"")</f>
        <v/>
      </c>
      <c r="G522" s="21" t="str">
        <f t="shared" si="16"/>
        <v/>
      </c>
      <c r="H522" s="18" t="str">
        <f>IFERROR([1]!s_stmnote_bank($B522,"34",$A522,100000000)/[1]!s_stmnote_bank_1n(B522,$A522,1,100000000),"")</f>
        <v/>
      </c>
      <c r="I522" s="25">
        <f>[1]!b_stm07_bs(B522,74,$A522,1,100000000)</f>
        <v>0</v>
      </c>
      <c r="J522" s="25">
        <f>[1]!b_stm07_bs(B522,109,$A522,1,100000000)</f>
        <v>0</v>
      </c>
      <c r="K522" s="10">
        <f>[1]!s_stmnote_bank_5n(B522,$A522,1)</f>
        <v>0</v>
      </c>
      <c r="L522" s="25">
        <f>[1]!s_stmnote_bank_23n(B522,$A522,1)</f>
        <v>0</v>
      </c>
      <c r="M522" s="25">
        <f>[1]!s_stmnote_bank_capadequacyratio(B522,$A522,1)</f>
        <v>0</v>
      </c>
      <c r="N522" s="25">
        <f>[1]!s_stmnote_bank_capadequacyratio_ct1(B522,$A522,1)</f>
        <v>0</v>
      </c>
      <c r="O522" s="6">
        <f>IF(OR([1]!s_fa_roe(B522,20201231)="0",[1]!s_fa_roe(B522,20211231)="0",[1]!s_fa_roe(B522,20221231)="0"),"",IFERROR(([1]!s_fa_roe(B522,20221231)+[1]!s_fa_roe(B522,20201231)+[1]!s_fa_roe(B522,20211231))/3,""))</f>
        <v>0</v>
      </c>
      <c r="P522" s="28" t="str">
        <f>IFERROR(([1]!s_stmnote_bank_65(B522,$A522,1,2,4,100000000)+[1]!s_stmnote_bank_65(B522,$A522,1,2,6,100000000))/[1]!s_stmnote_bank_1n(B522,$A522,1,100000000),"")</f>
        <v/>
      </c>
      <c r="Q522" s="28" t="str">
        <f>IFERROR([1]!s_stmnote_bank_614(B522,$A522,1,2,100000000)/[1]!s_stmnote_bank_647(B522,$A522,1,2,100000000),"")</f>
        <v/>
      </c>
      <c r="R522" s="28" t="str">
        <f>IFERROR(([1]!b_stm07_bs(B522,104,$A522,1,100000000)+[1]!b_stm07_bs(B522,106,$A522,1,100000000)+[1]!b_stm07_bs(B522,76,$A522,1,100000000)+[1]!b_stm07_bs(B522,108,$A522,1,100000000)+[1]!b_stm07_bs(B522,95,$A522,1,100000000))/[1]!b_stm07_bs(B522,128,$A522,1,100000000),"")</f>
        <v/>
      </c>
      <c r="S522" s="28" t="str">
        <f>IFERROR(([1]!s_stmnote_bank_614(B522,$A522,1,2,100000000)+[1]!b_stm07_bs(B522,104,$A522,1,100000000)+[1]!b_stm07_bs(B522,106,$A522,1,100000000)+[1]!b_stm07_bs(B522,76,$A522,1,100000000)+[1]!b_stm07_bs(B522,108,$A522,1,100000000)+[1]!b_stm07_bs(B522,95,$A522,1,100000000))/[1]!b_stm07_bs(B522,128,$A522,1,100000000),"")</f>
        <v/>
      </c>
      <c r="T522" s="11">
        <f>[1]!b_issuer_shareholder(B522,"",1)</f>
        <v>0</v>
      </c>
      <c r="U522" s="10">
        <f>[1]!b_issuer_propofshareholder(B522,"",1)</f>
        <v>0</v>
      </c>
      <c r="V522" s="33" t="str">
        <f t="shared" si="17"/>
        <v>0</v>
      </c>
      <c r="W522" s="33">
        <f>[1]!s_info_city(B522)</f>
        <v>0</v>
      </c>
      <c r="X522" s="10">
        <f>IF([1]!s_stmnote_bank_17n(B522,$A522,1)="0","",[1]!s_stmnote_bank_17n(B522,$A522,1))</f>
        <v>0</v>
      </c>
      <c r="Y522" s="10">
        <f>IF([1]!s_stmnote_bank_18n(B522,$A522,1)="0","",[1]!s_stmnote_bank_18n(B522,$A522,1))</f>
        <v>0</v>
      </c>
      <c r="Z522" s="41">
        <f>IF([1]!s_stmnote_bank_58(B522,$A522,1)="0","",[1]!s_stmnote_bank_58(B522,$A522,1))</f>
        <v>0</v>
      </c>
      <c r="AA522" s="52">
        <f>IF([1]!s_stmnote_bank_60(B522,$A522,1)="0","",[1]!s_stmnote_bank_60(B522,$A522,1))</f>
        <v>0</v>
      </c>
      <c r="AB522" s="52">
        <f>[1]!s_stmnote_bank_5444(B522,$A522,1)</f>
        <v>0</v>
      </c>
      <c r="AC522" s="38">
        <f>[1]!s_stmnote_bank_129n($B522,$A522,1)</f>
        <v>0</v>
      </c>
      <c r="AD522" s="54">
        <f>[1]!s_stmnote_bank_30(B522,$A522,1)</f>
        <v>0</v>
      </c>
    </row>
    <row r="523" spans="1:30" ht="24">
      <c r="A523" s="1" t="s">
        <v>1110</v>
      </c>
      <c r="B523" s="87" t="s">
        <v>1631</v>
      </c>
      <c r="C523" s="8">
        <f>IF([1]!b_info_issuer(B523)="0","",IFERROR([1]!b_info_issuer(B523),""))</f>
        <v>0</v>
      </c>
      <c r="D523" s="11">
        <f>IF([1]!b_info_latestissurercreditrating(B523)="0","",IFERROR([1]!b_info_latestissurercreditrating(B523),""))</f>
        <v>0</v>
      </c>
      <c r="E523" s="27" t="str">
        <f>IFERROR(([1]!b_stm07_bs($B523,47,$A523,1,100000000))/[1]!b_stm07_bs($B523,109,$A523,1,100000000),"")</f>
        <v/>
      </c>
      <c r="F523" s="18" t="str">
        <f>IFERROR(([1]!s_stmnote_bank_26($B523,$A523,1,100000000)-[1]!s_stmnote_bank_26($B523,#REF!,1,100000000)+#REF!)/[1]!s_stmnote_bank_1n($B523,#REF!,1,100000000),"")</f>
        <v/>
      </c>
      <c r="G523" s="21" t="str">
        <f t="shared" si="16"/>
        <v/>
      </c>
      <c r="H523" s="18" t="str">
        <f>IFERROR([1]!s_stmnote_bank($B523,"34",$A523,100000000)/[1]!s_stmnote_bank_1n(B523,$A523,1,100000000),"")</f>
        <v/>
      </c>
      <c r="I523" s="25">
        <f>[1]!b_stm07_bs(B523,74,$A523,1,100000000)</f>
        <v>0</v>
      </c>
      <c r="J523" s="25">
        <f>[1]!b_stm07_bs(B523,109,$A523,1,100000000)</f>
        <v>0</v>
      </c>
      <c r="K523" s="10">
        <f>[1]!s_stmnote_bank_5n(B523,$A523,1)</f>
        <v>0</v>
      </c>
      <c r="L523" s="25">
        <f>[1]!s_stmnote_bank_23n(B523,$A523,1)</f>
        <v>0</v>
      </c>
      <c r="M523" s="25">
        <f>[1]!s_stmnote_bank_capadequacyratio(B523,$A523,1)</f>
        <v>0</v>
      </c>
      <c r="N523" s="25">
        <f>[1]!s_stmnote_bank_capadequacyratio_ct1(B523,$A523,1)</f>
        <v>0</v>
      </c>
      <c r="O523" s="6">
        <f>IF(OR([1]!s_fa_roe(B523,20201231)="0",[1]!s_fa_roe(B523,20211231)="0",[1]!s_fa_roe(B523,20221231)="0"),"",IFERROR(([1]!s_fa_roe(B523,20221231)+[1]!s_fa_roe(B523,20201231)+[1]!s_fa_roe(B523,20211231))/3,""))</f>
        <v>0</v>
      </c>
      <c r="P523" s="28" t="str">
        <f>IFERROR(([1]!s_stmnote_bank_65(B523,$A523,1,2,4,100000000)+[1]!s_stmnote_bank_65(B523,$A523,1,2,6,100000000))/[1]!s_stmnote_bank_1n(B523,$A523,1,100000000),"")</f>
        <v/>
      </c>
      <c r="Q523" s="28" t="str">
        <f>IFERROR([1]!s_stmnote_bank_614(B523,$A523,1,2,100000000)/[1]!s_stmnote_bank_647(B523,$A523,1,2,100000000),"")</f>
        <v/>
      </c>
      <c r="R523" s="28" t="str">
        <f>IFERROR(([1]!b_stm07_bs(B523,104,$A523,1,100000000)+[1]!b_stm07_bs(B523,106,$A523,1,100000000)+[1]!b_stm07_bs(B523,76,$A523,1,100000000)+[1]!b_stm07_bs(B523,108,$A523,1,100000000)+[1]!b_stm07_bs(B523,95,$A523,1,100000000))/[1]!b_stm07_bs(B523,128,$A523,1,100000000),"")</f>
        <v/>
      </c>
      <c r="S523" s="28" t="str">
        <f>IFERROR(([1]!s_stmnote_bank_614(B523,$A523,1,2,100000000)+[1]!b_stm07_bs(B523,104,$A523,1,100000000)+[1]!b_stm07_bs(B523,106,$A523,1,100000000)+[1]!b_stm07_bs(B523,76,$A523,1,100000000)+[1]!b_stm07_bs(B523,108,$A523,1,100000000)+[1]!b_stm07_bs(B523,95,$A523,1,100000000))/[1]!b_stm07_bs(B523,128,$A523,1,100000000),"")</f>
        <v/>
      </c>
      <c r="T523" s="11">
        <f>[1]!b_issuer_shareholder(B523,"",1)</f>
        <v>0</v>
      </c>
      <c r="U523" s="10">
        <f>[1]!b_issuer_propofshareholder(B523,"",1)</f>
        <v>0</v>
      </c>
      <c r="V523" s="33" t="str">
        <f t="shared" si="17"/>
        <v>0</v>
      </c>
      <c r="W523" s="33">
        <f>[1]!s_info_city(B523)</f>
        <v>0</v>
      </c>
      <c r="X523" s="10">
        <f>IF([1]!s_stmnote_bank_17n(B523,$A523,1)="0","",[1]!s_stmnote_bank_17n(B523,$A523,1))</f>
        <v>0</v>
      </c>
      <c r="Y523" s="10">
        <f>IF([1]!s_stmnote_bank_18n(B523,$A523,1)="0","",[1]!s_stmnote_bank_18n(B523,$A523,1))</f>
        <v>0</v>
      </c>
      <c r="Z523" s="41">
        <f>IF([1]!s_stmnote_bank_58(B523,$A523,1)="0","",[1]!s_stmnote_bank_58(B523,$A523,1))</f>
        <v>0</v>
      </c>
      <c r="AA523" s="52">
        <f>IF([1]!s_stmnote_bank_60(B523,$A523,1)="0","",[1]!s_stmnote_bank_60(B523,$A523,1))</f>
        <v>0</v>
      </c>
      <c r="AB523" s="52">
        <f>[1]!s_stmnote_bank_5444(B523,$A523,1)</f>
        <v>0</v>
      </c>
      <c r="AC523" s="38">
        <f>[1]!s_stmnote_bank_129n($B523,$A523,1)</f>
        <v>0</v>
      </c>
      <c r="AD523" s="54">
        <f>[1]!s_stmnote_bank_30(B523,$A523,1)</f>
        <v>0</v>
      </c>
    </row>
    <row r="524" spans="1:30" ht="24">
      <c r="A524" s="1" t="s">
        <v>1110</v>
      </c>
      <c r="B524" s="87" t="s">
        <v>1632</v>
      </c>
      <c r="C524" s="8">
        <f>IF([1]!b_info_issuer(B524)="0","",IFERROR([1]!b_info_issuer(B524),""))</f>
        <v>0</v>
      </c>
      <c r="D524" s="11">
        <f>IF([1]!b_info_latestissurercreditrating(B524)="0","",IFERROR([1]!b_info_latestissurercreditrating(B524),""))</f>
        <v>0</v>
      </c>
      <c r="E524" s="27" t="str">
        <f>IFERROR(([1]!b_stm07_bs($B524,47,$A524,1,100000000))/[1]!b_stm07_bs($B524,109,$A524,1,100000000),"")</f>
        <v/>
      </c>
      <c r="F524" s="18" t="str">
        <f>IFERROR(([1]!s_stmnote_bank_26($B524,$A524,1,100000000)-[1]!s_stmnote_bank_26($B524,#REF!,1,100000000)+#REF!)/[1]!s_stmnote_bank_1n($B524,#REF!,1,100000000),"")</f>
        <v/>
      </c>
      <c r="G524" s="21" t="str">
        <f t="shared" si="16"/>
        <v/>
      </c>
      <c r="H524" s="18" t="str">
        <f>IFERROR([1]!s_stmnote_bank($B524,"34",$A524,100000000)/[1]!s_stmnote_bank_1n(B524,$A524,1,100000000),"")</f>
        <v/>
      </c>
      <c r="I524" s="25">
        <f>[1]!b_stm07_bs(B524,74,$A524,1,100000000)</f>
        <v>0</v>
      </c>
      <c r="J524" s="25">
        <f>[1]!b_stm07_bs(B524,109,$A524,1,100000000)</f>
        <v>0</v>
      </c>
      <c r="K524" s="10">
        <f>[1]!s_stmnote_bank_5n(B524,$A524,1)</f>
        <v>0</v>
      </c>
      <c r="L524" s="25">
        <f>[1]!s_stmnote_bank_23n(B524,$A524,1)</f>
        <v>0</v>
      </c>
      <c r="M524" s="25">
        <f>[1]!s_stmnote_bank_capadequacyratio(B524,$A524,1)</f>
        <v>0</v>
      </c>
      <c r="N524" s="25">
        <f>[1]!s_stmnote_bank_capadequacyratio_ct1(B524,$A524,1)</f>
        <v>0</v>
      </c>
      <c r="O524" s="6">
        <f>IF(OR([1]!s_fa_roe(B524,20201231)="0",[1]!s_fa_roe(B524,20211231)="0",[1]!s_fa_roe(B524,20221231)="0"),"",IFERROR(([1]!s_fa_roe(B524,20221231)+[1]!s_fa_roe(B524,20201231)+[1]!s_fa_roe(B524,20211231))/3,""))</f>
        <v>0</v>
      </c>
      <c r="P524" s="28" t="str">
        <f>IFERROR(([1]!s_stmnote_bank_65(B524,$A524,1,2,4,100000000)+[1]!s_stmnote_bank_65(B524,$A524,1,2,6,100000000))/[1]!s_stmnote_bank_1n(B524,$A524,1,100000000),"")</f>
        <v/>
      </c>
      <c r="Q524" s="28" t="str">
        <f>IFERROR([1]!s_stmnote_bank_614(B524,$A524,1,2,100000000)/[1]!s_stmnote_bank_647(B524,$A524,1,2,100000000),"")</f>
        <v/>
      </c>
      <c r="R524" s="28" t="str">
        <f>IFERROR(([1]!b_stm07_bs(B524,104,$A524,1,100000000)+[1]!b_stm07_bs(B524,106,$A524,1,100000000)+[1]!b_stm07_bs(B524,76,$A524,1,100000000)+[1]!b_stm07_bs(B524,108,$A524,1,100000000)+[1]!b_stm07_bs(B524,95,$A524,1,100000000))/[1]!b_stm07_bs(B524,128,$A524,1,100000000),"")</f>
        <v/>
      </c>
      <c r="S524" s="28" t="str">
        <f>IFERROR(([1]!s_stmnote_bank_614(B524,$A524,1,2,100000000)+[1]!b_stm07_bs(B524,104,$A524,1,100000000)+[1]!b_stm07_bs(B524,106,$A524,1,100000000)+[1]!b_stm07_bs(B524,76,$A524,1,100000000)+[1]!b_stm07_bs(B524,108,$A524,1,100000000)+[1]!b_stm07_bs(B524,95,$A524,1,100000000))/[1]!b_stm07_bs(B524,128,$A524,1,100000000),"")</f>
        <v/>
      </c>
      <c r="T524" s="11">
        <f>[1]!b_issuer_shareholder(B524,"",1)</f>
        <v>0</v>
      </c>
      <c r="U524" s="10">
        <f>[1]!b_issuer_propofshareholder(B524,"",1)</f>
        <v>0</v>
      </c>
      <c r="V524" s="33" t="str">
        <f t="shared" si="17"/>
        <v>0</v>
      </c>
      <c r="W524" s="33">
        <f>[1]!s_info_city(B524)</f>
        <v>0</v>
      </c>
      <c r="X524" s="10">
        <f>IF([1]!s_stmnote_bank_17n(B524,$A524,1)="0","",[1]!s_stmnote_bank_17n(B524,$A524,1))</f>
        <v>0</v>
      </c>
      <c r="Y524" s="10">
        <f>IF([1]!s_stmnote_bank_18n(B524,$A524,1)="0","",[1]!s_stmnote_bank_18n(B524,$A524,1))</f>
        <v>0</v>
      </c>
      <c r="Z524" s="41">
        <f>IF([1]!s_stmnote_bank_58(B524,$A524,1)="0","",[1]!s_stmnote_bank_58(B524,$A524,1))</f>
        <v>0</v>
      </c>
      <c r="AA524" s="52">
        <f>IF([1]!s_stmnote_bank_60(B524,$A524,1)="0","",[1]!s_stmnote_bank_60(B524,$A524,1))</f>
        <v>0</v>
      </c>
      <c r="AB524" s="52">
        <f>[1]!s_stmnote_bank_5444(B524,$A524,1)</f>
        <v>0</v>
      </c>
      <c r="AC524" s="38">
        <f>[1]!s_stmnote_bank_129n($B524,$A524,1)</f>
        <v>0</v>
      </c>
      <c r="AD524" s="54">
        <f>[1]!s_stmnote_bank_30(B524,$A524,1)</f>
        <v>0</v>
      </c>
    </row>
    <row r="525" spans="1:30" ht="24">
      <c r="A525" s="1" t="s">
        <v>1110</v>
      </c>
      <c r="B525" s="87" t="s">
        <v>1633</v>
      </c>
      <c r="C525" s="8">
        <f>IF([1]!b_info_issuer(B525)="0","",IFERROR([1]!b_info_issuer(B525),""))</f>
        <v>0</v>
      </c>
      <c r="D525" s="11">
        <f>IF([1]!b_info_latestissurercreditrating(B525)="0","",IFERROR([1]!b_info_latestissurercreditrating(B525),""))</f>
        <v>0</v>
      </c>
      <c r="E525" s="27" t="str">
        <f>IFERROR(([1]!b_stm07_bs($B525,47,$A525,1,100000000))/[1]!b_stm07_bs($B525,109,$A525,1,100000000),"")</f>
        <v/>
      </c>
      <c r="F525" s="18" t="str">
        <f>IFERROR(([1]!s_stmnote_bank_26($B525,$A525,1,100000000)-[1]!s_stmnote_bank_26($B525,#REF!,1,100000000)+#REF!)/[1]!s_stmnote_bank_1n($B525,#REF!,1,100000000),"")</f>
        <v/>
      </c>
      <c r="G525" s="21" t="str">
        <f t="shared" si="16"/>
        <v/>
      </c>
      <c r="H525" s="18" t="str">
        <f>IFERROR([1]!s_stmnote_bank($B525,"34",$A525,100000000)/[1]!s_stmnote_bank_1n(B525,$A525,1,100000000),"")</f>
        <v/>
      </c>
      <c r="I525" s="25">
        <f>[1]!b_stm07_bs(B525,74,$A525,1,100000000)</f>
        <v>0</v>
      </c>
      <c r="J525" s="25">
        <f>[1]!b_stm07_bs(B525,109,$A525,1,100000000)</f>
        <v>0</v>
      </c>
      <c r="K525" s="10">
        <f>[1]!s_stmnote_bank_5n(B525,$A525,1)</f>
        <v>0</v>
      </c>
      <c r="L525" s="25">
        <f>[1]!s_stmnote_bank_23n(B525,$A525,1)</f>
        <v>0</v>
      </c>
      <c r="M525" s="25">
        <f>[1]!s_stmnote_bank_capadequacyratio(B525,$A525,1)</f>
        <v>0</v>
      </c>
      <c r="N525" s="25">
        <f>[1]!s_stmnote_bank_capadequacyratio_ct1(B525,$A525,1)</f>
        <v>0</v>
      </c>
      <c r="O525" s="6">
        <f>IF(OR([1]!s_fa_roe(B525,20201231)="0",[1]!s_fa_roe(B525,20211231)="0",[1]!s_fa_roe(B525,20221231)="0"),"",IFERROR(([1]!s_fa_roe(B525,20221231)+[1]!s_fa_roe(B525,20201231)+[1]!s_fa_roe(B525,20211231))/3,""))</f>
        <v>0</v>
      </c>
      <c r="P525" s="28" t="str">
        <f>IFERROR(([1]!s_stmnote_bank_65(B525,$A525,1,2,4,100000000)+[1]!s_stmnote_bank_65(B525,$A525,1,2,6,100000000))/[1]!s_stmnote_bank_1n(B525,$A525,1,100000000),"")</f>
        <v/>
      </c>
      <c r="Q525" s="28" t="str">
        <f>IFERROR([1]!s_stmnote_bank_614(B525,$A525,1,2,100000000)/[1]!s_stmnote_bank_647(B525,$A525,1,2,100000000),"")</f>
        <v/>
      </c>
      <c r="R525" s="28" t="str">
        <f>IFERROR(([1]!b_stm07_bs(B525,104,$A525,1,100000000)+[1]!b_stm07_bs(B525,106,$A525,1,100000000)+[1]!b_stm07_bs(B525,76,$A525,1,100000000)+[1]!b_stm07_bs(B525,108,$A525,1,100000000)+[1]!b_stm07_bs(B525,95,$A525,1,100000000))/[1]!b_stm07_bs(B525,128,$A525,1,100000000),"")</f>
        <v/>
      </c>
      <c r="S525" s="28" t="str">
        <f>IFERROR(([1]!s_stmnote_bank_614(B525,$A525,1,2,100000000)+[1]!b_stm07_bs(B525,104,$A525,1,100000000)+[1]!b_stm07_bs(B525,106,$A525,1,100000000)+[1]!b_stm07_bs(B525,76,$A525,1,100000000)+[1]!b_stm07_bs(B525,108,$A525,1,100000000)+[1]!b_stm07_bs(B525,95,$A525,1,100000000))/[1]!b_stm07_bs(B525,128,$A525,1,100000000),"")</f>
        <v/>
      </c>
      <c r="T525" s="11">
        <f>[1]!b_issuer_shareholder(B525,"",1)</f>
        <v>0</v>
      </c>
      <c r="U525" s="10">
        <f>[1]!b_issuer_propofshareholder(B525,"",1)</f>
        <v>0</v>
      </c>
      <c r="V525" s="33" t="str">
        <f t="shared" si="17"/>
        <v>0</v>
      </c>
      <c r="W525" s="33">
        <f>[1]!s_info_city(B525)</f>
        <v>0</v>
      </c>
      <c r="X525" s="10">
        <f>IF([1]!s_stmnote_bank_17n(B525,$A525,1)="0","",[1]!s_stmnote_bank_17n(B525,$A525,1))</f>
        <v>0</v>
      </c>
      <c r="Y525" s="10">
        <f>IF([1]!s_stmnote_bank_18n(B525,$A525,1)="0","",[1]!s_stmnote_bank_18n(B525,$A525,1))</f>
        <v>0</v>
      </c>
      <c r="Z525" s="41">
        <f>IF([1]!s_stmnote_bank_58(B525,$A525,1)="0","",[1]!s_stmnote_bank_58(B525,$A525,1))</f>
        <v>0</v>
      </c>
      <c r="AA525" s="52">
        <f>IF([1]!s_stmnote_bank_60(B525,$A525,1)="0","",[1]!s_stmnote_bank_60(B525,$A525,1))</f>
        <v>0</v>
      </c>
      <c r="AB525" s="52">
        <f>[1]!s_stmnote_bank_5444(B525,$A525,1)</f>
        <v>0</v>
      </c>
      <c r="AC525" s="38">
        <f>[1]!s_stmnote_bank_129n($B525,$A525,1)</f>
        <v>0</v>
      </c>
      <c r="AD525" s="54">
        <f>[1]!s_stmnote_bank_30(B525,$A525,1)</f>
        <v>0</v>
      </c>
    </row>
    <row r="526" spans="1:30" ht="24">
      <c r="A526" s="1" t="s">
        <v>1110</v>
      </c>
      <c r="B526" s="87" t="s">
        <v>1634</v>
      </c>
      <c r="C526" s="8">
        <f>IF([1]!b_info_issuer(B526)="0","",IFERROR([1]!b_info_issuer(B526),""))</f>
        <v>0</v>
      </c>
      <c r="D526" s="11">
        <f>IF([1]!b_info_latestissurercreditrating(B526)="0","",IFERROR([1]!b_info_latestissurercreditrating(B526),""))</f>
        <v>0</v>
      </c>
      <c r="E526" s="27" t="str">
        <f>IFERROR(([1]!b_stm07_bs($B526,47,$A526,1,100000000))/[1]!b_stm07_bs($B526,109,$A526,1,100000000),"")</f>
        <v/>
      </c>
      <c r="F526" s="18" t="str">
        <f>IFERROR(([1]!s_stmnote_bank_26($B526,$A526,1,100000000)-[1]!s_stmnote_bank_26($B526,#REF!,1,100000000)+#REF!)/[1]!s_stmnote_bank_1n($B526,#REF!,1,100000000),"")</f>
        <v/>
      </c>
      <c r="G526" s="21" t="str">
        <f t="shared" si="16"/>
        <v/>
      </c>
      <c r="H526" s="18" t="str">
        <f>IFERROR([1]!s_stmnote_bank($B526,"34",$A526,100000000)/[1]!s_stmnote_bank_1n(B526,$A526,1,100000000),"")</f>
        <v/>
      </c>
      <c r="I526" s="25">
        <f>[1]!b_stm07_bs(B526,74,$A526,1,100000000)</f>
        <v>0</v>
      </c>
      <c r="J526" s="25">
        <f>[1]!b_stm07_bs(B526,109,$A526,1,100000000)</f>
        <v>0</v>
      </c>
      <c r="K526" s="10">
        <f>[1]!s_stmnote_bank_5n(B526,$A526,1)</f>
        <v>0</v>
      </c>
      <c r="L526" s="25">
        <f>[1]!s_stmnote_bank_23n(B526,$A526,1)</f>
        <v>0</v>
      </c>
      <c r="M526" s="25">
        <f>[1]!s_stmnote_bank_capadequacyratio(B526,$A526,1)</f>
        <v>0</v>
      </c>
      <c r="N526" s="25">
        <f>[1]!s_stmnote_bank_capadequacyratio_ct1(B526,$A526,1)</f>
        <v>0</v>
      </c>
      <c r="O526" s="6">
        <f>IF(OR([1]!s_fa_roe(B526,20201231)="0",[1]!s_fa_roe(B526,20211231)="0",[1]!s_fa_roe(B526,20221231)="0"),"",IFERROR(([1]!s_fa_roe(B526,20221231)+[1]!s_fa_roe(B526,20201231)+[1]!s_fa_roe(B526,20211231))/3,""))</f>
        <v>0</v>
      </c>
      <c r="P526" s="28" t="str">
        <f>IFERROR(([1]!s_stmnote_bank_65(B526,$A526,1,2,4,100000000)+[1]!s_stmnote_bank_65(B526,$A526,1,2,6,100000000))/[1]!s_stmnote_bank_1n(B526,$A526,1,100000000),"")</f>
        <v/>
      </c>
      <c r="Q526" s="28" t="str">
        <f>IFERROR([1]!s_stmnote_bank_614(B526,$A526,1,2,100000000)/[1]!s_stmnote_bank_647(B526,$A526,1,2,100000000),"")</f>
        <v/>
      </c>
      <c r="R526" s="28" t="str">
        <f>IFERROR(([1]!b_stm07_bs(B526,104,$A526,1,100000000)+[1]!b_stm07_bs(B526,106,$A526,1,100000000)+[1]!b_stm07_bs(B526,76,$A526,1,100000000)+[1]!b_stm07_bs(B526,108,$A526,1,100000000)+[1]!b_stm07_bs(B526,95,$A526,1,100000000))/[1]!b_stm07_bs(B526,128,$A526,1,100000000),"")</f>
        <v/>
      </c>
      <c r="S526" s="28" t="str">
        <f>IFERROR(([1]!s_stmnote_bank_614(B526,$A526,1,2,100000000)+[1]!b_stm07_bs(B526,104,$A526,1,100000000)+[1]!b_stm07_bs(B526,106,$A526,1,100000000)+[1]!b_stm07_bs(B526,76,$A526,1,100000000)+[1]!b_stm07_bs(B526,108,$A526,1,100000000)+[1]!b_stm07_bs(B526,95,$A526,1,100000000))/[1]!b_stm07_bs(B526,128,$A526,1,100000000),"")</f>
        <v/>
      </c>
      <c r="T526" s="11">
        <f>[1]!b_issuer_shareholder(B526,"",1)</f>
        <v>0</v>
      </c>
      <c r="U526" s="10">
        <f>[1]!b_issuer_propofshareholder(B526,"",1)</f>
        <v>0</v>
      </c>
      <c r="V526" s="33" t="str">
        <f t="shared" si="17"/>
        <v>0</v>
      </c>
      <c r="W526" s="33">
        <f>[1]!s_info_city(B526)</f>
        <v>0</v>
      </c>
      <c r="X526" s="10">
        <f>IF([1]!s_stmnote_bank_17n(B526,$A526,1)="0","",[1]!s_stmnote_bank_17n(B526,$A526,1))</f>
        <v>0</v>
      </c>
      <c r="Y526" s="10">
        <f>IF([1]!s_stmnote_bank_18n(B526,$A526,1)="0","",[1]!s_stmnote_bank_18n(B526,$A526,1))</f>
        <v>0</v>
      </c>
      <c r="Z526" s="41">
        <f>IF([1]!s_stmnote_bank_58(B526,$A526,1)="0","",[1]!s_stmnote_bank_58(B526,$A526,1))</f>
        <v>0</v>
      </c>
      <c r="AA526" s="52">
        <f>IF([1]!s_stmnote_bank_60(B526,$A526,1)="0","",[1]!s_stmnote_bank_60(B526,$A526,1))</f>
        <v>0</v>
      </c>
      <c r="AB526" s="52">
        <f>[1]!s_stmnote_bank_5444(B526,$A526,1)</f>
        <v>0</v>
      </c>
      <c r="AC526" s="38">
        <f>[1]!s_stmnote_bank_129n($B526,$A526,1)</f>
        <v>0</v>
      </c>
      <c r="AD526" s="54">
        <f>[1]!s_stmnote_bank_30(B526,$A526,1)</f>
        <v>0</v>
      </c>
    </row>
    <row r="527" spans="1:30" ht="24">
      <c r="A527" s="1" t="s">
        <v>1110</v>
      </c>
      <c r="B527" s="87" t="s">
        <v>1635</v>
      </c>
      <c r="C527" s="8">
        <f>IF([1]!b_info_issuer(B527)="0","",IFERROR([1]!b_info_issuer(B527),""))</f>
        <v>0</v>
      </c>
      <c r="D527" s="11">
        <f>IF([1]!b_info_latestissurercreditrating(B527)="0","",IFERROR([1]!b_info_latestissurercreditrating(B527),""))</f>
        <v>0</v>
      </c>
      <c r="E527" s="27" t="str">
        <f>IFERROR(([1]!b_stm07_bs($B527,47,$A527,1,100000000))/[1]!b_stm07_bs($B527,109,$A527,1,100000000),"")</f>
        <v/>
      </c>
      <c r="F527" s="18" t="str">
        <f>IFERROR(([1]!s_stmnote_bank_26($B527,$A527,1,100000000)-[1]!s_stmnote_bank_26($B527,#REF!,1,100000000)+#REF!)/[1]!s_stmnote_bank_1n($B527,#REF!,1,100000000),"")</f>
        <v/>
      </c>
      <c r="G527" s="21" t="str">
        <f t="shared" si="16"/>
        <v/>
      </c>
      <c r="H527" s="18" t="str">
        <f>IFERROR([1]!s_stmnote_bank($B527,"34",$A527,100000000)/[1]!s_stmnote_bank_1n(B527,$A527,1,100000000),"")</f>
        <v/>
      </c>
      <c r="I527" s="25">
        <f>[1]!b_stm07_bs(B527,74,$A527,1,100000000)</f>
        <v>0</v>
      </c>
      <c r="J527" s="25">
        <f>[1]!b_stm07_bs(B527,109,$A527,1,100000000)</f>
        <v>0</v>
      </c>
      <c r="K527" s="10">
        <f>[1]!s_stmnote_bank_5n(B527,$A527,1)</f>
        <v>0</v>
      </c>
      <c r="L527" s="25">
        <f>[1]!s_stmnote_bank_23n(B527,$A527,1)</f>
        <v>0</v>
      </c>
      <c r="M527" s="25">
        <f>[1]!s_stmnote_bank_capadequacyratio(B527,$A527,1)</f>
        <v>0</v>
      </c>
      <c r="N527" s="25">
        <f>[1]!s_stmnote_bank_capadequacyratio_ct1(B527,$A527,1)</f>
        <v>0</v>
      </c>
      <c r="O527" s="6">
        <f>IF(OR([1]!s_fa_roe(B527,20201231)="0",[1]!s_fa_roe(B527,20211231)="0",[1]!s_fa_roe(B527,20221231)="0"),"",IFERROR(([1]!s_fa_roe(B527,20221231)+[1]!s_fa_roe(B527,20201231)+[1]!s_fa_roe(B527,20211231))/3,""))</f>
        <v>0</v>
      </c>
      <c r="P527" s="28" t="str">
        <f>IFERROR(([1]!s_stmnote_bank_65(B527,$A527,1,2,4,100000000)+[1]!s_stmnote_bank_65(B527,$A527,1,2,6,100000000))/[1]!s_stmnote_bank_1n(B527,$A527,1,100000000),"")</f>
        <v/>
      </c>
      <c r="Q527" s="28" t="str">
        <f>IFERROR([1]!s_stmnote_bank_614(B527,$A527,1,2,100000000)/[1]!s_stmnote_bank_647(B527,$A527,1,2,100000000),"")</f>
        <v/>
      </c>
      <c r="R527" s="28" t="str">
        <f>IFERROR(([1]!b_stm07_bs(B527,104,$A527,1,100000000)+[1]!b_stm07_bs(B527,106,$A527,1,100000000)+[1]!b_stm07_bs(B527,76,$A527,1,100000000)+[1]!b_stm07_bs(B527,108,$A527,1,100000000)+[1]!b_stm07_bs(B527,95,$A527,1,100000000))/[1]!b_stm07_bs(B527,128,$A527,1,100000000),"")</f>
        <v/>
      </c>
      <c r="S527" s="28" t="str">
        <f>IFERROR(([1]!s_stmnote_bank_614(B527,$A527,1,2,100000000)+[1]!b_stm07_bs(B527,104,$A527,1,100000000)+[1]!b_stm07_bs(B527,106,$A527,1,100000000)+[1]!b_stm07_bs(B527,76,$A527,1,100000000)+[1]!b_stm07_bs(B527,108,$A527,1,100000000)+[1]!b_stm07_bs(B527,95,$A527,1,100000000))/[1]!b_stm07_bs(B527,128,$A527,1,100000000),"")</f>
        <v/>
      </c>
      <c r="T527" s="11">
        <f>[1]!b_issuer_shareholder(B527,"",1)</f>
        <v>0</v>
      </c>
      <c r="U527" s="10">
        <f>[1]!b_issuer_propofshareholder(B527,"",1)</f>
        <v>0</v>
      </c>
      <c r="V527" s="33" t="str">
        <f t="shared" si="17"/>
        <v>0</v>
      </c>
      <c r="W527" s="33">
        <f>[1]!s_info_city(B527)</f>
        <v>0</v>
      </c>
      <c r="X527" s="10">
        <f>IF([1]!s_stmnote_bank_17n(B527,$A527,1)="0","",[1]!s_stmnote_bank_17n(B527,$A527,1))</f>
        <v>0</v>
      </c>
      <c r="Y527" s="10">
        <f>IF([1]!s_stmnote_bank_18n(B527,$A527,1)="0","",[1]!s_stmnote_bank_18n(B527,$A527,1))</f>
        <v>0</v>
      </c>
      <c r="Z527" s="41">
        <f>IF([1]!s_stmnote_bank_58(B527,$A527,1)="0","",[1]!s_stmnote_bank_58(B527,$A527,1))</f>
        <v>0</v>
      </c>
      <c r="AA527" s="52">
        <f>IF([1]!s_stmnote_bank_60(B527,$A527,1)="0","",[1]!s_stmnote_bank_60(B527,$A527,1))</f>
        <v>0</v>
      </c>
      <c r="AB527" s="52">
        <f>[1]!s_stmnote_bank_5444(B527,$A527,1)</f>
        <v>0</v>
      </c>
      <c r="AC527" s="38">
        <f>[1]!s_stmnote_bank_129n($B527,$A527,1)</f>
        <v>0</v>
      </c>
      <c r="AD527" s="54">
        <f>[1]!s_stmnote_bank_30(B527,$A527,1)</f>
        <v>0</v>
      </c>
    </row>
    <row r="528" spans="1:30" ht="24">
      <c r="A528" s="1" t="s">
        <v>1110</v>
      </c>
      <c r="B528" s="87" t="s">
        <v>1636</v>
      </c>
      <c r="C528" s="8">
        <f>IF([1]!b_info_issuer(B528)="0","",IFERROR([1]!b_info_issuer(B528),""))</f>
        <v>0</v>
      </c>
      <c r="D528" s="11">
        <f>IF([1]!b_info_latestissurercreditrating(B528)="0","",IFERROR([1]!b_info_latestissurercreditrating(B528),""))</f>
        <v>0</v>
      </c>
      <c r="E528" s="27" t="str">
        <f>IFERROR(([1]!b_stm07_bs($B528,47,$A528,1,100000000))/[1]!b_stm07_bs($B528,109,$A528,1,100000000),"")</f>
        <v/>
      </c>
      <c r="F528" s="18" t="str">
        <f>IFERROR(([1]!s_stmnote_bank_26($B528,$A528,1,100000000)-[1]!s_stmnote_bank_26($B528,#REF!,1,100000000)+#REF!)/[1]!s_stmnote_bank_1n($B528,#REF!,1,100000000),"")</f>
        <v/>
      </c>
      <c r="G528" s="21" t="str">
        <f t="shared" si="16"/>
        <v/>
      </c>
      <c r="H528" s="18" t="str">
        <f>IFERROR([1]!s_stmnote_bank($B528,"34",$A528,100000000)/[1]!s_stmnote_bank_1n(B528,$A528,1,100000000),"")</f>
        <v/>
      </c>
      <c r="I528" s="25">
        <f>[1]!b_stm07_bs(B528,74,$A528,1,100000000)</f>
        <v>0</v>
      </c>
      <c r="J528" s="25">
        <f>[1]!b_stm07_bs(B528,109,$A528,1,100000000)</f>
        <v>0</v>
      </c>
      <c r="K528" s="10">
        <f>[1]!s_stmnote_bank_5n(B528,$A528,1)</f>
        <v>0</v>
      </c>
      <c r="L528" s="25">
        <f>[1]!s_stmnote_bank_23n(B528,$A528,1)</f>
        <v>0</v>
      </c>
      <c r="M528" s="25">
        <f>[1]!s_stmnote_bank_capadequacyratio(B528,$A528,1)</f>
        <v>0</v>
      </c>
      <c r="N528" s="25">
        <f>[1]!s_stmnote_bank_capadequacyratio_ct1(B528,$A528,1)</f>
        <v>0</v>
      </c>
      <c r="O528" s="6">
        <f>IF(OR([1]!s_fa_roe(B528,20201231)="0",[1]!s_fa_roe(B528,20211231)="0",[1]!s_fa_roe(B528,20221231)="0"),"",IFERROR(([1]!s_fa_roe(B528,20221231)+[1]!s_fa_roe(B528,20201231)+[1]!s_fa_roe(B528,20211231))/3,""))</f>
        <v>0</v>
      </c>
      <c r="P528" s="28" t="str">
        <f>IFERROR(([1]!s_stmnote_bank_65(B528,$A528,1,2,4,100000000)+[1]!s_stmnote_bank_65(B528,$A528,1,2,6,100000000))/[1]!s_stmnote_bank_1n(B528,$A528,1,100000000),"")</f>
        <v/>
      </c>
      <c r="Q528" s="28" t="str">
        <f>IFERROR([1]!s_stmnote_bank_614(B528,$A528,1,2,100000000)/[1]!s_stmnote_bank_647(B528,$A528,1,2,100000000),"")</f>
        <v/>
      </c>
      <c r="R528" s="28" t="str">
        <f>IFERROR(([1]!b_stm07_bs(B528,104,$A528,1,100000000)+[1]!b_stm07_bs(B528,106,$A528,1,100000000)+[1]!b_stm07_bs(B528,76,$A528,1,100000000)+[1]!b_stm07_bs(B528,108,$A528,1,100000000)+[1]!b_stm07_bs(B528,95,$A528,1,100000000))/[1]!b_stm07_bs(B528,128,$A528,1,100000000),"")</f>
        <v/>
      </c>
      <c r="S528" s="28" t="str">
        <f>IFERROR(([1]!s_stmnote_bank_614(B528,$A528,1,2,100000000)+[1]!b_stm07_bs(B528,104,$A528,1,100000000)+[1]!b_stm07_bs(B528,106,$A528,1,100000000)+[1]!b_stm07_bs(B528,76,$A528,1,100000000)+[1]!b_stm07_bs(B528,108,$A528,1,100000000)+[1]!b_stm07_bs(B528,95,$A528,1,100000000))/[1]!b_stm07_bs(B528,128,$A528,1,100000000),"")</f>
        <v/>
      </c>
      <c r="T528" s="11">
        <f>[1]!b_issuer_shareholder(B528,"",1)</f>
        <v>0</v>
      </c>
      <c r="U528" s="10">
        <f>[1]!b_issuer_propofshareholder(B528,"",1)</f>
        <v>0</v>
      </c>
      <c r="V528" s="33" t="str">
        <f t="shared" si="17"/>
        <v>0</v>
      </c>
      <c r="W528" s="33">
        <f>[1]!s_info_city(B528)</f>
        <v>0</v>
      </c>
      <c r="X528" s="10">
        <f>IF([1]!s_stmnote_bank_17n(B528,$A528,1)="0","",[1]!s_stmnote_bank_17n(B528,$A528,1))</f>
        <v>0</v>
      </c>
      <c r="Y528" s="10">
        <f>IF([1]!s_stmnote_bank_18n(B528,$A528,1)="0","",[1]!s_stmnote_bank_18n(B528,$A528,1))</f>
        <v>0</v>
      </c>
      <c r="Z528" s="41">
        <f>IF([1]!s_stmnote_bank_58(B528,$A528,1)="0","",[1]!s_stmnote_bank_58(B528,$A528,1))</f>
        <v>0</v>
      </c>
      <c r="AA528" s="52">
        <f>IF([1]!s_stmnote_bank_60(B528,$A528,1)="0","",[1]!s_stmnote_bank_60(B528,$A528,1))</f>
        <v>0</v>
      </c>
      <c r="AB528" s="52">
        <f>[1]!s_stmnote_bank_5444(B528,$A528,1)</f>
        <v>0</v>
      </c>
      <c r="AC528" s="38">
        <f>[1]!s_stmnote_bank_129n($B528,$A528,1)</f>
        <v>0</v>
      </c>
      <c r="AD528" s="54">
        <f>[1]!s_stmnote_bank_30(B528,$A528,1)</f>
        <v>0</v>
      </c>
    </row>
    <row r="529" spans="1:30" ht="24">
      <c r="A529" s="1" t="s">
        <v>1110</v>
      </c>
      <c r="B529" s="87" t="s">
        <v>1637</v>
      </c>
      <c r="C529" s="8">
        <f>IF([1]!b_info_issuer(B529)="0","",IFERROR([1]!b_info_issuer(B529),""))</f>
        <v>0</v>
      </c>
      <c r="D529" s="11">
        <f>IF([1]!b_info_latestissurercreditrating(B529)="0","",IFERROR([1]!b_info_latestissurercreditrating(B529),""))</f>
        <v>0</v>
      </c>
      <c r="E529" s="27" t="str">
        <f>IFERROR(([1]!b_stm07_bs($B529,47,$A529,1,100000000))/[1]!b_stm07_bs($B529,109,$A529,1,100000000),"")</f>
        <v/>
      </c>
      <c r="F529" s="18" t="str">
        <f>IFERROR(([1]!s_stmnote_bank_26($B529,$A529,1,100000000)-[1]!s_stmnote_bank_26($B529,#REF!,1,100000000)+#REF!)/[1]!s_stmnote_bank_1n($B529,#REF!,1,100000000),"")</f>
        <v/>
      </c>
      <c r="G529" s="21" t="str">
        <f t="shared" si="16"/>
        <v/>
      </c>
      <c r="H529" s="18" t="str">
        <f>IFERROR([1]!s_stmnote_bank($B529,"34",$A529,100000000)/[1]!s_stmnote_bank_1n(B529,$A529,1,100000000),"")</f>
        <v/>
      </c>
      <c r="I529" s="25">
        <f>[1]!b_stm07_bs(B529,74,$A529,1,100000000)</f>
        <v>0</v>
      </c>
      <c r="J529" s="25">
        <f>[1]!b_stm07_bs(B529,109,$A529,1,100000000)</f>
        <v>0</v>
      </c>
      <c r="K529" s="10">
        <f>[1]!s_stmnote_bank_5n(B529,$A529,1)</f>
        <v>0</v>
      </c>
      <c r="L529" s="25">
        <f>[1]!s_stmnote_bank_23n(B529,$A529,1)</f>
        <v>0</v>
      </c>
      <c r="M529" s="25">
        <f>[1]!s_stmnote_bank_capadequacyratio(B529,$A529,1)</f>
        <v>0</v>
      </c>
      <c r="N529" s="25">
        <f>[1]!s_stmnote_bank_capadequacyratio_ct1(B529,$A529,1)</f>
        <v>0</v>
      </c>
      <c r="O529" s="6">
        <f>IF(OR([1]!s_fa_roe(B529,20201231)="0",[1]!s_fa_roe(B529,20211231)="0",[1]!s_fa_roe(B529,20221231)="0"),"",IFERROR(([1]!s_fa_roe(B529,20221231)+[1]!s_fa_roe(B529,20201231)+[1]!s_fa_roe(B529,20211231))/3,""))</f>
        <v>0</v>
      </c>
      <c r="P529" s="28" t="str">
        <f>IFERROR(([1]!s_stmnote_bank_65(B529,$A529,1,2,4,100000000)+[1]!s_stmnote_bank_65(B529,$A529,1,2,6,100000000))/[1]!s_stmnote_bank_1n(B529,$A529,1,100000000),"")</f>
        <v/>
      </c>
      <c r="Q529" s="28" t="str">
        <f>IFERROR([1]!s_stmnote_bank_614(B529,$A529,1,2,100000000)/[1]!s_stmnote_bank_647(B529,$A529,1,2,100000000),"")</f>
        <v/>
      </c>
      <c r="R529" s="28" t="str">
        <f>IFERROR(([1]!b_stm07_bs(B529,104,$A529,1,100000000)+[1]!b_stm07_bs(B529,106,$A529,1,100000000)+[1]!b_stm07_bs(B529,76,$A529,1,100000000)+[1]!b_stm07_bs(B529,108,$A529,1,100000000)+[1]!b_stm07_bs(B529,95,$A529,1,100000000))/[1]!b_stm07_bs(B529,128,$A529,1,100000000),"")</f>
        <v/>
      </c>
      <c r="S529" s="28" t="str">
        <f>IFERROR(([1]!s_stmnote_bank_614(B529,$A529,1,2,100000000)+[1]!b_stm07_bs(B529,104,$A529,1,100000000)+[1]!b_stm07_bs(B529,106,$A529,1,100000000)+[1]!b_stm07_bs(B529,76,$A529,1,100000000)+[1]!b_stm07_bs(B529,108,$A529,1,100000000)+[1]!b_stm07_bs(B529,95,$A529,1,100000000))/[1]!b_stm07_bs(B529,128,$A529,1,100000000),"")</f>
        <v/>
      </c>
      <c r="T529" s="11">
        <f>[1]!b_issuer_shareholder(B529,"",1)</f>
        <v>0</v>
      </c>
      <c r="U529" s="10">
        <f>[1]!b_issuer_propofshareholder(B529,"",1)</f>
        <v>0</v>
      </c>
      <c r="V529" s="33" t="str">
        <f t="shared" si="17"/>
        <v>0</v>
      </c>
      <c r="W529" s="33">
        <f>[1]!s_info_city(B529)</f>
        <v>0</v>
      </c>
      <c r="X529" s="10">
        <f>IF([1]!s_stmnote_bank_17n(B529,$A529,1)="0","",[1]!s_stmnote_bank_17n(B529,$A529,1))</f>
        <v>0</v>
      </c>
      <c r="Y529" s="10">
        <f>IF([1]!s_stmnote_bank_18n(B529,$A529,1)="0","",[1]!s_stmnote_bank_18n(B529,$A529,1))</f>
        <v>0</v>
      </c>
      <c r="Z529" s="41">
        <f>IF([1]!s_stmnote_bank_58(B529,$A529,1)="0","",[1]!s_stmnote_bank_58(B529,$A529,1))</f>
        <v>0</v>
      </c>
      <c r="AA529" s="52">
        <f>IF([1]!s_stmnote_bank_60(B529,$A529,1)="0","",[1]!s_stmnote_bank_60(B529,$A529,1))</f>
        <v>0</v>
      </c>
      <c r="AB529" s="52">
        <f>[1]!s_stmnote_bank_5444(B529,$A529,1)</f>
        <v>0</v>
      </c>
      <c r="AC529" s="38">
        <f>[1]!s_stmnote_bank_129n($B529,$A529,1)</f>
        <v>0</v>
      </c>
      <c r="AD529" s="54">
        <f>[1]!s_stmnote_bank_30(B529,$A529,1)</f>
        <v>0</v>
      </c>
    </row>
    <row r="530" spans="1:30" ht="24">
      <c r="A530" s="1" t="s">
        <v>1110</v>
      </c>
      <c r="B530" s="87" t="s">
        <v>1638</v>
      </c>
      <c r="C530" s="8">
        <f>IF([1]!b_info_issuer(B530)="0","",IFERROR([1]!b_info_issuer(B530),""))</f>
        <v>0</v>
      </c>
      <c r="D530" s="11">
        <f>IF([1]!b_info_latestissurercreditrating(B530)="0","",IFERROR([1]!b_info_latestissurercreditrating(B530),""))</f>
        <v>0</v>
      </c>
      <c r="E530" s="27" t="str">
        <f>IFERROR(([1]!b_stm07_bs($B530,47,$A530,1,100000000))/[1]!b_stm07_bs($B530,109,$A530,1,100000000),"")</f>
        <v/>
      </c>
      <c r="F530" s="18" t="str">
        <f>IFERROR(([1]!s_stmnote_bank_26($B530,$A530,1,100000000)-[1]!s_stmnote_bank_26($B530,#REF!,1,100000000)+#REF!)/[1]!s_stmnote_bank_1n($B530,#REF!,1,100000000),"")</f>
        <v/>
      </c>
      <c r="G530" s="21" t="str">
        <f t="shared" si="16"/>
        <v/>
      </c>
      <c r="H530" s="18" t="str">
        <f>IFERROR([1]!s_stmnote_bank($B530,"34",$A530,100000000)/[1]!s_stmnote_bank_1n(B530,$A530,1,100000000),"")</f>
        <v/>
      </c>
      <c r="I530" s="25">
        <f>[1]!b_stm07_bs(B530,74,$A530,1,100000000)</f>
        <v>0</v>
      </c>
      <c r="J530" s="25">
        <f>[1]!b_stm07_bs(B530,109,$A530,1,100000000)</f>
        <v>0</v>
      </c>
      <c r="K530" s="10">
        <f>[1]!s_stmnote_bank_5n(B530,$A530,1)</f>
        <v>0</v>
      </c>
      <c r="L530" s="25">
        <f>[1]!s_stmnote_bank_23n(B530,$A530,1)</f>
        <v>0</v>
      </c>
      <c r="M530" s="25">
        <f>[1]!s_stmnote_bank_capadequacyratio(B530,$A530,1)</f>
        <v>0</v>
      </c>
      <c r="N530" s="25">
        <f>[1]!s_stmnote_bank_capadequacyratio_ct1(B530,$A530,1)</f>
        <v>0</v>
      </c>
      <c r="O530" s="6">
        <f>IF(OR([1]!s_fa_roe(B530,20201231)="0",[1]!s_fa_roe(B530,20211231)="0",[1]!s_fa_roe(B530,20221231)="0"),"",IFERROR(([1]!s_fa_roe(B530,20221231)+[1]!s_fa_roe(B530,20201231)+[1]!s_fa_roe(B530,20211231))/3,""))</f>
        <v>0</v>
      </c>
      <c r="P530" s="28" t="str">
        <f>IFERROR(([1]!s_stmnote_bank_65(B530,$A530,1,2,4,100000000)+[1]!s_stmnote_bank_65(B530,$A530,1,2,6,100000000))/[1]!s_stmnote_bank_1n(B530,$A530,1,100000000),"")</f>
        <v/>
      </c>
      <c r="Q530" s="28" t="str">
        <f>IFERROR([1]!s_stmnote_bank_614(B530,$A530,1,2,100000000)/[1]!s_stmnote_bank_647(B530,$A530,1,2,100000000),"")</f>
        <v/>
      </c>
      <c r="R530" s="28" t="str">
        <f>IFERROR(([1]!b_stm07_bs(B530,104,$A530,1,100000000)+[1]!b_stm07_bs(B530,106,$A530,1,100000000)+[1]!b_stm07_bs(B530,76,$A530,1,100000000)+[1]!b_stm07_bs(B530,108,$A530,1,100000000)+[1]!b_stm07_bs(B530,95,$A530,1,100000000))/[1]!b_stm07_bs(B530,128,$A530,1,100000000),"")</f>
        <v/>
      </c>
      <c r="S530" s="28" t="str">
        <f>IFERROR(([1]!s_stmnote_bank_614(B530,$A530,1,2,100000000)+[1]!b_stm07_bs(B530,104,$A530,1,100000000)+[1]!b_stm07_bs(B530,106,$A530,1,100000000)+[1]!b_stm07_bs(B530,76,$A530,1,100000000)+[1]!b_stm07_bs(B530,108,$A530,1,100000000)+[1]!b_stm07_bs(B530,95,$A530,1,100000000))/[1]!b_stm07_bs(B530,128,$A530,1,100000000),"")</f>
        <v/>
      </c>
      <c r="T530" s="11">
        <f>[1]!b_issuer_shareholder(B530,"",1)</f>
        <v>0</v>
      </c>
      <c r="U530" s="10">
        <f>[1]!b_issuer_propofshareholder(B530,"",1)</f>
        <v>0</v>
      </c>
      <c r="V530" s="33" t="str">
        <f t="shared" si="17"/>
        <v>0</v>
      </c>
      <c r="W530" s="33">
        <f>[1]!s_info_city(B530)</f>
        <v>0</v>
      </c>
      <c r="X530" s="10">
        <f>IF([1]!s_stmnote_bank_17n(B530,$A530,1)="0","",[1]!s_stmnote_bank_17n(B530,$A530,1))</f>
        <v>0</v>
      </c>
      <c r="Y530" s="10">
        <f>IF([1]!s_stmnote_bank_18n(B530,$A530,1)="0","",[1]!s_stmnote_bank_18n(B530,$A530,1))</f>
        <v>0</v>
      </c>
      <c r="Z530" s="41">
        <f>IF([1]!s_stmnote_bank_58(B530,$A530,1)="0","",[1]!s_stmnote_bank_58(B530,$A530,1))</f>
        <v>0</v>
      </c>
      <c r="AA530" s="52">
        <f>IF([1]!s_stmnote_bank_60(B530,$A530,1)="0","",[1]!s_stmnote_bank_60(B530,$A530,1))</f>
        <v>0</v>
      </c>
      <c r="AB530" s="52">
        <f>[1]!s_stmnote_bank_5444(B530,$A530,1)</f>
        <v>0</v>
      </c>
      <c r="AC530" s="38">
        <f>[1]!s_stmnote_bank_129n($B530,$A530,1)</f>
        <v>0</v>
      </c>
      <c r="AD530" s="54">
        <f>[1]!s_stmnote_bank_30(B530,$A530,1)</f>
        <v>0</v>
      </c>
    </row>
    <row r="531" spans="1:30" ht="24">
      <c r="A531" s="1" t="s">
        <v>1110</v>
      </c>
      <c r="B531" s="87" t="s">
        <v>1639</v>
      </c>
      <c r="C531" s="8">
        <f>IF([1]!b_info_issuer(B531)="0","",IFERROR([1]!b_info_issuer(B531),""))</f>
        <v>0</v>
      </c>
      <c r="D531" s="11">
        <f>IF([1]!b_info_latestissurercreditrating(B531)="0","",IFERROR([1]!b_info_latestissurercreditrating(B531),""))</f>
        <v>0</v>
      </c>
      <c r="E531" s="27" t="str">
        <f>IFERROR(([1]!b_stm07_bs($B531,47,$A531,1,100000000))/[1]!b_stm07_bs($B531,109,$A531,1,100000000),"")</f>
        <v/>
      </c>
      <c r="F531" s="18" t="str">
        <f>IFERROR(([1]!s_stmnote_bank_26($B531,$A531,1,100000000)-[1]!s_stmnote_bank_26($B531,#REF!,1,100000000)+#REF!)/[1]!s_stmnote_bank_1n($B531,#REF!,1,100000000),"")</f>
        <v/>
      </c>
      <c r="G531" s="21" t="str">
        <f t="shared" si="16"/>
        <v/>
      </c>
      <c r="H531" s="18" t="str">
        <f>IFERROR([1]!s_stmnote_bank($B531,"34",$A531,100000000)/[1]!s_stmnote_bank_1n(B531,$A531,1,100000000),"")</f>
        <v/>
      </c>
      <c r="I531" s="25">
        <f>[1]!b_stm07_bs(B531,74,$A531,1,100000000)</f>
        <v>0</v>
      </c>
      <c r="J531" s="25">
        <f>[1]!b_stm07_bs(B531,109,$A531,1,100000000)</f>
        <v>0</v>
      </c>
      <c r="K531" s="10">
        <f>[1]!s_stmnote_bank_5n(B531,$A531,1)</f>
        <v>0</v>
      </c>
      <c r="L531" s="25">
        <f>[1]!s_stmnote_bank_23n(B531,$A531,1)</f>
        <v>0</v>
      </c>
      <c r="M531" s="25">
        <f>[1]!s_stmnote_bank_capadequacyratio(B531,$A531,1)</f>
        <v>0</v>
      </c>
      <c r="N531" s="25">
        <f>[1]!s_stmnote_bank_capadequacyratio_ct1(B531,$A531,1)</f>
        <v>0</v>
      </c>
      <c r="O531" s="6">
        <f>IF(OR([1]!s_fa_roe(B531,20201231)="0",[1]!s_fa_roe(B531,20211231)="0",[1]!s_fa_roe(B531,20221231)="0"),"",IFERROR(([1]!s_fa_roe(B531,20221231)+[1]!s_fa_roe(B531,20201231)+[1]!s_fa_roe(B531,20211231))/3,""))</f>
        <v>0</v>
      </c>
      <c r="P531" s="28" t="str">
        <f>IFERROR(([1]!s_stmnote_bank_65(B531,$A531,1,2,4,100000000)+[1]!s_stmnote_bank_65(B531,$A531,1,2,6,100000000))/[1]!s_stmnote_bank_1n(B531,$A531,1,100000000),"")</f>
        <v/>
      </c>
      <c r="Q531" s="28" t="str">
        <f>IFERROR([1]!s_stmnote_bank_614(B531,$A531,1,2,100000000)/[1]!s_stmnote_bank_647(B531,$A531,1,2,100000000),"")</f>
        <v/>
      </c>
      <c r="R531" s="28" t="str">
        <f>IFERROR(([1]!b_stm07_bs(B531,104,$A531,1,100000000)+[1]!b_stm07_bs(B531,106,$A531,1,100000000)+[1]!b_stm07_bs(B531,76,$A531,1,100000000)+[1]!b_stm07_bs(B531,108,$A531,1,100000000)+[1]!b_stm07_bs(B531,95,$A531,1,100000000))/[1]!b_stm07_bs(B531,128,$A531,1,100000000),"")</f>
        <v/>
      </c>
      <c r="S531" s="28" t="str">
        <f>IFERROR(([1]!s_stmnote_bank_614(B531,$A531,1,2,100000000)+[1]!b_stm07_bs(B531,104,$A531,1,100000000)+[1]!b_stm07_bs(B531,106,$A531,1,100000000)+[1]!b_stm07_bs(B531,76,$A531,1,100000000)+[1]!b_stm07_bs(B531,108,$A531,1,100000000)+[1]!b_stm07_bs(B531,95,$A531,1,100000000))/[1]!b_stm07_bs(B531,128,$A531,1,100000000),"")</f>
        <v/>
      </c>
      <c r="T531" s="11">
        <f>[1]!b_issuer_shareholder(B531,"",1)</f>
        <v>0</v>
      </c>
      <c r="U531" s="10">
        <f>[1]!b_issuer_propofshareholder(B531,"",1)</f>
        <v>0</v>
      </c>
      <c r="V531" s="33" t="str">
        <f t="shared" si="17"/>
        <v>0</v>
      </c>
      <c r="W531" s="33">
        <f>[1]!s_info_city(B531)</f>
        <v>0</v>
      </c>
      <c r="X531" s="10">
        <f>IF([1]!s_stmnote_bank_17n(B531,$A531,1)="0","",[1]!s_stmnote_bank_17n(B531,$A531,1))</f>
        <v>0</v>
      </c>
      <c r="Y531" s="10">
        <f>IF([1]!s_stmnote_bank_18n(B531,$A531,1)="0","",[1]!s_stmnote_bank_18n(B531,$A531,1))</f>
        <v>0</v>
      </c>
      <c r="Z531" s="41">
        <f>IF([1]!s_stmnote_bank_58(B531,$A531,1)="0","",[1]!s_stmnote_bank_58(B531,$A531,1))</f>
        <v>0</v>
      </c>
      <c r="AA531" s="52">
        <f>IF([1]!s_stmnote_bank_60(B531,$A531,1)="0","",[1]!s_stmnote_bank_60(B531,$A531,1))</f>
        <v>0</v>
      </c>
      <c r="AB531" s="52">
        <f>[1]!s_stmnote_bank_5444(B531,$A531,1)</f>
        <v>0</v>
      </c>
      <c r="AC531" s="38">
        <f>[1]!s_stmnote_bank_129n($B531,$A531,1)</f>
        <v>0</v>
      </c>
      <c r="AD531" s="54">
        <f>[1]!s_stmnote_bank_30(B531,$A531,1)</f>
        <v>0</v>
      </c>
    </row>
    <row r="532" spans="1:30" ht="24">
      <c r="A532" s="1" t="s">
        <v>1110</v>
      </c>
      <c r="B532" s="87" t="s">
        <v>1640</v>
      </c>
      <c r="C532" s="8">
        <f>IF([1]!b_info_issuer(B532)="0","",IFERROR([1]!b_info_issuer(B532),""))</f>
        <v>0</v>
      </c>
      <c r="D532" s="11">
        <f>IF([1]!b_info_latestissurercreditrating(B532)="0","",IFERROR([1]!b_info_latestissurercreditrating(B532),""))</f>
        <v>0</v>
      </c>
      <c r="E532" s="27" t="str">
        <f>IFERROR(([1]!b_stm07_bs($B532,47,$A532,1,100000000))/[1]!b_stm07_bs($B532,109,$A532,1,100000000),"")</f>
        <v/>
      </c>
      <c r="F532" s="18" t="str">
        <f>IFERROR(([1]!s_stmnote_bank_26($B532,$A532,1,100000000)-[1]!s_stmnote_bank_26($B532,#REF!,1,100000000)+#REF!)/[1]!s_stmnote_bank_1n($B532,#REF!,1,100000000),"")</f>
        <v/>
      </c>
      <c r="G532" s="21" t="str">
        <f t="shared" si="16"/>
        <v/>
      </c>
      <c r="H532" s="18" t="str">
        <f>IFERROR([1]!s_stmnote_bank($B532,"34",$A532,100000000)/[1]!s_stmnote_bank_1n(B532,$A532,1,100000000),"")</f>
        <v/>
      </c>
      <c r="I532" s="25">
        <f>[1]!b_stm07_bs(B532,74,$A532,1,100000000)</f>
        <v>0</v>
      </c>
      <c r="J532" s="25">
        <f>[1]!b_stm07_bs(B532,109,$A532,1,100000000)</f>
        <v>0</v>
      </c>
      <c r="K532" s="10">
        <f>[1]!s_stmnote_bank_5n(B532,$A532,1)</f>
        <v>0</v>
      </c>
      <c r="L532" s="25">
        <f>[1]!s_stmnote_bank_23n(B532,$A532,1)</f>
        <v>0</v>
      </c>
      <c r="M532" s="25">
        <f>[1]!s_stmnote_bank_capadequacyratio(B532,$A532,1)</f>
        <v>0</v>
      </c>
      <c r="N532" s="25">
        <f>[1]!s_stmnote_bank_capadequacyratio_ct1(B532,$A532,1)</f>
        <v>0</v>
      </c>
      <c r="O532" s="6">
        <f>IF(OR([1]!s_fa_roe(B532,20201231)="0",[1]!s_fa_roe(B532,20211231)="0",[1]!s_fa_roe(B532,20221231)="0"),"",IFERROR(([1]!s_fa_roe(B532,20221231)+[1]!s_fa_roe(B532,20201231)+[1]!s_fa_roe(B532,20211231))/3,""))</f>
        <v>0</v>
      </c>
      <c r="P532" s="28" t="str">
        <f>IFERROR(([1]!s_stmnote_bank_65(B532,$A532,1,2,4,100000000)+[1]!s_stmnote_bank_65(B532,$A532,1,2,6,100000000))/[1]!s_stmnote_bank_1n(B532,$A532,1,100000000),"")</f>
        <v/>
      </c>
      <c r="Q532" s="28" t="str">
        <f>IFERROR([1]!s_stmnote_bank_614(B532,$A532,1,2,100000000)/[1]!s_stmnote_bank_647(B532,$A532,1,2,100000000),"")</f>
        <v/>
      </c>
      <c r="R532" s="28" t="str">
        <f>IFERROR(([1]!b_stm07_bs(B532,104,$A532,1,100000000)+[1]!b_stm07_bs(B532,106,$A532,1,100000000)+[1]!b_stm07_bs(B532,76,$A532,1,100000000)+[1]!b_stm07_bs(B532,108,$A532,1,100000000)+[1]!b_stm07_bs(B532,95,$A532,1,100000000))/[1]!b_stm07_bs(B532,128,$A532,1,100000000),"")</f>
        <v/>
      </c>
      <c r="S532" s="28" t="str">
        <f>IFERROR(([1]!s_stmnote_bank_614(B532,$A532,1,2,100000000)+[1]!b_stm07_bs(B532,104,$A532,1,100000000)+[1]!b_stm07_bs(B532,106,$A532,1,100000000)+[1]!b_stm07_bs(B532,76,$A532,1,100000000)+[1]!b_stm07_bs(B532,108,$A532,1,100000000)+[1]!b_stm07_bs(B532,95,$A532,1,100000000))/[1]!b_stm07_bs(B532,128,$A532,1,100000000),"")</f>
        <v/>
      </c>
      <c r="T532" s="11">
        <f>[1]!b_issuer_shareholder(B532,"",1)</f>
        <v>0</v>
      </c>
      <c r="U532" s="10">
        <f>[1]!b_issuer_propofshareholder(B532,"",1)</f>
        <v>0</v>
      </c>
      <c r="V532" s="33" t="str">
        <f t="shared" si="17"/>
        <v>0</v>
      </c>
      <c r="W532" s="33">
        <f>[1]!s_info_city(B532)</f>
        <v>0</v>
      </c>
      <c r="X532" s="10">
        <f>IF([1]!s_stmnote_bank_17n(B532,$A532,1)="0","",[1]!s_stmnote_bank_17n(B532,$A532,1))</f>
        <v>0</v>
      </c>
      <c r="Y532" s="10">
        <f>IF([1]!s_stmnote_bank_18n(B532,$A532,1)="0","",[1]!s_stmnote_bank_18n(B532,$A532,1))</f>
        <v>0</v>
      </c>
      <c r="Z532" s="41">
        <f>IF([1]!s_stmnote_bank_58(B532,$A532,1)="0","",[1]!s_stmnote_bank_58(B532,$A532,1))</f>
        <v>0</v>
      </c>
      <c r="AA532" s="52">
        <f>IF([1]!s_stmnote_bank_60(B532,$A532,1)="0","",[1]!s_stmnote_bank_60(B532,$A532,1))</f>
        <v>0</v>
      </c>
      <c r="AB532" s="52">
        <f>[1]!s_stmnote_bank_5444(B532,$A532,1)</f>
        <v>0</v>
      </c>
      <c r="AC532" s="38">
        <f>[1]!s_stmnote_bank_129n($B532,$A532,1)</f>
        <v>0</v>
      </c>
      <c r="AD532" s="54">
        <f>[1]!s_stmnote_bank_30(B532,$A532,1)</f>
        <v>0</v>
      </c>
    </row>
    <row r="533" spans="1:30" ht="24">
      <c r="A533" s="1" t="s">
        <v>1110</v>
      </c>
      <c r="B533" s="87" t="s">
        <v>1641</v>
      </c>
      <c r="C533" s="8">
        <f>IF([1]!b_info_issuer(B533)="0","",IFERROR([1]!b_info_issuer(B533),""))</f>
        <v>0</v>
      </c>
      <c r="D533" s="11">
        <f>IF([1]!b_info_latestissurercreditrating(B533)="0","",IFERROR([1]!b_info_latestissurercreditrating(B533),""))</f>
        <v>0</v>
      </c>
      <c r="E533" s="27" t="str">
        <f>IFERROR(([1]!b_stm07_bs($B533,47,$A533,1,100000000))/[1]!b_stm07_bs($B533,109,$A533,1,100000000),"")</f>
        <v/>
      </c>
      <c r="F533" s="18" t="str">
        <f>IFERROR(([1]!s_stmnote_bank_26($B533,$A533,1,100000000)-[1]!s_stmnote_bank_26($B533,#REF!,1,100000000)+#REF!)/[1]!s_stmnote_bank_1n($B533,#REF!,1,100000000),"")</f>
        <v/>
      </c>
      <c r="G533" s="21" t="str">
        <f t="shared" si="16"/>
        <v/>
      </c>
      <c r="H533" s="18" t="str">
        <f>IFERROR([1]!s_stmnote_bank($B533,"34",$A533,100000000)/[1]!s_stmnote_bank_1n(B533,$A533,1,100000000),"")</f>
        <v/>
      </c>
      <c r="I533" s="25">
        <f>[1]!b_stm07_bs(B533,74,$A533,1,100000000)</f>
        <v>0</v>
      </c>
      <c r="J533" s="25">
        <f>[1]!b_stm07_bs(B533,109,$A533,1,100000000)</f>
        <v>0</v>
      </c>
      <c r="K533" s="10">
        <f>[1]!s_stmnote_bank_5n(B533,$A533,1)</f>
        <v>0</v>
      </c>
      <c r="L533" s="25">
        <f>[1]!s_stmnote_bank_23n(B533,$A533,1)</f>
        <v>0</v>
      </c>
      <c r="M533" s="25">
        <f>[1]!s_stmnote_bank_capadequacyratio(B533,$A533,1)</f>
        <v>0</v>
      </c>
      <c r="N533" s="25">
        <f>[1]!s_stmnote_bank_capadequacyratio_ct1(B533,$A533,1)</f>
        <v>0</v>
      </c>
      <c r="O533" s="6">
        <f>IF(OR([1]!s_fa_roe(B533,20201231)="0",[1]!s_fa_roe(B533,20211231)="0",[1]!s_fa_roe(B533,20221231)="0"),"",IFERROR(([1]!s_fa_roe(B533,20221231)+[1]!s_fa_roe(B533,20201231)+[1]!s_fa_roe(B533,20211231))/3,""))</f>
        <v>0</v>
      </c>
      <c r="P533" s="28" t="str">
        <f>IFERROR(([1]!s_stmnote_bank_65(B533,$A533,1,2,4,100000000)+[1]!s_stmnote_bank_65(B533,$A533,1,2,6,100000000))/[1]!s_stmnote_bank_1n(B533,$A533,1,100000000),"")</f>
        <v/>
      </c>
      <c r="Q533" s="28" t="str">
        <f>IFERROR([1]!s_stmnote_bank_614(B533,$A533,1,2,100000000)/[1]!s_stmnote_bank_647(B533,$A533,1,2,100000000),"")</f>
        <v/>
      </c>
      <c r="R533" s="28" t="str">
        <f>IFERROR(([1]!b_stm07_bs(B533,104,$A533,1,100000000)+[1]!b_stm07_bs(B533,106,$A533,1,100000000)+[1]!b_stm07_bs(B533,76,$A533,1,100000000)+[1]!b_stm07_bs(B533,108,$A533,1,100000000)+[1]!b_stm07_bs(B533,95,$A533,1,100000000))/[1]!b_stm07_bs(B533,128,$A533,1,100000000),"")</f>
        <v/>
      </c>
      <c r="S533" s="28" t="str">
        <f>IFERROR(([1]!s_stmnote_bank_614(B533,$A533,1,2,100000000)+[1]!b_stm07_bs(B533,104,$A533,1,100000000)+[1]!b_stm07_bs(B533,106,$A533,1,100000000)+[1]!b_stm07_bs(B533,76,$A533,1,100000000)+[1]!b_stm07_bs(B533,108,$A533,1,100000000)+[1]!b_stm07_bs(B533,95,$A533,1,100000000))/[1]!b_stm07_bs(B533,128,$A533,1,100000000),"")</f>
        <v/>
      </c>
      <c r="T533" s="11">
        <f>[1]!b_issuer_shareholder(B533,"",1)</f>
        <v>0</v>
      </c>
      <c r="U533" s="10">
        <f>[1]!b_issuer_propofshareholder(B533,"",1)</f>
        <v>0</v>
      </c>
      <c r="V533" s="33" t="str">
        <f t="shared" si="17"/>
        <v>0</v>
      </c>
      <c r="W533" s="33">
        <f>[1]!s_info_city(B533)</f>
        <v>0</v>
      </c>
      <c r="X533" s="10">
        <f>IF([1]!s_stmnote_bank_17n(B533,$A533,1)="0","",[1]!s_stmnote_bank_17n(B533,$A533,1))</f>
        <v>0</v>
      </c>
      <c r="Y533" s="10">
        <f>IF([1]!s_stmnote_bank_18n(B533,$A533,1)="0","",[1]!s_stmnote_bank_18n(B533,$A533,1))</f>
        <v>0</v>
      </c>
      <c r="Z533" s="41">
        <f>IF([1]!s_stmnote_bank_58(B533,$A533,1)="0","",[1]!s_stmnote_bank_58(B533,$A533,1))</f>
        <v>0</v>
      </c>
      <c r="AA533" s="52">
        <f>IF([1]!s_stmnote_bank_60(B533,$A533,1)="0","",[1]!s_stmnote_bank_60(B533,$A533,1))</f>
        <v>0</v>
      </c>
      <c r="AB533" s="52">
        <f>[1]!s_stmnote_bank_5444(B533,$A533,1)</f>
        <v>0</v>
      </c>
      <c r="AC533" s="38">
        <f>[1]!s_stmnote_bank_129n($B533,$A533,1)</f>
        <v>0</v>
      </c>
      <c r="AD533" s="54">
        <f>[1]!s_stmnote_bank_30(B533,$A533,1)</f>
        <v>0</v>
      </c>
    </row>
    <row r="534" spans="1:30" ht="24">
      <c r="A534" s="1" t="s">
        <v>1110</v>
      </c>
      <c r="B534" s="87" t="s">
        <v>1642</v>
      </c>
      <c r="C534" s="8">
        <f>IF([1]!b_info_issuer(B534)="0","",IFERROR([1]!b_info_issuer(B534),""))</f>
        <v>0</v>
      </c>
      <c r="D534" s="11">
        <f>IF([1]!b_info_latestissurercreditrating(B534)="0","",IFERROR([1]!b_info_latestissurercreditrating(B534),""))</f>
        <v>0</v>
      </c>
      <c r="E534" s="27" t="str">
        <f>IFERROR(([1]!b_stm07_bs($B534,47,$A534,1,100000000))/[1]!b_stm07_bs($B534,109,$A534,1,100000000),"")</f>
        <v/>
      </c>
      <c r="F534" s="18" t="str">
        <f>IFERROR(([1]!s_stmnote_bank_26($B534,$A534,1,100000000)-[1]!s_stmnote_bank_26($B534,#REF!,1,100000000)+#REF!)/[1]!s_stmnote_bank_1n($B534,#REF!,1,100000000),"")</f>
        <v/>
      </c>
      <c r="G534" s="21" t="str">
        <f t="shared" si="16"/>
        <v/>
      </c>
      <c r="H534" s="18" t="str">
        <f>IFERROR([1]!s_stmnote_bank($B534,"34",$A534,100000000)/[1]!s_stmnote_bank_1n(B534,$A534,1,100000000),"")</f>
        <v/>
      </c>
      <c r="I534" s="25">
        <f>[1]!b_stm07_bs(B534,74,$A534,1,100000000)</f>
        <v>0</v>
      </c>
      <c r="J534" s="25">
        <f>[1]!b_stm07_bs(B534,109,$A534,1,100000000)</f>
        <v>0</v>
      </c>
      <c r="K534" s="10">
        <f>[1]!s_stmnote_bank_5n(B534,$A534,1)</f>
        <v>0</v>
      </c>
      <c r="L534" s="25">
        <f>[1]!s_stmnote_bank_23n(B534,$A534,1)</f>
        <v>0</v>
      </c>
      <c r="M534" s="25">
        <f>[1]!s_stmnote_bank_capadequacyratio(B534,$A534,1)</f>
        <v>0</v>
      </c>
      <c r="N534" s="25">
        <f>[1]!s_stmnote_bank_capadequacyratio_ct1(B534,$A534,1)</f>
        <v>0</v>
      </c>
      <c r="O534" s="6">
        <f>IF(OR([1]!s_fa_roe(B534,20201231)="0",[1]!s_fa_roe(B534,20211231)="0",[1]!s_fa_roe(B534,20221231)="0"),"",IFERROR(([1]!s_fa_roe(B534,20221231)+[1]!s_fa_roe(B534,20201231)+[1]!s_fa_roe(B534,20211231))/3,""))</f>
        <v>0</v>
      </c>
      <c r="P534" s="28" t="str">
        <f>IFERROR(([1]!s_stmnote_bank_65(B534,$A534,1,2,4,100000000)+[1]!s_stmnote_bank_65(B534,$A534,1,2,6,100000000))/[1]!s_stmnote_bank_1n(B534,$A534,1,100000000),"")</f>
        <v/>
      </c>
      <c r="Q534" s="28" t="str">
        <f>IFERROR([1]!s_stmnote_bank_614(B534,$A534,1,2,100000000)/[1]!s_stmnote_bank_647(B534,$A534,1,2,100000000),"")</f>
        <v/>
      </c>
      <c r="R534" s="28" t="str">
        <f>IFERROR(([1]!b_stm07_bs(B534,104,$A534,1,100000000)+[1]!b_stm07_bs(B534,106,$A534,1,100000000)+[1]!b_stm07_bs(B534,76,$A534,1,100000000)+[1]!b_stm07_bs(B534,108,$A534,1,100000000)+[1]!b_stm07_bs(B534,95,$A534,1,100000000))/[1]!b_stm07_bs(B534,128,$A534,1,100000000),"")</f>
        <v/>
      </c>
      <c r="S534" s="28" t="str">
        <f>IFERROR(([1]!s_stmnote_bank_614(B534,$A534,1,2,100000000)+[1]!b_stm07_bs(B534,104,$A534,1,100000000)+[1]!b_stm07_bs(B534,106,$A534,1,100000000)+[1]!b_stm07_bs(B534,76,$A534,1,100000000)+[1]!b_stm07_bs(B534,108,$A534,1,100000000)+[1]!b_stm07_bs(B534,95,$A534,1,100000000))/[1]!b_stm07_bs(B534,128,$A534,1,100000000),"")</f>
        <v/>
      </c>
      <c r="T534" s="11">
        <f>[1]!b_issuer_shareholder(B534,"",1)</f>
        <v>0</v>
      </c>
      <c r="U534" s="10">
        <f>[1]!b_issuer_propofshareholder(B534,"",1)</f>
        <v>0</v>
      </c>
      <c r="V534" s="33" t="str">
        <f t="shared" si="17"/>
        <v>0</v>
      </c>
      <c r="W534" s="33">
        <f>[1]!s_info_city(B534)</f>
        <v>0</v>
      </c>
      <c r="X534" s="10">
        <f>IF([1]!s_stmnote_bank_17n(B534,$A534,1)="0","",[1]!s_stmnote_bank_17n(B534,$A534,1))</f>
        <v>0</v>
      </c>
      <c r="Y534" s="10">
        <f>IF([1]!s_stmnote_bank_18n(B534,$A534,1)="0","",[1]!s_stmnote_bank_18n(B534,$A534,1))</f>
        <v>0</v>
      </c>
      <c r="Z534" s="41">
        <f>IF([1]!s_stmnote_bank_58(B534,$A534,1)="0","",[1]!s_stmnote_bank_58(B534,$A534,1))</f>
        <v>0</v>
      </c>
      <c r="AA534" s="52">
        <f>IF([1]!s_stmnote_bank_60(B534,$A534,1)="0","",[1]!s_stmnote_bank_60(B534,$A534,1))</f>
        <v>0</v>
      </c>
      <c r="AB534" s="52">
        <f>[1]!s_stmnote_bank_5444(B534,$A534,1)</f>
        <v>0</v>
      </c>
      <c r="AC534" s="38">
        <f>[1]!s_stmnote_bank_129n($B534,$A534,1)</f>
        <v>0</v>
      </c>
      <c r="AD534" s="54">
        <f>[1]!s_stmnote_bank_30(B534,$A534,1)</f>
        <v>0</v>
      </c>
    </row>
    <row r="535" spans="1:30" ht="24">
      <c r="A535" s="1" t="s">
        <v>1110</v>
      </c>
      <c r="B535" s="87" t="s">
        <v>1643</v>
      </c>
      <c r="C535" s="8">
        <f>IF([1]!b_info_issuer(B535)="0","",IFERROR([1]!b_info_issuer(B535),""))</f>
        <v>0</v>
      </c>
      <c r="D535" s="11">
        <f>IF([1]!b_info_latestissurercreditrating(B535)="0","",IFERROR([1]!b_info_latestissurercreditrating(B535),""))</f>
        <v>0</v>
      </c>
      <c r="E535" s="27" t="str">
        <f>IFERROR(([1]!b_stm07_bs($B535,47,$A535,1,100000000))/[1]!b_stm07_bs($B535,109,$A535,1,100000000),"")</f>
        <v/>
      </c>
      <c r="F535" s="18" t="str">
        <f>IFERROR(([1]!s_stmnote_bank_26($B535,$A535,1,100000000)-[1]!s_stmnote_bank_26($B535,#REF!,1,100000000)+#REF!)/[1]!s_stmnote_bank_1n($B535,#REF!,1,100000000),"")</f>
        <v/>
      </c>
      <c r="G535" s="21" t="str">
        <f t="shared" si="16"/>
        <v/>
      </c>
      <c r="H535" s="18" t="str">
        <f>IFERROR([1]!s_stmnote_bank($B535,"34",$A535,100000000)/[1]!s_stmnote_bank_1n(B535,$A535,1,100000000),"")</f>
        <v/>
      </c>
      <c r="I535" s="25">
        <f>[1]!b_stm07_bs(B535,74,$A535,1,100000000)</f>
        <v>0</v>
      </c>
      <c r="J535" s="25">
        <f>[1]!b_stm07_bs(B535,109,$A535,1,100000000)</f>
        <v>0</v>
      </c>
      <c r="K535" s="10">
        <f>[1]!s_stmnote_bank_5n(B535,$A535,1)</f>
        <v>0</v>
      </c>
      <c r="L535" s="25">
        <f>[1]!s_stmnote_bank_23n(B535,$A535,1)</f>
        <v>0</v>
      </c>
      <c r="M535" s="25">
        <f>[1]!s_stmnote_bank_capadequacyratio(B535,$A535,1)</f>
        <v>0</v>
      </c>
      <c r="N535" s="25">
        <f>[1]!s_stmnote_bank_capadequacyratio_ct1(B535,$A535,1)</f>
        <v>0</v>
      </c>
      <c r="O535" s="6">
        <f>IF(OR([1]!s_fa_roe(B535,20201231)="0",[1]!s_fa_roe(B535,20211231)="0",[1]!s_fa_roe(B535,20221231)="0"),"",IFERROR(([1]!s_fa_roe(B535,20221231)+[1]!s_fa_roe(B535,20201231)+[1]!s_fa_roe(B535,20211231))/3,""))</f>
        <v>0</v>
      </c>
      <c r="P535" s="28" t="str">
        <f>IFERROR(([1]!s_stmnote_bank_65(B535,$A535,1,2,4,100000000)+[1]!s_stmnote_bank_65(B535,$A535,1,2,6,100000000))/[1]!s_stmnote_bank_1n(B535,$A535,1,100000000),"")</f>
        <v/>
      </c>
      <c r="Q535" s="28" t="str">
        <f>IFERROR([1]!s_stmnote_bank_614(B535,$A535,1,2,100000000)/[1]!s_stmnote_bank_647(B535,$A535,1,2,100000000),"")</f>
        <v/>
      </c>
      <c r="R535" s="28" t="str">
        <f>IFERROR(([1]!b_stm07_bs(B535,104,$A535,1,100000000)+[1]!b_stm07_bs(B535,106,$A535,1,100000000)+[1]!b_stm07_bs(B535,76,$A535,1,100000000)+[1]!b_stm07_bs(B535,108,$A535,1,100000000)+[1]!b_stm07_bs(B535,95,$A535,1,100000000))/[1]!b_stm07_bs(B535,128,$A535,1,100000000),"")</f>
        <v/>
      </c>
      <c r="S535" s="28" t="str">
        <f>IFERROR(([1]!s_stmnote_bank_614(B535,$A535,1,2,100000000)+[1]!b_stm07_bs(B535,104,$A535,1,100000000)+[1]!b_stm07_bs(B535,106,$A535,1,100000000)+[1]!b_stm07_bs(B535,76,$A535,1,100000000)+[1]!b_stm07_bs(B535,108,$A535,1,100000000)+[1]!b_stm07_bs(B535,95,$A535,1,100000000))/[1]!b_stm07_bs(B535,128,$A535,1,100000000),"")</f>
        <v/>
      </c>
      <c r="T535" s="11">
        <f>[1]!b_issuer_shareholder(B535,"",1)</f>
        <v>0</v>
      </c>
      <c r="U535" s="10">
        <f>[1]!b_issuer_propofshareholder(B535,"",1)</f>
        <v>0</v>
      </c>
      <c r="V535" s="33" t="str">
        <f t="shared" si="17"/>
        <v>0</v>
      </c>
      <c r="W535" s="33">
        <f>[1]!s_info_city(B535)</f>
        <v>0</v>
      </c>
      <c r="X535" s="10">
        <f>IF([1]!s_stmnote_bank_17n(B535,$A535,1)="0","",[1]!s_stmnote_bank_17n(B535,$A535,1))</f>
        <v>0</v>
      </c>
      <c r="Y535" s="10">
        <f>IF([1]!s_stmnote_bank_18n(B535,$A535,1)="0","",[1]!s_stmnote_bank_18n(B535,$A535,1))</f>
        <v>0</v>
      </c>
      <c r="Z535" s="41">
        <f>IF([1]!s_stmnote_bank_58(B535,$A535,1)="0","",[1]!s_stmnote_bank_58(B535,$A535,1))</f>
        <v>0</v>
      </c>
      <c r="AA535" s="52">
        <f>IF([1]!s_stmnote_bank_60(B535,$A535,1)="0","",[1]!s_stmnote_bank_60(B535,$A535,1))</f>
        <v>0</v>
      </c>
      <c r="AB535" s="52">
        <f>[1]!s_stmnote_bank_5444(B535,$A535,1)</f>
        <v>0</v>
      </c>
      <c r="AC535" s="38">
        <f>[1]!s_stmnote_bank_129n($B535,$A535,1)</f>
        <v>0</v>
      </c>
      <c r="AD535" s="54">
        <f>[1]!s_stmnote_bank_30(B535,$A535,1)</f>
        <v>0</v>
      </c>
    </row>
    <row r="536" spans="1:30" ht="24">
      <c r="A536" s="1" t="s">
        <v>1110</v>
      </c>
      <c r="B536" s="87" t="s">
        <v>1644</v>
      </c>
      <c r="C536" s="8">
        <f>IF([1]!b_info_issuer(B536)="0","",IFERROR([1]!b_info_issuer(B536),""))</f>
        <v>0</v>
      </c>
      <c r="D536" s="11">
        <f>IF([1]!b_info_latestissurercreditrating(B536)="0","",IFERROR([1]!b_info_latestissurercreditrating(B536),""))</f>
        <v>0</v>
      </c>
      <c r="E536" s="27" t="str">
        <f>IFERROR(([1]!b_stm07_bs($B536,47,$A536,1,100000000))/[1]!b_stm07_bs($B536,109,$A536,1,100000000),"")</f>
        <v/>
      </c>
      <c r="F536" s="18" t="str">
        <f>IFERROR(([1]!s_stmnote_bank_26($B536,$A536,1,100000000)-[1]!s_stmnote_bank_26($B536,#REF!,1,100000000)+#REF!)/[1]!s_stmnote_bank_1n($B536,#REF!,1,100000000),"")</f>
        <v/>
      </c>
      <c r="G536" s="21" t="str">
        <f t="shared" si="16"/>
        <v/>
      </c>
      <c r="H536" s="18" t="str">
        <f>IFERROR([1]!s_stmnote_bank($B536,"34",$A536,100000000)/[1]!s_stmnote_bank_1n(B536,$A536,1,100000000),"")</f>
        <v/>
      </c>
      <c r="I536" s="25">
        <f>[1]!b_stm07_bs(B536,74,$A536,1,100000000)</f>
        <v>0</v>
      </c>
      <c r="J536" s="25">
        <f>[1]!b_stm07_bs(B536,109,$A536,1,100000000)</f>
        <v>0</v>
      </c>
      <c r="K536" s="10">
        <f>[1]!s_stmnote_bank_5n(B536,$A536,1)</f>
        <v>0</v>
      </c>
      <c r="L536" s="25">
        <f>[1]!s_stmnote_bank_23n(B536,$A536,1)</f>
        <v>0</v>
      </c>
      <c r="M536" s="25">
        <f>[1]!s_stmnote_bank_capadequacyratio(B536,$A536,1)</f>
        <v>0</v>
      </c>
      <c r="N536" s="25">
        <f>[1]!s_stmnote_bank_capadequacyratio_ct1(B536,$A536,1)</f>
        <v>0</v>
      </c>
      <c r="O536" s="6">
        <f>IF(OR([1]!s_fa_roe(B536,20201231)="0",[1]!s_fa_roe(B536,20211231)="0",[1]!s_fa_roe(B536,20221231)="0"),"",IFERROR(([1]!s_fa_roe(B536,20221231)+[1]!s_fa_roe(B536,20201231)+[1]!s_fa_roe(B536,20211231))/3,""))</f>
        <v>0</v>
      </c>
      <c r="P536" s="28" t="str">
        <f>IFERROR(([1]!s_stmnote_bank_65(B536,$A536,1,2,4,100000000)+[1]!s_stmnote_bank_65(B536,$A536,1,2,6,100000000))/[1]!s_stmnote_bank_1n(B536,$A536,1,100000000),"")</f>
        <v/>
      </c>
      <c r="Q536" s="28" t="str">
        <f>IFERROR([1]!s_stmnote_bank_614(B536,$A536,1,2,100000000)/[1]!s_stmnote_bank_647(B536,$A536,1,2,100000000),"")</f>
        <v/>
      </c>
      <c r="R536" s="28" t="str">
        <f>IFERROR(([1]!b_stm07_bs(B536,104,$A536,1,100000000)+[1]!b_stm07_bs(B536,106,$A536,1,100000000)+[1]!b_stm07_bs(B536,76,$A536,1,100000000)+[1]!b_stm07_bs(B536,108,$A536,1,100000000)+[1]!b_stm07_bs(B536,95,$A536,1,100000000))/[1]!b_stm07_bs(B536,128,$A536,1,100000000),"")</f>
        <v/>
      </c>
      <c r="S536" s="28" t="str">
        <f>IFERROR(([1]!s_stmnote_bank_614(B536,$A536,1,2,100000000)+[1]!b_stm07_bs(B536,104,$A536,1,100000000)+[1]!b_stm07_bs(B536,106,$A536,1,100000000)+[1]!b_stm07_bs(B536,76,$A536,1,100000000)+[1]!b_stm07_bs(B536,108,$A536,1,100000000)+[1]!b_stm07_bs(B536,95,$A536,1,100000000))/[1]!b_stm07_bs(B536,128,$A536,1,100000000),"")</f>
        <v/>
      </c>
      <c r="T536" s="11">
        <f>[1]!b_issuer_shareholder(B536,"",1)</f>
        <v>0</v>
      </c>
      <c r="U536" s="10">
        <f>[1]!b_issuer_propofshareholder(B536,"",1)</f>
        <v>0</v>
      </c>
      <c r="V536" s="33" t="str">
        <f t="shared" si="17"/>
        <v>0</v>
      </c>
      <c r="W536" s="33">
        <f>[1]!s_info_city(B536)</f>
        <v>0</v>
      </c>
      <c r="X536" s="10">
        <f>IF([1]!s_stmnote_bank_17n(B536,$A536,1)="0","",[1]!s_stmnote_bank_17n(B536,$A536,1))</f>
        <v>0</v>
      </c>
      <c r="Y536" s="10">
        <f>IF([1]!s_stmnote_bank_18n(B536,$A536,1)="0","",[1]!s_stmnote_bank_18n(B536,$A536,1))</f>
        <v>0</v>
      </c>
      <c r="Z536" s="41">
        <f>IF([1]!s_stmnote_bank_58(B536,$A536,1)="0","",[1]!s_stmnote_bank_58(B536,$A536,1))</f>
        <v>0</v>
      </c>
      <c r="AA536" s="52">
        <f>IF([1]!s_stmnote_bank_60(B536,$A536,1)="0","",[1]!s_stmnote_bank_60(B536,$A536,1))</f>
        <v>0</v>
      </c>
      <c r="AB536" s="52">
        <f>[1]!s_stmnote_bank_5444(B536,$A536,1)</f>
        <v>0</v>
      </c>
      <c r="AC536" s="38">
        <f>[1]!s_stmnote_bank_129n($B536,$A536,1)</f>
        <v>0</v>
      </c>
      <c r="AD536" s="54">
        <f>[1]!s_stmnote_bank_30(B536,$A536,1)</f>
        <v>0</v>
      </c>
    </row>
    <row r="537" spans="1:30" ht="24">
      <c r="A537" s="1" t="s">
        <v>1110</v>
      </c>
      <c r="B537" s="87" t="s">
        <v>1645</v>
      </c>
      <c r="C537" s="8">
        <f>IF([1]!b_info_issuer(B537)="0","",IFERROR([1]!b_info_issuer(B537),""))</f>
        <v>0</v>
      </c>
      <c r="D537" s="11">
        <f>IF([1]!b_info_latestissurercreditrating(B537)="0","",IFERROR([1]!b_info_latestissurercreditrating(B537),""))</f>
        <v>0</v>
      </c>
      <c r="E537" s="27" t="str">
        <f>IFERROR(([1]!b_stm07_bs($B537,47,$A537,1,100000000))/[1]!b_stm07_bs($B537,109,$A537,1,100000000),"")</f>
        <v/>
      </c>
      <c r="F537" s="18" t="str">
        <f>IFERROR(([1]!s_stmnote_bank_26($B537,$A537,1,100000000)-[1]!s_stmnote_bank_26($B537,#REF!,1,100000000)+#REF!)/[1]!s_stmnote_bank_1n($B537,#REF!,1,100000000),"")</f>
        <v/>
      </c>
      <c r="G537" s="21" t="str">
        <f t="shared" si="16"/>
        <v/>
      </c>
      <c r="H537" s="18" t="str">
        <f>IFERROR([1]!s_stmnote_bank($B537,"34",$A537,100000000)/[1]!s_stmnote_bank_1n(B537,$A537,1,100000000),"")</f>
        <v/>
      </c>
      <c r="I537" s="25">
        <f>[1]!b_stm07_bs(B537,74,$A537,1,100000000)</f>
        <v>0</v>
      </c>
      <c r="J537" s="25">
        <f>[1]!b_stm07_bs(B537,109,$A537,1,100000000)</f>
        <v>0</v>
      </c>
      <c r="K537" s="10">
        <f>[1]!s_stmnote_bank_5n(B537,$A537,1)</f>
        <v>0</v>
      </c>
      <c r="L537" s="25">
        <f>[1]!s_stmnote_bank_23n(B537,$A537,1)</f>
        <v>0</v>
      </c>
      <c r="M537" s="25">
        <f>[1]!s_stmnote_bank_capadequacyratio(B537,$A537,1)</f>
        <v>0</v>
      </c>
      <c r="N537" s="25">
        <f>[1]!s_stmnote_bank_capadequacyratio_ct1(B537,$A537,1)</f>
        <v>0</v>
      </c>
      <c r="O537" s="6">
        <f>IF(OR([1]!s_fa_roe(B537,20201231)="0",[1]!s_fa_roe(B537,20211231)="0",[1]!s_fa_roe(B537,20221231)="0"),"",IFERROR(([1]!s_fa_roe(B537,20221231)+[1]!s_fa_roe(B537,20201231)+[1]!s_fa_roe(B537,20211231))/3,""))</f>
        <v>0</v>
      </c>
      <c r="P537" s="28" t="str">
        <f>IFERROR(([1]!s_stmnote_bank_65(B537,$A537,1,2,4,100000000)+[1]!s_stmnote_bank_65(B537,$A537,1,2,6,100000000))/[1]!s_stmnote_bank_1n(B537,$A537,1,100000000),"")</f>
        <v/>
      </c>
      <c r="Q537" s="28" t="str">
        <f>IFERROR([1]!s_stmnote_bank_614(B537,$A537,1,2,100000000)/[1]!s_stmnote_bank_647(B537,$A537,1,2,100000000),"")</f>
        <v/>
      </c>
      <c r="R537" s="28" t="str">
        <f>IFERROR(([1]!b_stm07_bs(B537,104,$A537,1,100000000)+[1]!b_stm07_bs(B537,106,$A537,1,100000000)+[1]!b_stm07_bs(B537,76,$A537,1,100000000)+[1]!b_stm07_bs(B537,108,$A537,1,100000000)+[1]!b_stm07_bs(B537,95,$A537,1,100000000))/[1]!b_stm07_bs(B537,128,$A537,1,100000000),"")</f>
        <v/>
      </c>
      <c r="S537" s="28" t="str">
        <f>IFERROR(([1]!s_stmnote_bank_614(B537,$A537,1,2,100000000)+[1]!b_stm07_bs(B537,104,$A537,1,100000000)+[1]!b_stm07_bs(B537,106,$A537,1,100000000)+[1]!b_stm07_bs(B537,76,$A537,1,100000000)+[1]!b_stm07_bs(B537,108,$A537,1,100000000)+[1]!b_stm07_bs(B537,95,$A537,1,100000000))/[1]!b_stm07_bs(B537,128,$A537,1,100000000),"")</f>
        <v/>
      </c>
      <c r="T537" s="11">
        <f>[1]!b_issuer_shareholder(B537,"",1)</f>
        <v>0</v>
      </c>
      <c r="U537" s="10">
        <f>[1]!b_issuer_propofshareholder(B537,"",1)</f>
        <v>0</v>
      </c>
      <c r="V537" s="33" t="str">
        <f t="shared" si="17"/>
        <v>0</v>
      </c>
      <c r="W537" s="33">
        <f>[1]!s_info_city(B537)</f>
        <v>0</v>
      </c>
      <c r="X537" s="10">
        <f>IF([1]!s_stmnote_bank_17n(B537,$A537,1)="0","",[1]!s_stmnote_bank_17n(B537,$A537,1))</f>
        <v>0</v>
      </c>
      <c r="Y537" s="10">
        <f>IF([1]!s_stmnote_bank_18n(B537,$A537,1)="0","",[1]!s_stmnote_bank_18n(B537,$A537,1))</f>
        <v>0</v>
      </c>
      <c r="Z537" s="41">
        <f>IF([1]!s_stmnote_bank_58(B537,$A537,1)="0","",[1]!s_stmnote_bank_58(B537,$A537,1))</f>
        <v>0</v>
      </c>
      <c r="AA537" s="52">
        <f>IF([1]!s_stmnote_bank_60(B537,$A537,1)="0","",[1]!s_stmnote_bank_60(B537,$A537,1))</f>
        <v>0</v>
      </c>
      <c r="AB537" s="52">
        <f>[1]!s_stmnote_bank_5444(B537,$A537,1)</f>
        <v>0</v>
      </c>
      <c r="AC537" s="38">
        <f>[1]!s_stmnote_bank_129n($B537,$A537,1)</f>
        <v>0</v>
      </c>
      <c r="AD537" s="54">
        <f>[1]!s_stmnote_bank_30(B537,$A537,1)</f>
        <v>0</v>
      </c>
    </row>
    <row r="538" spans="1:30" ht="24">
      <c r="A538" s="1" t="s">
        <v>1110</v>
      </c>
      <c r="B538" s="87" t="s">
        <v>1646</v>
      </c>
      <c r="C538" s="8">
        <f>IF([1]!b_info_issuer(B538)="0","",IFERROR([1]!b_info_issuer(B538),""))</f>
        <v>0</v>
      </c>
      <c r="D538" s="11">
        <f>IF([1]!b_info_latestissurercreditrating(B538)="0","",IFERROR([1]!b_info_latestissurercreditrating(B538),""))</f>
        <v>0</v>
      </c>
      <c r="E538" s="27" t="str">
        <f>IFERROR(([1]!b_stm07_bs($B538,47,$A538,1,100000000))/[1]!b_stm07_bs($B538,109,$A538,1,100000000),"")</f>
        <v/>
      </c>
      <c r="F538" s="18" t="str">
        <f>IFERROR(([1]!s_stmnote_bank_26($B538,$A538,1,100000000)-[1]!s_stmnote_bank_26($B538,#REF!,1,100000000)+#REF!)/[1]!s_stmnote_bank_1n($B538,#REF!,1,100000000),"")</f>
        <v/>
      </c>
      <c r="G538" s="21" t="str">
        <f t="shared" si="16"/>
        <v/>
      </c>
      <c r="H538" s="18" t="str">
        <f>IFERROR([1]!s_stmnote_bank($B538,"34",$A538,100000000)/[1]!s_stmnote_bank_1n(B538,$A538,1,100000000),"")</f>
        <v/>
      </c>
      <c r="I538" s="25">
        <f>[1]!b_stm07_bs(B538,74,$A538,1,100000000)</f>
        <v>0</v>
      </c>
      <c r="J538" s="25">
        <f>[1]!b_stm07_bs(B538,109,$A538,1,100000000)</f>
        <v>0</v>
      </c>
      <c r="K538" s="10">
        <f>[1]!s_stmnote_bank_5n(B538,$A538,1)</f>
        <v>0</v>
      </c>
      <c r="L538" s="25">
        <f>[1]!s_stmnote_bank_23n(B538,$A538,1)</f>
        <v>0</v>
      </c>
      <c r="M538" s="25">
        <f>[1]!s_stmnote_bank_capadequacyratio(B538,$A538,1)</f>
        <v>0</v>
      </c>
      <c r="N538" s="25">
        <f>[1]!s_stmnote_bank_capadequacyratio_ct1(B538,$A538,1)</f>
        <v>0</v>
      </c>
      <c r="O538" s="6">
        <f>IF(OR([1]!s_fa_roe(B538,20201231)="0",[1]!s_fa_roe(B538,20211231)="0",[1]!s_fa_roe(B538,20221231)="0"),"",IFERROR(([1]!s_fa_roe(B538,20221231)+[1]!s_fa_roe(B538,20201231)+[1]!s_fa_roe(B538,20211231))/3,""))</f>
        <v>0</v>
      </c>
      <c r="P538" s="28" t="str">
        <f>IFERROR(([1]!s_stmnote_bank_65(B538,$A538,1,2,4,100000000)+[1]!s_stmnote_bank_65(B538,$A538,1,2,6,100000000))/[1]!s_stmnote_bank_1n(B538,$A538,1,100000000),"")</f>
        <v/>
      </c>
      <c r="Q538" s="28" t="str">
        <f>IFERROR([1]!s_stmnote_bank_614(B538,$A538,1,2,100000000)/[1]!s_stmnote_bank_647(B538,$A538,1,2,100000000),"")</f>
        <v/>
      </c>
      <c r="R538" s="28" t="str">
        <f>IFERROR(([1]!b_stm07_bs(B538,104,$A538,1,100000000)+[1]!b_stm07_bs(B538,106,$A538,1,100000000)+[1]!b_stm07_bs(B538,76,$A538,1,100000000)+[1]!b_stm07_bs(B538,108,$A538,1,100000000)+[1]!b_stm07_bs(B538,95,$A538,1,100000000))/[1]!b_stm07_bs(B538,128,$A538,1,100000000),"")</f>
        <v/>
      </c>
      <c r="S538" s="28" t="str">
        <f>IFERROR(([1]!s_stmnote_bank_614(B538,$A538,1,2,100000000)+[1]!b_stm07_bs(B538,104,$A538,1,100000000)+[1]!b_stm07_bs(B538,106,$A538,1,100000000)+[1]!b_stm07_bs(B538,76,$A538,1,100000000)+[1]!b_stm07_bs(B538,108,$A538,1,100000000)+[1]!b_stm07_bs(B538,95,$A538,1,100000000))/[1]!b_stm07_bs(B538,128,$A538,1,100000000),"")</f>
        <v/>
      </c>
      <c r="T538" s="11">
        <f>[1]!b_issuer_shareholder(B538,"",1)</f>
        <v>0</v>
      </c>
      <c r="U538" s="10">
        <f>[1]!b_issuer_propofshareholder(B538,"",1)</f>
        <v>0</v>
      </c>
      <c r="V538" s="33" t="str">
        <f t="shared" si="17"/>
        <v>0</v>
      </c>
      <c r="W538" s="33">
        <f>[1]!s_info_city(B538)</f>
        <v>0</v>
      </c>
      <c r="X538" s="10">
        <f>IF([1]!s_stmnote_bank_17n(B538,$A538,1)="0","",[1]!s_stmnote_bank_17n(B538,$A538,1))</f>
        <v>0</v>
      </c>
      <c r="Y538" s="10">
        <f>IF([1]!s_stmnote_bank_18n(B538,$A538,1)="0","",[1]!s_stmnote_bank_18n(B538,$A538,1))</f>
        <v>0</v>
      </c>
      <c r="Z538" s="41">
        <f>IF([1]!s_stmnote_bank_58(B538,$A538,1)="0","",[1]!s_stmnote_bank_58(B538,$A538,1))</f>
        <v>0</v>
      </c>
      <c r="AA538" s="52">
        <f>IF([1]!s_stmnote_bank_60(B538,$A538,1)="0","",[1]!s_stmnote_bank_60(B538,$A538,1))</f>
        <v>0</v>
      </c>
      <c r="AB538" s="52">
        <f>[1]!s_stmnote_bank_5444(B538,$A538,1)</f>
        <v>0</v>
      </c>
      <c r="AC538" s="38">
        <f>[1]!s_stmnote_bank_129n($B538,$A538,1)</f>
        <v>0</v>
      </c>
      <c r="AD538" s="54">
        <f>[1]!s_stmnote_bank_30(B538,$A538,1)</f>
        <v>0</v>
      </c>
    </row>
    <row r="539" spans="1:30" ht="24">
      <c r="A539" s="1" t="s">
        <v>1110</v>
      </c>
      <c r="B539" s="87" t="s">
        <v>1647</v>
      </c>
      <c r="C539" s="8">
        <f>IF([1]!b_info_issuer(B539)="0","",IFERROR([1]!b_info_issuer(B539),""))</f>
        <v>0</v>
      </c>
      <c r="D539" s="11">
        <f>IF([1]!b_info_latestissurercreditrating(B539)="0","",IFERROR([1]!b_info_latestissurercreditrating(B539),""))</f>
        <v>0</v>
      </c>
      <c r="E539" s="27" t="str">
        <f>IFERROR(([1]!b_stm07_bs($B539,47,$A539,1,100000000))/[1]!b_stm07_bs($B539,109,$A539,1,100000000),"")</f>
        <v/>
      </c>
      <c r="F539" s="18" t="str">
        <f>IFERROR(([1]!s_stmnote_bank_26($B539,$A539,1,100000000)-[1]!s_stmnote_bank_26($B539,#REF!,1,100000000)+#REF!)/[1]!s_stmnote_bank_1n($B539,#REF!,1,100000000),"")</f>
        <v/>
      </c>
      <c r="G539" s="21" t="str">
        <f t="shared" si="16"/>
        <v/>
      </c>
      <c r="H539" s="18" t="str">
        <f>IFERROR([1]!s_stmnote_bank($B539,"34",$A539,100000000)/[1]!s_stmnote_bank_1n(B539,$A539,1,100000000),"")</f>
        <v/>
      </c>
      <c r="I539" s="25">
        <f>[1]!b_stm07_bs(B539,74,$A539,1,100000000)</f>
        <v>0</v>
      </c>
      <c r="J539" s="25">
        <f>[1]!b_stm07_bs(B539,109,$A539,1,100000000)</f>
        <v>0</v>
      </c>
      <c r="K539" s="10">
        <f>[1]!s_stmnote_bank_5n(B539,$A539,1)</f>
        <v>0</v>
      </c>
      <c r="L539" s="25">
        <f>[1]!s_stmnote_bank_23n(B539,$A539,1)</f>
        <v>0</v>
      </c>
      <c r="M539" s="25">
        <f>[1]!s_stmnote_bank_capadequacyratio(B539,$A539,1)</f>
        <v>0</v>
      </c>
      <c r="N539" s="25">
        <f>[1]!s_stmnote_bank_capadequacyratio_ct1(B539,$A539,1)</f>
        <v>0</v>
      </c>
      <c r="O539" s="6">
        <f>IF(OR([1]!s_fa_roe(B539,20201231)="0",[1]!s_fa_roe(B539,20211231)="0",[1]!s_fa_roe(B539,20221231)="0"),"",IFERROR(([1]!s_fa_roe(B539,20221231)+[1]!s_fa_roe(B539,20201231)+[1]!s_fa_roe(B539,20211231))/3,""))</f>
        <v>0</v>
      </c>
      <c r="P539" s="28" t="str">
        <f>IFERROR(([1]!s_stmnote_bank_65(B539,$A539,1,2,4,100000000)+[1]!s_stmnote_bank_65(B539,$A539,1,2,6,100000000))/[1]!s_stmnote_bank_1n(B539,$A539,1,100000000),"")</f>
        <v/>
      </c>
      <c r="Q539" s="28" t="str">
        <f>IFERROR([1]!s_stmnote_bank_614(B539,$A539,1,2,100000000)/[1]!s_stmnote_bank_647(B539,$A539,1,2,100000000),"")</f>
        <v/>
      </c>
      <c r="R539" s="28" t="str">
        <f>IFERROR(([1]!b_stm07_bs(B539,104,$A539,1,100000000)+[1]!b_stm07_bs(B539,106,$A539,1,100000000)+[1]!b_stm07_bs(B539,76,$A539,1,100000000)+[1]!b_stm07_bs(B539,108,$A539,1,100000000)+[1]!b_stm07_bs(B539,95,$A539,1,100000000))/[1]!b_stm07_bs(B539,128,$A539,1,100000000),"")</f>
        <v/>
      </c>
      <c r="S539" s="28" t="str">
        <f>IFERROR(([1]!s_stmnote_bank_614(B539,$A539,1,2,100000000)+[1]!b_stm07_bs(B539,104,$A539,1,100000000)+[1]!b_stm07_bs(B539,106,$A539,1,100000000)+[1]!b_stm07_bs(B539,76,$A539,1,100000000)+[1]!b_stm07_bs(B539,108,$A539,1,100000000)+[1]!b_stm07_bs(B539,95,$A539,1,100000000))/[1]!b_stm07_bs(B539,128,$A539,1,100000000),"")</f>
        <v/>
      </c>
      <c r="T539" s="11">
        <f>[1]!b_issuer_shareholder(B539,"",1)</f>
        <v>0</v>
      </c>
      <c r="U539" s="10">
        <f>[1]!b_issuer_propofshareholder(B539,"",1)</f>
        <v>0</v>
      </c>
      <c r="V539" s="33" t="str">
        <f t="shared" si="17"/>
        <v>0</v>
      </c>
      <c r="W539" s="33">
        <f>[1]!s_info_city(B539)</f>
        <v>0</v>
      </c>
      <c r="X539" s="10">
        <f>IF([1]!s_stmnote_bank_17n(B539,$A539,1)="0","",[1]!s_stmnote_bank_17n(B539,$A539,1))</f>
        <v>0</v>
      </c>
      <c r="Y539" s="10">
        <f>IF([1]!s_stmnote_bank_18n(B539,$A539,1)="0","",[1]!s_stmnote_bank_18n(B539,$A539,1))</f>
        <v>0</v>
      </c>
      <c r="Z539" s="41">
        <f>IF([1]!s_stmnote_bank_58(B539,$A539,1)="0","",[1]!s_stmnote_bank_58(B539,$A539,1))</f>
        <v>0</v>
      </c>
      <c r="AA539" s="52">
        <f>IF([1]!s_stmnote_bank_60(B539,$A539,1)="0","",[1]!s_stmnote_bank_60(B539,$A539,1))</f>
        <v>0</v>
      </c>
      <c r="AB539" s="52">
        <f>[1]!s_stmnote_bank_5444(B539,$A539,1)</f>
        <v>0</v>
      </c>
      <c r="AC539" s="38">
        <f>[1]!s_stmnote_bank_129n($B539,$A539,1)</f>
        <v>0</v>
      </c>
      <c r="AD539" s="54">
        <f>[1]!s_stmnote_bank_30(B539,$A539,1)</f>
        <v>0</v>
      </c>
    </row>
    <row r="540" spans="1:30" ht="24">
      <c r="A540" s="1" t="s">
        <v>1110</v>
      </c>
      <c r="B540" s="87" t="s">
        <v>1648</v>
      </c>
      <c r="C540" s="8">
        <f>IF([1]!b_info_issuer(B540)="0","",IFERROR([1]!b_info_issuer(B540),""))</f>
        <v>0</v>
      </c>
      <c r="D540" s="11">
        <f>IF([1]!b_info_latestissurercreditrating(B540)="0","",IFERROR([1]!b_info_latestissurercreditrating(B540),""))</f>
        <v>0</v>
      </c>
      <c r="E540" s="27" t="str">
        <f>IFERROR(([1]!b_stm07_bs($B540,47,$A540,1,100000000))/[1]!b_stm07_bs($B540,109,$A540,1,100000000),"")</f>
        <v/>
      </c>
      <c r="F540" s="18" t="str">
        <f>IFERROR(([1]!s_stmnote_bank_26($B540,$A540,1,100000000)-[1]!s_stmnote_bank_26($B540,#REF!,1,100000000)+#REF!)/[1]!s_stmnote_bank_1n($B540,#REF!,1,100000000),"")</f>
        <v/>
      </c>
      <c r="G540" s="21" t="str">
        <f t="shared" si="16"/>
        <v/>
      </c>
      <c r="H540" s="18" t="str">
        <f>IFERROR([1]!s_stmnote_bank($B540,"34",$A540,100000000)/[1]!s_stmnote_bank_1n(B540,$A540,1,100000000),"")</f>
        <v/>
      </c>
      <c r="I540" s="25">
        <f>[1]!b_stm07_bs(B540,74,$A540,1,100000000)</f>
        <v>0</v>
      </c>
      <c r="J540" s="25">
        <f>[1]!b_stm07_bs(B540,109,$A540,1,100000000)</f>
        <v>0</v>
      </c>
      <c r="K540" s="10">
        <f>[1]!s_stmnote_bank_5n(B540,$A540,1)</f>
        <v>0</v>
      </c>
      <c r="L540" s="25">
        <f>[1]!s_stmnote_bank_23n(B540,$A540,1)</f>
        <v>0</v>
      </c>
      <c r="M540" s="25">
        <f>[1]!s_stmnote_bank_capadequacyratio(B540,$A540,1)</f>
        <v>0</v>
      </c>
      <c r="N540" s="25">
        <f>[1]!s_stmnote_bank_capadequacyratio_ct1(B540,$A540,1)</f>
        <v>0</v>
      </c>
      <c r="O540" s="6">
        <f>IF(OR([1]!s_fa_roe(B540,20201231)="0",[1]!s_fa_roe(B540,20211231)="0",[1]!s_fa_roe(B540,20221231)="0"),"",IFERROR(([1]!s_fa_roe(B540,20221231)+[1]!s_fa_roe(B540,20201231)+[1]!s_fa_roe(B540,20211231))/3,""))</f>
        <v>0</v>
      </c>
      <c r="P540" s="28" t="str">
        <f>IFERROR(([1]!s_stmnote_bank_65(B540,$A540,1,2,4,100000000)+[1]!s_stmnote_bank_65(B540,$A540,1,2,6,100000000))/[1]!s_stmnote_bank_1n(B540,$A540,1,100000000),"")</f>
        <v/>
      </c>
      <c r="Q540" s="28" t="str">
        <f>IFERROR([1]!s_stmnote_bank_614(B540,$A540,1,2,100000000)/[1]!s_stmnote_bank_647(B540,$A540,1,2,100000000),"")</f>
        <v/>
      </c>
      <c r="R540" s="28" t="str">
        <f>IFERROR(([1]!b_stm07_bs(B540,104,$A540,1,100000000)+[1]!b_stm07_bs(B540,106,$A540,1,100000000)+[1]!b_stm07_bs(B540,76,$A540,1,100000000)+[1]!b_stm07_bs(B540,108,$A540,1,100000000)+[1]!b_stm07_bs(B540,95,$A540,1,100000000))/[1]!b_stm07_bs(B540,128,$A540,1,100000000),"")</f>
        <v/>
      </c>
      <c r="S540" s="28" t="str">
        <f>IFERROR(([1]!s_stmnote_bank_614(B540,$A540,1,2,100000000)+[1]!b_stm07_bs(B540,104,$A540,1,100000000)+[1]!b_stm07_bs(B540,106,$A540,1,100000000)+[1]!b_stm07_bs(B540,76,$A540,1,100000000)+[1]!b_stm07_bs(B540,108,$A540,1,100000000)+[1]!b_stm07_bs(B540,95,$A540,1,100000000))/[1]!b_stm07_bs(B540,128,$A540,1,100000000),"")</f>
        <v/>
      </c>
      <c r="T540" s="11">
        <f>[1]!b_issuer_shareholder(B540,"",1)</f>
        <v>0</v>
      </c>
      <c r="U540" s="10">
        <f>[1]!b_issuer_propofshareholder(B540,"",1)</f>
        <v>0</v>
      </c>
      <c r="V540" s="33" t="str">
        <f t="shared" si="17"/>
        <v>0</v>
      </c>
      <c r="W540" s="33">
        <f>[1]!s_info_city(B540)</f>
        <v>0</v>
      </c>
      <c r="X540" s="10">
        <f>IF([1]!s_stmnote_bank_17n(B540,$A540,1)="0","",[1]!s_stmnote_bank_17n(B540,$A540,1))</f>
        <v>0</v>
      </c>
      <c r="Y540" s="10">
        <f>IF([1]!s_stmnote_bank_18n(B540,$A540,1)="0","",[1]!s_stmnote_bank_18n(B540,$A540,1))</f>
        <v>0</v>
      </c>
      <c r="Z540" s="41">
        <f>IF([1]!s_stmnote_bank_58(B540,$A540,1)="0","",[1]!s_stmnote_bank_58(B540,$A540,1))</f>
        <v>0</v>
      </c>
      <c r="AA540" s="52">
        <f>IF([1]!s_stmnote_bank_60(B540,$A540,1)="0","",[1]!s_stmnote_bank_60(B540,$A540,1))</f>
        <v>0</v>
      </c>
      <c r="AB540" s="52">
        <f>[1]!s_stmnote_bank_5444(B540,$A540,1)</f>
        <v>0</v>
      </c>
      <c r="AC540" s="38">
        <f>[1]!s_stmnote_bank_129n($B540,$A540,1)</f>
        <v>0</v>
      </c>
      <c r="AD540" s="54">
        <f>[1]!s_stmnote_bank_30(B540,$A540,1)</f>
        <v>0</v>
      </c>
    </row>
    <row r="541" spans="1:30" ht="24">
      <c r="A541" s="1" t="s">
        <v>1110</v>
      </c>
      <c r="B541" s="87" t="s">
        <v>1649</v>
      </c>
      <c r="C541" s="8">
        <f>IF([1]!b_info_issuer(B541)="0","",IFERROR([1]!b_info_issuer(B541),""))</f>
        <v>0</v>
      </c>
      <c r="D541" s="11">
        <f>IF([1]!b_info_latestissurercreditrating(B541)="0","",IFERROR([1]!b_info_latestissurercreditrating(B541),""))</f>
        <v>0</v>
      </c>
      <c r="E541" s="27" t="str">
        <f>IFERROR(([1]!b_stm07_bs($B541,47,$A541,1,100000000))/[1]!b_stm07_bs($B541,109,$A541,1,100000000),"")</f>
        <v/>
      </c>
      <c r="F541" s="18" t="str">
        <f>IFERROR(([1]!s_stmnote_bank_26($B541,$A541,1,100000000)-[1]!s_stmnote_bank_26($B541,#REF!,1,100000000)+#REF!)/[1]!s_stmnote_bank_1n($B541,#REF!,1,100000000),"")</f>
        <v/>
      </c>
      <c r="G541" s="21" t="str">
        <f t="shared" si="16"/>
        <v/>
      </c>
      <c r="H541" s="18" t="str">
        <f>IFERROR([1]!s_stmnote_bank($B541,"34",$A541,100000000)/[1]!s_stmnote_bank_1n(B541,$A541,1,100000000),"")</f>
        <v/>
      </c>
      <c r="I541" s="25">
        <f>[1]!b_stm07_bs(B541,74,$A541,1,100000000)</f>
        <v>0</v>
      </c>
      <c r="J541" s="25">
        <f>[1]!b_stm07_bs(B541,109,$A541,1,100000000)</f>
        <v>0</v>
      </c>
      <c r="K541" s="10">
        <f>[1]!s_stmnote_bank_5n(B541,$A541,1)</f>
        <v>0</v>
      </c>
      <c r="L541" s="25">
        <f>[1]!s_stmnote_bank_23n(B541,$A541,1)</f>
        <v>0</v>
      </c>
      <c r="M541" s="25">
        <f>[1]!s_stmnote_bank_capadequacyratio(B541,$A541,1)</f>
        <v>0</v>
      </c>
      <c r="N541" s="25">
        <f>[1]!s_stmnote_bank_capadequacyratio_ct1(B541,$A541,1)</f>
        <v>0</v>
      </c>
      <c r="O541" s="6">
        <f>IF(OR([1]!s_fa_roe(B541,20201231)="0",[1]!s_fa_roe(B541,20211231)="0",[1]!s_fa_roe(B541,20221231)="0"),"",IFERROR(([1]!s_fa_roe(B541,20221231)+[1]!s_fa_roe(B541,20201231)+[1]!s_fa_roe(B541,20211231))/3,""))</f>
        <v>0</v>
      </c>
      <c r="P541" s="28" t="str">
        <f>IFERROR(([1]!s_stmnote_bank_65(B541,$A541,1,2,4,100000000)+[1]!s_stmnote_bank_65(B541,$A541,1,2,6,100000000))/[1]!s_stmnote_bank_1n(B541,$A541,1,100000000),"")</f>
        <v/>
      </c>
      <c r="Q541" s="28" t="str">
        <f>IFERROR([1]!s_stmnote_bank_614(B541,$A541,1,2,100000000)/[1]!s_stmnote_bank_647(B541,$A541,1,2,100000000),"")</f>
        <v/>
      </c>
      <c r="R541" s="28" t="str">
        <f>IFERROR(([1]!b_stm07_bs(B541,104,$A541,1,100000000)+[1]!b_stm07_bs(B541,106,$A541,1,100000000)+[1]!b_stm07_bs(B541,76,$A541,1,100000000)+[1]!b_stm07_bs(B541,108,$A541,1,100000000)+[1]!b_stm07_bs(B541,95,$A541,1,100000000))/[1]!b_stm07_bs(B541,128,$A541,1,100000000),"")</f>
        <v/>
      </c>
      <c r="S541" s="28" t="str">
        <f>IFERROR(([1]!s_stmnote_bank_614(B541,$A541,1,2,100000000)+[1]!b_stm07_bs(B541,104,$A541,1,100000000)+[1]!b_stm07_bs(B541,106,$A541,1,100000000)+[1]!b_stm07_bs(B541,76,$A541,1,100000000)+[1]!b_stm07_bs(B541,108,$A541,1,100000000)+[1]!b_stm07_bs(B541,95,$A541,1,100000000))/[1]!b_stm07_bs(B541,128,$A541,1,100000000),"")</f>
        <v/>
      </c>
      <c r="T541" s="11">
        <f>[1]!b_issuer_shareholder(B541,"",1)</f>
        <v>0</v>
      </c>
      <c r="U541" s="10">
        <f>[1]!b_issuer_propofshareholder(B541,"",1)</f>
        <v>0</v>
      </c>
      <c r="V541" s="33" t="str">
        <f t="shared" si="17"/>
        <v>0</v>
      </c>
      <c r="W541" s="33">
        <f>[1]!s_info_city(B541)</f>
        <v>0</v>
      </c>
      <c r="X541" s="10">
        <f>IF([1]!s_stmnote_bank_17n(B541,$A541,1)="0","",[1]!s_stmnote_bank_17n(B541,$A541,1))</f>
        <v>0</v>
      </c>
      <c r="Y541" s="10">
        <f>IF([1]!s_stmnote_bank_18n(B541,$A541,1)="0","",[1]!s_stmnote_bank_18n(B541,$A541,1))</f>
        <v>0</v>
      </c>
      <c r="Z541" s="41">
        <f>IF([1]!s_stmnote_bank_58(B541,$A541,1)="0","",[1]!s_stmnote_bank_58(B541,$A541,1))</f>
        <v>0</v>
      </c>
      <c r="AA541" s="52">
        <f>IF([1]!s_stmnote_bank_60(B541,$A541,1)="0","",[1]!s_stmnote_bank_60(B541,$A541,1))</f>
        <v>0</v>
      </c>
      <c r="AB541" s="52">
        <f>[1]!s_stmnote_bank_5444(B541,$A541,1)</f>
        <v>0</v>
      </c>
      <c r="AC541" s="38">
        <f>[1]!s_stmnote_bank_129n($B541,$A541,1)</f>
        <v>0</v>
      </c>
      <c r="AD541" s="54">
        <f>[1]!s_stmnote_bank_30(B541,$A541,1)</f>
        <v>0</v>
      </c>
    </row>
    <row r="542" spans="1:30" ht="24">
      <c r="A542" s="1" t="s">
        <v>1110</v>
      </c>
      <c r="B542" s="87" t="s">
        <v>1650</v>
      </c>
      <c r="C542" s="8">
        <f>IF([1]!b_info_issuer(B542)="0","",IFERROR([1]!b_info_issuer(B542),""))</f>
        <v>0</v>
      </c>
      <c r="D542" s="11">
        <f>IF([1]!b_info_latestissurercreditrating(B542)="0","",IFERROR([1]!b_info_latestissurercreditrating(B542),""))</f>
        <v>0</v>
      </c>
      <c r="E542" s="27" t="str">
        <f>IFERROR(([1]!b_stm07_bs($B542,47,$A542,1,100000000))/[1]!b_stm07_bs($B542,109,$A542,1,100000000),"")</f>
        <v/>
      </c>
      <c r="F542" s="18" t="str">
        <f>IFERROR(([1]!s_stmnote_bank_26($B542,$A542,1,100000000)-[1]!s_stmnote_bank_26($B542,#REF!,1,100000000)+#REF!)/[1]!s_stmnote_bank_1n($B542,#REF!,1,100000000),"")</f>
        <v/>
      </c>
      <c r="G542" s="21" t="str">
        <f t="shared" si="16"/>
        <v/>
      </c>
      <c r="H542" s="18" t="str">
        <f>IFERROR([1]!s_stmnote_bank($B542,"34",$A542,100000000)/[1]!s_stmnote_bank_1n(B542,$A542,1,100000000),"")</f>
        <v/>
      </c>
      <c r="I542" s="25">
        <f>[1]!b_stm07_bs(B542,74,$A542,1,100000000)</f>
        <v>0</v>
      </c>
      <c r="J542" s="25">
        <f>[1]!b_stm07_bs(B542,109,$A542,1,100000000)</f>
        <v>0</v>
      </c>
      <c r="K542" s="10">
        <f>[1]!s_stmnote_bank_5n(B542,$A542,1)</f>
        <v>0</v>
      </c>
      <c r="L542" s="25">
        <f>[1]!s_stmnote_bank_23n(B542,$A542,1)</f>
        <v>0</v>
      </c>
      <c r="M542" s="25">
        <f>[1]!s_stmnote_bank_capadequacyratio(B542,$A542,1)</f>
        <v>0</v>
      </c>
      <c r="N542" s="25">
        <f>[1]!s_stmnote_bank_capadequacyratio_ct1(B542,$A542,1)</f>
        <v>0</v>
      </c>
      <c r="O542" s="6">
        <f>IF(OR([1]!s_fa_roe(B542,20201231)="0",[1]!s_fa_roe(B542,20211231)="0",[1]!s_fa_roe(B542,20221231)="0"),"",IFERROR(([1]!s_fa_roe(B542,20221231)+[1]!s_fa_roe(B542,20201231)+[1]!s_fa_roe(B542,20211231))/3,""))</f>
        <v>0</v>
      </c>
      <c r="P542" s="28" t="str">
        <f>IFERROR(([1]!s_stmnote_bank_65(B542,$A542,1,2,4,100000000)+[1]!s_stmnote_bank_65(B542,$A542,1,2,6,100000000))/[1]!s_stmnote_bank_1n(B542,$A542,1,100000000),"")</f>
        <v/>
      </c>
      <c r="Q542" s="28" t="str">
        <f>IFERROR([1]!s_stmnote_bank_614(B542,$A542,1,2,100000000)/[1]!s_stmnote_bank_647(B542,$A542,1,2,100000000),"")</f>
        <v/>
      </c>
      <c r="R542" s="28" t="str">
        <f>IFERROR(([1]!b_stm07_bs(B542,104,$A542,1,100000000)+[1]!b_stm07_bs(B542,106,$A542,1,100000000)+[1]!b_stm07_bs(B542,76,$A542,1,100000000)+[1]!b_stm07_bs(B542,108,$A542,1,100000000)+[1]!b_stm07_bs(B542,95,$A542,1,100000000))/[1]!b_stm07_bs(B542,128,$A542,1,100000000),"")</f>
        <v/>
      </c>
      <c r="S542" s="28" t="str">
        <f>IFERROR(([1]!s_stmnote_bank_614(B542,$A542,1,2,100000000)+[1]!b_stm07_bs(B542,104,$A542,1,100000000)+[1]!b_stm07_bs(B542,106,$A542,1,100000000)+[1]!b_stm07_bs(B542,76,$A542,1,100000000)+[1]!b_stm07_bs(B542,108,$A542,1,100000000)+[1]!b_stm07_bs(B542,95,$A542,1,100000000))/[1]!b_stm07_bs(B542,128,$A542,1,100000000),"")</f>
        <v/>
      </c>
      <c r="T542" s="11">
        <f>[1]!b_issuer_shareholder(B542,"",1)</f>
        <v>0</v>
      </c>
      <c r="U542" s="10">
        <f>[1]!b_issuer_propofshareholder(B542,"",1)</f>
        <v>0</v>
      </c>
      <c r="V542" s="33" t="str">
        <f t="shared" si="17"/>
        <v>0</v>
      </c>
      <c r="W542" s="33">
        <f>[1]!s_info_city(B542)</f>
        <v>0</v>
      </c>
      <c r="X542" s="10">
        <f>IF([1]!s_stmnote_bank_17n(B542,$A542,1)="0","",[1]!s_stmnote_bank_17n(B542,$A542,1))</f>
        <v>0</v>
      </c>
      <c r="Y542" s="10">
        <f>IF([1]!s_stmnote_bank_18n(B542,$A542,1)="0","",[1]!s_stmnote_bank_18n(B542,$A542,1))</f>
        <v>0</v>
      </c>
      <c r="Z542" s="41">
        <f>IF([1]!s_stmnote_bank_58(B542,$A542,1)="0","",[1]!s_stmnote_bank_58(B542,$A542,1))</f>
        <v>0</v>
      </c>
      <c r="AA542" s="52">
        <f>IF([1]!s_stmnote_bank_60(B542,$A542,1)="0","",[1]!s_stmnote_bank_60(B542,$A542,1))</f>
        <v>0</v>
      </c>
      <c r="AB542" s="52">
        <f>[1]!s_stmnote_bank_5444(B542,$A542,1)</f>
        <v>0</v>
      </c>
      <c r="AC542" s="38">
        <f>[1]!s_stmnote_bank_129n($B542,$A542,1)</f>
        <v>0</v>
      </c>
      <c r="AD542" s="54">
        <f>[1]!s_stmnote_bank_30(B542,$A542,1)</f>
        <v>0</v>
      </c>
    </row>
    <row r="543" spans="1:30" ht="24">
      <c r="A543" s="1" t="s">
        <v>1110</v>
      </c>
      <c r="B543" s="87" t="s">
        <v>1651</v>
      </c>
      <c r="C543" s="8">
        <f>IF([1]!b_info_issuer(B543)="0","",IFERROR([1]!b_info_issuer(B543),""))</f>
        <v>0</v>
      </c>
      <c r="D543" s="11">
        <f>IF([1]!b_info_latestissurercreditrating(B543)="0","",IFERROR([1]!b_info_latestissurercreditrating(B543),""))</f>
        <v>0</v>
      </c>
      <c r="E543" s="27" t="str">
        <f>IFERROR(([1]!b_stm07_bs($B543,47,$A543,1,100000000))/[1]!b_stm07_bs($B543,109,$A543,1,100000000),"")</f>
        <v/>
      </c>
      <c r="F543" s="18" t="str">
        <f>IFERROR(([1]!s_stmnote_bank_26($B543,$A543,1,100000000)-[1]!s_stmnote_bank_26($B543,#REF!,1,100000000)+#REF!)/[1]!s_stmnote_bank_1n($B543,#REF!,1,100000000),"")</f>
        <v/>
      </c>
      <c r="G543" s="21" t="str">
        <f t="shared" si="16"/>
        <v/>
      </c>
      <c r="H543" s="18" t="str">
        <f>IFERROR([1]!s_stmnote_bank($B543,"34",$A543,100000000)/[1]!s_stmnote_bank_1n(B543,$A543,1,100000000),"")</f>
        <v/>
      </c>
      <c r="I543" s="25">
        <f>[1]!b_stm07_bs(B543,74,$A543,1,100000000)</f>
        <v>0</v>
      </c>
      <c r="J543" s="25">
        <f>[1]!b_stm07_bs(B543,109,$A543,1,100000000)</f>
        <v>0</v>
      </c>
      <c r="K543" s="10">
        <f>[1]!s_stmnote_bank_5n(B543,$A543,1)</f>
        <v>0</v>
      </c>
      <c r="L543" s="25">
        <f>[1]!s_stmnote_bank_23n(B543,$A543,1)</f>
        <v>0</v>
      </c>
      <c r="M543" s="25">
        <f>[1]!s_stmnote_bank_capadequacyratio(B543,$A543,1)</f>
        <v>0</v>
      </c>
      <c r="N543" s="25">
        <f>[1]!s_stmnote_bank_capadequacyratio_ct1(B543,$A543,1)</f>
        <v>0</v>
      </c>
      <c r="O543" s="6">
        <f>IF(OR([1]!s_fa_roe(B543,20201231)="0",[1]!s_fa_roe(B543,20211231)="0",[1]!s_fa_roe(B543,20221231)="0"),"",IFERROR(([1]!s_fa_roe(B543,20221231)+[1]!s_fa_roe(B543,20201231)+[1]!s_fa_roe(B543,20211231))/3,""))</f>
        <v>0</v>
      </c>
      <c r="P543" s="28" t="str">
        <f>IFERROR(([1]!s_stmnote_bank_65(B543,$A543,1,2,4,100000000)+[1]!s_stmnote_bank_65(B543,$A543,1,2,6,100000000))/[1]!s_stmnote_bank_1n(B543,$A543,1,100000000),"")</f>
        <v/>
      </c>
      <c r="Q543" s="28" t="str">
        <f>IFERROR([1]!s_stmnote_bank_614(B543,$A543,1,2,100000000)/[1]!s_stmnote_bank_647(B543,$A543,1,2,100000000),"")</f>
        <v/>
      </c>
      <c r="R543" s="28" t="str">
        <f>IFERROR(([1]!b_stm07_bs(B543,104,$A543,1,100000000)+[1]!b_stm07_bs(B543,106,$A543,1,100000000)+[1]!b_stm07_bs(B543,76,$A543,1,100000000)+[1]!b_stm07_bs(B543,108,$A543,1,100000000)+[1]!b_stm07_bs(B543,95,$A543,1,100000000))/[1]!b_stm07_bs(B543,128,$A543,1,100000000),"")</f>
        <v/>
      </c>
      <c r="S543" s="28" t="str">
        <f>IFERROR(([1]!s_stmnote_bank_614(B543,$A543,1,2,100000000)+[1]!b_stm07_bs(B543,104,$A543,1,100000000)+[1]!b_stm07_bs(B543,106,$A543,1,100000000)+[1]!b_stm07_bs(B543,76,$A543,1,100000000)+[1]!b_stm07_bs(B543,108,$A543,1,100000000)+[1]!b_stm07_bs(B543,95,$A543,1,100000000))/[1]!b_stm07_bs(B543,128,$A543,1,100000000),"")</f>
        <v/>
      </c>
      <c r="T543" s="11">
        <f>[1]!b_issuer_shareholder(B543,"",1)</f>
        <v>0</v>
      </c>
      <c r="U543" s="10">
        <f>[1]!b_issuer_propofshareholder(B543,"",1)</f>
        <v>0</v>
      </c>
      <c r="V543" s="33" t="str">
        <f t="shared" si="17"/>
        <v>0</v>
      </c>
      <c r="W543" s="33">
        <f>[1]!s_info_city(B543)</f>
        <v>0</v>
      </c>
      <c r="X543" s="10">
        <f>IF([1]!s_stmnote_bank_17n(B543,$A543,1)="0","",[1]!s_stmnote_bank_17n(B543,$A543,1))</f>
        <v>0</v>
      </c>
      <c r="Y543" s="10">
        <f>IF([1]!s_stmnote_bank_18n(B543,$A543,1)="0","",[1]!s_stmnote_bank_18n(B543,$A543,1))</f>
        <v>0</v>
      </c>
      <c r="Z543" s="41">
        <f>IF([1]!s_stmnote_bank_58(B543,$A543,1)="0","",[1]!s_stmnote_bank_58(B543,$A543,1))</f>
        <v>0</v>
      </c>
      <c r="AA543" s="52">
        <f>IF([1]!s_stmnote_bank_60(B543,$A543,1)="0","",[1]!s_stmnote_bank_60(B543,$A543,1))</f>
        <v>0</v>
      </c>
      <c r="AB543" s="52">
        <f>[1]!s_stmnote_bank_5444(B543,$A543,1)</f>
        <v>0</v>
      </c>
      <c r="AC543" s="38">
        <f>[1]!s_stmnote_bank_129n($B543,$A543,1)</f>
        <v>0</v>
      </c>
      <c r="AD543" s="54">
        <f>[1]!s_stmnote_bank_30(B543,$A543,1)</f>
        <v>0</v>
      </c>
    </row>
    <row r="544" spans="1:30" ht="24">
      <c r="A544" s="1" t="s">
        <v>1110</v>
      </c>
      <c r="B544" s="87" t="s">
        <v>1652</v>
      </c>
      <c r="C544" s="8">
        <f>IF([1]!b_info_issuer(B544)="0","",IFERROR([1]!b_info_issuer(B544),""))</f>
        <v>0</v>
      </c>
      <c r="D544" s="11">
        <f>IF([1]!b_info_latestissurercreditrating(B544)="0","",IFERROR([1]!b_info_latestissurercreditrating(B544),""))</f>
        <v>0</v>
      </c>
      <c r="E544" s="27" t="str">
        <f>IFERROR(([1]!b_stm07_bs($B544,47,$A544,1,100000000))/[1]!b_stm07_bs($B544,109,$A544,1,100000000),"")</f>
        <v/>
      </c>
      <c r="F544" s="18" t="str">
        <f>IFERROR(([1]!s_stmnote_bank_26($B544,$A544,1,100000000)-[1]!s_stmnote_bank_26($B544,#REF!,1,100000000)+#REF!)/[1]!s_stmnote_bank_1n($B544,#REF!,1,100000000),"")</f>
        <v/>
      </c>
      <c r="G544" s="21" t="str">
        <f t="shared" si="16"/>
        <v/>
      </c>
      <c r="H544" s="18" t="str">
        <f>IFERROR([1]!s_stmnote_bank($B544,"34",$A544,100000000)/[1]!s_stmnote_bank_1n(B544,$A544,1,100000000),"")</f>
        <v/>
      </c>
      <c r="I544" s="25">
        <f>[1]!b_stm07_bs(B544,74,$A544,1,100000000)</f>
        <v>0</v>
      </c>
      <c r="J544" s="25">
        <f>[1]!b_stm07_bs(B544,109,$A544,1,100000000)</f>
        <v>0</v>
      </c>
      <c r="K544" s="10">
        <f>[1]!s_stmnote_bank_5n(B544,$A544,1)</f>
        <v>0</v>
      </c>
      <c r="L544" s="25">
        <f>[1]!s_stmnote_bank_23n(B544,$A544,1)</f>
        <v>0</v>
      </c>
      <c r="M544" s="25">
        <f>[1]!s_stmnote_bank_capadequacyratio(B544,$A544,1)</f>
        <v>0</v>
      </c>
      <c r="N544" s="25">
        <f>[1]!s_stmnote_bank_capadequacyratio_ct1(B544,$A544,1)</f>
        <v>0</v>
      </c>
      <c r="O544" s="6">
        <f>IF(OR([1]!s_fa_roe(B544,20201231)="0",[1]!s_fa_roe(B544,20211231)="0",[1]!s_fa_roe(B544,20221231)="0"),"",IFERROR(([1]!s_fa_roe(B544,20221231)+[1]!s_fa_roe(B544,20201231)+[1]!s_fa_roe(B544,20211231))/3,""))</f>
        <v>0</v>
      </c>
      <c r="P544" s="28" t="str">
        <f>IFERROR(([1]!s_stmnote_bank_65(B544,$A544,1,2,4,100000000)+[1]!s_stmnote_bank_65(B544,$A544,1,2,6,100000000))/[1]!s_stmnote_bank_1n(B544,$A544,1,100000000),"")</f>
        <v/>
      </c>
      <c r="Q544" s="28" t="str">
        <f>IFERROR([1]!s_stmnote_bank_614(B544,$A544,1,2,100000000)/[1]!s_stmnote_bank_647(B544,$A544,1,2,100000000),"")</f>
        <v/>
      </c>
      <c r="R544" s="28" t="str">
        <f>IFERROR(([1]!b_stm07_bs(B544,104,$A544,1,100000000)+[1]!b_stm07_bs(B544,106,$A544,1,100000000)+[1]!b_stm07_bs(B544,76,$A544,1,100000000)+[1]!b_stm07_bs(B544,108,$A544,1,100000000)+[1]!b_stm07_bs(B544,95,$A544,1,100000000))/[1]!b_stm07_bs(B544,128,$A544,1,100000000),"")</f>
        <v/>
      </c>
      <c r="S544" s="28" t="str">
        <f>IFERROR(([1]!s_stmnote_bank_614(B544,$A544,1,2,100000000)+[1]!b_stm07_bs(B544,104,$A544,1,100000000)+[1]!b_stm07_bs(B544,106,$A544,1,100000000)+[1]!b_stm07_bs(B544,76,$A544,1,100000000)+[1]!b_stm07_bs(B544,108,$A544,1,100000000)+[1]!b_stm07_bs(B544,95,$A544,1,100000000))/[1]!b_stm07_bs(B544,128,$A544,1,100000000),"")</f>
        <v/>
      </c>
      <c r="T544" s="11">
        <f>[1]!b_issuer_shareholder(B544,"",1)</f>
        <v>0</v>
      </c>
      <c r="U544" s="10">
        <f>[1]!b_issuer_propofshareholder(B544,"",1)</f>
        <v>0</v>
      </c>
      <c r="V544" s="33" t="str">
        <f t="shared" si="17"/>
        <v>0</v>
      </c>
      <c r="W544" s="33">
        <f>[1]!s_info_city(B544)</f>
        <v>0</v>
      </c>
      <c r="X544" s="10">
        <f>IF([1]!s_stmnote_bank_17n(B544,$A544,1)="0","",[1]!s_stmnote_bank_17n(B544,$A544,1))</f>
        <v>0</v>
      </c>
      <c r="Y544" s="10">
        <f>IF([1]!s_stmnote_bank_18n(B544,$A544,1)="0","",[1]!s_stmnote_bank_18n(B544,$A544,1))</f>
        <v>0</v>
      </c>
      <c r="Z544" s="41">
        <f>IF([1]!s_stmnote_bank_58(B544,$A544,1)="0","",[1]!s_stmnote_bank_58(B544,$A544,1))</f>
        <v>0</v>
      </c>
      <c r="AA544" s="52">
        <f>IF([1]!s_stmnote_bank_60(B544,$A544,1)="0","",[1]!s_stmnote_bank_60(B544,$A544,1))</f>
        <v>0</v>
      </c>
      <c r="AB544" s="52">
        <f>[1]!s_stmnote_bank_5444(B544,$A544,1)</f>
        <v>0</v>
      </c>
      <c r="AC544" s="38">
        <f>[1]!s_stmnote_bank_129n($B544,$A544,1)</f>
        <v>0</v>
      </c>
      <c r="AD544" s="54">
        <f>[1]!s_stmnote_bank_30(B544,$A544,1)</f>
        <v>0</v>
      </c>
    </row>
    <row r="545" spans="1:30" ht="24">
      <c r="A545" s="1" t="s">
        <v>1110</v>
      </c>
      <c r="B545" s="87" t="s">
        <v>1653</v>
      </c>
      <c r="C545" s="8">
        <f>IF([1]!b_info_issuer(B545)="0","",IFERROR([1]!b_info_issuer(B545),""))</f>
        <v>0</v>
      </c>
      <c r="D545" s="11">
        <f>IF([1]!b_info_latestissurercreditrating(B545)="0","",IFERROR([1]!b_info_latestissurercreditrating(B545),""))</f>
        <v>0</v>
      </c>
      <c r="E545" s="27" t="str">
        <f>IFERROR(([1]!b_stm07_bs($B545,47,$A545,1,100000000))/[1]!b_stm07_bs($B545,109,$A545,1,100000000),"")</f>
        <v/>
      </c>
      <c r="F545" s="18" t="str">
        <f>IFERROR(([1]!s_stmnote_bank_26($B545,$A545,1,100000000)-[1]!s_stmnote_bank_26($B545,#REF!,1,100000000)+#REF!)/[1]!s_stmnote_bank_1n($B545,#REF!,1,100000000),"")</f>
        <v/>
      </c>
      <c r="G545" s="21" t="str">
        <f t="shared" si="16"/>
        <v/>
      </c>
      <c r="H545" s="18" t="str">
        <f>IFERROR([1]!s_stmnote_bank($B545,"34",$A545,100000000)/[1]!s_stmnote_bank_1n(B545,$A545,1,100000000),"")</f>
        <v/>
      </c>
      <c r="I545" s="25">
        <f>[1]!b_stm07_bs(B545,74,$A545,1,100000000)</f>
        <v>0</v>
      </c>
      <c r="J545" s="25">
        <f>[1]!b_stm07_bs(B545,109,$A545,1,100000000)</f>
        <v>0</v>
      </c>
      <c r="K545" s="10">
        <f>[1]!s_stmnote_bank_5n(B545,$A545,1)</f>
        <v>0</v>
      </c>
      <c r="L545" s="25">
        <f>[1]!s_stmnote_bank_23n(B545,$A545,1)</f>
        <v>0</v>
      </c>
      <c r="M545" s="25">
        <f>[1]!s_stmnote_bank_capadequacyratio(B545,$A545,1)</f>
        <v>0</v>
      </c>
      <c r="N545" s="25">
        <f>[1]!s_stmnote_bank_capadequacyratio_ct1(B545,$A545,1)</f>
        <v>0</v>
      </c>
      <c r="O545" s="6">
        <f>IF(OR([1]!s_fa_roe(B545,20201231)="0",[1]!s_fa_roe(B545,20211231)="0",[1]!s_fa_roe(B545,20221231)="0"),"",IFERROR(([1]!s_fa_roe(B545,20221231)+[1]!s_fa_roe(B545,20201231)+[1]!s_fa_roe(B545,20211231))/3,""))</f>
        <v>0</v>
      </c>
      <c r="P545" s="28" t="str">
        <f>IFERROR(([1]!s_stmnote_bank_65(B545,$A545,1,2,4,100000000)+[1]!s_stmnote_bank_65(B545,$A545,1,2,6,100000000))/[1]!s_stmnote_bank_1n(B545,$A545,1,100000000),"")</f>
        <v/>
      </c>
      <c r="Q545" s="28" t="str">
        <f>IFERROR([1]!s_stmnote_bank_614(B545,$A545,1,2,100000000)/[1]!s_stmnote_bank_647(B545,$A545,1,2,100000000),"")</f>
        <v/>
      </c>
      <c r="R545" s="28" t="str">
        <f>IFERROR(([1]!b_stm07_bs(B545,104,$A545,1,100000000)+[1]!b_stm07_bs(B545,106,$A545,1,100000000)+[1]!b_stm07_bs(B545,76,$A545,1,100000000)+[1]!b_stm07_bs(B545,108,$A545,1,100000000)+[1]!b_stm07_bs(B545,95,$A545,1,100000000))/[1]!b_stm07_bs(B545,128,$A545,1,100000000),"")</f>
        <v/>
      </c>
      <c r="S545" s="28" t="str">
        <f>IFERROR(([1]!s_stmnote_bank_614(B545,$A545,1,2,100000000)+[1]!b_stm07_bs(B545,104,$A545,1,100000000)+[1]!b_stm07_bs(B545,106,$A545,1,100000000)+[1]!b_stm07_bs(B545,76,$A545,1,100000000)+[1]!b_stm07_bs(B545,108,$A545,1,100000000)+[1]!b_stm07_bs(B545,95,$A545,1,100000000))/[1]!b_stm07_bs(B545,128,$A545,1,100000000),"")</f>
        <v/>
      </c>
      <c r="T545" s="11">
        <f>[1]!b_issuer_shareholder(B545,"",1)</f>
        <v>0</v>
      </c>
      <c r="U545" s="10">
        <f>[1]!b_issuer_propofshareholder(B545,"",1)</f>
        <v>0</v>
      </c>
      <c r="V545" s="33" t="str">
        <f t="shared" si="17"/>
        <v>0</v>
      </c>
      <c r="W545" s="33">
        <f>[1]!s_info_city(B545)</f>
        <v>0</v>
      </c>
      <c r="X545" s="10">
        <f>IF([1]!s_stmnote_bank_17n(B545,$A545,1)="0","",[1]!s_stmnote_bank_17n(B545,$A545,1))</f>
        <v>0</v>
      </c>
      <c r="Y545" s="10">
        <f>IF([1]!s_stmnote_bank_18n(B545,$A545,1)="0","",[1]!s_stmnote_bank_18n(B545,$A545,1))</f>
        <v>0</v>
      </c>
      <c r="Z545" s="41">
        <f>IF([1]!s_stmnote_bank_58(B545,$A545,1)="0","",[1]!s_stmnote_bank_58(B545,$A545,1))</f>
        <v>0</v>
      </c>
      <c r="AA545" s="52">
        <f>IF([1]!s_stmnote_bank_60(B545,$A545,1)="0","",[1]!s_stmnote_bank_60(B545,$A545,1))</f>
        <v>0</v>
      </c>
      <c r="AB545" s="52">
        <f>[1]!s_stmnote_bank_5444(B545,$A545,1)</f>
        <v>0</v>
      </c>
      <c r="AC545" s="38">
        <f>[1]!s_stmnote_bank_129n($B545,$A545,1)</f>
        <v>0</v>
      </c>
      <c r="AD545" s="54">
        <f>[1]!s_stmnote_bank_30(B545,$A545,1)</f>
        <v>0</v>
      </c>
    </row>
    <row r="546" spans="1:30" ht="24">
      <c r="A546" s="1" t="s">
        <v>1110</v>
      </c>
      <c r="B546" s="87" t="s">
        <v>1654</v>
      </c>
      <c r="C546" s="8">
        <f>IF([1]!b_info_issuer(B546)="0","",IFERROR([1]!b_info_issuer(B546),""))</f>
        <v>0</v>
      </c>
      <c r="D546" s="11">
        <f>IF([1]!b_info_latestissurercreditrating(B546)="0","",IFERROR([1]!b_info_latestissurercreditrating(B546),""))</f>
        <v>0</v>
      </c>
      <c r="E546" s="27" t="str">
        <f>IFERROR(([1]!b_stm07_bs($B546,47,$A546,1,100000000))/[1]!b_stm07_bs($B546,109,$A546,1,100000000),"")</f>
        <v/>
      </c>
      <c r="F546" s="18" t="str">
        <f>IFERROR(([1]!s_stmnote_bank_26($B546,$A546,1,100000000)-[1]!s_stmnote_bank_26($B546,#REF!,1,100000000)+#REF!)/[1]!s_stmnote_bank_1n($B546,#REF!,1,100000000),"")</f>
        <v/>
      </c>
      <c r="G546" s="21" t="str">
        <f t="shared" si="16"/>
        <v/>
      </c>
      <c r="H546" s="18" t="str">
        <f>IFERROR([1]!s_stmnote_bank($B546,"34",$A546,100000000)/[1]!s_stmnote_bank_1n(B546,$A546,1,100000000),"")</f>
        <v/>
      </c>
      <c r="I546" s="25">
        <f>[1]!b_stm07_bs(B546,74,$A546,1,100000000)</f>
        <v>0</v>
      </c>
      <c r="J546" s="25">
        <f>[1]!b_stm07_bs(B546,109,$A546,1,100000000)</f>
        <v>0</v>
      </c>
      <c r="K546" s="10">
        <f>[1]!s_stmnote_bank_5n(B546,$A546,1)</f>
        <v>0</v>
      </c>
      <c r="L546" s="25">
        <f>[1]!s_stmnote_bank_23n(B546,$A546,1)</f>
        <v>0</v>
      </c>
      <c r="M546" s="25">
        <f>[1]!s_stmnote_bank_capadequacyratio(B546,$A546,1)</f>
        <v>0</v>
      </c>
      <c r="N546" s="25">
        <f>[1]!s_stmnote_bank_capadequacyratio_ct1(B546,$A546,1)</f>
        <v>0</v>
      </c>
      <c r="O546" s="6">
        <f>IF(OR([1]!s_fa_roe(B546,20201231)="0",[1]!s_fa_roe(B546,20211231)="0",[1]!s_fa_roe(B546,20221231)="0"),"",IFERROR(([1]!s_fa_roe(B546,20221231)+[1]!s_fa_roe(B546,20201231)+[1]!s_fa_roe(B546,20211231))/3,""))</f>
        <v>0</v>
      </c>
      <c r="P546" s="28" t="str">
        <f>IFERROR(([1]!s_stmnote_bank_65(B546,$A546,1,2,4,100000000)+[1]!s_stmnote_bank_65(B546,$A546,1,2,6,100000000))/[1]!s_stmnote_bank_1n(B546,$A546,1,100000000),"")</f>
        <v/>
      </c>
      <c r="Q546" s="28" t="str">
        <f>IFERROR([1]!s_stmnote_bank_614(B546,$A546,1,2,100000000)/[1]!s_stmnote_bank_647(B546,$A546,1,2,100000000),"")</f>
        <v/>
      </c>
      <c r="R546" s="28" t="str">
        <f>IFERROR(([1]!b_stm07_bs(B546,104,$A546,1,100000000)+[1]!b_stm07_bs(B546,106,$A546,1,100000000)+[1]!b_stm07_bs(B546,76,$A546,1,100000000)+[1]!b_stm07_bs(B546,108,$A546,1,100000000)+[1]!b_stm07_bs(B546,95,$A546,1,100000000))/[1]!b_stm07_bs(B546,128,$A546,1,100000000),"")</f>
        <v/>
      </c>
      <c r="S546" s="28" t="str">
        <f>IFERROR(([1]!s_stmnote_bank_614(B546,$A546,1,2,100000000)+[1]!b_stm07_bs(B546,104,$A546,1,100000000)+[1]!b_stm07_bs(B546,106,$A546,1,100000000)+[1]!b_stm07_bs(B546,76,$A546,1,100000000)+[1]!b_stm07_bs(B546,108,$A546,1,100000000)+[1]!b_stm07_bs(B546,95,$A546,1,100000000))/[1]!b_stm07_bs(B546,128,$A546,1,100000000),"")</f>
        <v/>
      </c>
      <c r="T546" s="11">
        <f>[1]!b_issuer_shareholder(B546,"",1)</f>
        <v>0</v>
      </c>
      <c r="U546" s="10">
        <f>[1]!b_issuer_propofshareholder(B546,"",1)</f>
        <v>0</v>
      </c>
      <c r="V546" s="33" t="str">
        <f t="shared" si="17"/>
        <v>0</v>
      </c>
      <c r="W546" s="33">
        <f>[1]!s_info_city(B546)</f>
        <v>0</v>
      </c>
      <c r="X546" s="10">
        <f>IF([1]!s_stmnote_bank_17n(B546,$A546,1)="0","",[1]!s_stmnote_bank_17n(B546,$A546,1))</f>
        <v>0</v>
      </c>
      <c r="Y546" s="10">
        <f>IF([1]!s_stmnote_bank_18n(B546,$A546,1)="0","",[1]!s_stmnote_bank_18n(B546,$A546,1))</f>
        <v>0</v>
      </c>
      <c r="Z546" s="41">
        <f>IF([1]!s_stmnote_bank_58(B546,$A546,1)="0","",[1]!s_stmnote_bank_58(B546,$A546,1))</f>
        <v>0</v>
      </c>
      <c r="AA546" s="52">
        <f>IF([1]!s_stmnote_bank_60(B546,$A546,1)="0","",[1]!s_stmnote_bank_60(B546,$A546,1))</f>
        <v>0</v>
      </c>
      <c r="AB546" s="52">
        <f>[1]!s_stmnote_bank_5444(B546,$A546,1)</f>
        <v>0</v>
      </c>
      <c r="AC546" s="38">
        <f>[1]!s_stmnote_bank_129n($B546,$A546,1)</f>
        <v>0</v>
      </c>
      <c r="AD546" s="54">
        <f>[1]!s_stmnote_bank_30(B546,$A546,1)</f>
        <v>0</v>
      </c>
    </row>
    <row r="547" spans="1:30" ht="24">
      <c r="A547" s="1" t="s">
        <v>1110</v>
      </c>
      <c r="B547" s="87" t="s">
        <v>1655</v>
      </c>
      <c r="C547" s="8">
        <f>IF([1]!b_info_issuer(B547)="0","",IFERROR([1]!b_info_issuer(B547),""))</f>
        <v>0</v>
      </c>
      <c r="D547" s="11">
        <f>IF([1]!b_info_latestissurercreditrating(B547)="0","",IFERROR([1]!b_info_latestissurercreditrating(B547),""))</f>
        <v>0</v>
      </c>
      <c r="E547" s="27" t="str">
        <f>IFERROR(([1]!b_stm07_bs($B547,47,$A547,1,100000000))/[1]!b_stm07_bs($B547,109,$A547,1,100000000),"")</f>
        <v/>
      </c>
      <c r="F547" s="18" t="str">
        <f>IFERROR(([1]!s_stmnote_bank_26($B547,$A547,1,100000000)-[1]!s_stmnote_bank_26($B547,#REF!,1,100000000)+#REF!)/[1]!s_stmnote_bank_1n($B547,#REF!,1,100000000),"")</f>
        <v/>
      </c>
      <c r="G547" s="21" t="str">
        <f t="shared" si="16"/>
        <v/>
      </c>
      <c r="H547" s="18" t="str">
        <f>IFERROR([1]!s_stmnote_bank($B547,"34",$A547,100000000)/[1]!s_stmnote_bank_1n(B547,$A547,1,100000000),"")</f>
        <v/>
      </c>
      <c r="I547" s="25">
        <f>[1]!b_stm07_bs(B547,74,$A547,1,100000000)</f>
        <v>0</v>
      </c>
      <c r="J547" s="25">
        <f>[1]!b_stm07_bs(B547,109,$A547,1,100000000)</f>
        <v>0</v>
      </c>
      <c r="K547" s="10">
        <f>[1]!s_stmnote_bank_5n(B547,$A547,1)</f>
        <v>0</v>
      </c>
      <c r="L547" s="25">
        <f>[1]!s_stmnote_bank_23n(B547,$A547,1)</f>
        <v>0</v>
      </c>
      <c r="M547" s="25">
        <f>[1]!s_stmnote_bank_capadequacyratio(B547,$A547,1)</f>
        <v>0</v>
      </c>
      <c r="N547" s="25">
        <f>[1]!s_stmnote_bank_capadequacyratio_ct1(B547,$A547,1)</f>
        <v>0</v>
      </c>
      <c r="O547" s="6">
        <f>IF(OR([1]!s_fa_roe(B547,20201231)="0",[1]!s_fa_roe(B547,20211231)="0",[1]!s_fa_roe(B547,20221231)="0"),"",IFERROR(([1]!s_fa_roe(B547,20221231)+[1]!s_fa_roe(B547,20201231)+[1]!s_fa_roe(B547,20211231))/3,""))</f>
        <v>0</v>
      </c>
      <c r="P547" s="28" t="str">
        <f>IFERROR(([1]!s_stmnote_bank_65(B547,$A547,1,2,4,100000000)+[1]!s_stmnote_bank_65(B547,$A547,1,2,6,100000000))/[1]!s_stmnote_bank_1n(B547,$A547,1,100000000),"")</f>
        <v/>
      </c>
      <c r="Q547" s="28" t="str">
        <f>IFERROR([1]!s_stmnote_bank_614(B547,$A547,1,2,100000000)/[1]!s_stmnote_bank_647(B547,$A547,1,2,100000000),"")</f>
        <v/>
      </c>
      <c r="R547" s="28" t="str">
        <f>IFERROR(([1]!b_stm07_bs(B547,104,$A547,1,100000000)+[1]!b_stm07_bs(B547,106,$A547,1,100000000)+[1]!b_stm07_bs(B547,76,$A547,1,100000000)+[1]!b_stm07_bs(B547,108,$A547,1,100000000)+[1]!b_stm07_bs(B547,95,$A547,1,100000000))/[1]!b_stm07_bs(B547,128,$A547,1,100000000),"")</f>
        <v/>
      </c>
      <c r="S547" s="28" t="str">
        <f>IFERROR(([1]!s_stmnote_bank_614(B547,$A547,1,2,100000000)+[1]!b_stm07_bs(B547,104,$A547,1,100000000)+[1]!b_stm07_bs(B547,106,$A547,1,100000000)+[1]!b_stm07_bs(B547,76,$A547,1,100000000)+[1]!b_stm07_bs(B547,108,$A547,1,100000000)+[1]!b_stm07_bs(B547,95,$A547,1,100000000))/[1]!b_stm07_bs(B547,128,$A547,1,100000000),"")</f>
        <v/>
      </c>
      <c r="T547" s="11">
        <f>[1]!b_issuer_shareholder(B547,"",1)</f>
        <v>0</v>
      </c>
      <c r="U547" s="10">
        <f>[1]!b_issuer_propofshareholder(B547,"",1)</f>
        <v>0</v>
      </c>
      <c r="V547" s="33" t="str">
        <f t="shared" si="17"/>
        <v>0</v>
      </c>
      <c r="W547" s="33">
        <f>[1]!s_info_city(B547)</f>
        <v>0</v>
      </c>
      <c r="X547" s="10">
        <f>IF([1]!s_stmnote_bank_17n(B547,$A547,1)="0","",[1]!s_stmnote_bank_17n(B547,$A547,1))</f>
        <v>0</v>
      </c>
      <c r="Y547" s="10">
        <f>IF([1]!s_stmnote_bank_18n(B547,$A547,1)="0","",[1]!s_stmnote_bank_18n(B547,$A547,1))</f>
        <v>0</v>
      </c>
      <c r="Z547" s="41">
        <f>IF([1]!s_stmnote_bank_58(B547,$A547,1)="0","",[1]!s_stmnote_bank_58(B547,$A547,1))</f>
        <v>0</v>
      </c>
      <c r="AA547" s="52">
        <f>IF([1]!s_stmnote_bank_60(B547,$A547,1)="0","",[1]!s_stmnote_bank_60(B547,$A547,1))</f>
        <v>0</v>
      </c>
      <c r="AB547" s="52">
        <f>[1]!s_stmnote_bank_5444(B547,$A547,1)</f>
        <v>0</v>
      </c>
      <c r="AC547" s="38">
        <f>[1]!s_stmnote_bank_129n($B547,$A547,1)</f>
        <v>0</v>
      </c>
      <c r="AD547" s="54">
        <f>[1]!s_stmnote_bank_30(B547,$A547,1)</f>
        <v>0</v>
      </c>
    </row>
    <row r="548" spans="1:30" ht="24">
      <c r="A548" s="1" t="s">
        <v>1110</v>
      </c>
      <c r="B548" s="87" t="s">
        <v>1656</v>
      </c>
      <c r="C548" s="8">
        <f>IF([1]!b_info_issuer(B548)="0","",IFERROR([1]!b_info_issuer(B548),""))</f>
        <v>0</v>
      </c>
      <c r="D548" s="11">
        <f>IF([1]!b_info_latestissurercreditrating(B548)="0","",IFERROR([1]!b_info_latestissurercreditrating(B548),""))</f>
        <v>0</v>
      </c>
      <c r="E548" s="27" t="str">
        <f>IFERROR(([1]!b_stm07_bs($B548,47,$A548,1,100000000))/[1]!b_stm07_bs($B548,109,$A548,1,100000000),"")</f>
        <v/>
      </c>
      <c r="F548" s="18" t="str">
        <f>IFERROR(([1]!s_stmnote_bank_26($B548,$A548,1,100000000)-[1]!s_stmnote_bank_26($B548,#REF!,1,100000000)+#REF!)/[1]!s_stmnote_bank_1n($B548,#REF!,1,100000000),"")</f>
        <v/>
      </c>
      <c r="G548" s="21" t="str">
        <f t="shared" si="16"/>
        <v/>
      </c>
      <c r="H548" s="18" t="str">
        <f>IFERROR([1]!s_stmnote_bank($B548,"34",$A548,100000000)/[1]!s_stmnote_bank_1n(B548,$A548,1,100000000),"")</f>
        <v/>
      </c>
      <c r="I548" s="25">
        <f>[1]!b_stm07_bs(B548,74,$A548,1,100000000)</f>
        <v>0</v>
      </c>
      <c r="J548" s="25">
        <f>[1]!b_stm07_bs(B548,109,$A548,1,100000000)</f>
        <v>0</v>
      </c>
      <c r="K548" s="10">
        <f>[1]!s_stmnote_bank_5n(B548,$A548,1)</f>
        <v>0</v>
      </c>
      <c r="L548" s="25">
        <f>[1]!s_stmnote_bank_23n(B548,$A548,1)</f>
        <v>0</v>
      </c>
      <c r="M548" s="25">
        <f>[1]!s_stmnote_bank_capadequacyratio(B548,$A548,1)</f>
        <v>0</v>
      </c>
      <c r="N548" s="25">
        <f>[1]!s_stmnote_bank_capadequacyratio_ct1(B548,$A548,1)</f>
        <v>0</v>
      </c>
      <c r="O548" s="6">
        <f>IF(OR([1]!s_fa_roe(B548,20201231)="0",[1]!s_fa_roe(B548,20211231)="0",[1]!s_fa_roe(B548,20221231)="0"),"",IFERROR(([1]!s_fa_roe(B548,20221231)+[1]!s_fa_roe(B548,20201231)+[1]!s_fa_roe(B548,20211231))/3,""))</f>
        <v>0</v>
      </c>
      <c r="P548" s="28" t="str">
        <f>IFERROR(([1]!s_stmnote_bank_65(B548,$A548,1,2,4,100000000)+[1]!s_stmnote_bank_65(B548,$A548,1,2,6,100000000))/[1]!s_stmnote_bank_1n(B548,$A548,1,100000000),"")</f>
        <v/>
      </c>
      <c r="Q548" s="28" t="str">
        <f>IFERROR([1]!s_stmnote_bank_614(B548,$A548,1,2,100000000)/[1]!s_stmnote_bank_647(B548,$A548,1,2,100000000),"")</f>
        <v/>
      </c>
      <c r="R548" s="28" t="str">
        <f>IFERROR(([1]!b_stm07_bs(B548,104,$A548,1,100000000)+[1]!b_stm07_bs(B548,106,$A548,1,100000000)+[1]!b_stm07_bs(B548,76,$A548,1,100000000)+[1]!b_stm07_bs(B548,108,$A548,1,100000000)+[1]!b_stm07_bs(B548,95,$A548,1,100000000))/[1]!b_stm07_bs(B548,128,$A548,1,100000000),"")</f>
        <v/>
      </c>
      <c r="S548" s="28" t="str">
        <f>IFERROR(([1]!s_stmnote_bank_614(B548,$A548,1,2,100000000)+[1]!b_stm07_bs(B548,104,$A548,1,100000000)+[1]!b_stm07_bs(B548,106,$A548,1,100000000)+[1]!b_stm07_bs(B548,76,$A548,1,100000000)+[1]!b_stm07_bs(B548,108,$A548,1,100000000)+[1]!b_stm07_bs(B548,95,$A548,1,100000000))/[1]!b_stm07_bs(B548,128,$A548,1,100000000),"")</f>
        <v/>
      </c>
      <c r="T548" s="11">
        <f>[1]!b_issuer_shareholder(B548,"",1)</f>
        <v>0</v>
      </c>
      <c r="U548" s="10">
        <f>[1]!b_issuer_propofshareholder(B548,"",1)</f>
        <v>0</v>
      </c>
      <c r="V548" s="33" t="str">
        <f t="shared" si="17"/>
        <v>0</v>
      </c>
      <c r="W548" s="33">
        <f>[1]!s_info_city(B548)</f>
        <v>0</v>
      </c>
      <c r="X548" s="10">
        <f>IF([1]!s_stmnote_bank_17n(B548,$A548,1)="0","",[1]!s_stmnote_bank_17n(B548,$A548,1))</f>
        <v>0</v>
      </c>
      <c r="Y548" s="10">
        <f>IF([1]!s_stmnote_bank_18n(B548,$A548,1)="0","",[1]!s_stmnote_bank_18n(B548,$A548,1))</f>
        <v>0</v>
      </c>
      <c r="Z548" s="41">
        <f>IF([1]!s_stmnote_bank_58(B548,$A548,1)="0","",[1]!s_stmnote_bank_58(B548,$A548,1))</f>
        <v>0</v>
      </c>
      <c r="AA548" s="52">
        <f>IF([1]!s_stmnote_bank_60(B548,$A548,1)="0","",[1]!s_stmnote_bank_60(B548,$A548,1))</f>
        <v>0</v>
      </c>
      <c r="AB548" s="52">
        <f>[1]!s_stmnote_bank_5444(B548,$A548,1)</f>
        <v>0</v>
      </c>
      <c r="AC548" s="38">
        <f>[1]!s_stmnote_bank_129n($B548,$A548,1)</f>
        <v>0</v>
      </c>
      <c r="AD548" s="54">
        <f>[1]!s_stmnote_bank_30(B548,$A548,1)</f>
        <v>0</v>
      </c>
    </row>
    <row r="549" spans="1:30" ht="24">
      <c r="A549" s="1" t="s">
        <v>1110</v>
      </c>
      <c r="B549" s="87" t="s">
        <v>1657</v>
      </c>
      <c r="C549" s="8">
        <f>IF([1]!b_info_issuer(B549)="0","",IFERROR([1]!b_info_issuer(B549),""))</f>
        <v>0</v>
      </c>
      <c r="D549" s="11">
        <f>IF([1]!b_info_latestissurercreditrating(B549)="0","",IFERROR([1]!b_info_latestissurercreditrating(B549),""))</f>
        <v>0</v>
      </c>
      <c r="E549" s="27" t="str">
        <f>IFERROR(([1]!b_stm07_bs($B549,47,$A549,1,100000000))/[1]!b_stm07_bs($B549,109,$A549,1,100000000),"")</f>
        <v/>
      </c>
      <c r="F549" s="18" t="str">
        <f>IFERROR(([1]!s_stmnote_bank_26($B549,$A549,1,100000000)-[1]!s_stmnote_bank_26($B549,#REF!,1,100000000)+#REF!)/[1]!s_stmnote_bank_1n($B549,#REF!,1,100000000),"")</f>
        <v/>
      </c>
      <c r="G549" s="21" t="str">
        <f t="shared" si="16"/>
        <v/>
      </c>
      <c r="H549" s="18" t="str">
        <f>IFERROR([1]!s_stmnote_bank($B549,"34",$A549,100000000)/[1]!s_stmnote_bank_1n(B549,$A549,1,100000000),"")</f>
        <v/>
      </c>
      <c r="I549" s="25">
        <f>[1]!b_stm07_bs(B549,74,$A549,1,100000000)</f>
        <v>0</v>
      </c>
      <c r="J549" s="25">
        <f>[1]!b_stm07_bs(B549,109,$A549,1,100000000)</f>
        <v>0</v>
      </c>
      <c r="K549" s="10">
        <f>[1]!s_stmnote_bank_5n(B549,$A549,1)</f>
        <v>0</v>
      </c>
      <c r="L549" s="25">
        <f>[1]!s_stmnote_bank_23n(B549,$A549,1)</f>
        <v>0</v>
      </c>
      <c r="M549" s="25">
        <f>[1]!s_stmnote_bank_capadequacyratio(B549,$A549,1)</f>
        <v>0</v>
      </c>
      <c r="N549" s="25">
        <f>[1]!s_stmnote_bank_capadequacyratio_ct1(B549,$A549,1)</f>
        <v>0</v>
      </c>
      <c r="O549" s="6">
        <f>IF(OR([1]!s_fa_roe(B549,20201231)="0",[1]!s_fa_roe(B549,20211231)="0",[1]!s_fa_roe(B549,20221231)="0"),"",IFERROR(([1]!s_fa_roe(B549,20221231)+[1]!s_fa_roe(B549,20201231)+[1]!s_fa_roe(B549,20211231))/3,""))</f>
        <v>0</v>
      </c>
      <c r="P549" s="28" t="str">
        <f>IFERROR(([1]!s_stmnote_bank_65(B549,$A549,1,2,4,100000000)+[1]!s_stmnote_bank_65(B549,$A549,1,2,6,100000000))/[1]!s_stmnote_bank_1n(B549,$A549,1,100000000),"")</f>
        <v/>
      </c>
      <c r="Q549" s="28" t="str">
        <f>IFERROR([1]!s_stmnote_bank_614(B549,$A549,1,2,100000000)/[1]!s_stmnote_bank_647(B549,$A549,1,2,100000000),"")</f>
        <v/>
      </c>
      <c r="R549" s="28" t="str">
        <f>IFERROR(([1]!b_stm07_bs(B549,104,$A549,1,100000000)+[1]!b_stm07_bs(B549,106,$A549,1,100000000)+[1]!b_stm07_bs(B549,76,$A549,1,100000000)+[1]!b_stm07_bs(B549,108,$A549,1,100000000)+[1]!b_stm07_bs(B549,95,$A549,1,100000000))/[1]!b_stm07_bs(B549,128,$A549,1,100000000),"")</f>
        <v/>
      </c>
      <c r="S549" s="28" t="str">
        <f>IFERROR(([1]!s_stmnote_bank_614(B549,$A549,1,2,100000000)+[1]!b_stm07_bs(B549,104,$A549,1,100000000)+[1]!b_stm07_bs(B549,106,$A549,1,100000000)+[1]!b_stm07_bs(B549,76,$A549,1,100000000)+[1]!b_stm07_bs(B549,108,$A549,1,100000000)+[1]!b_stm07_bs(B549,95,$A549,1,100000000))/[1]!b_stm07_bs(B549,128,$A549,1,100000000),"")</f>
        <v/>
      </c>
      <c r="T549" s="11">
        <f>[1]!b_issuer_shareholder(B549,"",1)</f>
        <v>0</v>
      </c>
      <c r="U549" s="10">
        <f>[1]!b_issuer_propofshareholder(B549,"",1)</f>
        <v>0</v>
      </c>
      <c r="V549" s="33" t="str">
        <f t="shared" si="17"/>
        <v>0</v>
      </c>
      <c r="W549" s="33">
        <f>[1]!s_info_city(B549)</f>
        <v>0</v>
      </c>
      <c r="X549" s="10">
        <f>IF([1]!s_stmnote_bank_17n(B549,$A549,1)="0","",[1]!s_stmnote_bank_17n(B549,$A549,1))</f>
        <v>0</v>
      </c>
      <c r="Y549" s="10">
        <f>IF([1]!s_stmnote_bank_18n(B549,$A549,1)="0","",[1]!s_stmnote_bank_18n(B549,$A549,1))</f>
        <v>0</v>
      </c>
      <c r="Z549" s="41">
        <f>IF([1]!s_stmnote_bank_58(B549,$A549,1)="0","",[1]!s_stmnote_bank_58(B549,$A549,1))</f>
        <v>0</v>
      </c>
      <c r="AA549" s="52">
        <f>IF([1]!s_stmnote_bank_60(B549,$A549,1)="0","",[1]!s_stmnote_bank_60(B549,$A549,1))</f>
        <v>0</v>
      </c>
      <c r="AB549" s="52">
        <f>[1]!s_stmnote_bank_5444(B549,$A549,1)</f>
        <v>0</v>
      </c>
      <c r="AC549" s="38">
        <f>[1]!s_stmnote_bank_129n($B549,$A549,1)</f>
        <v>0</v>
      </c>
      <c r="AD549" s="54">
        <f>[1]!s_stmnote_bank_30(B549,$A549,1)</f>
        <v>0</v>
      </c>
    </row>
    <row r="550" spans="1:30" ht="24">
      <c r="A550" s="1" t="s">
        <v>1110</v>
      </c>
      <c r="B550" s="87" t="s">
        <v>1658</v>
      </c>
      <c r="C550" s="8">
        <f>IF([1]!b_info_issuer(B550)="0","",IFERROR([1]!b_info_issuer(B550),""))</f>
        <v>0</v>
      </c>
      <c r="D550" s="11">
        <f>IF([1]!b_info_latestissurercreditrating(B550)="0","",IFERROR([1]!b_info_latestissurercreditrating(B550),""))</f>
        <v>0</v>
      </c>
      <c r="E550" s="27" t="str">
        <f>IFERROR(([1]!b_stm07_bs($B550,47,$A550,1,100000000))/[1]!b_stm07_bs($B550,109,$A550,1,100000000),"")</f>
        <v/>
      </c>
      <c r="F550" s="18" t="str">
        <f>IFERROR(([1]!s_stmnote_bank_26($B550,$A550,1,100000000)-[1]!s_stmnote_bank_26($B550,#REF!,1,100000000)+#REF!)/[1]!s_stmnote_bank_1n($B550,#REF!,1,100000000),"")</f>
        <v/>
      </c>
      <c r="G550" s="21" t="str">
        <f t="shared" si="16"/>
        <v/>
      </c>
      <c r="H550" s="18" t="str">
        <f>IFERROR([1]!s_stmnote_bank($B550,"34",$A550,100000000)/[1]!s_stmnote_bank_1n(B550,$A550,1,100000000),"")</f>
        <v/>
      </c>
      <c r="I550" s="25">
        <f>[1]!b_stm07_bs(B550,74,$A550,1,100000000)</f>
        <v>0</v>
      </c>
      <c r="J550" s="25">
        <f>[1]!b_stm07_bs(B550,109,$A550,1,100000000)</f>
        <v>0</v>
      </c>
      <c r="K550" s="10">
        <f>[1]!s_stmnote_bank_5n(B550,$A550,1)</f>
        <v>0</v>
      </c>
      <c r="L550" s="25">
        <f>[1]!s_stmnote_bank_23n(B550,$A550,1)</f>
        <v>0</v>
      </c>
      <c r="M550" s="25">
        <f>[1]!s_stmnote_bank_capadequacyratio(B550,$A550,1)</f>
        <v>0</v>
      </c>
      <c r="N550" s="25">
        <f>[1]!s_stmnote_bank_capadequacyratio_ct1(B550,$A550,1)</f>
        <v>0</v>
      </c>
      <c r="O550" s="6">
        <f>IF(OR([1]!s_fa_roe(B550,20201231)="0",[1]!s_fa_roe(B550,20211231)="0",[1]!s_fa_roe(B550,20221231)="0"),"",IFERROR(([1]!s_fa_roe(B550,20221231)+[1]!s_fa_roe(B550,20201231)+[1]!s_fa_roe(B550,20211231))/3,""))</f>
        <v>0</v>
      </c>
      <c r="P550" s="28" t="str">
        <f>IFERROR(([1]!s_stmnote_bank_65(B550,$A550,1,2,4,100000000)+[1]!s_stmnote_bank_65(B550,$A550,1,2,6,100000000))/[1]!s_stmnote_bank_1n(B550,$A550,1,100000000),"")</f>
        <v/>
      </c>
      <c r="Q550" s="28" t="str">
        <f>IFERROR([1]!s_stmnote_bank_614(B550,$A550,1,2,100000000)/[1]!s_stmnote_bank_647(B550,$A550,1,2,100000000),"")</f>
        <v/>
      </c>
      <c r="R550" s="28" t="str">
        <f>IFERROR(([1]!b_stm07_bs(B550,104,$A550,1,100000000)+[1]!b_stm07_bs(B550,106,$A550,1,100000000)+[1]!b_stm07_bs(B550,76,$A550,1,100000000)+[1]!b_stm07_bs(B550,108,$A550,1,100000000)+[1]!b_stm07_bs(B550,95,$A550,1,100000000))/[1]!b_stm07_bs(B550,128,$A550,1,100000000),"")</f>
        <v/>
      </c>
      <c r="S550" s="28" t="str">
        <f>IFERROR(([1]!s_stmnote_bank_614(B550,$A550,1,2,100000000)+[1]!b_stm07_bs(B550,104,$A550,1,100000000)+[1]!b_stm07_bs(B550,106,$A550,1,100000000)+[1]!b_stm07_bs(B550,76,$A550,1,100000000)+[1]!b_stm07_bs(B550,108,$A550,1,100000000)+[1]!b_stm07_bs(B550,95,$A550,1,100000000))/[1]!b_stm07_bs(B550,128,$A550,1,100000000),"")</f>
        <v/>
      </c>
      <c r="T550" s="11">
        <f>[1]!b_issuer_shareholder(B550,"",1)</f>
        <v>0</v>
      </c>
      <c r="U550" s="10">
        <f>[1]!b_issuer_propofshareholder(B550,"",1)</f>
        <v>0</v>
      </c>
      <c r="V550" s="33" t="str">
        <f t="shared" si="17"/>
        <v>0</v>
      </c>
      <c r="W550" s="33">
        <f>[1]!s_info_city(B550)</f>
        <v>0</v>
      </c>
      <c r="X550" s="10">
        <f>IF([1]!s_stmnote_bank_17n(B550,$A550,1)="0","",[1]!s_stmnote_bank_17n(B550,$A550,1))</f>
        <v>0</v>
      </c>
      <c r="Y550" s="10">
        <f>IF([1]!s_stmnote_bank_18n(B550,$A550,1)="0","",[1]!s_stmnote_bank_18n(B550,$A550,1))</f>
        <v>0</v>
      </c>
      <c r="Z550" s="41">
        <f>IF([1]!s_stmnote_bank_58(B550,$A550,1)="0","",[1]!s_stmnote_bank_58(B550,$A550,1))</f>
        <v>0</v>
      </c>
      <c r="AA550" s="52">
        <f>IF([1]!s_stmnote_bank_60(B550,$A550,1)="0","",[1]!s_stmnote_bank_60(B550,$A550,1))</f>
        <v>0</v>
      </c>
      <c r="AB550" s="52">
        <f>[1]!s_stmnote_bank_5444(B550,$A550,1)</f>
        <v>0</v>
      </c>
      <c r="AC550" s="38">
        <f>[1]!s_stmnote_bank_129n($B550,$A550,1)</f>
        <v>0</v>
      </c>
      <c r="AD550" s="54">
        <f>[1]!s_stmnote_bank_30(B550,$A550,1)</f>
        <v>0</v>
      </c>
    </row>
    <row r="551" spans="1:30" ht="24">
      <c r="A551" s="1" t="s">
        <v>1110</v>
      </c>
      <c r="B551" s="87" t="s">
        <v>1659</v>
      </c>
      <c r="C551" s="8">
        <f>IF([1]!b_info_issuer(B551)="0","",IFERROR([1]!b_info_issuer(B551),""))</f>
        <v>0</v>
      </c>
      <c r="D551" s="11">
        <f>IF([1]!b_info_latestissurercreditrating(B551)="0","",IFERROR([1]!b_info_latestissurercreditrating(B551),""))</f>
        <v>0</v>
      </c>
      <c r="E551" s="27" t="str">
        <f>IFERROR(([1]!b_stm07_bs($B551,47,$A551,1,100000000))/[1]!b_stm07_bs($B551,109,$A551,1,100000000),"")</f>
        <v/>
      </c>
      <c r="F551" s="18" t="str">
        <f>IFERROR(([1]!s_stmnote_bank_26($B551,$A551,1,100000000)-[1]!s_stmnote_bank_26($B551,#REF!,1,100000000)+#REF!)/[1]!s_stmnote_bank_1n($B551,#REF!,1,100000000),"")</f>
        <v/>
      </c>
      <c r="G551" s="21" t="str">
        <f t="shared" si="16"/>
        <v/>
      </c>
      <c r="H551" s="18" t="str">
        <f>IFERROR([1]!s_stmnote_bank($B551,"34",$A551,100000000)/[1]!s_stmnote_bank_1n(B551,$A551,1,100000000),"")</f>
        <v/>
      </c>
      <c r="I551" s="25">
        <f>[1]!b_stm07_bs(B551,74,$A551,1,100000000)</f>
        <v>0</v>
      </c>
      <c r="J551" s="25">
        <f>[1]!b_stm07_bs(B551,109,$A551,1,100000000)</f>
        <v>0</v>
      </c>
      <c r="K551" s="10">
        <f>[1]!s_stmnote_bank_5n(B551,$A551,1)</f>
        <v>0</v>
      </c>
      <c r="L551" s="25">
        <f>[1]!s_stmnote_bank_23n(B551,$A551,1)</f>
        <v>0</v>
      </c>
      <c r="M551" s="25">
        <f>[1]!s_stmnote_bank_capadequacyratio(B551,$A551,1)</f>
        <v>0</v>
      </c>
      <c r="N551" s="25">
        <f>[1]!s_stmnote_bank_capadequacyratio_ct1(B551,$A551,1)</f>
        <v>0</v>
      </c>
      <c r="O551" s="6">
        <f>IF(OR([1]!s_fa_roe(B551,20201231)="0",[1]!s_fa_roe(B551,20211231)="0",[1]!s_fa_roe(B551,20221231)="0"),"",IFERROR(([1]!s_fa_roe(B551,20221231)+[1]!s_fa_roe(B551,20201231)+[1]!s_fa_roe(B551,20211231))/3,""))</f>
        <v>0</v>
      </c>
      <c r="P551" s="28" t="str">
        <f>IFERROR(([1]!s_stmnote_bank_65(B551,$A551,1,2,4,100000000)+[1]!s_stmnote_bank_65(B551,$A551,1,2,6,100000000))/[1]!s_stmnote_bank_1n(B551,$A551,1,100000000),"")</f>
        <v/>
      </c>
      <c r="Q551" s="28" t="str">
        <f>IFERROR([1]!s_stmnote_bank_614(B551,$A551,1,2,100000000)/[1]!s_stmnote_bank_647(B551,$A551,1,2,100000000),"")</f>
        <v/>
      </c>
      <c r="R551" s="28" t="str">
        <f>IFERROR(([1]!b_stm07_bs(B551,104,$A551,1,100000000)+[1]!b_stm07_bs(B551,106,$A551,1,100000000)+[1]!b_stm07_bs(B551,76,$A551,1,100000000)+[1]!b_stm07_bs(B551,108,$A551,1,100000000)+[1]!b_stm07_bs(B551,95,$A551,1,100000000))/[1]!b_stm07_bs(B551,128,$A551,1,100000000),"")</f>
        <v/>
      </c>
      <c r="S551" s="28" t="str">
        <f>IFERROR(([1]!s_stmnote_bank_614(B551,$A551,1,2,100000000)+[1]!b_stm07_bs(B551,104,$A551,1,100000000)+[1]!b_stm07_bs(B551,106,$A551,1,100000000)+[1]!b_stm07_bs(B551,76,$A551,1,100000000)+[1]!b_stm07_bs(B551,108,$A551,1,100000000)+[1]!b_stm07_bs(B551,95,$A551,1,100000000))/[1]!b_stm07_bs(B551,128,$A551,1,100000000),"")</f>
        <v/>
      </c>
      <c r="T551" s="11">
        <f>[1]!b_issuer_shareholder(B551,"",1)</f>
        <v>0</v>
      </c>
      <c r="U551" s="10">
        <f>[1]!b_issuer_propofshareholder(B551,"",1)</f>
        <v>0</v>
      </c>
      <c r="V551" s="33" t="str">
        <f t="shared" si="17"/>
        <v>0</v>
      </c>
      <c r="W551" s="33">
        <f>[1]!s_info_city(B551)</f>
        <v>0</v>
      </c>
      <c r="X551" s="10">
        <f>IF([1]!s_stmnote_bank_17n(B551,$A551,1)="0","",[1]!s_stmnote_bank_17n(B551,$A551,1))</f>
        <v>0</v>
      </c>
      <c r="Y551" s="10">
        <f>IF([1]!s_stmnote_bank_18n(B551,$A551,1)="0","",[1]!s_stmnote_bank_18n(B551,$A551,1))</f>
        <v>0</v>
      </c>
      <c r="Z551" s="41">
        <f>IF([1]!s_stmnote_bank_58(B551,$A551,1)="0","",[1]!s_stmnote_bank_58(B551,$A551,1))</f>
        <v>0</v>
      </c>
      <c r="AA551" s="52">
        <f>IF([1]!s_stmnote_bank_60(B551,$A551,1)="0","",[1]!s_stmnote_bank_60(B551,$A551,1))</f>
        <v>0</v>
      </c>
      <c r="AB551" s="52">
        <f>[1]!s_stmnote_bank_5444(B551,$A551,1)</f>
        <v>0</v>
      </c>
      <c r="AC551" s="38">
        <f>[1]!s_stmnote_bank_129n($B551,$A551,1)</f>
        <v>0</v>
      </c>
      <c r="AD551" s="54">
        <f>[1]!s_stmnote_bank_30(B551,$A551,1)</f>
        <v>0</v>
      </c>
    </row>
    <row r="552" spans="1:30" ht="24">
      <c r="A552" s="1" t="s">
        <v>1110</v>
      </c>
      <c r="B552" s="87" t="s">
        <v>1660</v>
      </c>
      <c r="C552" s="8">
        <f>IF([1]!b_info_issuer(B552)="0","",IFERROR([1]!b_info_issuer(B552),""))</f>
        <v>0</v>
      </c>
      <c r="D552" s="11">
        <f>IF([1]!b_info_latestissurercreditrating(B552)="0","",IFERROR([1]!b_info_latestissurercreditrating(B552),""))</f>
        <v>0</v>
      </c>
      <c r="E552" s="27" t="str">
        <f>IFERROR(([1]!b_stm07_bs($B552,47,$A552,1,100000000))/[1]!b_stm07_bs($B552,109,$A552,1,100000000),"")</f>
        <v/>
      </c>
      <c r="F552" s="18" t="str">
        <f>IFERROR(([1]!s_stmnote_bank_26($B552,$A552,1,100000000)-[1]!s_stmnote_bank_26($B552,#REF!,1,100000000)+#REF!)/[1]!s_stmnote_bank_1n($B552,#REF!,1,100000000),"")</f>
        <v/>
      </c>
      <c r="G552" s="21" t="str">
        <f t="shared" si="16"/>
        <v/>
      </c>
      <c r="H552" s="18" t="str">
        <f>IFERROR([1]!s_stmnote_bank($B552,"34",$A552,100000000)/[1]!s_stmnote_bank_1n(B552,$A552,1,100000000),"")</f>
        <v/>
      </c>
      <c r="I552" s="25">
        <f>[1]!b_stm07_bs(B552,74,$A552,1,100000000)</f>
        <v>0</v>
      </c>
      <c r="J552" s="25">
        <f>[1]!b_stm07_bs(B552,109,$A552,1,100000000)</f>
        <v>0</v>
      </c>
      <c r="K552" s="10">
        <f>[1]!s_stmnote_bank_5n(B552,$A552,1)</f>
        <v>0</v>
      </c>
      <c r="L552" s="25">
        <f>[1]!s_stmnote_bank_23n(B552,$A552,1)</f>
        <v>0</v>
      </c>
      <c r="M552" s="25">
        <f>[1]!s_stmnote_bank_capadequacyratio(B552,$A552,1)</f>
        <v>0</v>
      </c>
      <c r="N552" s="25">
        <f>[1]!s_stmnote_bank_capadequacyratio_ct1(B552,$A552,1)</f>
        <v>0</v>
      </c>
      <c r="O552" s="6">
        <f>IF(OR([1]!s_fa_roe(B552,20201231)="0",[1]!s_fa_roe(B552,20211231)="0",[1]!s_fa_roe(B552,20221231)="0"),"",IFERROR(([1]!s_fa_roe(B552,20221231)+[1]!s_fa_roe(B552,20201231)+[1]!s_fa_roe(B552,20211231))/3,""))</f>
        <v>0</v>
      </c>
      <c r="P552" s="28" t="str">
        <f>IFERROR(([1]!s_stmnote_bank_65(B552,$A552,1,2,4,100000000)+[1]!s_stmnote_bank_65(B552,$A552,1,2,6,100000000))/[1]!s_stmnote_bank_1n(B552,$A552,1,100000000),"")</f>
        <v/>
      </c>
      <c r="Q552" s="28" t="str">
        <f>IFERROR([1]!s_stmnote_bank_614(B552,$A552,1,2,100000000)/[1]!s_stmnote_bank_647(B552,$A552,1,2,100000000),"")</f>
        <v/>
      </c>
      <c r="R552" s="28" t="str">
        <f>IFERROR(([1]!b_stm07_bs(B552,104,$A552,1,100000000)+[1]!b_stm07_bs(B552,106,$A552,1,100000000)+[1]!b_stm07_bs(B552,76,$A552,1,100000000)+[1]!b_stm07_bs(B552,108,$A552,1,100000000)+[1]!b_stm07_bs(B552,95,$A552,1,100000000))/[1]!b_stm07_bs(B552,128,$A552,1,100000000),"")</f>
        <v/>
      </c>
      <c r="S552" s="28" t="str">
        <f>IFERROR(([1]!s_stmnote_bank_614(B552,$A552,1,2,100000000)+[1]!b_stm07_bs(B552,104,$A552,1,100000000)+[1]!b_stm07_bs(B552,106,$A552,1,100000000)+[1]!b_stm07_bs(B552,76,$A552,1,100000000)+[1]!b_stm07_bs(B552,108,$A552,1,100000000)+[1]!b_stm07_bs(B552,95,$A552,1,100000000))/[1]!b_stm07_bs(B552,128,$A552,1,100000000),"")</f>
        <v/>
      </c>
      <c r="T552" s="11">
        <f>[1]!b_issuer_shareholder(B552,"",1)</f>
        <v>0</v>
      </c>
      <c r="U552" s="10">
        <f>[1]!b_issuer_propofshareholder(B552,"",1)</f>
        <v>0</v>
      </c>
      <c r="V552" s="33" t="str">
        <f t="shared" si="17"/>
        <v>0</v>
      </c>
      <c r="W552" s="33">
        <f>[1]!s_info_city(B552)</f>
        <v>0</v>
      </c>
      <c r="X552" s="10">
        <f>IF([1]!s_stmnote_bank_17n(B552,$A552,1)="0","",[1]!s_stmnote_bank_17n(B552,$A552,1))</f>
        <v>0</v>
      </c>
      <c r="Y552" s="10">
        <f>IF([1]!s_stmnote_bank_18n(B552,$A552,1)="0","",[1]!s_stmnote_bank_18n(B552,$A552,1))</f>
        <v>0</v>
      </c>
      <c r="Z552" s="41">
        <f>IF([1]!s_stmnote_bank_58(B552,$A552,1)="0","",[1]!s_stmnote_bank_58(B552,$A552,1))</f>
        <v>0</v>
      </c>
      <c r="AA552" s="52">
        <f>IF([1]!s_stmnote_bank_60(B552,$A552,1)="0","",[1]!s_stmnote_bank_60(B552,$A552,1))</f>
        <v>0</v>
      </c>
      <c r="AB552" s="52">
        <f>[1]!s_stmnote_bank_5444(B552,$A552,1)</f>
        <v>0</v>
      </c>
      <c r="AC552" s="38">
        <f>[1]!s_stmnote_bank_129n($B552,$A552,1)</f>
        <v>0</v>
      </c>
      <c r="AD552" s="54">
        <f>[1]!s_stmnote_bank_30(B552,$A552,1)</f>
        <v>0</v>
      </c>
    </row>
    <row r="553" spans="1:30" ht="24">
      <c r="A553" s="1" t="s">
        <v>1110</v>
      </c>
      <c r="B553" s="87" t="s">
        <v>1661</v>
      </c>
      <c r="C553" s="8">
        <f>IF([1]!b_info_issuer(B553)="0","",IFERROR([1]!b_info_issuer(B553),""))</f>
        <v>0</v>
      </c>
      <c r="D553" s="11">
        <f>IF([1]!b_info_latestissurercreditrating(B553)="0","",IFERROR([1]!b_info_latestissurercreditrating(B553),""))</f>
        <v>0</v>
      </c>
      <c r="E553" s="27" t="str">
        <f>IFERROR(([1]!b_stm07_bs($B553,47,$A553,1,100000000))/[1]!b_stm07_bs($B553,109,$A553,1,100000000),"")</f>
        <v/>
      </c>
      <c r="F553" s="18" t="str">
        <f>IFERROR(([1]!s_stmnote_bank_26($B553,$A553,1,100000000)-[1]!s_stmnote_bank_26($B553,#REF!,1,100000000)+#REF!)/[1]!s_stmnote_bank_1n($B553,#REF!,1,100000000),"")</f>
        <v/>
      </c>
      <c r="G553" s="21" t="str">
        <f t="shared" si="16"/>
        <v/>
      </c>
      <c r="H553" s="18" t="str">
        <f>IFERROR([1]!s_stmnote_bank($B553,"34",$A553,100000000)/[1]!s_stmnote_bank_1n(B553,$A553,1,100000000),"")</f>
        <v/>
      </c>
      <c r="I553" s="25">
        <f>[1]!b_stm07_bs(B553,74,$A553,1,100000000)</f>
        <v>0</v>
      </c>
      <c r="J553" s="25">
        <f>[1]!b_stm07_bs(B553,109,$A553,1,100000000)</f>
        <v>0</v>
      </c>
      <c r="K553" s="10">
        <f>[1]!s_stmnote_bank_5n(B553,$A553,1)</f>
        <v>0</v>
      </c>
      <c r="L553" s="25">
        <f>[1]!s_stmnote_bank_23n(B553,$A553,1)</f>
        <v>0</v>
      </c>
      <c r="M553" s="25">
        <f>[1]!s_stmnote_bank_capadequacyratio(B553,$A553,1)</f>
        <v>0</v>
      </c>
      <c r="N553" s="25">
        <f>[1]!s_stmnote_bank_capadequacyratio_ct1(B553,$A553,1)</f>
        <v>0</v>
      </c>
      <c r="O553" s="6">
        <f>IF(OR([1]!s_fa_roe(B553,20201231)="0",[1]!s_fa_roe(B553,20211231)="0",[1]!s_fa_roe(B553,20221231)="0"),"",IFERROR(([1]!s_fa_roe(B553,20221231)+[1]!s_fa_roe(B553,20201231)+[1]!s_fa_roe(B553,20211231))/3,""))</f>
        <v>0</v>
      </c>
      <c r="P553" s="28" t="str">
        <f>IFERROR(([1]!s_stmnote_bank_65(B553,$A553,1,2,4,100000000)+[1]!s_stmnote_bank_65(B553,$A553,1,2,6,100000000))/[1]!s_stmnote_bank_1n(B553,$A553,1,100000000),"")</f>
        <v/>
      </c>
      <c r="Q553" s="28" t="str">
        <f>IFERROR([1]!s_stmnote_bank_614(B553,$A553,1,2,100000000)/[1]!s_stmnote_bank_647(B553,$A553,1,2,100000000),"")</f>
        <v/>
      </c>
      <c r="R553" s="28" t="str">
        <f>IFERROR(([1]!b_stm07_bs(B553,104,$A553,1,100000000)+[1]!b_stm07_bs(B553,106,$A553,1,100000000)+[1]!b_stm07_bs(B553,76,$A553,1,100000000)+[1]!b_stm07_bs(B553,108,$A553,1,100000000)+[1]!b_stm07_bs(B553,95,$A553,1,100000000))/[1]!b_stm07_bs(B553,128,$A553,1,100000000),"")</f>
        <v/>
      </c>
      <c r="S553" s="28" t="str">
        <f>IFERROR(([1]!s_stmnote_bank_614(B553,$A553,1,2,100000000)+[1]!b_stm07_bs(B553,104,$A553,1,100000000)+[1]!b_stm07_bs(B553,106,$A553,1,100000000)+[1]!b_stm07_bs(B553,76,$A553,1,100000000)+[1]!b_stm07_bs(B553,108,$A553,1,100000000)+[1]!b_stm07_bs(B553,95,$A553,1,100000000))/[1]!b_stm07_bs(B553,128,$A553,1,100000000),"")</f>
        <v/>
      </c>
      <c r="T553" s="11">
        <f>[1]!b_issuer_shareholder(B553,"",1)</f>
        <v>0</v>
      </c>
      <c r="U553" s="10">
        <f>[1]!b_issuer_propofshareholder(B553,"",1)</f>
        <v>0</v>
      </c>
      <c r="V553" s="33" t="str">
        <f t="shared" si="17"/>
        <v>0</v>
      </c>
      <c r="W553" s="33">
        <f>[1]!s_info_city(B553)</f>
        <v>0</v>
      </c>
      <c r="X553" s="10">
        <f>IF([1]!s_stmnote_bank_17n(B553,$A553,1)="0","",[1]!s_stmnote_bank_17n(B553,$A553,1))</f>
        <v>0</v>
      </c>
      <c r="Y553" s="10">
        <f>IF([1]!s_stmnote_bank_18n(B553,$A553,1)="0","",[1]!s_stmnote_bank_18n(B553,$A553,1))</f>
        <v>0</v>
      </c>
      <c r="Z553" s="41">
        <f>IF([1]!s_stmnote_bank_58(B553,$A553,1)="0","",[1]!s_stmnote_bank_58(B553,$A553,1))</f>
        <v>0</v>
      </c>
      <c r="AA553" s="52">
        <f>IF([1]!s_stmnote_bank_60(B553,$A553,1)="0","",[1]!s_stmnote_bank_60(B553,$A553,1))</f>
        <v>0</v>
      </c>
      <c r="AB553" s="52">
        <f>[1]!s_stmnote_bank_5444(B553,$A553,1)</f>
        <v>0</v>
      </c>
      <c r="AC553" s="38">
        <f>[1]!s_stmnote_bank_129n($B553,$A553,1)</f>
        <v>0</v>
      </c>
      <c r="AD553" s="54">
        <f>[1]!s_stmnote_bank_30(B553,$A553,1)</f>
        <v>0</v>
      </c>
    </row>
    <row r="554" spans="1:30" ht="24">
      <c r="A554" s="1" t="s">
        <v>1110</v>
      </c>
      <c r="B554" s="87" t="s">
        <v>1662</v>
      </c>
      <c r="C554" s="8">
        <f>IF([1]!b_info_issuer(B554)="0","",IFERROR([1]!b_info_issuer(B554),""))</f>
        <v>0</v>
      </c>
      <c r="D554" s="11">
        <f>IF([1]!b_info_latestissurercreditrating(B554)="0","",IFERROR([1]!b_info_latestissurercreditrating(B554),""))</f>
        <v>0</v>
      </c>
      <c r="E554" s="27" t="str">
        <f>IFERROR(([1]!b_stm07_bs($B554,47,$A554,1,100000000))/[1]!b_stm07_bs($B554,109,$A554,1,100000000),"")</f>
        <v/>
      </c>
      <c r="F554" s="18" t="str">
        <f>IFERROR(([1]!s_stmnote_bank_26($B554,$A554,1,100000000)-[1]!s_stmnote_bank_26($B554,#REF!,1,100000000)+#REF!)/[1]!s_stmnote_bank_1n($B554,#REF!,1,100000000),"")</f>
        <v/>
      </c>
      <c r="G554" s="21" t="str">
        <f t="shared" si="16"/>
        <v/>
      </c>
      <c r="H554" s="18" t="str">
        <f>IFERROR([1]!s_stmnote_bank($B554,"34",$A554,100000000)/[1]!s_stmnote_bank_1n(B554,$A554,1,100000000),"")</f>
        <v/>
      </c>
      <c r="I554" s="25">
        <f>[1]!b_stm07_bs(B554,74,$A554,1,100000000)</f>
        <v>0</v>
      </c>
      <c r="J554" s="25">
        <f>[1]!b_stm07_bs(B554,109,$A554,1,100000000)</f>
        <v>0</v>
      </c>
      <c r="K554" s="10">
        <f>[1]!s_stmnote_bank_5n(B554,$A554,1)</f>
        <v>0</v>
      </c>
      <c r="L554" s="25">
        <f>[1]!s_stmnote_bank_23n(B554,$A554,1)</f>
        <v>0</v>
      </c>
      <c r="M554" s="25">
        <f>[1]!s_stmnote_bank_capadequacyratio(B554,$A554,1)</f>
        <v>0</v>
      </c>
      <c r="N554" s="25">
        <f>[1]!s_stmnote_bank_capadequacyratio_ct1(B554,$A554,1)</f>
        <v>0</v>
      </c>
      <c r="O554" s="6">
        <f>IF(OR([1]!s_fa_roe(B554,20201231)="0",[1]!s_fa_roe(B554,20211231)="0",[1]!s_fa_roe(B554,20221231)="0"),"",IFERROR(([1]!s_fa_roe(B554,20221231)+[1]!s_fa_roe(B554,20201231)+[1]!s_fa_roe(B554,20211231))/3,""))</f>
        <v>0</v>
      </c>
      <c r="P554" s="28" t="str">
        <f>IFERROR(([1]!s_stmnote_bank_65(B554,$A554,1,2,4,100000000)+[1]!s_stmnote_bank_65(B554,$A554,1,2,6,100000000))/[1]!s_stmnote_bank_1n(B554,$A554,1,100000000),"")</f>
        <v/>
      </c>
      <c r="Q554" s="28" t="str">
        <f>IFERROR([1]!s_stmnote_bank_614(B554,$A554,1,2,100000000)/[1]!s_stmnote_bank_647(B554,$A554,1,2,100000000),"")</f>
        <v/>
      </c>
      <c r="R554" s="28" t="str">
        <f>IFERROR(([1]!b_stm07_bs(B554,104,$A554,1,100000000)+[1]!b_stm07_bs(B554,106,$A554,1,100000000)+[1]!b_stm07_bs(B554,76,$A554,1,100000000)+[1]!b_stm07_bs(B554,108,$A554,1,100000000)+[1]!b_stm07_bs(B554,95,$A554,1,100000000))/[1]!b_stm07_bs(B554,128,$A554,1,100000000),"")</f>
        <v/>
      </c>
      <c r="S554" s="28" t="str">
        <f>IFERROR(([1]!s_stmnote_bank_614(B554,$A554,1,2,100000000)+[1]!b_stm07_bs(B554,104,$A554,1,100000000)+[1]!b_stm07_bs(B554,106,$A554,1,100000000)+[1]!b_stm07_bs(B554,76,$A554,1,100000000)+[1]!b_stm07_bs(B554,108,$A554,1,100000000)+[1]!b_stm07_bs(B554,95,$A554,1,100000000))/[1]!b_stm07_bs(B554,128,$A554,1,100000000),"")</f>
        <v/>
      </c>
      <c r="T554" s="11">
        <f>[1]!b_issuer_shareholder(B554,"",1)</f>
        <v>0</v>
      </c>
      <c r="U554" s="10">
        <f>[1]!b_issuer_propofshareholder(B554,"",1)</f>
        <v>0</v>
      </c>
      <c r="V554" s="33" t="str">
        <f t="shared" si="17"/>
        <v>0</v>
      </c>
      <c r="W554" s="33">
        <f>[1]!s_info_city(B554)</f>
        <v>0</v>
      </c>
      <c r="X554" s="10">
        <f>IF([1]!s_stmnote_bank_17n(B554,$A554,1)="0","",[1]!s_stmnote_bank_17n(B554,$A554,1))</f>
        <v>0</v>
      </c>
      <c r="Y554" s="10">
        <f>IF([1]!s_stmnote_bank_18n(B554,$A554,1)="0","",[1]!s_stmnote_bank_18n(B554,$A554,1))</f>
        <v>0</v>
      </c>
      <c r="Z554" s="41">
        <f>IF([1]!s_stmnote_bank_58(B554,$A554,1)="0","",[1]!s_stmnote_bank_58(B554,$A554,1))</f>
        <v>0</v>
      </c>
      <c r="AA554" s="52">
        <f>IF([1]!s_stmnote_bank_60(B554,$A554,1)="0","",[1]!s_stmnote_bank_60(B554,$A554,1))</f>
        <v>0</v>
      </c>
      <c r="AB554" s="52">
        <f>[1]!s_stmnote_bank_5444(B554,$A554,1)</f>
        <v>0</v>
      </c>
      <c r="AC554" s="38">
        <f>[1]!s_stmnote_bank_129n($B554,$A554,1)</f>
        <v>0</v>
      </c>
      <c r="AD554" s="54">
        <f>[1]!s_stmnote_bank_30(B554,$A554,1)</f>
        <v>0</v>
      </c>
    </row>
    <row r="555" spans="1:30" ht="24">
      <c r="A555" s="1" t="s">
        <v>1110</v>
      </c>
      <c r="B555" s="87" t="s">
        <v>1663</v>
      </c>
      <c r="C555" s="8">
        <f>IF([1]!b_info_issuer(B555)="0","",IFERROR([1]!b_info_issuer(B555),""))</f>
        <v>0</v>
      </c>
      <c r="D555" s="11">
        <f>IF([1]!b_info_latestissurercreditrating(B555)="0","",IFERROR([1]!b_info_latestissurercreditrating(B555),""))</f>
        <v>0</v>
      </c>
      <c r="E555" s="27" t="str">
        <f>IFERROR(([1]!b_stm07_bs($B555,47,$A555,1,100000000))/[1]!b_stm07_bs($B555,109,$A555,1,100000000),"")</f>
        <v/>
      </c>
      <c r="F555" s="18" t="str">
        <f>IFERROR(([1]!s_stmnote_bank_26($B555,$A555,1,100000000)-[1]!s_stmnote_bank_26($B555,#REF!,1,100000000)+#REF!)/[1]!s_stmnote_bank_1n($B555,#REF!,1,100000000),"")</f>
        <v/>
      </c>
      <c r="G555" s="21" t="str">
        <f t="shared" si="16"/>
        <v/>
      </c>
      <c r="H555" s="18" t="str">
        <f>IFERROR([1]!s_stmnote_bank($B555,"34",$A555,100000000)/[1]!s_stmnote_bank_1n(B555,$A555,1,100000000),"")</f>
        <v/>
      </c>
      <c r="I555" s="25">
        <f>[1]!b_stm07_bs(B555,74,$A555,1,100000000)</f>
        <v>0</v>
      </c>
      <c r="J555" s="25">
        <f>[1]!b_stm07_bs(B555,109,$A555,1,100000000)</f>
        <v>0</v>
      </c>
      <c r="K555" s="10">
        <f>[1]!s_stmnote_bank_5n(B555,$A555,1)</f>
        <v>0</v>
      </c>
      <c r="L555" s="25">
        <f>[1]!s_stmnote_bank_23n(B555,$A555,1)</f>
        <v>0</v>
      </c>
      <c r="M555" s="25">
        <f>[1]!s_stmnote_bank_capadequacyratio(B555,$A555,1)</f>
        <v>0</v>
      </c>
      <c r="N555" s="25">
        <f>[1]!s_stmnote_bank_capadequacyratio_ct1(B555,$A555,1)</f>
        <v>0</v>
      </c>
      <c r="O555" s="6">
        <f>IF(OR([1]!s_fa_roe(B555,20201231)="0",[1]!s_fa_roe(B555,20211231)="0",[1]!s_fa_roe(B555,20221231)="0"),"",IFERROR(([1]!s_fa_roe(B555,20221231)+[1]!s_fa_roe(B555,20201231)+[1]!s_fa_roe(B555,20211231))/3,""))</f>
        <v>0</v>
      </c>
      <c r="P555" s="28" t="str">
        <f>IFERROR(([1]!s_stmnote_bank_65(B555,$A555,1,2,4,100000000)+[1]!s_stmnote_bank_65(B555,$A555,1,2,6,100000000))/[1]!s_stmnote_bank_1n(B555,$A555,1,100000000),"")</f>
        <v/>
      </c>
      <c r="Q555" s="28" t="str">
        <f>IFERROR([1]!s_stmnote_bank_614(B555,$A555,1,2,100000000)/[1]!s_stmnote_bank_647(B555,$A555,1,2,100000000),"")</f>
        <v/>
      </c>
      <c r="R555" s="28" t="str">
        <f>IFERROR(([1]!b_stm07_bs(B555,104,$A555,1,100000000)+[1]!b_stm07_bs(B555,106,$A555,1,100000000)+[1]!b_stm07_bs(B555,76,$A555,1,100000000)+[1]!b_stm07_bs(B555,108,$A555,1,100000000)+[1]!b_stm07_bs(B555,95,$A555,1,100000000))/[1]!b_stm07_bs(B555,128,$A555,1,100000000),"")</f>
        <v/>
      </c>
      <c r="S555" s="28" t="str">
        <f>IFERROR(([1]!s_stmnote_bank_614(B555,$A555,1,2,100000000)+[1]!b_stm07_bs(B555,104,$A555,1,100000000)+[1]!b_stm07_bs(B555,106,$A555,1,100000000)+[1]!b_stm07_bs(B555,76,$A555,1,100000000)+[1]!b_stm07_bs(B555,108,$A555,1,100000000)+[1]!b_stm07_bs(B555,95,$A555,1,100000000))/[1]!b_stm07_bs(B555,128,$A555,1,100000000),"")</f>
        <v/>
      </c>
      <c r="T555" s="11">
        <f>[1]!b_issuer_shareholder(B555,"",1)</f>
        <v>0</v>
      </c>
      <c r="U555" s="10">
        <f>[1]!b_issuer_propofshareholder(B555,"",1)</f>
        <v>0</v>
      </c>
      <c r="V555" s="33" t="str">
        <f t="shared" si="17"/>
        <v>0</v>
      </c>
      <c r="W555" s="33">
        <f>[1]!s_info_city(B555)</f>
        <v>0</v>
      </c>
      <c r="X555" s="10">
        <f>IF([1]!s_stmnote_bank_17n(B555,$A555,1)="0","",[1]!s_stmnote_bank_17n(B555,$A555,1))</f>
        <v>0</v>
      </c>
      <c r="Y555" s="10">
        <f>IF([1]!s_stmnote_bank_18n(B555,$A555,1)="0","",[1]!s_stmnote_bank_18n(B555,$A555,1))</f>
        <v>0</v>
      </c>
      <c r="Z555" s="41">
        <f>IF([1]!s_stmnote_bank_58(B555,$A555,1)="0","",[1]!s_stmnote_bank_58(B555,$A555,1))</f>
        <v>0</v>
      </c>
      <c r="AA555" s="52">
        <f>IF([1]!s_stmnote_bank_60(B555,$A555,1)="0","",[1]!s_stmnote_bank_60(B555,$A555,1))</f>
        <v>0</v>
      </c>
      <c r="AB555" s="52">
        <f>[1]!s_stmnote_bank_5444(B555,$A555,1)</f>
        <v>0</v>
      </c>
      <c r="AC555" s="38">
        <f>[1]!s_stmnote_bank_129n($B555,$A555,1)</f>
        <v>0</v>
      </c>
      <c r="AD555" s="54">
        <f>[1]!s_stmnote_bank_30(B555,$A555,1)</f>
        <v>0</v>
      </c>
    </row>
    <row r="556" spans="1:30" ht="24">
      <c r="A556" s="1" t="s">
        <v>1110</v>
      </c>
      <c r="B556" s="87" t="s">
        <v>1664</v>
      </c>
      <c r="C556" s="8">
        <f>IF([1]!b_info_issuer(B556)="0","",IFERROR([1]!b_info_issuer(B556),""))</f>
        <v>0</v>
      </c>
      <c r="D556" s="11">
        <f>IF([1]!b_info_latestissurercreditrating(B556)="0","",IFERROR([1]!b_info_latestissurercreditrating(B556),""))</f>
        <v>0</v>
      </c>
      <c r="E556" s="27" t="str">
        <f>IFERROR(([1]!b_stm07_bs($B556,47,$A556,1,100000000))/[1]!b_stm07_bs($B556,109,$A556,1,100000000),"")</f>
        <v/>
      </c>
      <c r="F556" s="18" t="str">
        <f>IFERROR(([1]!s_stmnote_bank_26($B556,$A556,1,100000000)-[1]!s_stmnote_bank_26($B556,#REF!,1,100000000)+#REF!)/[1]!s_stmnote_bank_1n($B556,#REF!,1,100000000),"")</f>
        <v/>
      </c>
      <c r="G556" s="21" t="str">
        <f t="shared" si="16"/>
        <v/>
      </c>
      <c r="H556" s="18" t="str">
        <f>IFERROR([1]!s_stmnote_bank($B556,"34",$A556,100000000)/[1]!s_stmnote_bank_1n(B556,$A556,1,100000000),"")</f>
        <v/>
      </c>
      <c r="I556" s="25">
        <f>[1]!b_stm07_bs(B556,74,$A556,1,100000000)</f>
        <v>0</v>
      </c>
      <c r="J556" s="25">
        <f>[1]!b_stm07_bs(B556,109,$A556,1,100000000)</f>
        <v>0</v>
      </c>
      <c r="K556" s="10">
        <f>[1]!s_stmnote_bank_5n(B556,$A556,1)</f>
        <v>0</v>
      </c>
      <c r="L556" s="25">
        <f>[1]!s_stmnote_bank_23n(B556,$A556,1)</f>
        <v>0</v>
      </c>
      <c r="M556" s="25">
        <f>[1]!s_stmnote_bank_capadequacyratio(B556,$A556,1)</f>
        <v>0</v>
      </c>
      <c r="N556" s="25">
        <f>[1]!s_stmnote_bank_capadequacyratio_ct1(B556,$A556,1)</f>
        <v>0</v>
      </c>
      <c r="O556" s="6">
        <f>IF(OR([1]!s_fa_roe(B556,20201231)="0",[1]!s_fa_roe(B556,20211231)="0",[1]!s_fa_roe(B556,20221231)="0"),"",IFERROR(([1]!s_fa_roe(B556,20221231)+[1]!s_fa_roe(B556,20201231)+[1]!s_fa_roe(B556,20211231))/3,""))</f>
        <v>0</v>
      </c>
      <c r="P556" s="28" t="str">
        <f>IFERROR(([1]!s_stmnote_bank_65(B556,$A556,1,2,4,100000000)+[1]!s_stmnote_bank_65(B556,$A556,1,2,6,100000000))/[1]!s_stmnote_bank_1n(B556,$A556,1,100000000),"")</f>
        <v/>
      </c>
      <c r="Q556" s="28" t="str">
        <f>IFERROR([1]!s_stmnote_bank_614(B556,$A556,1,2,100000000)/[1]!s_stmnote_bank_647(B556,$A556,1,2,100000000),"")</f>
        <v/>
      </c>
      <c r="R556" s="28" t="str">
        <f>IFERROR(([1]!b_stm07_bs(B556,104,$A556,1,100000000)+[1]!b_stm07_bs(B556,106,$A556,1,100000000)+[1]!b_stm07_bs(B556,76,$A556,1,100000000)+[1]!b_stm07_bs(B556,108,$A556,1,100000000)+[1]!b_stm07_bs(B556,95,$A556,1,100000000))/[1]!b_stm07_bs(B556,128,$A556,1,100000000),"")</f>
        <v/>
      </c>
      <c r="S556" s="28" t="str">
        <f>IFERROR(([1]!s_stmnote_bank_614(B556,$A556,1,2,100000000)+[1]!b_stm07_bs(B556,104,$A556,1,100000000)+[1]!b_stm07_bs(B556,106,$A556,1,100000000)+[1]!b_stm07_bs(B556,76,$A556,1,100000000)+[1]!b_stm07_bs(B556,108,$A556,1,100000000)+[1]!b_stm07_bs(B556,95,$A556,1,100000000))/[1]!b_stm07_bs(B556,128,$A556,1,100000000),"")</f>
        <v/>
      </c>
      <c r="T556" s="11">
        <f>[1]!b_issuer_shareholder(B556,"",1)</f>
        <v>0</v>
      </c>
      <c r="U556" s="10">
        <f>[1]!b_issuer_propofshareholder(B556,"",1)</f>
        <v>0</v>
      </c>
      <c r="V556" s="33" t="str">
        <f t="shared" si="17"/>
        <v>0</v>
      </c>
      <c r="W556" s="33">
        <f>[1]!s_info_city(B556)</f>
        <v>0</v>
      </c>
      <c r="X556" s="10">
        <f>IF([1]!s_stmnote_bank_17n(B556,$A556,1)="0","",[1]!s_stmnote_bank_17n(B556,$A556,1))</f>
        <v>0</v>
      </c>
      <c r="Y556" s="10">
        <f>IF([1]!s_stmnote_bank_18n(B556,$A556,1)="0","",[1]!s_stmnote_bank_18n(B556,$A556,1))</f>
        <v>0</v>
      </c>
      <c r="Z556" s="41">
        <f>IF([1]!s_stmnote_bank_58(B556,$A556,1)="0","",[1]!s_stmnote_bank_58(B556,$A556,1))</f>
        <v>0</v>
      </c>
      <c r="AA556" s="52">
        <f>IF([1]!s_stmnote_bank_60(B556,$A556,1)="0","",[1]!s_stmnote_bank_60(B556,$A556,1))</f>
        <v>0</v>
      </c>
      <c r="AB556" s="52">
        <f>[1]!s_stmnote_bank_5444(B556,$A556,1)</f>
        <v>0</v>
      </c>
      <c r="AC556" s="38">
        <f>[1]!s_stmnote_bank_129n($B556,$A556,1)</f>
        <v>0</v>
      </c>
      <c r="AD556" s="54">
        <f>[1]!s_stmnote_bank_30(B556,$A556,1)</f>
        <v>0</v>
      </c>
    </row>
    <row r="557" spans="1:30" ht="24">
      <c r="A557" s="1" t="s">
        <v>1110</v>
      </c>
      <c r="B557" s="87" t="s">
        <v>1665</v>
      </c>
      <c r="C557" s="8">
        <f>IF([1]!b_info_issuer(B557)="0","",IFERROR([1]!b_info_issuer(B557),""))</f>
        <v>0</v>
      </c>
      <c r="D557" s="11">
        <f>IF([1]!b_info_latestissurercreditrating(B557)="0","",IFERROR([1]!b_info_latestissurercreditrating(B557),""))</f>
        <v>0</v>
      </c>
      <c r="E557" s="27" t="str">
        <f>IFERROR(([1]!b_stm07_bs($B557,47,$A557,1,100000000))/[1]!b_stm07_bs($B557,109,$A557,1,100000000),"")</f>
        <v/>
      </c>
      <c r="F557" s="18" t="str">
        <f>IFERROR(([1]!s_stmnote_bank_26($B557,$A557,1,100000000)-[1]!s_stmnote_bank_26($B557,#REF!,1,100000000)+#REF!)/[1]!s_stmnote_bank_1n($B557,#REF!,1,100000000),"")</f>
        <v/>
      </c>
      <c r="G557" s="21" t="str">
        <f t="shared" si="16"/>
        <v/>
      </c>
      <c r="H557" s="18" t="str">
        <f>IFERROR([1]!s_stmnote_bank($B557,"34",$A557,100000000)/[1]!s_stmnote_bank_1n(B557,$A557,1,100000000),"")</f>
        <v/>
      </c>
      <c r="I557" s="25">
        <f>[1]!b_stm07_bs(B557,74,$A557,1,100000000)</f>
        <v>0</v>
      </c>
      <c r="J557" s="25">
        <f>[1]!b_stm07_bs(B557,109,$A557,1,100000000)</f>
        <v>0</v>
      </c>
      <c r="K557" s="10">
        <f>[1]!s_stmnote_bank_5n(B557,$A557,1)</f>
        <v>0</v>
      </c>
      <c r="L557" s="25">
        <f>[1]!s_stmnote_bank_23n(B557,$A557,1)</f>
        <v>0</v>
      </c>
      <c r="M557" s="25">
        <f>[1]!s_stmnote_bank_capadequacyratio(B557,$A557,1)</f>
        <v>0</v>
      </c>
      <c r="N557" s="25">
        <f>[1]!s_stmnote_bank_capadequacyratio_ct1(B557,$A557,1)</f>
        <v>0</v>
      </c>
      <c r="O557" s="6">
        <f>IF(OR([1]!s_fa_roe(B557,20201231)="0",[1]!s_fa_roe(B557,20211231)="0",[1]!s_fa_roe(B557,20221231)="0"),"",IFERROR(([1]!s_fa_roe(B557,20221231)+[1]!s_fa_roe(B557,20201231)+[1]!s_fa_roe(B557,20211231))/3,""))</f>
        <v>0</v>
      </c>
      <c r="P557" s="28" t="str">
        <f>IFERROR(([1]!s_stmnote_bank_65(B557,$A557,1,2,4,100000000)+[1]!s_stmnote_bank_65(B557,$A557,1,2,6,100000000))/[1]!s_stmnote_bank_1n(B557,$A557,1,100000000),"")</f>
        <v/>
      </c>
      <c r="Q557" s="28" t="str">
        <f>IFERROR([1]!s_stmnote_bank_614(B557,$A557,1,2,100000000)/[1]!s_stmnote_bank_647(B557,$A557,1,2,100000000),"")</f>
        <v/>
      </c>
      <c r="R557" s="28" t="str">
        <f>IFERROR(([1]!b_stm07_bs(B557,104,$A557,1,100000000)+[1]!b_stm07_bs(B557,106,$A557,1,100000000)+[1]!b_stm07_bs(B557,76,$A557,1,100000000)+[1]!b_stm07_bs(B557,108,$A557,1,100000000)+[1]!b_stm07_bs(B557,95,$A557,1,100000000))/[1]!b_stm07_bs(B557,128,$A557,1,100000000),"")</f>
        <v/>
      </c>
      <c r="S557" s="28" t="str">
        <f>IFERROR(([1]!s_stmnote_bank_614(B557,$A557,1,2,100000000)+[1]!b_stm07_bs(B557,104,$A557,1,100000000)+[1]!b_stm07_bs(B557,106,$A557,1,100000000)+[1]!b_stm07_bs(B557,76,$A557,1,100000000)+[1]!b_stm07_bs(B557,108,$A557,1,100000000)+[1]!b_stm07_bs(B557,95,$A557,1,100000000))/[1]!b_stm07_bs(B557,128,$A557,1,100000000),"")</f>
        <v/>
      </c>
      <c r="T557" s="11">
        <f>[1]!b_issuer_shareholder(B557,"",1)</f>
        <v>0</v>
      </c>
      <c r="U557" s="10">
        <f>[1]!b_issuer_propofshareholder(B557,"",1)</f>
        <v>0</v>
      </c>
      <c r="V557" s="33" t="str">
        <f t="shared" si="17"/>
        <v>0</v>
      </c>
      <c r="W557" s="33">
        <f>[1]!s_info_city(B557)</f>
        <v>0</v>
      </c>
      <c r="X557" s="10">
        <f>IF([1]!s_stmnote_bank_17n(B557,$A557,1)="0","",[1]!s_stmnote_bank_17n(B557,$A557,1))</f>
        <v>0</v>
      </c>
      <c r="Y557" s="10">
        <f>IF([1]!s_stmnote_bank_18n(B557,$A557,1)="0","",[1]!s_stmnote_bank_18n(B557,$A557,1))</f>
        <v>0</v>
      </c>
      <c r="Z557" s="41">
        <f>IF([1]!s_stmnote_bank_58(B557,$A557,1)="0","",[1]!s_stmnote_bank_58(B557,$A557,1))</f>
        <v>0</v>
      </c>
      <c r="AA557" s="52">
        <f>IF([1]!s_stmnote_bank_60(B557,$A557,1)="0","",[1]!s_stmnote_bank_60(B557,$A557,1))</f>
        <v>0</v>
      </c>
      <c r="AB557" s="52">
        <f>[1]!s_stmnote_bank_5444(B557,$A557,1)</f>
        <v>0</v>
      </c>
      <c r="AC557" s="38">
        <f>[1]!s_stmnote_bank_129n($B557,$A557,1)</f>
        <v>0</v>
      </c>
      <c r="AD557" s="54">
        <f>[1]!s_stmnote_bank_30(B557,$A557,1)</f>
        <v>0</v>
      </c>
    </row>
    <row r="558" spans="1:30" ht="24">
      <c r="A558" s="1" t="s">
        <v>1110</v>
      </c>
      <c r="B558" s="87" t="s">
        <v>1666</v>
      </c>
      <c r="C558" s="8">
        <f>IF([1]!b_info_issuer(B558)="0","",IFERROR([1]!b_info_issuer(B558),""))</f>
        <v>0</v>
      </c>
      <c r="D558" s="11">
        <f>IF([1]!b_info_latestissurercreditrating(B558)="0","",IFERROR([1]!b_info_latestissurercreditrating(B558),""))</f>
        <v>0</v>
      </c>
      <c r="E558" s="27" t="str">
        <f>IFERROR(([1]!b_stm07_bs($B558,47,$A558,1,100000000))/[1]!b_stm07_bs($B558,109,$A558,1,100000000),"")</f>
        <v/>
      </c>
      <c r="F558" s="18" t="str">
        <f>IFERROR(([1]!s_stmnote_bank_26($B558,$A558,1,100000000)-[1]!s_stmnote_bank_26($B558,#REF!,1,100000000)+#REF!)/[1]!s_stmnote_bank_1n($B558,#REF!,1,100000000),"")</f>
        <v/>
      </c>
      <c r="G558" s="21" t="str">
        <f t="shared" si="16"/>
        <v/>
      </c>
      <c r="H558" s="18" t="str">
        <f>IFERROR([1]!s_stmnote_bank($B558,"34",$A558,100000000)/[1]!s_stmnote_bank_1n(B558,$A558,1,100000000),"")</f>
        <v/>
      </c>
      <c r="I558" s="25">
        <f>[1]!b_stm07_bs(B558,74,$A558,1,100000000)</f>
        <v>0</v>
      </c>
      <c r="J558" s="25">
        <f>[1]!b_stm07_bs(B558,109,$A558,1,100000000)</f>
        <v>0</v>
      </c>
      <c r="K558" s="10">
        <f>[1]!s_stmnote_bank_5n(B558,$A558,1)</f>
        <v>0</v>
      </c>
      <c r="L558" s="25">
        <f>[1]!s_stmnote_bank_23n(B558,$A558,1)</f>
        <v>0</v>
      </c>
      <c r="M558" s="25">
        <f>[1]!s_stmnote_bank_capadequacyratio(B558,$A558,1)</f>
        <v>0</v>
      </c>
      <c r="N558" s="25">
        <f>[1]!s_stmnote_bank_capadequacyratio_ct1(B558,$A558,1)</f>
        <v>0</v>
      </c>
      <c r="O558" s="6">
        <f>IF(OR([1]!s_fa_roe(B558,20201231)="0",[1]!s_fa_roe(B558,20211231)="0",[1]!s_fa_roe(B558,20221231)="0"),"",IFERROR(([1]!s_fa_roe(B558,20221231)+[1]!s_fa_roe(B558,20201231)+[1]!s_fa_roe(B558,20211231))/3,""))</f>
        <v>0</v>
      </c>
      <c r="P558" s="28" t="str">
        <f>IFERROR(([1]!s_stmnote_bank_65(B558,$A558,1,2,4,100000000)+[1]!s_stmnote_bank_65(B558,$A558,1,2,6,100000000))/[1]!s_stmnote_bank_1n(B558,$A558,1,100000000),"")</f>
        <v/>
      </c>
      <c r="Q558" s="28" t="str">
        <f>IFERROR([1]!s_stmnote_bank_614(B558,$A558,1,2,100000000)/[1]!s_stmnote_bank_647(B558,$A558,1,2,100000000),"")</f>
        <v/>
      </c>
      <c r="R558" s="28" t="str">
        <f>IFERROR(([1]!b_stm07_bs(B558,104,$A558,1,100000000)+[1]!b_stm07_bs(B558,106,$A558,1,100000000)+[1]!b_stm07_bs(B558,76,$A558,1,100000000)+[1]!b_stm07_bs(B558,108,$A558,1,100000000)+[1]!b_stm07_bs(B558,95,$A558,1,100000000))/[1]!b_stm07_bs(B558,128,$A558,1,100000000),"")</f>
        <v/>
      </c>
      <c r="S558" s="28" t="str">
        <f>IFERROR(([1]!s_stmnote_bank_614(B558,$A558,1,2,100000000)+[1]!b_stm07_bs(B558,104,$A558,1,100000000)+[1]!b_stm07_bs(B558,106,$A558,1,100000000)+[1]!b_stm07_bs(B558,76,$A558,1,100000000)+[1]!b_stm07_bs(B558,108,$A558,1,100000000)+[1]!b_stm07_bs(B558,95,$A558,1,100000000))/[1]!b_stm07_bs(B558,128,$A558,1,100000000),"")</f>
        <v/>
      </c>
      <c r="T558" s="11">
        <f>[1]!b_issuer_shareholder(B558,"",1)</f>
        <v>0</v>
      </c>
      <c r="U558" s="10">
        <f>[1]!b_issuer_propofshareholder(B558,"",1)</f>
        <v>0</v>
      </c>
      <c r="V558" s="33" t="str">
        <f t="shared" si="17"/>
        <v>0</v>
      </c>
      <c r="W558" s="33">
        <f>[1]!s_info_city(B558)</f>
        <v>0</v>
      </c>
      <c r="X558" s="10">
        <f>IF([1]!s_stmnote_bank_17n(B558,$A558,1)="0","",[1]!s_stmnote_bank_17n(B558,$A558,1))</f>
        <v>0</v>
      </c>
      <c r="Y558" s="10">
        <f>IF([1]!s_stmnote_bank_18n(B558,$A558,1)="0","",[1]!s_stmnote_bank_18n(B558,$A558,1))</f>
        <v>0</v>
      </c>
      <c r="Z558" s="41">
        <f>IF([1]!s_stmnote_bank_58(B558,$A558,1)="0","",[1]!s_stmnote_bank_58(B558,$A558,1))</f>
        <v>0</v>
      </c>
      <c r="AA558" s="52">
        <f>IF([1]!s_stmnote_bank_60(B558,$A558,1)="0","",[1]!s_stmnote_bank_60(B558,$A558,1))</f>
        <v>0</v>
      </c>
      <c r="AB558" s="52">
        <f>[1]!s_stmnote_bank_5444(B558,$A558,1)</f>
        <v>0</v>
      </c>
      <c r="AC558" s="38">
        <f>[1]!s_stmnote_bank_129n($B558,$A558,1)</f>
        <v>0</v>
      </c>
      <c r="AD558" s="54">
        <f>[1]!s_stmnote_bank_30(B558,$A558,1)</f>
        <v>0</v>
      </c>
    </row>
    <row r="559" spans="1:30" ht="24">
      <c r="A559" s="1" t="s">
        <v>1110</v>
      </c>
      <c r="B559" s="87" t="s">
        <v>1667</v>
      </c>
      <c r="C559" s="8">
        <f>IF([1]!b_info_issuer(B559)="0","",IFERROR([1]!b_info_issuer(B559),""))</f>
        <v>0</v>
      </c>
      <c r="D559" s="11">
        <f>IF([1]!b_info_latestissurercreditrating(B559)="0","",IFERROR([1]!b_info_latestissurercreditrating(B559),""))</f>
        <v>0</v>
      </c>
      <c r="E559" s="27" t="str">
        <f>IFERROR(([1]!b_stm07_bs($B559,47,$A559,1,100000000))/[1]!b_stm07_bs($B559,109,$A559,1,100000000),"")</f>
        <v/>
      </c>
      <c r="F559" s="18" t="str">
        <f>IFERROR(([1]!s_stmnote_bank_26($B559,$A559,1,100000000)-[1]!s_stmnote_bank_26($B559,#REF!,1,100000000)+#REF!)/[1]!s_stmnote_bank_1n($B559,#REF!,1,100000000),"")</f>
        <v/>
      </c>
      <c r="G559" s="21" t="str">
        <f t="shared" si="16"/>
        <v/>
      </c>
      <c r="H559" s="18" t="str">
        <f>IFERROR([1]!s_stmnote_bank($B559,"34",$A559,100000000)/[1]!s_stmnote_bank_1n(B559,$A559,1,100000000),"")</f>
        <v/>
      </c>
      <c r="I559" s="25">
        <f>[1]!b_stm07_bs(B559,74,$A559,1,100000000)</f>
        <v>0</v>
      </c>
      <c r="J559" s="25">
        <f>[1]!b_stm07_bs(B559,109,$A559,1,100000000)</f>
        <v>0</v>
      </c>
      <c r="K559" s="10">
        <f>[1]!s_stmnote_bank_5n(B559,$A559,1)</f>
        <v>0</v>
      </c>
      <c r="L559" s="25">
        <f>[1]!s_stmnote_bank_23n(B559,$A559,1)</f>
        <v>0</v>
      </c>
      <c r="M559" s="25">
        <f>[1]!s_stmnote_bank_capadequacyratio(B559,$A559,1)</f>
        <v>0</v>
      </c>
      <c r="N559" s="25">
        <f>[1]!s_stmnote_bank_capadequacyratio_ct1(B559,$A559,1)</f>
        <v>0</v>
      </c>
      <c r="O559" s="6">
        <f>IF(OR([1]!s_fa_roe(B559,20201231)="0",[1]!s_fa_roe(B559,20211231)="0",[1]!s_fa_roe(B559,20221231)="0"),"",IFERROR(([1]!s_fa_roe(B559,20221231)+[1]!s_fa_roe(B559,20201231)+[1]!s_fa_roe(B559,20211231))/3,""))</f>
        <v>0</v>
      </c>
      <c r="P559" s="28" t="str">
        <f>IFERROR(([1]!s_stmnote_bank_65(B559,$A559,1,2,4,100000000)+[1]!s_stmnote_bank_65(B559,$A559,1,2,6,100000000))/[1]!s_stmnote_bank_1n(B559,$A559,1,100000000),"")</f>
        <v/>
      </c>
      <c r="Q559" s="28" t="str">
        <f>IFERROR([1]!s_stmnote_bank_614(B559,$A559,1,2,100000000)/[1]!s_stmnote_bank_647(B559,$A559,1,2,100000000),"")</f>
        <v/>
      </c>
      <c r="R559" s="28" t="str">
        <f>IFERROR(([1]!b_stm07_bs(B559,104,$A559,1,100000000)+[1]!b_stm07_bs(B559,106,$A559,1,100000000)+[1]!b_stm07_bs(B559,76,$A559,1,100000000)+[1]!b_stm07_bs(B559,108,$A559,1,100000000)+[1]!b_stm07_bs(B559,95,$A559,1,100000000))/[1]!b_stm07_bs(B559,128,$A559,1,100000000),"")</f>
        <v/>
      </c>
      <c r="S559" s="28" t="str">
        <f>IFERROR(([1]!s_stmnote_bank_614(B559,$A559,1,2,100000000)+[1]!b_stm07_bs(B559,104,$A559,1,100000000)+[1]!b_stm07_bs(B559,106,$A559,1,100000000)+[1]!b_stm07_bs(B559,76,$A559,1,100000000)+[1]!b_stm07_bs(B559,108,$A559,1,100000000)+[1]!b_stm07_bs(B559,95,$A559,1,100000000))/[1]!b_stm07_bs(B559,128,$A559,1,100000000),"")</f>
        <v/>
      </c>
      <c r="T559" s="11">
        <f>[1]!b_issuer_shareholder(B559,"",1)</f>
        <v>0</v>
      </c>
      <c r="U559" s="10">
        <f>[1]!b_issuer_propofshareholder(B559,"",1)</f>
        <v>0</v>
      </c>
      <c r="V559" s="33" t="str">
        <f t="shared" si="17"/>
        <v>0</v>
      </c>
      <c r="W559" s="33">
        <f>[1]!s_info_city(B559)</f>
        <v>0</v>
      </c>
      <c r="X559" s="10">
        <f>IF([1]!s_stmnote_bank_17n(B559,$A559,1)="0","",[1]!s_stmnote_bank_17n(B559,$A559,1))</f>
        <v>0</v>
      </c>
      <c r="Y559" s="10">
        <f>IF([1]!s_stmnote_bank_18n(B559,$A559,1)="0","",[1]!s_stmnote_bank_18n(B559,$A559,1))</f>
        <v>0</v>
      </c>
      <c r="Z559" s="41">
        <f>IF([1]!s_stmnote_bank_58(B559,$A559,1)="0","",[1]!s_stmnote_bank_58(B559,$A559,1))</f>
        <v>0</v>
      </c>
      <c r="AA559" s="52">
        <f>IF([1]!s_stmnote_bank_60(B559,$A559,1)="0","",[1]!s_stmnote_bank_60(B559,$A559,1))</f>
        <v>0</v>
      </c>
      <c r="AB559" s="52">
        <f>[1]!s_stmnote_bank_5444(B559,$A559,1)</f>
        <v>0</v>
      </c>
      <c r="AC559" s="38">
        <f>[1]!s_stmnote_bank_129n($B559,$A559,1)</f>
        <v>0</v>
      </c>
      <c r="AD559" s="54">
        <f>[1]!s_stmnote_bank_30(B559,$A559,1)</f>
        <v>0</v>
      </c>
    </row>
    <row r="560" spans="1:30" ht="24">
      <c r="A560" s="1" t="s">
        <v>1110</v>
      </c>
      <c r="B560" s="87" t="s">
        <v>1668</v>
      </c>
      <c r="C560" s="8">
        <f>IF([1]!b_info_issuer(B560)="0","",IFERROR([1]!b_info_issuer(B560),""))</f>
        <v>0</v>
      </c>
      <c r="D560" s="11">
        <f>IF([1]!b_info_latestissurercreditrating(B560)="0","",IFERROR([1]!b_info_latestissurercreditrating(B560),""))</f>
        <v>0</v>
      </c>
      <c r="E560" s="27" t="str">
        <f>IFERROR(([1]!b_stm07_bs($B560,47,$A560,1,100000000))/[1]!b_stm07_bs($B560,109,$A560,1,100000000),"")</f>
        <v/>
      </c>
      <c r="F560" s="18" t="str">
        <f>IFERROR(([1]!s_stmnote_bank_26($B560,$A560,1,100000000)-[1]!s_stmnote_bank_26($B560,#REF!,1,100000000)+#REF!)/[1]!s_stmnote_bank_1n($B560,#REF!,1,100000000),"")</f>
        <v/>
      </c>
      <c r="G560" s="21" t="str">
        <f t="shared" si="16"/>
        <v/>
      </c>
      <c r="H560" s="18" t="str">
        <f>IFERROR([1]!s_stmnote_bank($B560,"34",$A560,100000000)/[1]!s_stmnote_bank_1n(B560,$A560,1,100000000),"")</f>
        <v/>
      </c>
      <c r="I560" s="25">
        <f>[1]!b_stm07_bs(B560,74,$A560,1,100000000)</f>
        <v>0</v>
      </c>
      <c r="J560" s="25">
        <f>[1]!b_stm07_bs(B560,109,$A560,1,100000000)</f>
        <v>0</v>
      </c>
      <c r="K560" s="10">
        <f>[1]!s_stmnote_bank_5n(B560,$A560,1)</f>
        <v>0</v>
      </c>
      <c r="L560" s="25">
        <f>[1]!s_stmnote_bank_23n(B560,$A560,1)</f>
        <v>0</v>
      </c>
      <c r="M560" s="25">
        <f>[1]!s_stmnote_bank_capadequacyratio(B560,$A560,1)</f>
        <v>0</v>
      </c>
      <c r="N560" s="25">
        <f>[1]!s_stmnote_bank_capadequacyratio_ct1(B560,$A560,1)</f>
        <v>0</v>
      </c>
      <c r="O560" s="6">
        <f>IF(OR([1]!s_fa_roe(B560,20201231)="0",[1]!s_fa_roe(B560,20211231)="0",[1]!s_fa_roe(B560,20221231)="0"),"",IFERROR(([1]!s_fa_roe(B560,20221231)+[1]!s_fa_roe(B560,20201231)+[1]!s_fa_roe(B560,20211231))/3,""))</f>
        <v>0</v>
      </c>
      <c r="P560" s="28" t="str">
        <f>IFERROR(([1]!s_stmnote_bank_65(B560,$A560,1,2,4,100000000)+[1]!s_stmnote_bank_65(B560,$A560,1,2,6,100000000))/[1]!s_stmnote_bank_1n(B560,$A560,1,100000000),"")</f>
        <v/>
      </c>
      <c r="Q560" s="28" t="str">
        <f>IFERROR([1]!s_stmnote_bank_614(B560,$A560,1,2,100000000)/[1]!s_stmnote_bank_647(B560,$A560,1,2,100000000),"")</f>
        <v/>
      </c>
      <c r="R560" s="28" t="str">
        <f>IFERROR(([1]!b_stm07_bs(B560,104,$A560,1,100000000)+[1]!b_stm07_bs(B560,106,$A560,1,100000000)+[1]!b_stm07_bs(B560,76,$A560,1,100000000)+[1]!b_stm07_bs(B560,108,$A560,1,100000000)+[1]!b_stm07_bs(B560,95,$A560,1,100000000))/[1]!b_stm07_bs(B560,128,$A560,1,100000000),"")</f>
        <v/>
      </c>
      <c r="S560" s="28" t="str">
        <f>IFERROR(([1]!s_stmnote_bank_614(B560,$A560,1,2,100000000)+[1]!b_stm07_bs(B560,104,$A560,1,100000000)+[1]!b_stm07_bs(B560,106,$A560,1,100000000)+[1]!b_stm07_bs(B560,76,$A560,1,100000000)+[1]!b_stm07_bs(B560,108,$A560,1,100000000)+[1]!b_stm07_bs(B560,95,$A560,1,100000000))/[1]!b_stm07_bs(B560,128,$A560,1,100000000),"")</f>
        <v/>
      </c>
      <c r="T560" s="11">
        <f>[1]!b_issuer_shareholder(B560,"",1)</f>
        <v>0</v>
      </c>
      <c r="U560" s="10">
        <f>[1]!b_issuer_propofshareholder(B560,"",1)</f>
        <v>0</v>
      </c>
      <c r="V560" s="33" t="str">
        <f t="shared" si="17"/>
        <v>0</v>
      </c>
      <c r="W560" s="33">
        <f>[1]!s_info_city(B560)</f>
        <v>0</v>
      </c>
      <c r="X560" s="10">
        <f>IF([1]!s_stmnote_bank_17n(B560,$A560,1)="0","",[1]!s_stmnote_bank_17n(B560,$A560,1))</f>
        <v>0</v>
      </c>
      <c r="Y560" s="10">
        <f>IF([1]!s_stmnote_bank_18n(B560,$A560,1)="0","",[1]!s_stmnote_bank_18n(B560,$A560,1))</f>
        <v>0</v>
      </c>
      <c r="Z560" s="41">
        <f>IF([1]!s_stmnote_bank_58(B560,$A560,1)="0","",[1]!s_stmnote_bank_58(B560,$A560,1))</f>
        <v>0</v>
      </c>
      <c r="AA560" s="52">
        <f>IF([1]!s_stmnote_bank_60(B560,$A560,1)="0","",[1]!s_stmnote_bank_60(B560,$A560,1))</f>
        <v>0</v>
      </c>
      <c r="AB560" s="52">
        <f>[1]!s_stmnote_bank_5444(B560,$A560,1)</f>
        <v>0</v>
      </c>
      <c r="AC560" s="38">
        <f>[1]!s_stmnote_bank_129n($B560,$A560,1)</f>
        <v>0</v>
      </c>
      <c r="AD560" s="54">
        <f>[1]!s_stmnote_bank_30(B560,$A560,1)</f>
        <v>0</v>
      </c>
    </row>
    <row r="561" spans="1:30" ht="24">
      <c r="A561" s="1" t="s">
        <v>1110</v>
      </c>
      <c r="B561" s="87" t="s">
        <v>1669</v>
      </c>
      <c r="C561" s="8">
        <f>IF([1]!b_info_issuer(B561)="0","",IFERROR([1]!b_info_issuer(B561),""))</f>
        <v>0</v>
      </c>
      <c r="D561" s="11">
        <f>IF([1]!b_info_latestissurercreditrating(B561)="0","",IFERROR([1]!b_info_latestissurercreditrating(B561),""))</f>
        <v>0</v>
      </c>
      <c r="E561" s="27" t="str">
        <f>IFERROR(([1]!b_stm07_bs($B561,47,$A561,1,100000000))/[1]!b_stm07_bs($B561,109,$A561,1,100000000),"")</f>
        <v/>
      </c>
      <c r="F561" s="18" t="str">
        <f>IFERROR(([1]!s_stmnote_bank_26($B561,$A561,1,100000000)-[1]!s_stmnote_bank_26($B561,#REF!,1,100000000)+#REF!)/[1]!s_stmnote_bank_1n($B561,#REF!,1,100000000),"")</f>
        <v/>
      </c>
      <c r="G561" s="21" t="str">
        <f t="shared" si="16"/>
        <v/>
      </c>
      <c r="H561" s="18" t="str">
        <f>IFERROR([1]!s_stmnote_bank($B561,"34",$A561,100000000)/[1]!s_stmnote_bank_1n(B561,$A561,1,100000000),"")</f>
        <v/>
      </c>
      <c r="I561" s="25">
        <f>[1]!b_stm07_bs(B561,74,$A561,1,100000000)</f>
        <v>0</v>
      </c>
      <c r="J561" s="25">
        <f>[1]!b_stm07_bs(B561,109,$A561,1,100000000)</f>
        <v>0</v>
      </c>
      <c r="K561" s="10">
        <f>[1]!s_stmnote_bank_5n(B561,$A561,1)</f>
        <v>0</v>
      </c>
      <c r="L561" s="25">
        <f>[1]!s_stmnote_bank_23n(B561,$A561,1)</f>
        <v>0</v>
      </c>
      <c r="M561" s="25">
        <f>[1]!s_stmnote_bank_capadequacyratio(B561,$A561,1)</f>
        <v>0</v>
      </c>
      <c r="N561" s="25">
        <f>[1]!s_stmnote_bank_capadequacyratio_ct1(B561,$A561,1)</f>
        <v>0</v>
      </c>
      <c r="O561" s="6">
        <f>IF(OR([1]!s_fa_roe(B561,20201231)="0",[1]!s_fa_roe(B561,20211231)="0",[1]!s_fa_roe(B561,20221231)="0"),"",IFERROR(([1]!s_fa_roe(B561,20221231)+[1]!s_fa_roe(B561,20201231)+[1]!s_fa_roe(B561,20211231))/3,""))</f>
        <v>0</v>
      </c>
      <c r="P561" s="28" t="str">
        <f>IFERROR(([1]!s_stmnote_bank_65(B561,$A561,1,2,4,100000000)+[1]!s_stmnote_bank_65(B561,$A561,1,2,6,100000000))/[1]!s_stmnote_bank_1n(B561,$A561,1,100000000),"")</f>
        <v/>
      </c>
      <c r="Q561" s="28" t="str">
        <f>IFERROR([1]!s_stmnote_bank_614(B561,$A561,1,2,100000000)/[1]!s_stmnote_bank_647(B561,$A561,1,2,100000000),"")</f>
        <v/>
      </c>
      <c r="R561" s="28" t="str">
        <f>IFERROR(([1]!b_stm07_bs(B561,104,$A561,1,100000000)+[1]!b_stm07_bs(B561,106,$A561,1,100000000)+[1]!b_stm07_bs(B561,76,$A561,1,100000000)+[1]!b_stm07_bs(B561,108,$A561,1,100000000)+[1]!b_stm07_bs(B561,95,$A561,1,100000000))/[1]!b_stm07_bs(B561,128,$A561,1,100000000),"")</f>
        <v/>
      </c>
      <c r="S561" s="28" t="str">
        <f>IFERROR(([1]!s_stmnote_bank_614(B561,$A561,1,2,100000000)+[1]!b_stm07_bs(B561,104,$A561,1,100000000)+[1]!b_stm07_bs(B561,106,$A561,1,100000000)+[1]!b_stm07_bs(B561,76,$A561,1,100000000)+[1]!b_stm07_bs(B561,108,$A561,1,100000000)+[1]!b_stm07_bs(B561,95,$A561,1,100000000))/[1]!b_stm07_bs(B561,128,$A561,1,100000000),"")</f>
        <v/>
      </c>
      <c r="T561" s="11">
        <f>[1]!b_issuer_shareholder(B561,"",1)</f>
        <v>0</v>
      </c>
      <c r="U561" s="10">
        <f>[1]!b_issuer_propofshareholder(B561,"",1)</f>
        <v>0</v>
      </c>
      <c r="V561" s="33" t="str">
        <f t="shared" si="17"/>
        <v>0</v>
      </c>
      <c r="W561" s="33">
        <f>[1]!s_info_city(B561)</f>
        <v>0</v>
      </c>
      <c r="X561" s="10">
        <f>IF([1]!s_stmnote_bank_17n(B561,$A561,1)="0","",[1]!s_stmnote_bank_17n(B561,$A561,1))</f>
        <v>0</v>
      </c>
      <c r="Y561" s="10">
        <f>IF([1]!s_stmnote_bank_18n(B561,$A561,1)="0","",[1]!s_stmnote_bank_18n(B561,$A561,1))</f>
        <v>0</v>
      </c>
      <c r="Z561" s="41">
        <f>IF([1]!s_stmnote_bank_58(B561,$A561,1)="0","",[1]!s_stmnote_bank_58(B561,$A561,1))</f>
        <v>0</v>
      </c>
      <c r="AA561" s="52">
        <f>IF([1]!s_stmnote_bank_60(B561,$A561,1)="0","",[1]!s_stmnote_bank_60(B561,$A561,1))</f>
        <v>0</v>
      </c>
      <c r="AB561" s="52">
        <f>[1]!s_stmnote_bank_5444(B561,$A561,1)</f>
        <v>0</v>
      </c>
      <c r="AC561" s="38">
        <f>[1]!s_stmnote_bank_129n($B561,$A561,1)</f>
        <v>0</v>
      </c>
      <c r="AD561" s="54">
        <f>[1]!s_stmnote_bank_30(B561,$A561,1)</f>
        <v>0</v>
      </c>
    </row>
    <row r="562" spans="1:30" ht="24">
      <c r="A562" s="1" t="s">
        <v>1110</v>
      </c>
      <c r="B562" s="87" t="s">
        <v>1670</v>
      </c>
      <c r="C562" s="8">
        <f>IF([1]!b_info_issuer(B562)="0","",IFERROR([1]!b_info_issuer(B562),""))</f>
        <v>0</v>
      </c>
      <c r="D562" s="11">
        <f>IF([1]!b_info_latestissurercreditrating(B562)="0","",IFERROR([1]!b_info_latestissurercreditrating(B562),""))</f>
        <v>0</v>
      </c>
      <c r="E562" s="27" t="str">
        <f>IFERROR(([1]!b_stm07_bs($B562,47,$A562,1,100000000))/[1]!b_stm07_bs($B562,109,$A562,1,100000000),"")</f>
        <v/>
      </c>
      <c r="F562" s="18" t="str">
        <f>IFERROR(([1]!s_stmnote_bank_26($B562,$A562,1,100000000)-[1]!s_stmnote_bank_26($B562,#REF!,1,100000000)+#REF!)/[1]!s_stmnote_bank_1n($B562,#REF!,1,100000000),"")</f>
        <v/>
      </c>
      <c r="G562" s="21" t="str">
        <f t="shared" si="16"/>
        <v/>
      </c>
      <c r="H562" s="18" t="str">
        <f>IFERROR([1]!s_stmnote_bank($B562,"34",$A562,100000000)/[1]!s_stmnote_bank_1n(B562,$A562,1,100000000),"")</f>
        <v/>
      </c>
      <c r="I562" s="25">
        <f>[1]!b_stm07_bs(B562,74,$A562,1,100000000)</f>
        <v>0</v>
      </c>
      <c r="J562" s="25">
        <f>[1]!b_stm07_bs(B562,109,$A562,1,100000000)</f>
        <v>0</v>
      </c>
      <c r="K562" s="10">
        <f>[1]!s_stmnote_bank_5n(B562,$A562,1)</f>
        <v>0</v>
      </c>
      <c r="L562" s="25">
        <f>[1]!s_stmnote_bank_23n(B562,$A562,1)</f>
        <v>0</v>
      </c>
      <c r="M562" s="25">
        <f>[1]!s_stmnote_bank_capadequacyratio(B562,$A562,1)</f>
        <v>0</v>
      </c>
      <c r="N562" s="25">
        <f>[1]!s_stmnote_bank_capadequacyratio_ct1(B562,$A562,1)</f>
        <v>0</v>
      </c>
      <c r="O562" s="6">
        <f>IF(OR([1]!s_fa_roe(B562,20201231)="0",[1]!s_fa_roe(B562,20211231)="0",[1]!s_fa_roe(B562,20221231)="0"),"",IFERROR(([1]!s_fa_roe(B562,20221231)+[1]!s_fa_roe(B562,20201231)+[1]!s_fa_roe(B562,20211231))/3,""))</f>
        <v>0</v>
      </c>
      <c r="P562" s="28" t="str">
        <f>IFERROR(([1]!s_stmnote_bank_65(B562,$A562,1,2,4,100000000)+[1]!s_stmnote_bank_65(B562,$A562,1,2,6,100000000))/[1]!s_stmnote_bank_1n(B562,$A562,1,100000000),"")</f>
        <v/>
      </c>
      <c r="Q562" s="28" t="str">
        <f>IFERROR([1]!s_stmnote_bank_614(B562,$A562,1,2,100000000)/[1]!s_stmnote_bank_647(B562,$A562,1,2,100000000),"")</f>
        <v/>
      </c>
      <c r="R562" s="28" t="str">
        <f>IFERROR(([1]!b_stm07_bs(B562,104,$A562,1,100000000)+[1]!b_stm07_bs(B562,106,$A562,1,100000000)+[1]!b_stm07_bs(B562,76,$A562,1,100000000)+[1]!b_stm07_bs(B562,108,$A562,1,100000000)+[1]!b_stm07_bs(B562,95,$A562,1,100000000))/[1]!b_stm07_bs(B562,128,$A562,1,100000000),"")</f>
        <v/>
      </c>
      <c r="S562" s="28" t="str">
        <f>IFERROR(([1]!s_stmnote_bank_614(B562,$A562,1,2,100000000)+[1]!b_stm07_bs(B562,104,$A562,1,100000000)+[1]!b_stm07_bs(B562,106,$A562,1,100000000)+[1]!b_stm07_bs(B562,76,$A562,1,100000000)+[1]!b_stm07_bs(B562,108,$A562,1,100000000)+[1]!b_stm07_bs(B562,95,$A562,1,100000000))/[1]!b_stm07_bs(B562,128,$A562,1,100000000),"")</f>
        <v/>
      </c>
      <c r="T562" s="11">
        <f>[1]!b_issuer_shareholder(B562,"",1)</f>
        <v>0</v>
      </c>
      <c r="U562" s="10">
        <f>[1]!b_issuer_propofshareholder(B562,"",1)</f>
        <v>0</v>
      </c>
      <c r="V562" s="33" t="str">
        <f t="shared" si="17"/>
        <v>0</v>
      </c>
      <c r="W562" s="33">
        <f>[1]!s_info_city(B562)</f>
        <v>0</v>
      </c>
      <c r="X562" s="10">
        <f>IF([1]!s_stmnote_bank_17n(B562,$A562,1)="0","",[1]!s_stmnote_bank_17n(B562,$A562,1))</f>
        <v>0</v>
      </c>
      <c r="Y562" s="10">
        <f>IF([1]!s_stmnote_bank_18n(B562,$A562,1)="0","",[1]!s_stmnote_bank_18n(B562,$A562,1))</f>
        <v>0</v>
      </c>
      <c r="Z562" s="41">
        <f>IF([1]!s_stmnote_bank_58(B562,$A562,1)="0","",[1]!s_stmnote_bank_58(B562,$A562,1))</f>
        <v>0</v>
      </c>
      <c r="AA562" s="52">
        <f>IF([1]!s_stmnote_bank_60(B562,$A562,1)="0","",[1]!s_stmnote_bank_60(B562,$A562,1))</f>
        <v>0</v>
      </c>
      <c r="AB562" s="52">
        <f>[1]!s_stmnote_bank_5444(B562,$A562,1)</f>
        <v>0</v>
      </c>
      <c r="AC562" s="38">
        <f>[1]!s_stmnote_bank_129n($B562,$A562,1)</f>
        <v>0</v>
      </c>
      <c r="AD562" s="54">
        <f>[1]!s_stmnote_bank_30(B562,$A562,1)</f>
        <v>0</v>
      </c>
    </row>
    <row r="563" spans="1:30" ht="24">
      <c r="A563" s="1" t="s">
        <v>1110</v>
      </c>
      <c r="B563" s="87" t="s">
        <v>1671</v>
      </c>
      <c r="C563" s="8">
        <f>IF([1]!b_info_issuer(B563)="0","",IFERROR([1]!b_info_issuer(B563),""))</f>
        <v>0</v>
      </c>
      <c r="D563" s="11">
        <f>IF([1]!b_info_latestissurercreditrating(B563)="0","",IFERROR([1]!b_info_latestissurercreditrating(B563),""))</f>
        <v>0</v>
      </c>
      <c r="E563" s="27" t="str">
        <f>IFERROR(([1]!b_stm07_bs($B563,47,$A563,1,100000000))/[1]!b_stm07_bs($B563,109,$A563,1,100000000),"")</f>
        <v/>
      </c>
      <c r="F563" s="18" t="str">
        <f>IFERROR(([1]!s_stmnote_bank_26($B563,$A563,1,100000000)-[1]!s_stmnote_bank_26($B563,#REF!,1,100000000)+#REF!)/[1]!s_stmnote_bank_1n($B563,#REF!,1,100000000),"")</f>
        <v/>
      </c>
      <c r="G563" s="21" t="str">
        <f t="shared" si="16"/>
        <v/>
      </c>
      <c r="H563" s="18" t="str">
        <f>IFERROR([1]!s_stmnote_bank($B563,"34",$A563,100000000)/[1]!s_stmnote_bank_1n(B563,$A563,1,100000000),"")</f>
        <v/>
      </c>
      <c r="I563" s="25">
        <f>[1]!b_stm07_bs(B563,74,$A563,1,100000000)</f>
        <v>0</v>
      </c>
      <c r="J563" s="25">
        <f>[1]!b_stm07_bs(B563,109,$A563,1,100000000)</f>
        <v>0</v>
      </c>
      <c r="K563" s="10">
        <f>[1]!s_stmnote_bank_5n(B563,$A563,1)</f>
        <v>0</v>
      </c>
      <c r="L563" s="25">
        <f>[1]!s_stmnote_bank_23n(B563,$A563,1)</f>
        <v>0</v>
      </c>
      <c r="M563" s="25">
        <f>[1]!s_stmnote_bank_capadequacyratio(B563,$A563,1)</f>
        <v>0</v>
      </c>
      <c r="N563" s="25">
        <f>[1]!s_stmnote_bank_capadequacyratio_ct1(B563,$A563,1)</f>
        <v>0</v>
      </c>
      <c r="O563" s="6">
        <f>IF(OR([1]!s_fa_roe(B563,20201231)="0",[1]!s_fa_roe(B563,20211231)="0",[1]!s_fa_roe(B563,20221231)="0"),"",IFERROR(([1]!s_fa_roe(B563,20221231)+[1]!s_fa_roe(B563,20201231)+[1]!s_fa_roe(B563,20211231))/3,""))</f>
        <v>0</v>
      </c>
      <c r="P563" s="28" t="str">
        <f>IFERROR(([1]!s_stmnote_bank_65(B563,$A563,1,2,4,100000000)+[1]!s_stmnote_bank_65(B563,$A563,1,2,6,100000000))/[1]!s_stmnote_bank_1n(B563,$A563,1,100000000),"")</f>
        <v/>
      </c>
      <c r="Q563" s="28" t="str">
        <f>IFERROR([1]!s_stmnote_bank_614(B563,$A563,1,2,100000000)/[1]!s_stmnote_bank_647(B563,$A563,1,2,100000000),"")</f>
        <v/>
      </c>
      <c r="R563" s="28" t="str">
        <f>IFERROR(([1]!b_stm07_bs(B563,104,$A563,1,100000000)+[1]!b_stm07_bs(B563,106,$A563,1,100000000)+[1]!b_stm07_bs(B563,76,$A563,1,100000000)+[1]!b_stm07_bs(B563,108,$A563,1,100000000)+[1]!b_stm07_bs(B563,95,$A563,1,100000000))/[1]!b_stm07_bs(B563,128,$A563,1,100000000),"")</f>
        <v/>
      </c>
      <c r="S563" s="28" t="str">
        <f>IFERROR(([1]!s_stmnote_bank_614(B563,$A563,1,2,100000000)+[1]!b_stm07_bs(B563,104,$A563,1,100000000)+[1]!b_stm07_bs(B563,106,$A563,1,100000000)+[1]!b_stm07_bs(B563,76,$A563,1,100000000)+[1]!b_stm07_bs(B563,108,$A563,1,100000000)+[1]!b_stm07_bs(B563,95,$A563,1,100000000))/[1]!b_stm07_bs(B563,128,$A563,1,100000000),"")</f>
        <v/>
      </c>
      <c r="T563" s="11">
        <f>[1]!b_issuer_shareholder(B563,"",1)</f>
        <v>0</v>
      </c>
      <c r="U563" s="10">
        <f>[1]!b_issuer_propofshareholder(B563,"",1)</f>
        <v>0</v>
      </c>
      <c r="V563" s="33" t="str">
        <f t="shared" si="17"/>
        <v>0</v>
      </c>
      <c r="W563" s="33">
        <f>[1]!s_info_city(B563)</f>
        <v>0</v>
      </c>
      <c r="X563" s="10">
        <f>IF([1]!s_stmnote_bank_17n(B563,$A563,1)="0","",[1]!s_stmnote_bank_17n(B563,$A563,1))</f>
        <v>0</v>
      </c>
      <c r="Y563" s="10">
        <f>IF([1]!s_stmnote_bank_18n(B563,$A563,1)="0","",[1]!s_stmnote_bank_18n(B563,$A563,1))</f>
        <v>0</v>
      </c>
      <c r="Z563" s="41">
        <f>IF([1]!s_stmnote_bank_58(B563,$A563,1)="0","",[1]!s_stmnote_bank_58(B563,$A563,1))</f>
        <v>0</v>
      </c>
      <c r="AA563" s="52">
        <f>IF([1]!s_stmnote_bank_60(B563,$A563,1)="0","",[1]!s_stmnote_bank_60(B563,$A563,1))</f>
        <v>0</v>
      </c>
      <c r="AB563" s="52">
        <f>[1]!s_stmnote_bank_5444(B563,$A563,1)</f>
        <v>0</v>
      </c>
      <c r="AC563" s="38">
        <f>[1]!s_stmnote_bank_129n($B563,$A563,1)</f>
        <v>0</v>
      </c>
      <c r="AD563" s="54">
        <f>[1]!s_stmnote_bank_30(B563,$A563,1)</f>
        <v>0</v>
      </c>
    </row>
    <row r="564" spans="1:30" ht="24">
      <c r="A564" s="1" t="s">
        <v>1110</v>
      </c>
      <c r="B564" s="87" t="s">
        <v>1672</v>
      </c>
      <c r="C564" s="8">
        <f>IF([1]!b_info_issuer(B564)="0","",IFERROR([1]!b_info_issuer(B564),""))</f>
        <v>0</v>
      </c>
      <c r="D564" s="11">
        <f>IF([1]!b_info_latestissurercreditrating(B564)="0","",IFERROR([1]!b_info_latestissurercreditrating(B564),""))</f>
        <v>0</v>
      </c>
      <c r="E564" s="27" t="str">
        <f>IFERROR(([1]!b_stm07_bs($B564,47,$A564,1,100000000))/[1]!b_stm07_bs($B564,109,$A564,1,100000000),"")</f>
        <v/>
      </c>
      <c r="F564" s="18" t="str">
        <f>IFERROR(([1]!s_stmnote_bank_26($B564,$A564,1,100000000)-[1]!s_stmnote_bank_26($B564,#REF!,1,100000000)+#REF!)/[1]!s_stmnote_bank_1n($B564,#REF!,1,100000000),"")</f>
        <v/>
      </c>
      <c r="G564" s="21" t="str">
        <f t="shared" si="16"/>
        <v/>
      </c>
      <c r="H564" s="18" t="str">
        <f>IFERROR([1]!s_stmnote_bank($B564,"34",$A564,100000000)/[1]!s_stmnote_bank_1n(B564,$A564,1,100000000),"")</f>
        <v/>
      </c>
      <c r="I564" s="25">
        <f>[1]!b_stm07_bs(B564,74,$A564,1,100000000)</f>
        <v>0</v>
      </c>
      <c r="J564" s="25">
        <f>[1]!b_stm07_bs(B564,109,$A564,1,100000000)</f>
        <v>0</v>
      </c>
      <c r="K564" s="10">
        <f>[1]!s_stmnote_bank_5n(B564,$A564,1)</f>
        <v>0</v>
      </c>
      <c r="L564" s="25">
        <f>[1]!s_stmnote_bank_23n(B564,$A564,1)</f>
        <v>0</v>
      </c>
      <c r="M564" s="25">
        <f>[1]!s_stmnote_bank_capadequacyratio(B564,$A564,1)</f>
        <v>0</v>
      </c>
      <c r="N564" s="25">
        <f>[1]!s_stmnote_bank_capadequacyratio_ct1(B564,$A564,1)</f>
        <v>0</v>
      </c>
      <c r="O564" s="6">
        <f>IF(OR([1]!s_fa_roe(B564,20201231)="0",[1]!s_fa_roe(B564,20211231)="0",[1]!s_fa_roe(B564,20221231)="0"),"",IFERROR(([1]!s_fa_roe(B564,20221231)+[1]!s_fa_roe(B564,20201231)+[1]!s_fa_roe(B564,20211231))/3,""))</f>
        <v>0</v>
      </c>
      <c r="P564" s="28" t="str">
        <f>IFERROR(([1]!s_stmnote_bank_65(B564,$A564,1,2,4,100000000)+[1]!s_stmnote_bank_65(B564,$A564,1,2,6,100000000))/[1]!s_stmnote_bank_1n(B564,$A564,1,100000000),"")</f>
        <v/>
      </c>
      <c r="Q564" s="28" t="str">
        <f>IFERROR([1]!s_stmnote_bank_614(B564,$A564,1,2,100000000)/[1]!s_stmnote_bank_647(B564,$A564,1,2,100000000),"")</f>
        <v/>
      </c>
      <c r="R564" s="28" t="str">
        <f>IFERROR(([1]!b_stm07_bs(B564,104,$A564,1,100000000)+[1]!b_stm07_bs(B564,106,$A564,1,100000000)+[1]!b_stm07_bs(B564,76,$A564,1,100000000)+[1]!b_stm07_bs(B564,108,$A564,1,100000000)+[1]!b_stm07_bs(B564,95,$A564,1,100000000))/[1]!b_stm07_bs(B564,128,$A564,1,100000000),"")</f>
        <v/>
      </c>
      <c r="S564" s="28" t="str">
        <f>IFERROR(([1]!s_stmnote_bank_614(B564,$A564,1,2,100000000)+[1]!b_stm07_bs(B564,104,$A564,1,100000000)+[1]!b_stm07_bs(B564,106,$A564,1,100000000)+[1]!b_stm07_bs(B564,76,$A564,1,100000000)+[1]!b_stm07_bs(B564,108,$A564,1,100000000)+[1]!b_stm07_bs(B564,95,$A564,1,100000000))/[1]!b_stm07_bs(B564,128,$A564,1,100000000),"")</f>
        <v/>
      </c>
      <c r="T564" s="11">
        <f>[1]!b_issuer_shareholder(B564,"",1)</f>
        <v>0</v>
      </c>
      <c r="U564" s="10">
        <f>[1]!b_issuer_propofshareholder(B564,"",1)</f>
        <v>0</v>
      </c>
      <c r="V564" s="33" t="str">
        <f t="shared" si="17"/>
        <v>0</v>
      </c>
      <c r="W564" s="33">
        <f>[1]!s_info_city(B564)</f>
        <v>0</v>
      </c>
      <c r="X564" s="10">
        <f>IF([1]!s_stmnote_bank_17n(B564,$A564,1)="0","",[1]!s_stmnote_bank_17n(B564,$A564,1))</f>
        <v>0</v>
      </c>
      <c r="Y564" s="10">
        <f>IF([1]!s_stmnote_bank_18n(B564,$A564,1)="0","",[1]!s_stmnote_bank_18n(B564,$A564,1))</f>
        <v>0</v>
      </c>
      <c r="Z564" s="41">
        <f>IF([1]!s_stmnote_bank_58(B564,$A564,1)="0","",[1]!s_stmnote_bank_58(B564,$A564,1))</f>
        <v>0</v>
      </c>
      <c r="AA564" s="52">
        <f>IF([1]!s_stmnote_bank_60(B564,$A564,1)="0","",[1]!s_stmnote_bank_60(B564,$A564,1))</f>
        <v>0</v>
      </c>
      <c r="AB564" s="52">
        <f>[1]!s_stmnote_bank_5444(B564,$A564,1)</f>
        <v>0</v>
      </c>
      <c r="AC564" s="38">
        <f>[1]!s_stmnote_bank_129n($B564,$A564,1)</f>
        <v>0</v>
      </c>
      <c r="AD564" s="54">
        <f>[1]!s_stmnote_bank_30(B564,$A564,1)</f>
        <v>0</v>
      </c>
    </row>
    <row r="565" spans="1:30" ht="24">
      <c r="A565" s="1" t="s">
        <v>1110</v>
      </c>
      <c r="B565" s="87" t="s">
        <v>1673</v>
      </c>
      <c r="C565" s="8">
        <f>IF([1]!b_info_issuer(B565)="0","",IFERROR([1]!b_info_issuer(B565),""))</f>
        <v>0</v>
      </c>
      <c r="D565" s="11">
        <f>IF([1]!b_info_latestissurercreditrating(B565)="0","",IFERROR([1]!b_info_latestissurercreditrating(B565),""))</f>
        <v>0</v>
      </c>
      <c r="E565" s="27" t="str">
        <f>IFERROR(([1]!b_stm07_bs($B565,47,$A565,1,100000000))/[1]!b_stm07_bs($B565,109,$A565,1,100000000),"")</f>
        <v/>
      </c>
      <c r="F565" s="18" t="str">
        <f>IFERROR(([1]!s_stmnote_bank_26($B565,$A565,1,100000000)-[1]!s_stmnote_bank_26($B565,#REF!,1,100000000)+#REF!)/[1]!s_stmnote_bank_1n($B565,#REF!,1,100000000),"")</f>
        <v/>
      </c>
      <c r="G565" s="21" t="str">
        <f t="shared" si="16"/>
        <v/>
      </c>
      <c r="H565" s="18" t="str">
        <f>IFERROR([1]!s_stmnote_bank($B565,"34",$A565,100000000)/[1]!s_stmnote_bank_1n(B565,$A565,1,100000000),"")</f>
        <v/>
      </c>
      <c r="I565" s="25">
        <f>[1]!b_stm07_bs(B565,74,$A565,1,100000000)</f>
        <v>0</v>
      </c>
      <c r="J565" s="25">
        <f>[1]!b_stm07_bs(B565,109,$A565,1,100000000)</f>
        <v>0</v>
      </c>
      <c r="K565" s="10">
        <f>[1]!s_stmnote_bank_5n(B565,$A565,1)</f>
        <v>0</v>
      </c>
      <c r="L565" s="25">
        <f>[1]!s_stmnote_bank_23n(B565,$A565,1)</f>
        <v>0</v>
      </c>
      <c r="M565" s="25">
        <f>[1]!s_stmnote_bank_capadequacyratio(B565,$A565,1)</f>
        <v>0</v>
      </c>
      <c r="N565" s="25">
        <f>[1]!s_stmnote_bank_capadequacyratio_ct1(B565,$A565,1)</f>
        <v>0</v>
      </c>
      <c r="O565" s="6">
        <f>IF(OR([1]!s_fa_roe(B565,20201231)="0",[1]!s_fa_roe(B565,20211231)="0",[1]!s_fa_roe(B565,20221231)="0"),"",IFERROR(([1]!s_fa_roe(B565,20221231)+[1]!s_fa_roe(B565,20201231)+[1]!s_fa_roe(B565,20211231))/3,""))</f>
        <v>0</v>
      </c>
      <c r="P565" s="28" t="str">
        <f>IFERROR(([1]!s_stmnote_bank_65(B565,$A565,1,2,4,100000000)+[1]!s_stmnote_bank_65(B565,$A565,1,2,6,100000000))/[1]!s_stmnote_bank_1n(B565,$A565,1,100000000),"")</f>
        <v/>
      </c>
      <c r="Q565" s="28" t="str">
        <f>IFERROR([1]!s_stmnote_bank_614(B565,$A565,1,2,100000000)/[1]!s_stmnote_bank_647(B565,$A565,1,2,100000000),"")</f>
        <v/>
      </c>
      <c r="R565" s="28" t="str">
        <f>IFERROR(([1]!b_stm07_bs(B565,104,$A565,1,100000000)+[1]!b_stm07_bs(B565,106,$A565,1,100000000)+[1]!b_stm07_bs(B565,76,$A565,1,100000000)+[1]!b_stm07_bs(B565,108,$A565,1,100000000)+[1]!b_stm07_bs(B565,95,$A565,1,100000000))/[1]!b_stm07_bs(B565,128,$A565,1,100000000),"")</f>
        <v/>
      </c>
      <c r="S565" s="28" t="str">
        <f>IFERROR(([1]!s_stmnote_bank_614(B565,$A565,1,2,100000000)+[1]!b_stm07_bs(B565,104,$A565,1,100000000)+[1]!b_stm07_bs(B565,106,$A565,1,100000000)+[1]!b_stm07_bs(B565,76,$A565,1,100000000)+[1]!b_stm07_bs(B565,108,$A565,1,100000000)+[1]!b_stm07_bs(B565,95,$A565,1,100000000))/[1]!b_stm07_bs(B565,128,$A565,1,100000000),"")</f>
        <v/>
      </c>
      <c r="T565" s="11">
        <f>[1]!b_issuer_shareholder(B565,"",1)</f>
        <v>0</v>
      </c>
      <c r="U565" s="10">
        <f>[1]!b_issuer_propofshareholder(B565,"",1)</f>
        <v>0</v>
      </c>
      <c r="V565" s="33" t="str">
        <f t="shared" si="17"/>
        <v>0</v>
      </c>
      <c r="W565" s="33">
        <f>[1]!s_info_city(B565)</f>
        <v>0</v>
      </c>
      <c r="X565" s="10">
        <f>IF([1]!s_stmnote_bank_17n(B565,$A565,1)="0","",[1]!s_stmnote_bank_17n(B565,$A565,1))</f>
        <v>0</v>
      </c>
      <c r="Y565" s="10">
        <f>IF([1]!s_stmnote_bank_18n(B565,$A565,1)="0","",[1]!s_stmnote_bank_18n(B565,$A565,1))</f>
        <v>0</v>
      </c>
      <c r="Z565" s="41">
        <f>IF([1]!s_stmnote_bank_58(B565,$A565,1)="0","",[1]!s_stmnote_bank_58(B565,$A565,1))</f>
        <v>0</v>
      </c>
      <c r="AA565" s="52">
        <f>IF([1]!s_stmnote_bank_60(B565,$A565,1)="0","",[1]!s_stmnote_bank_60(B565,$A565,1))</f>
        <v>0</v>
      </c>
      <c r="AB565" s="52">
        <f>[1]!s_stmnote_bank_5444(B565,$A565,1)</f>
        <v>0</v>
      </c>
      <c r="AC565" s="38">
        <f>[1]!s_stmnote_bank_129n($B565,$A565,1)</f>
        <v>0</v>
      </c>
      <c r="AD565" s="54">
        <f>[1]!s_stmnote_bank_30(B565,$A565,1)</f>
        <v>0</v>
      </c>
    </row>
    <row r="566" spans="1:30" ht="24">
      <c r="A566" s="1" t="s">
        <v>1110</v>
      </c>
      <c r="B566" s="87" t="s">
        <v>1674</v>
      </c>
      <c r="C566" s="8">
        <f>IF([1]!b_info_issuer(B566)="0","",IFERROR([1]!b_info_issuer(B566),""))</f>
        <v>0</v>
      </c>
      <c r="D566" s="11">
        <f>IF([1]!b_info_latestissurercreditrating(B566)="0","",IFERROR([1]!b_info_latestissurercreditrating(B566),""))</f>
        <v>0</v>
      </c>
      <c r="E566" s="27" t="str">
        <f>IFERROR(([1]!b_stm07_bs($B566,47,$A566,1,100000000))/[1]!b_stm07_bs($B566,109,$A566,1,100000000),"")</f>
        <v/>
      </c>
      <c r="F566" s="18" t="str">
        <f>IFERROR(([1]!s_stmnote_bank_26($B566,$A566,1,100000000)-[1]!s_stmnote_bank_26($B566,#REF!,1,100000000)+#REF!)/[1]!s_stmnote_bank_1n($B566,#REF!,1,100000000),"")</f>
        <v/>
      </c>
      <c r="G566" s="21" t="str">
        <f t="shared" si="16"/>
        <v/>
      </c>
      <c r="H566" s="18" t="str">
        <f>IFERROR([1]!s_stmnote_bank($B566,"34",$A566,100000000)/[1]!s_stmnote_bank_1n(B566,$A566,1,100000000),"")</f>
        <v/>
      </c>
      <c r="I566" s="25">
        <f>[1]!b_stm07_bs(B566,74,$A566,1,100000000)</f>
        <v>0</v>
      </c>
      <c r="J566" s="25">
        <f>[1]!b_stm07_bs(B566,109,$A566,1,100000000)</f>
        <v>0</v>
      </c>
      <c r="K566" s="10">
        <f>[1]!s_stmnote_bank_5n(B566,$A566,1)</f>
        <v>0</v>
      </c>
      <c r="L566" s="25">
        <f>[1]!s_stmnote_bank_23n(B566,$A566,1)</f>
        <v>0</v>
      </c>
      <c r="M566" s="25">
        <f>[1]!s_stmnote_bank_capadequacyratio(B566,$A566,1)</f>
        <v>0</v>
      </c>
      <c r="N566" s="25">
        <f>[1]!s_stmnote_bank_capadequacyratio_ct1(B566,$A566,1)</f>
        <v>0</v>
      </c>
      <c r="O566" s="6">
        <f>IF(OR([1]!s_fa_roe(B566,20201231)="0",[1]!s_fa_roe(B566,20211231)="0",[1]!s_fa_roe(B566,20221231)="0"),"",IFERROR(([1]!s_fa_roe(B566,20221231)+[1]!s_fa_roe(B566,20201231)+[1]!s_fa_roe(B566,20211231))/3,""))</f>
        <v>0</v>
      </c>
      <c r="P566" s="28" t="str">
        <f>IFERROR(([1]!s_stmnote_bank_65(B566,$A566,1,2,4,100000000)+[1]!s_stmnote_bank_65(B566,$A566,1,2,6,100000000))/[1]!s_stmnote_bank_1n(B566,$A566,1,100000000),"")</f>
        <v/>
      </c>
      <c r="Q566" s="28" t="str">
        <f>IFERROR([1]!s_stmnote_bank_614(B566,$A566,1,2,100000000)/[1]!s_stmnote_bank_647(B566,$A566,1,2,100000000),"")</f>
        <v/>
      </c>
      <c r="R566" s="28" t="str">
        <f>IFERROR(([1]!b_stm07_bs(B566,104,$A566,1,100000000)+[1]!b_stm07_bs(B566,106,$A566,1,100000000)+[1]!b_stm07_bs(B566,76,$A566,1,100000000)+[1]!b_stm07_bs(B566,108,$A566,1,100000000)+[1]!b_stm07_bs(B566,95,$A566,1,100000000))/[1]!b_stm07_bs(B566,128,$A566,1,100000000),"")</f>
        <v/>
      </c>
      <c r="S566" s="28" t="str">
        <f>IFERROR(([1]!s_stmnote_bank_614(B566,$A566,1,2,100000000)+[1]!b_stm07_bs(B566,104,$A566,1,100000000)+[1]!b_stm07_bs(B566,106,$A566,1,100000000)+[1]!b_stm07_bs(B566,76,$A566,1,100000000)+[1]!b_stm07_bs(B566,108,$A566,1,100000000)+[1]!b_stm07_bs(B566,95,$A566,1,100000000))/[1]!b_stm07_bs(B566,128,$A566,1,100000000),"")</f>
        <v/>
      </c>
      <c r="T566" s="11">
        <f>[1]!b_issuer_shareholder(B566,"",1)</f>
        <v>0</v>
      </c>
      <c r="U566" s="10">
        <f>[1]!b_issuer_propofshareholder(B566,"",1)</f>
        <v>0</v>
      </c>
      <c r="V566" s="33" t="str">
        <f t="shared" si="17"/>
        <v>0</v>
      </c>
      <c r="W566" s="33">
        <f>[1]!s_info_city(B566)</f>
        <v>0</v>
      </c>
      <c r="X566" s="10">
        <f>IF([1]!s_stmnote_bank_17n(B566,$A566,1)="0","",[1]!s_stmnote_bank_17n(B566,$A566,1))</f>
        <v>0</v>
      </c>
      <c r="Y566" s="10">
        <f>IF([1]!s_stmnote_bank_18n(B566,$A566,1)="0","",[1]!s_stmnote_bank_18n(B566,$A566,1))</f>
        <v>0</v>
      </c>
      <c r="Z566" s="41">
        <f>IF([1]!s_stmnote_bank_58(B566,$A566,1)="0","",[1]!s_stmnote_bank_58(B566,$A566,1))</f>
        <v>0</v>
      </c>
      <c r="AA566" s="52">
        <f>IF([1]!s_stmnote_bank_60(B566,$A566,1)="0","",[1]!s_stmnote_bank_60(B566,$A566,1))</f>
        <v>0</v>
      </c>
      <c r="AB566" s="52">
        <f>[1]!s_stmnote_bank_5444(B566,$A566,1)</f>
        <v>0</v>
      </c>
      <c r="AC566" s="38">
        <f>[1]!s_stmnote_bank_129n($B566,$A566,1)</f>
        <v>0</v>
      </c>
      <c r="AD566" s="54">
        <f>[1]!s_stmnote_bank_30(B566,$A566,1)</f>
        <v>0</v>
      </c>
    </row>
    <row r="567" spans="1:30" ht="24">
      <c r="A567" s="1" t="s">
        <v>1110</v>
      </c>
      <c r="B567" s="87" t="s">
        <v>1675</v>
      </c>
      <c r="C567" s="8">
        <f>IF([1]!b_info_issuer(B567)="0","",IFERROR([1]!b_info_issuer(B567),""))</f>
        <v>0</v>
      </c>
      <c r="D567" s="11">
        <f>IF([1]!b_info_latestissurercreditrating(B567)="0","",IFERROR([1]!b_info_latestissurercreditrating(B567),""))</f>
        <v>0</v>
      </c>
      <c r="E567" s="27" t="str">
        <f>IFERROR(([1]!b_stm07_bs($B567,47,$A567,1,100000000))/[1]!b_stm07_bs($B567,109,$A567,1,100000000),"")</f>
        <v/>
      </c>
      <c r="F567" s="18" t="str">
        <f>IFERROR(([1]!s_stmnote_bank_26($B567,$A567,1,100000000)-[1]!s_stmnote_bank_26($B567,#REF!,1,100000000)+#REF!)/[1]!s_stmnote_bank_1n($B567,#REF!,1,100000000),"")</f>
        <v/>
      </c>
      <c r="G567" s="21" t="str">
        <f t="shared" si="16"/>
        <v/>
      </c>
      <c r="H567" s="18" t="str">
        <f>IFERROR([1]!s_stmnote_bank($B567,"34",$A567,100000000)/[1]!s_stmnote_bank_1n(B567,$A567,1,100000000),"")</f>
        <v/>
      </c>
      <c r="I567" s="25">
        <f>[1]!b_stm07_bs(B567,74,$A567,1,100000000)</f>
        <v>0</v>
      </c>
      <c r="J567" s="25">
        <f>[1]!b_stm07_bs(B567,109,$A567,1,100000000)</f>
        <v>0</v>
      </c>
      <c r="K567" s="10">
        <f>[1]!s_stmnote_bank_5n(B567,$A567,1)</f>
        <v>0</v>
      </c>
      <c r="L567" s="25">
        <f>[1]!s_stmnote_bank_23n(B567,$A567,1)</f>
        <v>0</v>
      </c>
      <c r="M567" s="25">
        <f>[1]!s_stmnote_bank_capadequacyratio(B567,$A567,1)</f>
        <v>0</v>
      </c>
      <c r="N567" s="25">
        <f>[1]!s_stmnote_bank_capadequacyratio_ct1(B567,$A567,1)</f>
        <v>0</v>
      </c>
      <c r="O567" s="6">
        <f>IF(OR([1]!s_fa_roe(B567,20201231)="0",[1]!s_fa_roe(B567,20211231)="0",[1]!s_fa_roe(B567,20221231)="0"),"",IFERROR(([1]!s_fa_roe(B567,20221231)+[1]!s_fa_roe(B567,20201231)+[1]!s_fa_roe(B567,20211231))/3,""))</f>
        <v>0</v>
      </c>
      <c r="P567" s="28" t="str">
        <f>IFERROR(([1]!s_stmnote_bank_65(B567,$A567,1,2,4,100000000)+[1]!s_stmnote_bank_65(B567,$A567,1,2,6,100000000))/[1]!s_stmnote_bank_1n(B567,$A567,1,100000000),"")</f>
        <v/>
      </c>
      <c r="Q567" s="28" t="str">
        <f>IFERROR([1]!s_stmnote_bank_614(B567,$A567,1,2,100000000)/[1]!s_stmnote_bank_647(B567,$A567,1,2,100000000),"")</f>
        <v/>
      </c>
      <c r="R567" s="28" t="str">
        <f>IFERROR(([1]!b_stm07_bs(B567,104,$A567,1,100000000)+[1]!b_stm07_bs(B567,106,$A567,1,100000000)+[1]!b_stm07_bs(B567,76,$A567,1,100000000)+[1]!b_stm07_bs(B567,108,$A567,1,100000000)+[1]!b_stm07_bs(B567,95,$A567,1,100000000))/[1]!b_stm07_bs(B567,128,$A567,1,100000000),"")</f>
        <v/>
      </c>
      <c r="S567" s="28" t="str">
        <f>IFERROR(([1]!s_stmnote_bank_614(B567,$A567,1,2,100000000)+[1]!b_stm07_bs(B567,104,$A567,1,100000000)+[1]!b_stm07_bs(B567,106,$A567,1,100000000)+[1]!b_stm07_bs(B567,76,$A567,1,100000000)+[1]!b_stm07_bs(B567,108,$A567,1,100000000)+[1]!b_stm07_bs(B567,95,$A567,1,100000000))/[1]!b_stm07_bs(B567,128,$A567,1,100000000),"")</f>
        <v/>
      </c>
      <c r="T567" s="11">
        <f>[1]!b_issuer_shareholder(B567,"",1)</f>
        <v>0</v>
      </c>
      <c r="U567" s="10">
        <f>[1]!b_issuer_propofshareholder(B567,"",1)</f>
        <v>0</v>
      </c>
      <c r="V567" s="33" t="str">
        <f t="shared" si="17"/>
        <v>0</v>
      </c>
      <c r="W567" s="33">
        <f>[1]!s_info_city(B567)</f>
        <v>0</v>
      </c>
      <c r="X567" s="10">
        <f>IF([1]!s_stmnote_bank_17n(B567,$A567,1)="0","",[1]!s_stmnote_bank_17n(B567,$A567,1))</f>
        <v>0</v>
      </c>
      <c r="Y567" s="10">
        <f>IF([1]!s_stmnote_bank_18n(B567,$A567,1)="0","",[1]!s_stmnote_bank_18n(B567,$A567,1))</f>
        <v>0</v>
      </c>
      <c r="Z567" s="41">
        <f>IF([1]!s_stmnote_bank_58(B567,$A567,1)="0","",[1]!s_stmnote_bank_58(B567,$A567,1))</f>
        <v>0</v>
      </c>
      <c r="AA567" s="52">
        <f>IF([1]!s_stmnote_bank_60(B567,$A567,1)="0","",[1]!s_stmnote_bank_60(B567,$A567,1))</f>
        <v>0</v>
      </c>
      <c r="AB567" s="52">
        <f>[1]!s_stmnote_bank_5444(B567,$A567,1)</f>
        <v>0</v>
      </c>
      <c r="AC567" s="38">
        <f>[1]!s_stmnote_bank_129n($B567,$A567,1)</f>
        <v>0</v>
      </c>
      <c r="AD567" s="54">
        <f>[1]!s_stmnote_bank_30(B567,$A567,1)</f>
        <v>0</v>
      </c>
    </row>
    <row r="568" spans="1:30" ht="24">
      <c r="A568" s="1" t="s">
        <v>1110</v>
      </c>
      <c r="B568" s="87" t="s">
        <v>1676</v>
      </c>
      <c r="C568" s="8">
        <f>IF([1]!b_info_issuer(B568)="0","",IFERROR([1]!b_info_issuer(B568),""))</f>
        <v>0</v>
      </c>
      <c r="D568" s="11">
        <f>IF([1]!b_info_latestissurercreditrating(B568)="0","",IFERROR([1]!b_info_latestissurercreditrating(B568),""))</f>
        <v>0</v>
      </c>
      <c r="E568" s="27" t="str">
        <f>IFERROR(([1]!b_stm07_bs($B568,47,$A568,1,100000000))/[1]!b_stm07_bs($B568,109,$A568,1,100000000),"")</f>
        <v/>
      </c>
      <c r="F568" s="18" t="str">
        <f>IFERROR(([1]!s_stmnote_bank_26($B568,$A568,1,100000000)-[1]!s_stmnote_bank_26($B568,#REF!,1,100000000)+#REF!)/[1]!s_stmnote_bank_1n($B568,#REF!,1,100000000),"")</f>
        <v/>
      </c>
      <c r="G568" s="21" t="str">
        <f t="shared" si="16"/>
        <v/>
      </c>
      <c r="H568" s="18" t="str">
        <f>IFERROR([1]!s_stmnote_bank($B568,"34",$A568,100000000)/[1]!s_stmnote_bank_1n(B568,$A568,1,100000000),"")</f>
        <v/>
      </c>
      <c r="I568" s="25">
        <f>[1]!b_stm07_bs(B568,74,$A568,1,100000000)</f>
        <v>0</v>
      </c>
      <c r="J568" s="25">
        <f>[1]!b_stm07_bs(B568,109,$A568,1,100000000)</f>
        <v>0</v>
      </c>
      <c r="K568" s="10">
        <f>[1]!s_stmnote_bank_5n(B568,$A568,1)</f>
        <v>0</v>
      </c>
      <c r="L568" s="25">
        <f>[1]!s_stmnote_bank_23n(B568,$A568,1)</f>
        <v>0</v>
      </c>
      <c r="M568" s="25">
        <f>[1]!s_stmnote_bank_capadequacyratio(B568,$A568,1)</f>
        <v>0</v>
      </c>
      <c r="N568" s="25">
        <f>[1]!s_stmnote_bank_capadequacyratio_ct1(B568,$A568,1)</f>
        <v>0</v>
      </c>
      <c r="O568" s="6">
        <f>IF(OR([1]!s_fa_roe(B568,20201231)="0",[1]!s_fa_roe(B568,20211231)="0",[1]!s_fa_roe(B568,20221231)="0"),"",IFERROR(([1]!s_fa_roe(B568,20221231)+[1]!s_fa_roe(B568,20201231)+[1]!s_fa_roe(B568,20211231))/3,""))</f>
        <v>0</v>
      </c>
      <c r="P568" s="28" t="str">
        <f>IFERROR(([1]!s_stmnote_bank_65(B568,$A568,1,2,4,100000000)+[1]!s_stmnote_bank_65(B568,$A568,1,2,6,100000000))/[1]!s_stmnote_bank_1n(B568,$A568,1,100000000),"")</f>
        <v/>
      </c>
      <c r="Q568" s="28" t="str">
        <f>IFERROR([1]!s_stmnote_bank_614(B568,$A568,1,2,100000000)/[1]!s_stmnote_bank_647(B568,$A568,1,2,100000000),"")</f>
        <v/>
      </c>
      <c r="R568" s="28" t="str">
        <f>IFERROR(([1]!b_stm07_bs(B568,104,$A568,1,100000000)+[1]!b_stm07_bs(B568,106,$A568,1,100000000)+[1]!b_stm07_bs(B568,76,$A568,1,100000000)+[1]!b_stm07_bs(B568,108,$A568,1,100000000)+[1]!b_stm07_bs(B568,95,$A568,1,100000000))/[1]!b_stm07_bs(B568,128,$A568,1,100000000),"")</f>
        <v/>
      </c>
      <c r="S568" s="28" t="str">
        <f>IFERROR(([1]!s_stmnote_bank_614(B568,$A568,1,2,100000000)+[1]!b_stm07_bs(B568,104,$A568,1,100000000)+[1]!b_stm07_bs(B568,106,$A568,1,100000000)+[1]!b_stm07_bs(B568,76,$A568,1,100000000)+[1]!b_stm07_bs(B568,108,$A568,1,100000000)+[1]!b_stm07_bs(B568,95,$A568,1,100000000))/[1]!b_stm07_bs(B568,128,$A568,1,100000000),"")</f>
        <v/>
      </c>
      <c r="T568" s="11">
        <f>[1]!b_issuer_shareholder(B568,"",1)</f>
        <v>0</v>
      </c>
      <c r="U568" s="10">
        <f>[1]!b_issuer_propofshareholder(B568,"",1)</f>
        <v>0</v>
      </c>
      <c r="V568" s="33" t="str">
        <f t="shared" si="17"/>
        <v>0</v>
      </c>
      <c r="W568" s="33">
        <f>[1]!s_info_city(B568)</f>
        <v>0</v>
      </c>
      <c r="X568" s="10">
        <f>IF([1]!s_stmnote_bank_17n(B568,$A568,1)="0","",[1]!s_stmnote_bank_17n(B568,$A568,1))</f>
        <v>0</v>
      </c>
      <c r="Y568" s="10">
        <f>IF([1]!s_stmnote_bank_18n(B568,$A568,1)="0","",[1]!s_stmnote_bank_18n(B568,$A568,1))</f>
        <v>0</v>
      </c>
      <c r="Z568" s="41">
        <f>IF([1]!s_stmnote_bank_58(B568,$A568,1)="0","",[1]!s_stmnote_bank_58(B568,$A568,1))</f>
        <v>0</v>
      </c>
      <c r="AA568" s="52">
        <f>IF([1]!s_stmnote_bank_60(B568,$A568,1)="0","",[1]!s_stmnote_bank_60(B568,$A568,1))</f>
        <v>0</v>
      </c>
      <c r="AB568" s="52">
        <f>[1]!s_stmnote_bank_5444(B568,$A568,1)</f>
        <v>0</v>
      </c>
      <c r="AC568" s="38">
        <f>[1]!s_stmnote_bank_129n($B568,$A568,1)</f>
        <v>0</v>
      </c>
      <c r="AD568" s="54">
        <f>[1]!s_stmnote_bank_30(B568,$A568,1)</f>
        <v>0</v>
      </c>
    </row>
  </sheetData>
  <phoneticPr fontId="11"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X206"/>
  <sheetViews>
    <sheetView topLeftCell="BD153" workbookViewId="0">
      <selection activeCell="BY4" sqref="BY4:BY192"/>
    </sheetView>
  </sheetViews>
  <sheetFormatPr defaultColWidth="9" defaultRowHeight="12"/>
  <cols>
    <col min="1" max="1" width="13.125" style="47" bestFit="1" customWidth="1"/>
    <col min="2" max="2" width="41.375" style="47" bestFit="1" customWidth="1"/>
    <col min="3" max="3" width="23.875" style="47" bestFit="1" customWidth="1"/>
    <col min="4" max="4" width="9.5" style="47" bestFit="1" customWidth="1"/>
    <col min="5" max="5" width="16.125" style="47" bestFit="1" customWidth="1"/>
    <col min="6" max="7" width="9.5" style="47" bestFit="1" customWidth="1"/>
    <col min="8" max="8" width="70.375" style="47" bestFit="1" customWidth="1"/>
    <col min="9" max="9" width="7.125" style="47" bestFit="1" customWidth="1"/>
    <col min="10" max="10" width="19.875" style="47" bestFit="1" customWidth="1"/>
    <col min="11" max="11" width="255.625" style="47" bestFit="1" customWidth="1"/>
    <col min="12" max="12" width="10" style="48" bestFit="1" customWidth="1"/>
    <col min="13" max="13" width="12.125" style="48" bestFit="1" customWidth="1"/>
    <col min="14" max="15" width="9" style="48"/>
    <col min="16" max="16" width="10" style="48" bestFit="1" customWidth="1"/>
    <col min="17" max="17" width="8.125" style="48" customWidth="1"/>
    <col min="18" max="20" width="9" style="48"/>
    <col min="21" max="21" width="8.125" style="48" bestFit="1" customWidth="1"/>
    <col min="22" max="22" width="9" style="48" bestFit="1" customWidth="1"/>
    <col min="23" max="23" width="10" style="48" bestFit="1" customWidth="1"/>
    <col min="24" max="24" width="11.125" style="48" bestFit="1" customWidth="1"/>
    <col min="25" max="25" width="10" style="48" bestFit="1" customWidth="1"/>
    <col min="26" max="27" width="9.375" style="48" bestFit="1" customWidth="1"/>
    <col min="28" max="28" width="9" style="48" bestFit="1" customWidth="1"/>
    <col min="29" max="29" width="9" style="48"/>
    <col min="30" max="31" width="9" style="48" bestFit="1" customWidth="1"/>
    <col min="32" max="32" width="9" style="48"/>
    <col min="33" max="33" width="11" style="48" bestFit="1" customWidth="1"/>
    <col min="34" max="34" width="8.375" style="48" bestFit="1" customWidth="1"/>
    <col min="35" max="35" width="9" style="48" bestFit="1" customWidth="1"/>
    <col min="36" max="36" width="21.5" style="48" bestFit="1" customWidth="1"/>
    <col min="37" max="37" width="20.375" style="48" bestFit="1" customWidth="1"/>
    <col min="38" max="38" width="16.25" style="48" bestFit="1" customWidth="1"/>
    <col min="39" max="39" width="29.875" style="48" bestFit="1" customWidth="1"/>
    <col min="40" max="41" width="9" style="48" bestFit="1" customWidth="1"/>
    <col min="42" max="42" width="7.125" style="48" bestFit="1" customWidth="1"/>
    <col min="43" max="45" width="9" style="48" bestFit="1" customWidth="1"/>
    <col min="46" max="46" width="8.375" style="48" bestFit="1" customWidth="1"/>
    <col min="47" max="54" width="9" style="48" bestFit="1" customWidth="1"/>
    <col min="55" max="55" width="7.125" style="48" bestFit="1" customWidth="1"/>
    <col min="56" max="56" width="9" style="48" bestFit="1" customWidth="1"/>
    <col min="57" max="57" width="9" style="14" bestFit="1" customWidth="1"/>
    <col min="58" max="58" width="9" style="48" bestFit="1" customWidth="1"/>
    <col min="59" max="59" width="43.25" style="48" bestFit="1" customWidth="1"/>
    <col min="60" max="60" width="37.5" style="48" bestFit="1" customWidth="1"/>
    <col min="61" max="61" width="13" style="48" bestFit="1" customWidth="1"/>
    <col min="62" max="62" width="7.125" style="48" bestFit="1" customWidth="1"/>
    <col min="63" max="63" width="10.25" style="48" bestFit="1" customWidth="1"/>
    <col min="64" max="65" width="9" style="48" bestFit="1" customWidth="1"/>
    <col min="66" max="67" width="9" style="14" bestFit="1" customWidth="1"/>
    <col min="68" max="68" width="7.125" style="14" bestFit="1" customWidth="1"/>
    <col min="69" max="69" width="11" style="48" customWidth="1"/>
    <col min="70" max="70" width="11" style="48" bestFit="1" customWidth="1"/>
    <col min="71" max="71" width="9.375" style="48" bestFit="1" customWidth="1"/>
    <col min="72" max="76" width="10.25" style="48" bestFit="1" customWidth="1"/>
    <col min="77" max="77" width="11" style="48" bestFit="1" customWidth="1"/>
    <col min="78" max="78" width="8.5" style="48" bestFit="1" customWidth="1"/>
    <col min="79" max="83" width="10.25" style="48" bestFit="1" customWidth="1"/>
    <col min="84" max="84" width="7.125" style="48" bestFit="1" customWidth="1"/>
    <col min="85" max="85" width="7.625" style="48" bestFit="1" customWidth="1"/>
    <col min="86" max="87" width="8.125" style="48" bestFit="1" customWidth="1"/>
    <col min="88" max="89" width="13" style="48" bestFit="1" customWidth="1"/>
    <col min="90" max="90" width="11" style="48" bestFit="1" customWidth="1"/>
    <col min="91" max="91" width="15.125" style="48" bestFit="1" customWidth="1"/>
    <col min="92" max="92" width="13" style="48" bestFit="1" customWidth="1"/>
    <col min="93" max="93" width="15.125" style="48" bestFit="1" customWidth="1"/>
    <col min="94" max="94" width="9.5" style="48" bestFit="1" customWidth="1"/>
    <col min="95" max="95" width="7.25" style="48" bestFit="1" customWidth="1"/>
    <col min="96" max="96" width="10.25" style="48" bestFit="1" customWidth="1"/>
    <col min="97" max="97" width="10.25" style="48" customWidth="1"/>
    <col min="98" max="98" width="10.25" style="48" bestFit="1" customWidth="1"/>
    <col min="99" max="99" width="14.375" style="48" bestFit="1" customWidth="1"/>
    <col min="100" max="100" width="13.125" style="48" bestFit="1" customWidth="1"/>
    <col min="101" max="102" width="13" style="48" bestFit="1" customWidth="1"/>
    <col min="103" max="16384" width="9" style="48"/>
  </cols>
  <sheetData>
    <row r="1" spans="1:102" s="14" customFormat="1" ht="13.5" customHeight="1">
      <c r="A1" s="1" t="s">
        <v>0</v>
      </c>
      <c r="B1" s="1" t="s">
        <v>1077</v>
      </c>
      <c r="C1" s="1" t="s">
        <v>1105</v>
      </c>
      <c r="D1" s="1" t="s">
        <v>1085</v>
      </c>
      <c r="E1" s="35" t="s">
        <v>1106</v>
      </c>
      <c r="F1" s="35" t="s">
        <v>1107</v>
      </c>
      <c r="G1" s="35" t="s">
        <v>1108</v>
      </c>
      <c r="H1" s="86" t="s">
        <v>5</v>
      </c>
      <c r="I1" s="86" t="s">
        <v>6</v>
      </c>
      <c r="J1" s="86" t="s">
        <v>1088</v>
      </c>
      <c r="K1" s="86" t="s">
        <v>7</v>
      </c>
      <c r="L1" s="86" t="s">
        <v>1104</v>
      </c>
      <c r="M1" s="86" t="s">
        <v>9</v>
      </c>
      <c r="N1" s="86"/>
      <c r="O1" s="86"/>
      <c r="P1" s="86"/>
      <c r="Q1" s="86"/>
      <c r="R1" s="86"/>
      <c r="S1" s="86"/>
      <c r="T1" s="86"/>
      <c r="U1" s="86" t="s">
        <v>1103</v>
      </c>
      <c r="V1" s="86"/>
      <c r="W1" s="86"/>
      <c r="X1" s="86"/>
      <c r="Y1" s="86"/>
      <c r="Z1" s="86" t="s">
        <v>11</v>
      </c>
      <c r="AA1" s="86"/>
      <c r="AB1" s="86"/>
      <c r="AC1" s="86"/>
      <c r="AD1" s="86"/>
      <c r="AE1" s="86"/>
      <c r="AF1" s="86"/>
      <c r="AG1" s="86"/>
      <c r="AH1" s="86"/>
      <c r="AI1" s="1"/>
      <c r="AJ1" s="86" t="s">
        <v>12</v>
      </c>
      <c r="AK1" s="86" t="s">
        <v>13</v>
      </c>
      <c r="AL1" s="86" t="s">
        <v>14</v>
      </c>
      <c r="AM1" s="86" t="s">
        <v>15</v>
      </c>
      <c r="AN1" s="86" t="s">
        <v>16</v>
      </c>
      <c r="AO1" s="86"/>
      <c r="AP1" s="86"/>
      <c r="AQ1" s="86"/>
      <c r="AR1" s="86"/>
      <c r="AS1" s="86"/>
      <c r="AT1" s="86"/>
      <c r="AU1" s="86"/>
      <c r="AV1" s="86" t="s">
        <v>17</v>
      </c>
      <c r="AW1" s="86"/>
      <c r="AX1" s="86"/>
      <c r="AY1" s="86" t="s">
        <v>18</v>
      </c>
      <c r="AZ1" s="86"/>
      <c r="BA1" s="86"/>
      <c r="BB1" s="86"/>
      <c r="BC1" s="86" t="s">
        <v>19</v>
      </c>
      <c r="BD1" s="86" t="s">
        <v>20</v>
      </c>
      <c r="BE1" s="86" t="s">
        <v>21</v>
      </c>
      <c r="BF1" s="86" t="s">
        <v>22</v>
      </c>
      <c r="BG1" s="86" t="s">
        <v>23</v>
      </c>
      <c r="BH1" s="86" t="s">
        <v>21</v>
      </c>
      <c r="BI1" s="86"/>
      <c r="BJ1" s="86" t="s">
        <v>24</v>
      </c>
      <c r="BK1" s="86"/>
      <c r="BL1" s="86" t="s">
        <v>25</v>
      </c>
      <c r="BM1" s="86"/>
      <c r="BN1" s="86" t="s">
        <v>1058</v>
      </c>
      <c r="BO1" s="86"/>
      <c r="BP1" s="86"/>
      <c r="BQ1" s="86" t="s">
        <v>1057</v>
      </c>
      <c r="BR1" s="86" t="s">
        <v>1059</v>
      </c>
      <c r="BS1" s="86"/>
      <c r="BT1" s="86"/>
      <c r="BU1" s="86"/>
      <c r="BV1" s="86"/>
      <c r="BW1" s="86"/>
      <c r="BX1" s="86"/>
      <c r="BY1" s="86"/>
      <c r="BZ1" s="86"/>
      <c r="CA1" s="86"/>
      <c r="CB1" s="86"/>
      <c r="CC1" s="86"/>
      <c r="CD1" s="86"/>
      <c r="CE1" s="86"/>
      <c r="CF1" s="86"/>
      <c r="CG1" s="1"/>
      <c r="CH1" s="1"/>
      <c r="CI1" s="1"/>
      <c r="CJ1" s="86" t="s">
        <v>1071</v>
      </c>
      <c r="CK1" s="86" t="s">
        <v>1073</v>
      </c>
      <c r="CL1" s="86" t="s">
        <v>1074</v>
      </c>
      <c r="CM1" s="86" t="s">
        <v>1078</v>
      </c>
      <c r="CN1" s="86" t="s">
        <v>1079</v>
      </c>
      <c r="CO1" s="86" t="s">
        <v>1080</v>
      </c>
      <c r="CP1" s="1"/>
      <c r="CQ1" s="1"/>
      <c r="CR1" s="86" t="s">
        <v>1081</v>
      </c>
      <c r="CS1" s="1"/>
      <c r="CT1" s="86" t="s">
        <v>1082</v>
      </c>
      <c r="CU1" s="86" t="s">
        <v>1095</v>
      </c>
      <c r="CV1" s="86" t="s">
        <v>1097</v>
      </c>
      <c r="CW1" s="86" t="s">
        <v>1099</v>
      </c>
      <c r="CX1" s="86" t="s">
        <v>1100</v>
      </c>
    </row>
    <row r="2" spans="1:102" s="12" customFormat="1" ht="60">
      <c r="A2" s="1" t="s">
        <v>26</v>
      </c>
      <c r="B2" s="1" t="s">
        <v>27</v>
      </c>
      <c r="C2" s="35" t="s">
        <v>1</v>
      </c>
      <c r="D2" s="35" t="s">
        <v>1060</v>
      </c>
      <c r="E2" s="35" t="s">
        <v>2</v>
      </c>
      <c r="F2" s="35" t="s">
        <v>3</v>
      </c>
      <c r="G2" s="35" t="s">
        <v>4</v>
      </c>
      <c r="H2" s="86"/>
      <c r="I2" s="86"/>
      <c r="J2" s="86"/>
      <c r="K2" s="86"/>
      <c r="L2" s="86"/>
      <c r="M2" s="1" t="s">
        <v>28</v>
      </c>
      <c r="N2" s="1" t="s">
        <v>29</v>
      </c>
      <c r="O2" s="1" t="s">
        <v>1096</v>
      </c>
      <c r="P2" s="1" t="s">
        <v>30</v>
      </c>
      <c r="Q2" s="1" t="s">
        <v>1089</v>
      </c>
      <c r="R2" s="1" t="s">
        <v>31</v>
      </c>
      <c r="S2" s="1" t="s">
        <v>32</v>
      </c>
      <c r="T2" s="1" t="s">
        <v>33</v>
      </c>
      <c r="U2" s="1" t="s">
        <v>34</v>
      </c>
      <c r="V2" s="1" t="s">
        <v>35</v>
      </c>
      <c r="W2" s="1" t="s">
        <v>36</v>
      </c>
      <c r="X2" s="1" t="s">
        <v>37</v>
      </c>
      <c r="Y2" s="1" t="s">
        <v>38</v>
      </c>
      <c r="Z2" s="1" t="s">
        <v>39</v>
      </c>
      <c r="AA2" s="1" t="s">
        <v>40</v>
      </c>
      <c r="AB2" s="1" t="s">
        <v>41</v>
      </c>
      <c r="AC2" s="1" t="s">
        <v>42</v>
      </c>
      <c r="AD2" s="1" t="s">
        <v>1090</v>
      </c>
      <c r="AE2" s="1" t="s">
        <v>43</v>
      </c>
      <c r="AF2" s="1" t="s">
        <v>44</v>
      </c>
      <c r="AG2" s="1" t="s">
        <v>1091</v>
      </c>
      <c r="AH2" s="1" t="s">
        <v>1070</v>
      </c>
      <c r="AI2" s="1" t="s">
        <v>1092</v>
      </c>
      <c r="AJ2" s="86"/>
      <c r="AK2" s="86"/>
      <c r="AL2" s="86"/>
      <c r="AM2" s="86"/>
      <c r="AN2" s="1" t="s">
        <v>39</v>
      </c>
      <c r="AO2" s="1" t="s">
        <v>40</v>
      </c>
      <c r="AP2" s="1" t="s">
        <v>46</v>
      </c>
      <c r="AQ2" s="1" t="s">
        <v>42</v>
      </c>
      <c r="AR2" s="1" t="s">
        <v>43</v>
      </c>
      <c r="AS2" s="1" t="s">
        <v>44</v>
      </c>
      <c r="AT2" s="1" t="s">
        <v>45</v>
      </c>
      <c r="AU2" s="1" t="s">
        <v>16</v>
      </c>
      <c r="AV2" s="1" t="e">
        <f>#REF!</f>
        <v>#REF!</v>
      </c>
      <c r="AW2" s="1" t="e">
        <f>#REF!</f>
        <v>#REF!</v>
      </c>
      <c r="AX2" s="1" t="e">
        <f>#REF!</f>
        <v>#REF!</v>
      </c>
      <c r="AY2" s="1" t="s">
        <v>47</v>
      </c>
      <c r="AZ2" s="1" t="s">
        <v>48</v>
      </c>
      <c r="BA2" s="1" t="s">
        <v>10</v>
      </c>
      <c r="BB2" s="1" t="s">
        <v>49</v>
      </c>
      <c r="BC2" s="86"/>
      <c r="BD2" s="86"/>
      <c r="BE2" s="86"/>
      <c r="BF2" s="86"/>
      <c r="BG2" s="86"/>
      <c r="BH2" s="1" t="s">
        <v>50</v>
      </c>
      <c r="BI2" s="1" t="s">
        <v>51</v>
      </c>
      <c r="BJ2" s="1" t="s">
        <v>52</v>
      </c>
      <c r="BK2" s="1" t="s">
        <v>53</v>
      </c>
      <c r="BL2" s="1" t="s">
        <v>54</v>
      </c>
      <c r="BM2" s="1" t="s">
        <v>55</v>
      </c>
      <c r="BN2" s="1" t="s">
        <v>56</v>
      </c>
      <c r="BO2" s="1" t="s">
        <v>57</v>
      </c>
      <c r="BP2" s="1" t="s">
        <v>1056</v>
      </c>
      <c r="BQ2" s="86"/>
      <c r="BR2" s="35" t="s">
        <v>56</v>
      </c>
      <c r="BS2" s="35"/>
      <c r="BT2" s="35"/>
      <c r="BU2" s="35"/>
      <c r="BV2" s="35"/>
      <c r="BW2" s="35"/>
      <c r="BX2" s="35"/>
      <c r="BY2" s="35" t="s">
        <v>57</v>
      </c>
      <c r="BZ2" s="35"/>
      <c r="CA2" s="35"/>
      <c r="CB2" s="35"/>
      <c r="CC2" s="35"/>
      <c r="CD2" s="35"/>
      <c r="CE2" s="35"/>
      <c r="CF2" s="35" t="s">
        <v>1056</v>
      </c>
      <c r="CG2" s="35" t="s">
        <v>1093</v>
      </c>
      <c r="CH2" s="35" t="s">
        <v>1101</v>
      </c>
      <c r="CI2" s="35" t="s">
        <v>1102</v>
      </c>
      <c r="CJ2" s="86"/>
      <c r="CK2" s="86"/>
      <c r="CL2" s="86"/>
      <c r="CM2" s="86"/>
      <c r="CN2" s="86"/>
      <c r="CO2" s="86"/>
      <c r="CP2" s="1" t="s">
        <v>1083</v>
      </c>
      <c r="CQ2" s="1" t="s">
        <v>1084</v>
      </c>
      <c r="CR2" s="86" t="s">
        <v>1081</v>
      </c>
      <c r="CS2" s="35" t="s">
        <v>1094</v>
      </c>
      <c r="CT2" s="86" t="s">
        <v>1082</v>
      </c>
      <c r="CU2" s="86" t="s">
        <v>1082</v>
      </c>
      <c r="CV2" s="86"/>
      <c r="CW2" s="86"/>
      <c r="CX2" s="86"/>
    </row>
    <row r="3" spans="1:102" s="45" customFormat="1" ht="12" customHeight="1">
      <c r="A3" s="49" t="s">
        <v>58</v>
      </c>
      <c r="B3" s="2"/>
      <c r="C3" s="3"/>
      <c r="D3" s="3"/>
      <c r="E3" s="4"/>
      <c r="F3" s="4"/>
      <c r="G3" s="4"/>
      <c r="H3" s="4"/>
      <c r="I3" s="4"/>
      <c r="J3" s="4"/>
      <c r="K3" s="4"/>
      <c r="L3" s="4"/>
      <c r="M3" s="17"/>
      <c r="N3" s="4"/>
      <c r="O3" s="4"/>
      <c r="P3" s="4"/>
      <c r="Q3" s="4"/>
      <c r="R3" s="4"/>
      <c r="S3" s="4"/>
      <c r="T3" s="4"/>
      <c r="U3" s="4"/>
      <c r="V3" s="4"/>
      <c r="W3" s="4"/>
      <c r="X3" s="4"/>
      <c r="Y3" s="4"/>
      <c r="Z3" s="4"/>
      <c r="AA3" s="4"/>
      <c r="AB3" s="4"/>
      <c r="AC3" s="4"/>
      <c r="AD3" s="4"/>
      <c r="AE3" s="4"/>
      <c r="AF3" s="4"/>
      <c r="AG3" s="4"/>
      <c r="AH3" s="17"/>
      <c r="AI3" s="17"/>
      <c r="AJ3" s="17"/>
      <c r="AK3" s="17"/>
      <c r="AL3" s="17"/>
      <c r="AM3" s="26"/>
      <c r="AN3" s="29">
        <v>0.2</v>
      </c>
      <c r="AO3" s="29">
        <v>0.2</v>
      </c>
      <c r="AP3" s="29">
        <v>0.18</v>
      </c>
      <c r="AQ3" s="29">
        <v>0.12</v>
      </c>
      <c r="AR3" s="29">
        <v>0.09</v>
      </c>
      <c r="AS3" s="29">
        <v>0.12</v>
      </c>
      <c r="AT3" s="29">
        <v>0.09</v>
      </c>
      <c r="AU3" s="30"/>
      <c r="AV3" s="30"/>
      <c r="AW3" s="30"/>
      <c r="AX3" s="30"/>
      <c r="AY3" s="14"/>
      <c r="AZ3" s="14"/>
      <c r="BA3" s="14"/>
      <c r="BB3" s="17"/>
      <c r="BC3" s="17"/>
      <c r="BD3" s="17"/>
      <c r="BE3" s="17"/>
      <c r="BF3" s="17"/>
      <c r="BG3" s="17"/>
      <c r="BH3" s="30"/>
      <c r="BI3" s="30"/>
      <c r="BJ3" s="30"/>
      <c r="BK3" s="30"/>
      <c r="BL3" s="4"/>
      <c r="BM3" s="36"/>
      <c r="BN3" s="37"/>
      <c r="BO3" s="52"/>
      <c r="BP3" s="52"/>
      <c r="BQ3" s="38"/>
    </row>
    <row r="4" spans="1:102" s="45" customFormat="1" ht="13.5">
      <c r="A4" s="49" t="s">
        <v>59</v>
      </c>
      <c r="B4" s="8">
        <f>IF([1]!b_info_issuer(A4)="0","",IFERROR([1]!b_info_issuer(A4),""))</f>
        <v>0</v>
      </c>
      <c r="C4" s="9">
        <f>IF([1]!b_issuer_issuershortened(A4)="0","",IFERROR([1]!b_issuer_issuershortened(A4),""))</f>
        <v>0</v>
      </c>
      <c r="D4" s="9"/>
      <c r="E4" s="10"/>
      <c r="F4" s="11">
        <f>IF([1]!b_info_latestissurercreditrating(A4)="0","",IFERROR([1]!b_info_latestissurercreditrating(A4),""))</f>
        <v>0</v>
      </c>
      <c r="G4" s="11" t="str">
        <f>_xlfn.IFNA(VLOOKUP(B4,'[2]主表-22'!$C:$H,5,0),"")</f>
        <v/>
      </c>
      <c r="H4" s="11"/>
      <c r="I4" s="11"/>
      <c r="J4" s="11"/>
      <c r="K4" s="11"/>
      <c r="L4" s="27" t="str">
        <f>IFERROR(([1]!b_stm07_bs($A4,47,$A$1,1,100000000))/[1]!b_stm07_bs($A4,109,$A$1,1,100000000),"")</f>
        <v/>
      </c>
      <c r="M4" s="20"/>
      <c r="N4" s="18" t="str">
        <f>IFERROR(([1]!s_stmnote_bank_26($A4,$A$1,1,100000000)-[1]!s_stmnote_bank_26($A4,$B$1,1,100000000)+M4)/[1]!s_stmnote_bank_1n($A4,$B$1,1,100000000),"")</f>
        <v/>
      </c>
      <c r="O4" s="27" t="e">
        <f t="shared" ref="O4:O67" si="0">RANK(N4,N$5:N$192,1)&amp;" "&amp;COUNTIF(N$5:N$192,"&gt;0")</f>
        <v>#VALUE!</v>
      </c>
      <c r="P4" s="21" t="str">
        <f>IF(IFERROR(R4+AB4/100,"")=0,"",IFERROR(R4+AB4/100,""))</f>
        <v/>
      </c>
      <c r="Q4" s="27" t="e">
        <f t="shared" ref="Q4:Q67" si="1">RANK(P4,P$5:P$192,1)&amp;" "&amp;COUNTIF(P$5:P$192,"&gt;0")</f>
        <v>#VALUE!</v>
      </c>
      <c r="R4" s="18" t="str">
        <f>IFERROR([1]!s_stmnote_bank($A4,"34",$A$1,100000000)/[1]!s_stmnote_bank_1n(A4,$A$1,1,100000000),"")</f>
        <v/>
      </c>
      <c r="S4" s="22" t="str">
        <f>IFERROR((1113.54+22.69)/[1]!s_stmnote_bank_1n(A4,$A$1,1,100000000),"")</f>
        <v/>
      </c>
      <c r="T4" s="22" t="str">
        <f>IFERROR((508.62)/[1]!s_stmnote_bank_1n(A4,$A$1,1,100000000),"")</f>
        <v/>
      </c>
      <c r="U4" s="22" t="str">
        <f>IFERROR((1298.51)/[1]!b_stm07_bs($A4,74,$A$1,1,100000000),"")</f>
        <v/>
      </c>
      <c r="V4" s="22"/>
      <c r="W4" s="22" t="str">
        <f>IFERROR((22.36)/([1]!s_stm07_bs_fininv($A4,$A$1,1,100000000)+[1]!s_stm07_bs_71($A4,$A$1,1,100000000)),"")</f>
        <v/>
      </c>
      <c r="X4" s="22" t="str">
        <f>IFERROR((240.77+1.12)/([1]!s_stm07_bs_fininv($A4,$A$1,1,100000000)+[1]!s_stm07_bs_71($A4,$A$1,1,100000000)),"")</f>
        <v/>
      </c>
      <c r="Y4" s="22">
        <f>(10.47+240.21)/(240.77+1.12)</f>
        <v>1.0363388317003597</v>
      </c>
      <c r="Z4" s="25">
        <f>IF([1]!b_stm07_bs(A4,74,$A$1,1,100000000)="0","",IFERROR([1]!b_stm07_bs(A4,74,$A$1,1,100000000),""))</f>
        <v>0</v>
      </c>
      <c r="AA4" s="25">
        <f>IF([1]!b_stm07_bs(A4,109,$A$1,1,100000000)="0","",IFERROR([1]!b_stm07_bs(A4,109,$A$1,1,100000000),""))</f>
        <v>0</v>
      </c>
      <c r="AB4" s="10">
        <f>IF([1]!s_stmnote_bank_5n(A4,$A$1,1)="0","",IFERROR([1]!s_stmnote_bank_5n(A4,$A$1,1),""))</f>
        <v>0</v>
      </c>
      <c r="AC4" s="25" t="str">
        <f>IF([1]!s_stmnote_bank_23n(A4,$A$1,1)=0,"",IFERROR([1]!s_stmnote_bank_23n(A4,$A$1,1),""))</f>
        <v/>
      </c>
      <c r="AD4" s="27" t="e">
        <f t="shared" ref="AD4:AD67" si="2">RANK(AC4,AC$5:AC$192,1)&amp;" "&amp;COUNTIF(AC$5:AC$192,"&gt;0")</f>
        <v>#VALUE!</v>
      </c>
      <c r="AE4" s="25">
        <f>IF([1]!s_stmnote_bank_capadequacyratio(A4,$A$1,1)="0","",IFERROR([1]!s_stmnote_bank_capadequacyratio(A4,$A$1,1),""))</f>
        <v>0</v>
      </c>
      <c r="AF4" s="25" t="str">
        <f>IF([1]!s_stmnote_bank_capadequacyratio_ct1(A4,$A$1,1)=0,"",IFERROR([1]!s_stmnote_bank_capadequacyratio_ct1(A4,$A$1,1),""))</f>
        <v/>
      </c>
      <c r="AG4" s="27" t="e">
        <f>RANK(AF4,AF$5:AF$192,0)&amp;" "&amp;COUNTIF(AF$5:AF$192,"&gt;0")</f>
        <v>#VALUE!</v>
      </c>
      <c r="AH4" s="6" t="str">
        <f>IF(OR([1]!s_fa_roe(A4,20201231)=0,[1]!s_fa_roe(A4,20211231)="0",[1]!s_fa_roe(A4,20221231)="0"),"",IFERROR(([1]!s_fa_roe(A4,20221231)+[1]!s_fa_roe(A4,20201231)+[1]!s_fa_roe(A4,20211231))/3,""))</f>
        <v/>
      </c>
      <c r="AI4" s="27" t="e">
        <f t="shared" ref="AI4:AI67" si="3">RANK(AH4,AH$5:AH$192,1)&amp;" "&amp;COUNTIF(AH$5:AH$192,"&gt;0")</f>
        <v>#VALUE!</v>
      </c>
      <c r="AJ4" s="27" t="str">
        <f>IFERROR(([1]!s_stmnote_bank_65(A4,$A$1,1,2,4,100000000)+[1]!s_stmnote_bank_65(A4,$A$1,1,2,6,100000000))/[1]!s_stmnote_bank_1n(A4,$A$1,1,100000000),"")</f>
        <v/>
      </c>
      <c r="AK4" s="27" t="str">
        <f>IFERROR([1]!s_stmnote_bank_614(A4,$A$1,1,2,100000000)/[1]!s_stmnote_bank_647(A4,$A$1,1,2,100000000),"")</f>
        <v/>
      </c>
      <c r="AL4" s="27" t="str">
        <f>IFERROR(([1]!b_stm07_bs(A4,104,$A$1,1,100000000)+[1]!b_stm07_bs(A4,106,$A$1,1,100000000)+[1]!b_stm07_bs(A4,76,$A$1,1,100000000)+[1]!b_stm07_bs(A4,108,$A$1,1,100000000)+[1]!b_stm07_bs(A4,95,$A$1,1,100000000))/[1]!b_stm07_bs(A4,128,$A$1,1,100000000),"")</f>
        <v/>
      </c>
      <c r="AM4" s="27" t="str">
        <f>IFERROR(([1]!s_stmnote_bank_614(A4,$A$1,1,2,100000000)+[1]!b_stm07_bs(A4,104,$A$1,1,100000000)+[1]!b_stm07_bs(A4,106,$A$1,1,100000000)+[1]!b_stm07_bs(A4,76,$A$1,1,100000000)+[1]!b_stm07_bs(A4,108,$A$1,1,100000000)+[1]!b_stm07_bs(A4,95,$A$1,1,100000000))/[1]!b_stm07_bs(A4,128,$A$1,1,100000000),"")</f>
        <v/>
      </c>
      <c r="AN4" s="31" t="e">
        <f>IF(Z4&gt;#REF!,#REF!,IF(Z4&gt;#REF!,#REF!,IF(Z4&gt;#REF!,#REF!,IF(Z4&gt;#REF!,#REF!,IF(Z4&gt;#REF!,#REF!,IF(Z4&gt;#REF!,#REF!,IF(Z4&gt;#REF!,#REF!,#REF!)))))))</f>
        <v>#REF!</v>
      </c>
      <c r="AO4" s="31" t="e">
        <f>IF(AA4&gt;#REF!,#REF!,IF(AA4&gt;#REF!,#REF!,IF(AA4&gt;#REF!,#REF!,IF(AA4&gt;#REF!,#REF!,IF(AA4&gt;#REF!,#REF!,IF(AA4&gt;#REF!,#REF!,IF(AA4&gt;#REF!,#REF!,#REF!)))))))</f>
        <v>#REF!</v>
      </c>
      <c r="AP4" s="31" t="e">
        <f>IF(AB4&lt;#REF!,#REF!,IF(AB4&lt;#REF!,#REF!,IF(AB4&lt;#REF!,#REF!,IF(AB4&lt;#REF!,#REF!,IF(AB4&lt;#REF!,#REF!,IF(AB4&lt;#REF!,#REF!,#REF!))))))</f>
        <v>#REF!</v>
      </c>
      <c r="AQ4" s="31" t="e">
        <f>IF(AC4&gt;#REF!,#REF!,IF(AC4&gt;#REF!,#REF!,IF(AC4&gt;#REF!,#REF!,IF(AC4&gt;#REF!,#REF!,#REF!))))</f>
        <v>#REF!</v>
      </c>
      <c r="AR4" s="31" t="e">
        <f>IF(AE4&gt;#REF!,#REF!,IF(AE4&gt;#REF!,#REF!,IF(AE4&gt;#REF!,#REF!,IF(AE4&gt;#REF!,#REF!,#REF!))))</f>
        <v>#REF!</v>
      </c>
      <c r="AS4" s="31" t="e">
        <f>IF(AF4&gt;#REF!,#REF!,IF(AF4&gt;#REF!,#REF!,IF(AF4&gt;#REF!,#REF!,IF(AF4&gt;#REF!,#REF!,#REF!))))</f>
        <v>#REF!</v>
      </c>
      <c r="AT4" s="31" t="e">
        <f>IF(AH4&gt;#REF!,#REF!,IF(AH4&gt;#REF!,#REF!,IF(AH4&gt;#REF!,#REF!,IF(AH4&gt;#REF!,#REF!,IF(AH4&gt;#REF!,#REF!,#REF!)))))</f>
        <v>#REF!</v>
      </c>
      <c r="AU4" s="10" t="e">
        <f t="shared" ref="AU4:AU67" si="4">AN4*$AN$3+AP4*$AP$3+AQ4*$AQ$3+AR4*$AR$3+AS4*$AS$3+AT4*$AT$3+$AO$3*AO4</f>
        <v>#REF!</v>
      </c>
      <c r="AV4" s="10" t="s">
        <v>60</v>
      </c>
      <c r="AW4" s="10" t="s">
        <v>61</v>
      </c>
      <c r="AX4" s="10" t="s">
        <v>62</v>
      </c>
      <c r="AY4" s="31" t="str">
        <f>IFERROR(VLOOKUP(AV4,#REF!,3,0),"")</f>
        <v/>
      </c>
      <c r="AZ4" s="31" t="str">
        <f>IFERROR(VLOOKUP(AW4,#REF!,3,0),"")</f>
        <v/>
      </c>
      <c r="BA4" s="31" t="str">
        <f>IFERROR(VLOOKUP(AX4,#REF!,3,0),"")</f>
        <v/>
      </c>
      <c r="BB4" s="31" t="str">
        <f>IFERROR(AY4*#REF!+AZ4*#REF!+BA4*#REF!,"")</f>
        <v/>
      </c>
      <c r="BC4" s="32" t="str">
        <f t="shared" ref="BC4:BC67" si="5">IFERROR(AU4*0.6+BB4*0.4,"")</f>
        <v/>
      </c>
      <c r="BD4" s="32" t="str">
        <f>IFERROR(VLOOKUP(BC4*10,#REF!,2,1),"")</f>
        <v/>
      </c>
      <c r="BE4" s="11"/>
      <c r="BF4" s="11"/>
      <c r="BG4" s="10"/>
      <c r="BH4" s="11">
        <f>[1]!b_issuer_shareholder(A4,"",1)</f>
        <v>0</v>
      </c>
      <c r="BI4" s="10">
        <f>[1]!b_issuer_propofshareholder(A4,"",1)</f>
        <v>0</v>
      </c>
      <c r="BJ4" s="33" t="str">
        <f>LEFT(B4,2)</f>
        <v>0</v>
      </c>
      <c r="BK4" s="33">
        <f>[1]!s_info_city(A4)</f>
        <v>0</v>
      </c>
      <c r="BL4" s="10">
        <f>IF([1]!s_stmnote_bank_17n(A4,$A$1,1)="0","",[1]!s_stmnote_bank_17n(A4,$A$1,1))</f>
        <v>0</v>
      </c>
      <c r="BM4" s="10">
        <f>IF([1]!s_stmnote_bank_18n(A4,$A$1,1)="0","",[1]!s_stmnote_bank_18n(A4,$A$1,1))</f>
        <v>0</v>
      </c>
      <c r="BN4" s="41">
        <f>IF([1]!s_stmnote_bank_58(A4,$A$1,1)="0","",[1]!s_stmnote_bank_58(A4,$A$1,1))</f>
        <v>0</v>
      </c>
      <c r="BO4" s="52">
        <f>IF([1]!s_stmnote_bank_60(A4,$A$1,1)="0","",[1]!s_stmnote_bank_60(A4,$A$1,1))</f>
        <v>0</v>
      </c>
      <c r="BP4" s="52">
        <f>[1]!s_stmnote_bank_5444(A4,$A$1,1)</f>
        <v>0</v>
      </c>
      <c r="BQ4" s="38">
        <f>[1]!s_stmnote_bank_129n($A4,$A$1,1)</f>
        <v>0</v>
      </c>
      <c r="BR4" s="52" t="e">
        <f>([1]!b_stm07_is(A4,19,$A$1,1,100000000))/AVERAGE([1]!s_stmnote_bank_35(A4,$A$1,1,100000000),[1]!s_stmnote_bank_35(A4,$E$1,1,100000000),[1]!s_stmnote_bank_35(A4,$F$1,1,100000000),[1]!s_stmnote_bank_35(A4,$G$1,1,100000000))*100</f>
        <v>#DIV/0!</v>
      </c>
      <c r="BS4" s="52"/>
      <c r="BT4" s="74">
        <v>10</v>
      </c>
      <c r="BU4" s="74">
        <v>70</v>
      </c>
      <c r="BV4" s="74">
        <v>5</v>
      </c>
      <c r="BW4" s="74">
        <v>10</v>
      </c>
      <c r="BX4" s="74">
        <f>100-SUM(BT4:BW4)</f>
        <v>5</v>
      </c>
      <c r="BY4" s="52">
        <f>IFERROR([1]!b_stm07_is(A4,20,$A$1,1,100000000)/AVERAGEIF(CA4:CE4,"&gt;0")*100,0)</f>
        <v>0</v>
      </c>
      <c r="BZ4" s="52"/>
      <c r="CA4" s="52"/>
      <c r="CB4" s="52"/>
      <c r="CC4" s="52"/>
      <c r="CD4" s="52"/>
      <c r="CE4" s="52"/>
      <c r="CF4" s="52" t="str">
        <f>IF(BP4&lt;&gt;0,BP4,IFERROR(IF(([1]!b_stm07_is(A4,19,$A$1,1,100000000)-[1]!b_stm07_is(A4,20,$A$1,1,100000000))/AVERAGE([1]!s_stmnote_bank_35(A4,$A$1,1,100000000),[1]!s_stmnote_bank_35(A4,$B$1,1,100000000))*100=0,"",([1]!b_stm07_is(A4,19,$A$1,1,100000000)-[1]!b_stm07_is(A4,20,$A$1,1,100000000))/AVERAGE([1]!s_stmnote_bank_35(A4,$A$1,1,100000000),[1]!s_stmnote_bank_35(A4,$B$1,1,100000000))*100),""))</f>
        <v/>
      </c>
      <c r="CG4" s="27" t="e">
        <f t="shared" ref="CG4:CG67" si="6">RANK(CF4,CF$5:CF$192,0)&amp;" "&amp;COUNTIF(CF$5:CF$192,"&gt;0")</f>
        <v>#VALUE!</v>
      </c>
      <c r="CH4" s="80" t="str">
        <f>IFERROR(CF4/100/P4,"")</f>
        <v/>
      </c>
      <c r="CI4" s="27" t="e">
        <f t="shared" ref="CI4:CI67" si="7">RANK(CH4,CH$5:CH$192,0)&amp;" "&amp;COUNTIF(CH$5:CH$192,"&gt;0")</f>
        <v>#VALUE!</v>
      </c>
      <c r="CJ4" s="54">
        <f>[1]!s_stmnote_bank_30(A4,$A$1,1)</f>
        <v>0</v>
      </c>
      <c r="CM4" s="59" t="e">
        <f>CK4/(5/8*[1]!s_stmnote_bank_1n($A4,$A$1,1,100000000)+[1]!s_stmnote_bank_1n($A4,$B$1,1,100000000)*3/8)</f>
        <v>#DIV/0!</v>
      </c>
      <c r="CO4" s="61" t="e">
        <f>CN4/(5/8*[1]!b_stm07_bs($A4,109,$A$1,1,100000000)+[1]!b_stm07_bs($A4,109,$B$1,1,100000000)*3/8)</f>
        <v>#DIV/0!</v>
      </c>
      <c r="CP4" s="69">
        <f>[1]!b_stm07_bs($A4,141,$A$1,1,100000000)</f>
        <v>0</v>
      </c>
      <c r="CQ4" s="69">
        <f>[1]!b_stm07_bs($A4,141,$D$1,1,100000000)</f>
        <v>0</v>
      </c>
      <c r="CR4" s="68" t="str">
        <f>IF([1]!s_fa_roic_yearly($A4,$A$1)=0,"",[1]!s_fa_roic_yearly($A4,$A$1))</f>
        <v/>
      </c>
      <c r="CS4" s="27" t="e">
        <f>RANK(CR4,CR$5:CR$192,1)&amp;" "&amp;COUNTIF(CR$5:CR$192,"&gt;0")</f>
        <v>#VALUE!</v>
      </c>
      <c r="CT4" s="68" t="str">
        <f>IF([1]!s_fa_roic_yearly($A4,$D$1)=0,"",[1]!s_fa_roic_yearly($A4,$D$1))</f>
        <v/>
      </c>
      <c r="CU4" s="27" t="e">
        <f>RANK(CT4,CT$5:CT$192,1)&amp;" "&amp;COUNTIF(CT$5:CT$192,"&gt;0")</f>
        <v>#VALUE!</v>
      </c>
      <c r="CV4" s="78">
        <f>[1]!s_stm07_bs(A4,"W14578191",$A$1,1,100000000)</f>
        <v>0</v>
      </c>
      <c r="CW4" s="78">
        <f>[1]!s_stmnote_bank_682($A4,$A$1,1,2,100000000)</f>
        <v>0</v>
      </c>
      <c r="CX4" s="79" t="str">
        <f>IF(CW4*CV4=0,"",CW4/CV4)</f>
        <v/>
      </c>
    </row>
    <row r="5" spans="1:102" s="46" customFormat="1" ht="13.5">
      <c r="A5" s="8" t="s">
        <v>73</v>
      </c>
      <c r="B5" s="8" t="s">
        <v>74</v>
      </c>
      <c r="C5" s="9" t="s">
        <v>75</v>
      </c>
      <c r="D5" s="9" t="s">
        <v>1066</v>
      </c>
      <c r="E5" s="10"/>
      <c r="F5" s="11" t="s">
        <v>76</v>
      </c>
      <c r="G5" s="11" t="s">
        <v>67</v>
      </c>
      <c r="H5" s="11" t="s">
        <v>67</v>
      </c>
      <c r="I5" s="11"/>
      <c r="J5" s="11" t="e">
        <f>VLOOKUP(B5,[3]额度信息!$B:$T,19,0)</f>
        <v>#N/A</v>
      </c>
      <c r="K5" s="11"/>
      <c r="L5" s="27">
        <f>IFERROR(([1]!b_stm07_bs($A5,47,$A$1,1,100000000))/[1]!b_stm07_bs($A5,109,$A$1,1,100000000),"")</f>
        <v>9.3121222753397265E-2</v>
      </c>
      <c r="M5" s="20"/>
      <c r="N5" s="18"/>
      <c r="O5" s="27" t="e">
        <f t="shared" si="0"/>
        <v>#N/A</v>
      </c>
      <c r="P5" s="21">
        <f>IF(IFERROR(R5+AB5/100,"")=0,"",IFERROR(R5+AB5/100,""))</f>
        <v>4.24E-2</v>
      </c>
      <c r="Q5" s="27" t="str">
        <f t="shared" si="1"/>
        <v>121 169</v>
      </c>
      <c r="R5" s="18">
        <f>IFERROR([1]!s_stmnote_bank($A5,"34",$A$1,100000000)/[1]!s_stmnote_bank_1n(A5,$A$1,1,100000000),"")</f>
        <v>0</v>
      </c>
      <c r="S5" s="22"/>
      <c r="T5" s="22"/>
      <c r="U5" s="22"/>
      <c r="V5" s="22"/>
      <c r="W5" s="22"/>
      <c r="X5" s="22"/>
      <c r="Y5" s="22"/>
      <c r="Z5" s="25">
        <f>[1]!b_stm07_bs(A5,74,$A$1,1,100000000)</f>
        <v>1280.9930868003</v>
      </c>
      <c r="AA5" s="25">
        <f>[1]!b_stm07_bs(A5,109,$A$1,1,100000000)</f>
        <v>1131.2466666097</v>
      </c>
      <c r="AB5" s="10">
        <f>[1]!s_stmnote_bank_5n(A5,$A$1,1)</f>
        <v>4.24</v>
      </c>
      <c r="AC5" s="25" t="str">
        <f>IF([1]!s_stmnote_bank_23n(A5,$A$1,1)=0,"",IFERROR([1]!s_stmnote_bank_23n(A5,$A$1,1),""))</f>
        <v/>
      </c>
      <c r="AD5" s="27" t="e">
        <f t="shared" si="2"/>
        <v>#VALUE!</v>
      </c>
      <c r="AE5" s="25">
        <f>[1]!s_stmnote_bank_capadequacyratio(A5,$A$1,1)</f>
        <v>0</v>
      </c>
      <c r="AF5" s="25" t="str">
        <f>IF([1]!s_stmnote_bank_capadequacyratio_ct1(A5,$A$1,1)=0,"",IFERROR([1]!s_stmnote_bank_capadequacyratio_ct1(A5,$A$1,1),""))</f>
        <v/>
      </c>
      <c r="AG5" s="27" t="e">
        <f t="shared" ref="AG5:AG11" si="8">RANK(AF5,AF$5:AF$192,1)&amp;" "&amp;COUNTIF(AF$5:AF$192,"&gt;0")</f>
        <v>#VALUE!</v>
      </c>
      <c r="AH5" s="6">
        <f>IF(OR([1]!s_fa_roe(A5,20201231)=0,[1]!s_fa_roe(A5,20211231)="0",[1]!s_fa_roe(A5,20221231)="0"),"",IFERROR(([1]!s_fa_roe(A5,20221231)+[1]!s_fa_roe(A5,20201231)+[1]!s_fa_roe(A5,20211231))/3,""))</f>
        <v>0.67980000000000007</v>
      </c>
      <c r="AI5" s="27" t="str">
        <f t="shared" si="3"/>
        <v>4 173</v>
      </c>
      <c r="AJ5" s="28">
        <f>IFERROR(([1]!s_stmnote_bank_65(A5,$A$1,1,2,4,100000000)+[1]!s_stmnote_bank_65(A5,$A$1,1,2,6,100000000))/[1]!s_stmnote_bank_1n(A5,$A$1,1,100000000),"")</f>
        <v>0.2325820287368647</v>
      </c>
      <c r="AK5" s="28">
        <f>IFERROR([1]!s_stmnote_bank_614(A5,$A$1,1,2,100000000)/[1]!s_stmnote_bank_647(A5,$A$1,1,2,100000000),"")</f>
        <v>0</v>
      </c>
      <c r="AL5" s="28">
        <f>IFERROR(([1]!b_stm07_bs(A5,104,$A$1,1,100000000)+[1]!b_stm07_bs(A5,106,$A$1,1,100000000)+[1]!b_stm07_bs(A5,76,$A$1,1,100000000)+[1]!b_stm07_bs(A5,108,$A$1,1,100000000)+[1]!b_stm07_bs(A5,95,$A$1,1,100000000))/[1]!b_stm07_bs(A5,128,$A$1,1,100000000),"")</f>
        <v>3.7966512215208248E-2</v>
      </c>
      <c r="AM5" s="28">
        <f>IFERROR(([1]!s_stmnote_bank_614(A5,$A$1,1,2,100000000)+[1]!b_stm07_bs(A5,104,$A$1,1,100000000)+[1]!b_stm07_bs(A5,106,$A$1,1,100000000)+[1]!b_stm07_bs(A5,76,$A$1,1,100000000)+[1]!b_stm07_bs(A5,108,$A$1,1,100000000)+[1]!b_stm07_bs(A5,95,$A$1,1,100000000))/[1]!b_stm07_bs(A5,128,$A$1,1,100000000),"")</f>
        <v>3.7966512215208248E-2</v>
      </c>
      <c r="AN5" s="31" t="e">
        <f>IF(Z5&gt;#REF!,#REF!,IF(Z5&gt;#REF!,#REF!,IF(Z5&gt;#REF!,#REF!,IF(Z5&gt;#REF!,#REF!,IF(Z5&gt;#REF!,#REF!,IF(Z5&gt;#REF!,#REF!,IF(Z5&gt;#REF!,#REF!,#REF!)))))))</f>
        <v>#REF!</v>
      </c>
      <c r="AO5" s="31" t="e">
        <f>IF(AA5&gt;#REF!,#REF!,IF(AA5&gt;#REF!,#REF!,IF(AA5&gt;#REF!,#REF!,IF(AA5&gt;#REF!,#REF!,IF(AA5&gt;#REF!,#REF!,IF(AA5&gt;#REF!,#REF!,IF(AA5&gt;#REF!,#REF!,#REF!)))))))</f>
        <v>#REF!</v>
      </c>
      <c r="AP5" s="31" t="e">
        <f>IF(AB5&lt;#REF!,#REF!,IF(AB5&lt;#REF!,#REF!,IF(AB5&lt;#REF!,#REF!,IF(AB5&lt;#REF!,#REF!,IF(AB5&lt;#REF!,#REF!,IF(AB5&lt;#REF!,#REF!,#REF!))))))</f>
        <v>#REF!</v>
      </c>
      <c r="AQ5" s="31" t="e">
        <f>IF(AC5&gt;#REF!,#REF!,IF(AC5&gt;#REF!,#REF!,IF(AC5&gt;#REF!,#REF!,IF(AC5&gt;#REF!,#REF!,#REF!))))</f>
        <v>#REF!</v>
      </c>
      <c r="AR5" s="31" t="e">
        <f>IF(AE5&gt;#REF!,#REF!,IF(AE5&gt;#REF!,#REF!,IF(AE5&gt;#REF!,#REF!,IF(AE5&gt;#REF!,#REF!,#REF!))))</f>
        <v>#REF!</v>
      </c>
      <c r="AS5" s="31" t="e">
        <f>IF(AF5&gt;#REF!,#REF!,IF(AF5&gt;#REF!,#REF!,IF(AF5&gt;#REF!,#REF!,IF(AF5&gt;#REF!,#REF!,#REF!))))</f>
        <v>#REF!</v>
      </c>
      <c r="AT5" s="31" t="e">
        <f>IF(AH5&gt;#REF!,#REF!,IF(AH5&gt;#REF!,#REF!,IF(AH5&gt;#REF!,#REF!,IF(AH5&gt;#REF!,#REF!,IF(AH5&gt;#REF!,#REF!,#REF!)))))</f>
        <v>#REF!</v>
      </c>
      <c r="AU5" s="10" t="e">
        <f t="shared" si="4"/>
        <v>#REF!</v>
      </c>
      <c r="AV5" s="10"/>
      <c r="AW5" s="10"/>
      <c r="AX5" s="10"/>
      <c r="AY5" s="31" t="str">
        <f>IFERROR(VLOOKUP(AV5,#REF!,3,0),"")</f>
        <v/>
      </c>
      <c r="AZ5" s="31" t="str">
        <f>IFERROR(VLOOKUP(AW5,#REF!,3,0),"")</f>
        <v/>
      </c>
      <c r="BA5" s="31" t="str">
        <f>IFERROR(VLOOKUP(AX5,#REF!,3,0),"")</f>
        <v/>
      </c>
      <c r="BB5" s="31" t="str">
        <f>IFERROR(AY5*#REF!+AZ5*#REF!+BA5*#REF!,"")</f>
        <v/>
      </c>
      <c r="BC5" s="32" t="str">
        <f t="shared" si="5"/>
        <v/>
      </c>
      <c r="BD5" s="32" t="str">
        <f>IFERROR(VLOOKUP(BC5*10,#REF!,2,1),"")</f>
        <v/>
      </c>
      <c r="BE5" s="10"/>
      <c r="BF5" s="10"/>
      <c r="BG5" s="10"/>
      <c r="BH5" s="11" t="s">
        <v>77</v>
      </c>
      <c r="BI5" s="10">
        <v>10</v>
      </c>
      <c r="BJ5" s="11" t="s">
        <v>78</v>
      </c>
      <c r="BK5" s="33" t="s">
        <v>79</v>
      </c>
      <c r="BL5" s="10">
        <f>IF([1]!s_stmnote_bank_17n(A5,$A$1,1)="0","",[1]!s_stmnote_bank_17n(A5,$A$1,1))</f>
        <v>0</v>
      </c>
      <c r="BM5" s="10">
        <f>IF([1]!s_stmnote_bank_18n(A5,$A$1,1)="0","",[1]!s_stmnote_bank_18n(A5,$A$1,1))</f>
        <v>0</v>
      </c>
      <c r="BN5" s="41" t="s">
        <v>67</v>
      </c>
      <c r="BO5" s="42" t="s">
        <v>67</v>
      </c>
      <c r="BP5" s="52">
        <f>[1]!s_stmnote_bank_5444(A5,$A$1,1)</f>
        <v>0</v>
      </c>
      <c r="BQ5" s="52">
        <f>[1]!s_stmnote_bank_129n($A5,$A$1,1)</f>
        <v>60.656500000000001</v>
      </c>
      <c r="BR5" s="52">
        <f>IFERROR(BS5/SUMPRODUCT(BT5:BX5,$BT$4:$BX$4)*SUMIFS($BT$4:$BX$4,BT5:BX5,"&gt;0")*100,0)</f>
        <v>4.3579094978031589</v>
      </c>
      <c r="BS5" s="52">
        <f>[1]!b_stm07_is(A5,19,$A$1,1,100000000)</f>
        <v>49.7840563018</v>
      </c>
      <c r="BT5" s="52">
        <f xml:space="preserve"> [1]!s_stm07_bs(A5,"W15273164",$A$1,1,100000000)-[1]!s_stm07_bs(A5,"W17642530",$A$1,1,100000000)-[1]!s_stm07_bs(A5,"W15910877",$A$1,1,100000000)-[1]!s_stm07_bs_39(A5,$A$1,1,100000000)-[1]!s_stm07_bs(A5,"W17700468",$A$1,1,100000000)-[1]!s_stm07_bs(A5,"W16504296",$A$1,1,100000000)-[1]!s_stm07_bs(A5,"W13769069",$A$1,1,100000000)</f>
        <v>1207.8576634513997</v>
      </c>
      <c r="BU5" s="52">
        <f xml:space="preserve"> [1]!s_stm07_bs(A5,"W15273164",$B$1,1,100000000)-[1]!s_stm07_bs(A5,"W17642530",$B$1,1,100000000)-[1]!s_stm07_bs(A5,"W15910877",$B$1,1,100000000)-[1]!s_stm07_bs_39(A5,$B$1,1,100000000)-[1]!s_stm07_bs(A5,"W17700468",$B$1,1,100000000)-[1]!s_stm07_bs(A5,"W16504296",$B$1,1,100000000)-[1]!s_stm07_bs(A5,"W13769069",$B$1,1,100000000)</f>
        <v>1114.4549708979</v>
      </c>
      <c r="BV5" s="52">
        <f xml:space="preserve"> [1]!s_stm07_bs(A5,"W15273164",$E$1,1,100000000)-[1]!s_stm07_bs(A5,"W17642530",$E$1,1,100000000)-[1]!s_stm07_bs(A5,"W15910877",$E$1,1,100000000)-[1]!s_stm07_bs_39(A5,$E$1,1,100000000)-[1]!s_stm07_bs(A5,"W17700468",$E$1,1,100000000)-[1]!s_stm07_bs(A5,"W16504296",$E$1,1,100000000)-[1]!s_stm07_bs(A5,"W13769069",$E$1,1,100000000)</f>
        <v>1216.4243732615003</v>
      </c>
      <c r="BW5" s="52">
        <f xml:space="preserve"> [1]!s_stm07_bs(A5,"W15273164",$F$1,1,100000000)-[1]!s_stm07_bs(A5,"W17642530",$F$1,1,100000000)-[1]!s_stm07_bs(A5,"W15910877",$F$1,1,100000000)-[1]!s_stm07_bs_39(A5,$F$1,1,100000000)-[1]!s_stm07_bs(A5,"W17700468",$F$1,1,100000000)-[1]!s_stm07_bs(A5,"W16504296",$F$1,1,100000000)-[1]!s_stm07_bs(A5,"W13769069",$F$1,1,100000000)</f>
        <v>1202.1680941961999</v>
      </c>
      <c r="BX5" s="52">
        <f xml:space="preserve"> [1]!s_stm07_bs(A5,"W15273164",$G$1,1,100000000)-[1]!s_stm07_bs(A5,"W17642530",$G$1,1,100000000)-[1]!s_stm07_bs(A5,"W15910877",$G$1,1,100000000)-[1]!s_stm07_bs_39(A5,$G$1,1,100000000)-[1]!s_stm07_bs(A5,"W17700468",$G$1,1,100000000)-[1]!s_stm07_bs(A5,"W16504296",$G$1,1,100000000)-[1]!s_stm07_bs(A5,"W13769069",$G$1,1,100000000)</f>
        <v>1208.8324373316998</v>
      </c>
      <c r="BY5" s="52">
        <f>IFERROR([1]!b_stm07_is(A5,20,$A$1,1,100000000)/AVERAGEIF(CA5:CE5,"&gt;0")*100,0)</f>
        <v>3.0994076668178305</v>
      </c>
      <c r="BZ5" s="52">
        <f>[1]!b_stm07_is(A5,20,$A$1,1,100000000)</f>
        <v>35.461784018800003</v>
      </c>
      <c r="CA5" s="52">
        <f>[1]!s_stmnote_bank_38(A5,$A$1,1,100000000)</f>
        <v>1191.5107501928001</v>
      </c>
      <c r="CB5" s="52">
        <f>[1]!s_stmnote_bank_38(A5,$B$1,1,100000000)</f>
        <v>1049.9961004816</v>
      </c>
      <c r="CC5" s="52">
        <f>[1]!s_stmnote_bank_38(A5,$E$1,1,100000000)</f>
        <v>1189.5792704057001</v>
      </c>
      <c r="CD5" s="52">
        <f>[1]!s_stmnote_bank_38(A5,$F$1,1,100000000)</f>
        <v>1176.3279725626001</v>
      </c>
      <c r="CE5" s="52">
        <f>[1]!s_stmnote_bank_38(A5,$G$1,1,100000000)</f>
        <v>1113.3215808626001</v>
      </c>
      <c r="CF5" s="52">
        <f>IF(BP5&lt;&gt;0,BP5,IFERROR(IF(([1]!b_stm07_is(A5,19,$A$1,1,100000000)-[1]!b_stm07_is(A5,20,$A$1,1,100000000))/AVERAGE([1]!s_stmnote_bank_35(A5,$A$1,1,100000000),[1]!s_stmnote_bank_35(A5,$B$1,1,100000000))*100=0,"",([1]!b_stm07_is(A5,19,$A$1,1,100000000)-[1]!b_stm07_is(A5,20,$A$1,1,100000000))/AVERAGE([1]!s_stmnote_bank_35(A5,$A$1,1,100000000),[1]!s_stmnote_bank_35(A5,$B$1,1,100000000))*100),""))</f>
        <v>1.2849889517552444</v>
      </c>
      <c r="CG5" s="27" t="str">
        <f t="shared" si="6"/>
        <v>162 171</v>
      </c>
      <c r="CH5" s="80">
        <f>IFERROR(CF5/100/P5,"")</f>
        <v>0.30306343201774633</v>
      </c>
      <c r="CI5" s="27" t="str">
        <f t="shared" si="7"/>
        <v>143 169</v>
      </c>
      <c r="CJ5" s="55">
        <f>[1]!s_stmnote_bank_30(A5,$A$1,1)</f>
        <v>31.148700000000002</v>
      </c>
      <c r="CP5" s="69">
        <f>[1]!b_stm07_bs($A5,141,$A$1,1,100000000)</f>
        <v>82.638153700200007</v>
      </c>
      <c r="CQ5" s="69">
        <f>[1]!b_stm07_bs($A5,141,$D$1,1,100000000)</f>
        <v>85.942809925300011</v>
      </c>
      <c r="CR5" s="68">
        <f>IF([1]!s_fa_roic_yearly($A5,$A$1)=0,"",[1]!s_fa_roic_yearly($A5,$A$1))</f>
        <v>0.74350000000000005</v>
      </c>
      <c r="CS5" s="27">
        <f t="shared" ref="CS5:CS11" si="9">RANK(CR5,CR$5:CR$192,0)/COUNTIF(CR$5:CR$192,"&gt;0")</f>
        <v>0.97041420118343191</v>
      </c>
      <c r="CT5" s="68">
        <f>IF([1]!s_fa_roic_yearly($A5,$D$1)=0,"",[1]!s_fa_roic_yearly($A5,$D$1))</f>
        <v>1.4688000000000001</v>
      </c>
      <c r="CU5" s="27">
        <f t="shared" ref="CU5:CU11" si="10">RANK(CT5,CT$5:CT$192,0)/COUNTIF(CT$5:CT$192,"&gt;0")</f>
        <v>0.9859154929577465</v>
      </c>
      <c r="CV5" s="78">
        <f>[1]!s_stm07_bs(A5,"W14578191",$A$1,1,100000000)</f>
        <v>679.82746763850002</v>
      </c>
      <c r="CW5" s="78">
        <f>[1]!s_stmnote_bank_682($A5,$A$1,1,2,100000000)</f>
        <v>0</v>
      </c>
      <c r="CX5" s="79" t="str">
        <f t="shared" ref="CX5:CX68" si="11">IF(CW5*CV5=0,"",CW5/CV5)</f>
        <v/>
      </c>
    </row>
    <row r="6" spans="1:102" s="46" customFormat="1" ht="13.5">
      <c r="A6" s="8" t="s">
        <v>528</v>
      </c>
      <c r="B6" s="8" t="s">
        <v>529</v>
      </c>
      <c r="C6" s="15" t="s">
        <v>530</v>
      </c>
      <c r="D6" s="9" t="s">
        <v>1065</v>
      </c>
      <c r="E6" s="10" t="s">
        <v>456</v>
      </c>
      <c r="F6" s="11" t="s">
        <v>178</v>
      </c>
      <c r="G6" s="11"/>
      <c r="H6" s="11" t="s">
        <v>103</v>
      </c>
      <c r="I6" s="11"/>
      <c r="J6" s="11" t="e">
        <f>VLOOKUP(B6,[3]额度信息!$B:$T,19,0)</f>
        <v>#N/A</v>
      </c>
      <c r="K6" s="11" t="s">
        <v>531</v>
      </c>
      <c r="L6" s="27">
        <f>IFERROR(([1]!b_stm07_bs($A6,47,$A$1,1,100000000))/[1]!b_stm07_bs($A6,109,$A$1,1,100000000),"")</f>
        <v>0.195926057388147</v>
      </c>
      <c r="M6" s="20"/>
      <c r="N6" s="18"/>
      <c r="O6" s="27" t="e">
        <f t="shared" si="0"/>
        <v>#N/A</v>
      </c>
      <c r="P6" s="21">
        <f t="shared" ref="P6:P69" si="12">IF(IFERROR(R6+AB6/100,"")=0,"",IFERROR(R6+AB6/100,""))</f>
        <v>5.2975702663537096E-3</v>
      </c>
      <c r="Q6" s="27" t="str">
        <f t="shared" si="1"/>
        <v>1 169</v>
      </c>
      <c r="R6" s="18">
        <f>IFERROR([1]!s_stmnote_bank($A6,"34",$A$1,100000000)/[1]!s_stmnote_bank_1n(A6,$A$1,1,100000000),"")</f>
        <v>2.3975702663537103E-3</v>
      </c>
      <c r="S6" s="22"/>
      <c r="T6" s="22"/>
      <c r="U6" s="22"/>
      <c r="V6" s="22"/>
      <c r="W6" s="22"/>
      <c r="X6" s="22"/>
      <c r="Y6" s="22"/>
      <c r="Z6" s="25">
        <f>[1]!b_stm07_bs(A6,74,$A$1,1,100000000)</f>
        <v>645.17220093769993</v>
      </c>
      <c r="AA6" s="25">
        <f>[1]!b_stm07_bs(A6,109,$A$1,1,100000000)</f>
        <v>266.42331842919998</v>
      </c>
      <c r="AB6" s="10">
        <f>[1]!s_stmnote_bank_5n(A6,$A$1,1)</f>
        <v>0.28999999999999998</v>
      </c>
      <c r="AC6" s="25">
        <f>IF([1]!s_stmnote_bank_23n(A6,$A$1,1)=0,"",IFERROR([1]!s_stmnote_bank_23n(A6,$A$1,1),""))</f>
        <v>1076.23</v>
      </c>
      <c r="AD6" s="27" t="str">
        <f t="shared" si="2"/>
        <v>166 167</v>
      </c>
      <c r="AE6" s="25">
        <f>[1]!s_stmnote_bank_capadequacyratio(A6,$A$1,1)</f>
        <v>16.600000000000001</v>
      </c>
      <c r="AF6" s="25">
        <f>IF([1]!s_stmnote_bank_capadequacyratio_ct1(A6,$A$1,1)=0,"",IFERROR([1]!s_stmnote_bank_capadequacyratio_ct1(A6,$A$1,1),""))</f>
        <v>16</v>
      </c>
      <c r="AG6" s="27" t="str">
        <f t="shared" si="8"/>
        <v>159 167</v>
      </c>
      <c r="AH6" s="6">
        <f>IF(OR([1]!s_fa_roe(A6,20201231)=0,[1]!s_fa_roe(A6,20211231)="0",[1]!s_fa_roe(A6,20221231)="0"),"",IFERROR(([1]!s_fa_roe(A6,20221231)+[1]!s_fa_roe(A6,20201231)+[1]!s_fa_roe(A6,20211231))/3,""))</f>
        <v>2.9750666666666667</v>
      </c>
      <c r="AI6" s="27" t="str">
        <f t="shared" si="3"/>
        <v>17 173</v>
      </c>
      <c r="AJ6" s="28">
        <f>IFERROR(([1]!s_stmnote_bank_65(A6,$A$1,1,2,4,100000000)+[1]!s_stmnote_bank_65(A6,$A$1,1,2,6,100000000))/[1]!s_stmnote_bank_1n(A6,$A$1,1,100000000),"")</f>
        <v>3.9835042088196881E-2</v>
      </c>
      <c r="AK6" s="28">
        <f>IFERROR([1]!s_stmnote_bank_614(A6,$A$1,1,2,100000000)/[1]!s_stmnote_bank_647(A6,$A$1,1,2,100000000),"")</f>
        <v>0.37179910487949042</v>
      </c>
      <c r="AL6" s="28">
        <f>IFERROR(([1]!b_stm07_bs(A6,104,$A$1,1,100000000)+[1]!b_stm07_bs(A6,106,$A$1,1,100000000)+[1]!b_stm07_bs(A6,76,$A$1,1,100000000)+[1]!b_stm07_bs(A6,108,$A$1,1,100000000)+[1]!b_stm07_bs(A6,95,$A$1,1,100000000))/[1]!b_stm07_bs(A6,128,$A$1,1,100000000),"")</f>
        <v>0.30485830444950335</v>
      </c>
      <c r="AM6" s="28">
        <f>IFERROR(([1]!s_stmnote_bank_614(A6,$A$1,1,2,100000000)+[1]!b_stm07_bs(A6,104,$A$1,1,100000000)+[1]!b_stm07_bs(A6,106,$A$1,1,100000000)+[1]!b_stm07_bs(A6,76,$A$1,1,100000000)+[1]!b_stm07_bs(A6,108,$A$1,1,100000000)+[1]!b_stm07_bs(A6,95,$A$1,1,100000000))/[1]!b_stm07_bs(A6,128,$A$1,1,100000000),"")</f>
        <v>0.48807650641064632</v>
      </c>
      <c r="AN6" s="31" t="e">
        <f>IF(Z6&gt;#REF!,#REF!,IF(Z6&gt;#REF!,#REF!,IF(Z6&gt;#REF!,#REF!,IF(Z6&gt;#REF!,#REF!,IF(Z6&gt;#REF!,#REF!,IF(Z6&gt;#REF!,#REF!,IF(Z6&gt;#REF!,#REF!,#REF!)))))))</f>
        <v>#REF!</v>
      </c>
      <c r="AO6" s="31" t="e">
        <f>IF(AA6&gt;#REF!,#REF!,IF(AA6&gt;#REF!,#REF!,IF(AA6&gt;#REF!,#REF!,IF(AA6&gt;#REF!,#REF!,IF(AA6&gt;#REF!,#REF!,IF(AA6&gt;#REF!,#REF!,IF(AA6&gt;#REF!,#REF!,#REF!)))))))</f>
        <v>#REF!</v>
      </c>
      <c r="AP6" s="31" t="e">
        <f>IF(AB6&lt;#REF!,#REF!,IF(AB6&lt;#REF!,#REF!,IF(AB6&lt;#REF!,#REF!,IF(AB6&lt;#REF!,#REF!,IF(AB6&lt;#REF!,#REF!,IF(AB6&lt;#REF!,#REF!,#REF!))))))</f>
        <v>#REF!</v>
      </c>
      <c r="AQ6" s="31" t="e">
        <f>IF(AC6&gt;#REF!,#REF!,IF(AC6&gt;#REF!,#REF!,IF(AC6&gt;#REF!,#REF!,IF(AC6&gt;#REF!,#REF!,#REF!))))</f>
        <v>#REF!</v>
      </c>
      <c r="AR6" s="31" t="e">
        <f>IF(AE6&gt;#REF!,#REF!,IF(AE6&gt;#REF!,#REF!,IF(AE6&gt;#REF!,#REF!,IF(AE6&gt;#REF!,#REF!,#REF!))))</f>
        <v>#REF!</v>
      </c>
      <c r="AS6" s="31" t="e">
        <f>IF(AF6&gt;#REF!,#REF!,IF(AF6&gt;#REF!,#REF!,IF(AF6&gt;#REF!,#REF!,IF(AF6&gt;#REF!,#REF!,#REF!))))</f>
        <v>#REF!</v>
      </c>
      <c r="AT6" s="31" t="e">
        <f>IF(AH6&gt;#REF!,#REF!,IF(AH6&gt;#REF!,#REF!,IF(AH6&gt;#REF!,#REF!,IF(AH6&gt;#REF!,#REF!,IF(AH6&gt;#REF!,#REF!,#REF!)))))</f>
        <v>#REF!</v>
      </c>
      <c r="AU6" s="10" t="e">
        <f t="shared" si="4"/>
        <v>#REF!</v>
      </c>
      <c r="AV6" s="10" t="s">
        <v>60</v>
      </c>
      <c r="AW6" s="10" t="s">
        <v>69</v>
      </c>
      <c r="AX6" s="10" t="s">
        <v>62</v>
      </c>
      <c r="AY6" s="31" t="str">
        <f>IFERROR(VLOOKUP(AV6,#REF!,3,0),"")</f>
        <v/>
      </c>
      <c r="AZ6" s="31" t="str">
        <f>IFERROR(VLOOKUP(AW6,#REF!,3,0),"")</f>
        <v/>
      </c>
      <c r="BA6" s="31" t="str">
        <f>IFERROR(VLOOKUP(AX6,#REF!,3,0),"")</f>
        <v/>
      </c>
      <c r="BB6" s="31" t="str">
        <f>IFERROR(AY6*#REF!+AZ6*#REF!+BA6*#REF!,"")</f>
        <v/>
      </c>
      <c r="BC6" s="32" t="str">
        <f t="shared" si="5"/>
        <v/>
      </c>
      <c r="BD6" s="32" t="str">
        <f>IFERROR(VLOOKUP(BC6*10,#REF!,2,1),"")</f>
        <v/>
      </c>
      <c r="BE6" s="11">
        <v>2</v>
      </c>
      <c r="BF6" s="11">
        <v>-1</v>
      </c>
      <c r="BG6" s="10" t="s">
        <v>532</v>
      </c>
      <c r="BH6" s="11"/>
      <c r="BI6" s="11"/>
      <c r="BJ6" s="11"/>
      <c r="BK6" s="11"/>
      <c r="BL6" s="10">
        <f>IF([1]!s_stmnote_bank_17n(A6,$A$1,1)="0","",[1]!s_stmnote_bank_17n(A6,$A$1,1))</f>
        <v>0</v>
      </c>
      <c r="BM6" s="10">
        <f>IF([1]!s_stmnote_bank_18n(A6,$A$1,1)="0","",[1]!s_stmnote_bank_18n(A6,$A$1,1))</f>
        <v>0</v>
      </c>
      <c r="BN6" s="41" t="s">
        <v>67</v>
      </c>
      <c r="BO6" s="42" t="s">
        <v>67</v>
      </c>
      <c r="BP6" s="52">
        <f>[1]!s_stmnote_bank_5444(A6,$A$1,1)</f>
        <v>0</v>
      </c>
      <c r="BQ6" s="53">
        <f>[1]!s_stmnote_bank_129n($A6,$A$1,1)</f>
        <v>78.871700000000004</v>
      </c>
      <c r="BR6" s="52">
        <f t="shared" ref="BR6:BR69" si="13">IFERROR(BS6/SUMPRODUCT(BT6:BX6,$BT$4:$BX$4)*SUMIFS($BT$4:$BX$4,BT6:BX6,"&gt;0")*100,0)</f>
        <v>1.9205411465885176</v>
      </c>
      <c r="BS6" s="52">
        <f>[1]!b_stm07_is(A6,19,$A$1,1,100000000)</f>
        <v>13.085051137600001</v>
      </c>
      <c r="BT6" s="52">
        <f xml:space="preserve"> [1]!s_stm07_bs(A6,"W15273164",$A$1,1,100000000)-[1]!s_stm07_bs(A6,"W17642530",$A$1,1,100000000)-[1]!s_stm07_bs(A6,"W15910877",$A$1,1,100000000)-[1]!s_stm07_bs_39(A6,$A$1,1,100000000)-[1]!s_stm07_bs(A6,"W17700468",$A$1,1,100000000)-[1]!s_stm07_bs(A6,"W16504296",$A$1,1,100000000)-[1]!s_stm07_bs(A6,"W13769069",$A$1,1,100000000)</f>
        <v>620.62994876790003</v>
      </c>
      <c r="BU6" s="52">
        <f xml:space="preserve"> [1]!s_stm07_bs(A6,"W15273164",$B$1,1,100000000)-[1]!s_stm07_bs(A6,"W17642530",$B$1,1,100000000)-[1]!s_stm07_bs(A6,"W15910877",$B$1,1,100000000)-[1]!s_stm07_bs_39(A6,$B$1,1,100000000)-[1]!s_stm07_bs(A6,"W17700468",$B$1,1,100000000)-[1]!s_stm07_bs(A6,"W16504296",$B$1,1,100000000)-[1]!s_stm07_bs(A6,"W13769069",$B$1,1,100000000)</f>
        <v>691.46867005519982</v>
      </c>
      <c r="BV6" s="52">
        <f xml:space="preserve"> [1]!s_stm07_bs(A6,"W15273164",$E$1,1,100000000)-[1]!s_stm07_bs(A6,"W17642530",$E$1,1,100000000)-[1]!s_stm07_bs(A6,"W15910877",$E$1,1,100000000)-[1]!s_stm07_bs_39(A6,$E$1,1,100000000)-[1]!s_stm07_bs(A6,"W17700468",$E$1,1,100000000)-[1]!s_stm07_bs(A6,"W16504296",$E$1,1,100000000)-[1]!s_stm07_bs(A6,"W13769069",$E$1,1,100000000)</f>
        <v>660.63660000000004</v>
      </c>
      <c r="BW6" s="52">
        <f xml:space="preserve"> [1]!s_stm07_bs(A6,"W15273164",$F$1,1,100000000)-[1]!s_stm07_bs(A6,"W17642530",$F$1,1,100000000)-[1]!s_stm07_bs(A6,"W15910877",$F$1,1,100000000)-[1]!s_stm07_bs_39(A6,$F$1,1,100000000)-[1]!s_stm07_bs(A6,"W17700468",$F$1,1,100000000)-[1]!s_stm07_bs(A6,"W16504296",$F$1,1,100000000)-[1]!s_stm07_bs(A6,"W13769069",$F$1,1,100000000)</f>
        <v>0</v>
      </c>
      <c r="BX6" s="52">
        <f xml:space="preserve"> [1]!s_stm07_bs(A6,"W15273164",$G$1,1,100000000)-[1]!s_stm07_bs(A6,"W17642530",$G$1,1,100000000)-[1]!s_stm07_bs(A6,"W15910877",$G$1,1,100000000)-[1]!s_stm07_bs_39(A6,$G$1,1,100000000)-[1]!s_stm07_bs(A6,"W17700468",$G$1,1,100000000)-[1]!s_stm07_bs(A6,"W16504296",$G$1,1,100000000)-[1]!s_stm07_bs(A6,"W13769069",$G$1,1,100000000)</f>
        <v>0</v>
      </c>
      <c r="BY6" s="52">
        <f>IFERROR([1]!b_stm07_is(A6,20,$A$1,1,100000000)/AVERAGEIF(CA6:CE6,"&gt;0")*100,0)</f>
        <v>1.8172822399009876</v>
      </c>
      <c r="BZ6" s="52">
        <f>[1]!b_stm07_is(A6,20,$A$1,1,100000000)</f>
        <v>7.8186414238999999</v>
      </c>
      <c r="CA6" s="52">
        <f>[1]!s_stmnote_bank_38(A6,$A$1,1,100000000)</f>
        <v>431.24334743870003</v>
      </c>
      <c r="CB6" s="52">
        <f>[1]!s_stmnote_bank_38(A6,$B$1,1,100000000)</f>
        <v>429.23294537160001</v>
      </c>
      <c r="CC6" s="52">
        <f>[1]!s_stmnote_bank_38(A6,$E$1,1,100000000)</f>
        <v>0</v>
      </c>
      <c r="CD6" s="52">
        <f>[1]!s_stmnote_bank_38(A6,$F$1,1,100000000)</f>
        <v>0</v>
      </c>
      <c r="CE6" s="52">
        <f>[1]!s_stmnote_bank_38(A6,$G$1,1,100000000)</f>
        <v>0</v>
      </c>
      <c r="CF6" s="52">
        <f>IF(BP6&lt;&gt;0,BP6,IFERROR(IF(([1]!b_stm07_is(A6,19,$A$1,1,100000000)-[1]!b_stm07_is(A6,20,$A$1,1,100000000))/AVERAGE([1]!s_stmnote_bank_35(A6,$A$1,1,100000000),[1]!s_stmnote_bank_35(A6,$B$1,1,100000000))*100=0,"",([1]!b_stm07_is(A6,19,$A$1,1,100000000)-[1]!b_stm07_is(A6,20,$A$1,1,100000000))/AVERAGE([1]!s_stmnote_bank_35(A6,$A$1,1,100000000),[1]!s_stmnote_bank_35(A6,$B$1,1,100000000))*100),""))</f>
        <v>1.0146215768480806</v>
      </c>
      <c r="CG6" s="27" t="str">
        <f t="shared" si="6"/>
        <v>169 171</v>
      </c>
      <c r="CH6" s="80">
        <f t="shared" ref="CH6:CH69" si="14">IFERROR(CF6/100/P6,"")</f>
        <v>1.9152583653155384</v>
      </c>
      <c r="CI6" s="27" t="str">
        <f t="shared" si="7"/>
        <v>12 169</v>
      </c>
      <c r="CJ6" s="55">
        <f>[1]!s_stmnote_bank_30(A6,$A$1,1)</f>
        <v>52.312199999999997</v>
      </c>
      <c r="CP6" s="69">
        <f>[1]!b_stm07_bs($A6,141,$A$1,1,100000000)</f>
        <v>104.52749287530001</v>
      </c>
      <c r="CQ6" s="69">
        <f>[1]!b_stm07_bs($A6,141,$D$1,1,100000000)</f>
        <v>108.768502</v>
      </c>
      <c r="CR6" s="68">
        <f>IF([1]!s_fa_roic_yearly($A6,$A$1)=0,"",[1]!s_fa_roic_yearly($A6,$A$1))</f>
        <v>2.1589999999999998</v>
      </c>
      <c r="CS6" s="27">
        <f t="shared" si="9"/>
        <v>0.94082840236686394</v>
      </c>
      <c r="CT6" s="68">
        <f>IF([1]!s_fa_roic_yearly($A6,$D$1)=0,"",[1]!s_fa_roic_yearly($A6,$D$1))</f>
        <v>8.1698000000000004</v>
      </c>
      <c r="CU6" s="27">
        <f t="shared" si="10"/>
        <v>0.69718309859154926</v>
      </c>
      <c r="CV6" s="78">
        <f>[1]!s_stm07_bs(A6,"W14578191",$A$1,1,100000000)</f>
        <v>139.17603159950002</v>
      </c>
      <c r="CW6" s="78">
        <f>[1]!s_stmnote_bank_682($A6,$A$1,1,2,100000000)</f>
        <v>0</v>
      </c>
      <c r="CX6" s="79" t="str">
        <f t="shared" si="11"/>
        <v/>
      </c>
    </row>
    <row r="7" spans="1:102" s="46" customFormat="1" ht="13.5">
      <c r="A7" s="8" t="s">
        <v>362</v>
      </c>
      <c r="B7" s="13" t="s">
        <v>363</v>
      </c>
      <c r="C7" s="15" t="s">
        <v>364</v>
      </c>
      <c r="D7" s="9" t="s">
        <v>1065</v>
      </c>
      <c r="E7" s="10"/>
      <c r="F7" s="11" t="s">
        <v>178</v>
      </c>
      <c r="G7" s="11" t="s">
        <v>67</v>
      </c>
      <c r="H7" s="11" t="s">
        <v>116</v>
      </c>
      <c r="I7" s="11"/>
      <c r="J7" s="11" t="e">
        <f>VLOOKUP(B7,[3]额度信息!$B:$T,19,0)</f>
        <v>#N/A</v>
      </c>
      <c r="K7" s="11"/>
      <c r="L7" s="27">
        <f>IFERROR(([1]!b_stm07_bs($A7,47,$A$1,1,100000000))/[1]!b_stm07_bs($A7,109,$A$1,1,100000000),"")</f>
        <v>0.16382361100727469</v>
      </c>
      <c r="M7" s="20"/>
      <c r="N7" s="18"/>
      <c r="O7" s="27" t="e">
        <f t="shared" si="0"/>
        <v>#N/A</v>
      </c>
      <c r="P7" s="21">
        <f t="shared" si="12"/>
        <v>3.7279924175871032E-2</v>
      </c>
      <c r="Q7" s="27" t="str">
        <f t="shared" si="1"/>
        <v>102 169</v>
      </c>
      <c r="R7" s="18">
        <f>IFERROR([1]!s_stmnote_bank($A7,"34",$A$1,100000000)/[1]!s_stmnote_bank_1n(A7,$A$1,1,100000000),"")</f>
        <v>3.6579924175871033E-2</v>
      </c>
      <c r="S7" s="22"/>
      <c r="T7" s="22"/>
      <c r="U7" s="22"/>
      <c r="V7" s="22"/>
      <c r="W7" s="22"/>
      <c r="X7" s="22"/>
      <c r="Y7" s="22"/>
      <c r="Z7" s="25">
        <f>[1]!b_stm07_bs(A7,74,$A$1,1,100000000)</f>
        <v>740.05470665999997</v>
      </c>
      <c r="AA7" s="25">
        <f>[1]!b_stm07_bs(A7,109,$A$1,1,100000000)</f>
        <v>422.25867299999999</v>
      </c>
      <c r="AB7" s="10">
        <f>[1]!s_stmnote_bank_5n(A7,$A$1,1)</f>
        <v>7.0000000000000007E-2</v>
      </c>
      <c r="AC7" s="25">
        <f>IF([1]!s_stmnote_bank_23n(A7,$A$1,1)=0,"",IFERROR([1]!s_stmnote_bank_23n(A7,$A$1,1),""))</f>
        <v>3356</v>
      </c>
      <c r="AD7" s="27" t="str">
        <f t="shared" si="2"/>
        <v>167 167</v>
      </c>
      <c r="AE7" s="25">
        <f>[1]!s_stmnote_bank_capadequacyratio(A7,$A$1,1)</f>
        <v>17.27</v>
      </c>
      <c r="AF7" s="25">
        <f>IF([1]!s_stmnote_bank_capadequacyratio_ct1(A7,$A$1,1)=0,"",IFERROR([1]!s_stmnote_bank_capadequacyratio_ct1(A7,$A$1,1),""))</f>
        <v>16.53</v>
      </c>
      <c r="AG7" s="27" t="str">
        <f t="shared" si="8"/>
        <v>161 167</v>
      </c>
      <c r="AH7" s="6">
        <f>IF(OR([1]!s_fa_roe(A7,20201231)=0,[1]!s_fa_roe(A7,20211231)="0",[1]!s_fa_roe(A7,20221231)="0"),"",IFERROR(([1]!s_fa_roe(A7,20221231)+[1]!s_fa_roe(A7,20201231)+[1]!s_fa_roe(A7,20211231))/3,""))</f>
        <v>4.5847666666666669</v>
      </c>
      <c r="AI7" s="27" t="str">
        <f t="shared" si="3"/>
        <v>32 173</v>
      </c>
      <c r="AJ7" s="28">
        <f>IFERROR(([1]!s_stmnote_bank_65(A7,$A$1,1,2,4,100000000)+[1]!s_stmnote_bank_65(A7,$A$1,1,2,6,100000000))/[1]!s_stmnote_bank_1n(A7,$A$1,1,100000000),"")</f>
        <v>3.6066908079015469E-2</v>
      </c>
      <c r="AK7" s="28">
        <f>IFERROR([1]!s_stmnote_bank_614(A7,$A$1,1,2,100000000)/[1]!s_stmnote_bank_647(A7,$A$1,1,2,100000000),"")</f>
        <v>0.46185557550407025</v>
      </c>
      <c r="AL7" s="28">
        <f>IFERROR(([1]!b_stm07_bs(A7,104,$A$1,1,100000000)+[1]!b_stm07_bs(A7,106,$A$1,1,100000000)+[1]!b_stm07_bs(A7,76,$A$1,1,100000000)+[1]!b_stm07_bs(A7,108,$A$1,1,100000000)+[1]!b_stm07_bs(A7,95,$A$1,1,100000000))/[1]!b_stm07_bs(A7,128,$A$1,1,100000000),"")</f>
        <v>0.23599442594658379</v>
      </c>
      <c r="AM7" s="28">
        <f>IFERROR(([1]!s_stmnote_bank_614(A7,$A$1,1,2,100000000)+[1]!b_stm07_bs(A7,104,$A$1,1,100000000)+[1]!b_stm07_bs(A7,106,$A$1,1,100000000)+[1]!b_stm07_bs(A7,76,$A$1,1,100000000)+[1]!b_stm07_bs(A7,108,$A$1,1,100000000)+[1]!b_stm07_bs(A7,95,$A$1,1,100000000))/[1]!b_stm07_bs(A7,128,$A$1,1,100000000),"")</f>
        <v>0.53851934705860038</v>
      </c>
      <c r="AN7" s="31" t="e">
        <f>IF(Z7&gt;#REF!,#REF!,IF(Z7&gt;#REF!,#REF!,IF(Z7&gt;#REF!,#REF!,IF(Z7&gt;#REF!,#REF!,IF(Z7&gt;#REF!,#REF!,IF(Z7&gt;#REF!,#REF!,IF(Z7&gt;#REF!,#REF!,#REF!)))))))</f>
        <v>#REF!</v>
      </c>
      <c r="AO7" s="31" t="e">
        <f>IF(AA7&gt;#REF!,#REF!,IF(AA7&gt;#REF!,#REF!,IF(AA7&gt;#REF!,#REF!,IF(AA7&gt;#REF!,#REF!,IF(AA7&gt;#REF!,#REF!,IF(AA7&gt;#REF!,#REF!,IF(AA7&gt;#REF!,#REF!,#REF!)))))))</f>
        <v>#REF!</v>
      </c>
      <c r="AP7" s="31" t="e">
        <f>IF(AB7&lt;#REF!,#REF!,IF(AB7&lt;#REF!,#REF!,IF(AB7&lt;#REF!,#REF!,IF(AB7&lt;#REF!,#REF!,IF(AB7&lt;#REF!,#REF!,IF(AB7&lt;#REF!,#REF!,#REF!))))))</f>
        <v>#REF!</v>
      </c>
      <c r="AQ7" s="31" t="e">
        <f>IF(AC7&gt;#REF!,#REF!,IF(AC7&gt;#REF!,#REF!,IF(AC7&gt;#REF!,#REF!,IF(AC7&gt;#REF!,#REF!,#REF!))))</f>
        <v>#REF!</v>
      </c>
      <c r="AR7" s="31" t="e">
        <f>IF(AE7&gt;#REF!,#REF!,IF(AE7&gt;#REF!,#REF!,IF(AE7&gt;#REF!,#REF!,IF(AE7&gt;#REF!,#REF!,#REF!))))</f>
        <v>#REF!</v>
      </c>
      <c r="AS7" s="31" t="e">
        <f>IF(AF7&gt;#REF!,#REF!,IF(AF7&gt;#REF!,#REF!,IF(AF7&gt;#REF!,#REF!,IF(AF7&gt;#REF!,#REF!,#REF!))))</f>
        <v>#REF!</v>
      </c>
      <c r="AT7" s="31" t="e">
        <f>IF(AH7&gt;#REF!,#REF!,IF(AH7&gt;#REF!,#REF!,IF(AH7&gt;#REF!,#REF!,IF(AH7&gt;#REF!,#REF!,IF(AH7&gt;#REF!,#REF!,#REF!)))))</f>
        <v>#REF!</v>
      </c>
      <c r="AU7" s="10" t="e">
        <f t="shared" si="4"/>
        <v>#REF!</v>
      </c>
      <c r="AV7" s="10" t="s">
        <v>141</v>
      </c>
      <c r="AW7" s="10" t="s">
        <v>61</v>
      </c>
      <c r="AX7" s="10" t="s">
        <v>359</v>
      </c>
      <c r="AY7" s="31" t="str">
        <f>IFERROR(VLOOKUP(AV7,#REF!,3,0),"")</f>
        <v/>
      </c>
      <c r="AZ7" s="31" t="str">
        <f>IFERROR(VLOOKUP(AW7,#REF!,3,0),"")</f>
        <v/>
      </c>
      <c r="BA7" s="31" t="str">
        <f>IFERROR(VLOOKUP(AX7,#REF!,3,0),"")</f>
        <v/>
      </c>
      <c r="BB7" s="31" t="str">
        <f>IFERROR(AY7*#REF!+AZ7*#REF!+BA7*#REF!,"")</f>
        <v/>
      </c>
      <c r="BC7" s="32" t="str">
        <f t="shared" si="5"/>
        <v/>
      </c>
      <c r="BD7" s="32" t="str">
        <f>IFERROR(VLOOKUP(BC7*10,#REF!,2,1),"")</f>
        <v/>
      </c>
      <c r="BE7" s="10"/>
      <c r="BF7" s="10"/>
      <c r="BG7" s="10"/>
      <c r="BH7" s="11" t="s">
        <v>365</v>
      </c>
      <c r="BI7" s="11">
        <v>100</v>
      </c>
      <c r="BJ7" s="11" t="s">
        <v>71</v>
      </c>
      <c r="BK7" s="11" t="s">
        <v>72</v>
      </c>
      <c r="BL7" s="10">
        <f>IF([1]!s_stmnote_bank_17n(A7,$A$1,1)="0","",[1]!s_stmnote_bank_17n(A7,$A$1,1))</f>
        <v>7.44</v>
      </c>
      <c r="BM7" s="10">
        <f>IF([1]!s_stmnote_bank_18n(A7,$A$1,1)="0","",[1]!s_stmnote_bank_18n(A7,$A$1,1))</f>
        <v>0</v>
      </c>
      <c r="BN7" s="41" t="s">
        <v>67</v>
      </c>
      <c r="BO7" s="68" t="s">
        <v>67</v>
      </c>
      <c r="BP7" s="52">
        <f>[1]!s_stmnote_bank_5444(A7,$A$1,1)</f>
        <v>1.59</v>
      </c>
      <c r="BQ7" s="53">
        <f>[1]!s_stmnote_bank_129n($A7,$A$1,1)</f>
        <v>55.83</v>
      </c>
      <c r="BR7" s="52">
        <f t="shared" si="13"/>
        <v>2.0683127098312126</v>
      </c>
      <c r="BS7" s="52">
        <f>[1]!b_stm07_is(A7,19,$A$1,1,100000000)</f>
        <v>14.93240582</v>
      </c>
      <c r="BT7" s="52">
        <f xml:space="preserve"> [1]!s_stm07_bs(A7,"W15273164",$A$1,1,100000000)-[1]!s_stm07_bs(A7,"W17642530",$A$1,1,100000000)-[1]!s_stm07_bs(A7,"W15910877",$A$1,1,100000000)-[1]!s_stm07_bs_39(A7,$A$1,1,100000000)-[1]!s_stm07_bs(A7,"W17700468",$A$1,1,100000000)-[1]!s_stm07_bs(A7,"W16504296",$A$1,1,100000000)-[1]!s_stm07_bs(A7,"W13769069",$A$1,1,100000000)</f>
        <v>729.67293114000006</v>
      </c>
      <c r="BU7" s="52">
        <f xml:space="preserve"> [1]!s_stm07_bs(A7,"W15273164",$B$1,1,100000000)-[1]!s_stm07_bs(A7,"W17642530",$B$1,1,100000000)-[1]!s_stm07_bs(A7,"W15910877",$B$1,1,100000000)-[1]!s_stm07_bs_39(A7,$B$1,1,100000000)-[1]!s_stm07_bs(A7,"W17700468",$B$1,1,100000000)-[1]!s_stm07_bs(A7,"W16504296",$B$1,1,100000000)-[1]!s_stm07_bs(A7,"W13769069",$B$1,1,100000000)</f>
        <v>720.85900252999988</v>
      </c>
      <c r="BV7" s="52">
        <f xml:space="preserve"> [1]!s_stm07_bs(A7,"W15273164",$E$1,1,100000000)-[1]!s_stm07_bs(A7,"W17642530",$E$1,1,100000000)-[1]!s_stm07_bs(A7,"W15910877",$E$1,1,100000000)-[1]!s_stm07_bs_39(A7,$E$1,1,100000000)-[1]!s_stm07_bs(A7,"W17700468",$E$1,1,100000000)-[1]!s_stm07_bs(A7,"W16504296",$E$1,1,100000000)-[1]!s_stm07_bs(A7,"W13769069",$E$1,1,100000000)</f>
        <v>0</v>
      </c>
      <c r="BW7" s="52">
        <f xml:space="preserve"> [1]!s_stm07_bs(A7,"W15273164",$F$1,1,100000000)-[1]!s_stm07_bs(A7,"W17642530",$F$1,1,100000000)-[1]!s_stm07_bs(A7,"W15910877",$F$1,1,100000000)-[1]!s_stm07_bs_39(A7,$F$1,1,100000000)-[1]!s_stm07_bs(A7,"W17700468",$F$1,1,100000000)-[1]!s_stm07_bs(A7,"W16504296",$F$1,1,100000000)-[1]!s_stm07_bs(A7,"W13769069",$F$1,1,100000000)</f>
        <v>0</v>
      </c>
      <c r="BX7" s="52">
        <f xml:space="preserve"> [1]!s_stm07_bs(A7,"W15273164",$G$1,1,100000000)-[1]!s_stm07_bs(A7,"W17642530",$G$1,1,100000000)-[1]!s_stm07_bs(A7,"W15910877",$G$1,1,100000000)-[1]!s_stm07_bs_39(A7,$G$1,1,100000000)-[1]!s_stm07_bs(A7,"W17700468",$G$1,1,100000000)-[1]!s_stm07_bs(A7,"W16504296",$G$1,1,100000000)-[1]!s_stm07_bs(A7,"W13769069",$G$1,1,100000000)</f>
        <v>0</v>
      </c>
      <c r="BY7" s="52">
        <f>IFERROR([1]!b_stm07_is(A7,20,$A$1,1,100000000)/AVERAGEIF(CA7:CE7,"&gt;0")*100,0)</f>
        <v>1.2158453034025414</v>
      </c>
      <c r="BZ7" s="52">
        <f>[1]!b_stm07_is(A7,20,$A$1,1,100000000)</f>
        <v>7.0313947499999996</v>
      </c>
      <c r="CA7" s="52">
        <f>[1]!s_stmnote_bank_38(A7,$A$1,1,100000000)</f>
        <v>574.39234866000004</v>
      </c>
      <c r="CB7" s="52">
        <f>[1]!s_stmnote_bank_38(A7,$B$1,1,100000000)</f>
        <v>582.23419425999998</v>
      </c>
      <c r="CC7" s="52">
        <f>[1]!s_stmnote_bank_38(A7,$E$1,1,100000000)</f>
        <v>0</v>
      </c>
      <c r="CD7" s="52">
        <f>[1]!s_stmnote_bank_38(A7,$F$1,1,100000000)</f>
        <v>0</v>
      </c>
      <c r="CE7" s="52">
        <f>[1]!s_stmnote_bank_38(A7,$G$1,1,100000000)</f>
        <v>0</v>
      </c>
      <c r="CF7" s="52">
        <f>IF(BP7&lt;&gt;0,BP7,IFERROR(IF(([1]!b_stm07_is(A7,19,$A$1,1,100000000)-[1]!b_stm07_is(A7,20,$A$1,1,100000000))/AVERAGE([1]!s_stmnote_bank_35(A7,$A$1,1,100000000),[1]!s_stmnote_bank_35(A7,$B$1,1,100000000))*100=0,"",([1]!b_stm07_is(A7,19,$A$1,1,100000000)-[1]!b_stm07_is(A7,20,$A$1,1,100000000))/AVERAGE([1]!s_stmnote_bank_35(A7,$A$1,1,100000000),[1]!s_stmnote_bank_35(A7,$B$1,1,100000000))*100),""))</f>
        <v>1.59</v>
      </c>
      <c r="CG7" s="27" t="str">
        <f t="shared" si="6"/>
        <v>148 171</v>
      </c>
      <c r="CH7" s="80">
        <f t="shared" si="14"/>
        <v>0.42650301339108082</v>
      </c>
      <c r="CI7" s="27" t="str">
        <f t="shared" si="7"/>
        <v>129 169</v>
      </c>
      <c r="CJ7" s="55">
        <f>[1]!s_stmnote_bank_30(A7,$A$1,1)</f>
        <v>51.000999999999998</v>
      </c>
      <c r="CP7" s="69">
        <f>[1]!b_stm07_bs($A7,141,$A$1,1,100000000)</f>
        <v>95.405261870000004</v>
      </c>
      <c r="CQ7" s="69">
        <f>[1]!b_stm07_bs($A7,141,$D$1,1,100000000)</f>
        <v>0</v>
      </c>
      <c r="CR7" s="68">
        <f>IF([1]!s_fa_roic_yearly($A7,$A$1)=0,"",[1]!s_fa_roic_yearly($A7,$A$1))</f>
        <v>5.6454000000000004</v>
      </c>
      <c r="CS7" s="27">
        <f t="shared" si="9"/>
        <v>0.7751479289940828</v>
      </c>
      <c r="CT7" s="68" t="str">
        <f>IF([1]!s_fa_roic_yearly($A7,$D$1)=0,"",[1]!s_fa_roic_yearly($A7,$D$1))</f>
        <v/>
      </c>
      <c r="CU7" s="27" t="e">
        <f t="shared" si="10"/>
        <v>#VALUE!</v>
      </c>
      <c r="CV7" s="78">
        <f>[1]!s_stm07_bs(A7,"W14578191",$A$1,1,100000000)</f>
        <v>173.03888739000001</v>
      </c>
      <c r="CW7" s="78">
        <f>[1]!s_stmnote_bank_682($A7,$A$1,1,2,100000000)</f>
        <v>0.23277252000000001</v>
      </c>
      <c r="CX7" s="79">
        <f t="shared" si="11"/>
        <v>1.345203517607985E-3</v>
      </c>
    </row>
    <row r="8" spans="1:102" s="46" customFormat="1" ht="13.5">
      <c r="A8" s="8" t="s">
        <v>751</v>
      </c>
      <c r="B8" s="8" t="s">
        <v>752</v>
      </c>
      <c r="C8" s="9" t="s">
        <v>753</v>
      </c>
      <c r="D8" s="9" t="s">
        <v>1066</v>
      </c>
      <c r="E8" s="10"/>
      <c r="F8" s="11" t="s">
        <v>90</v>
      </c>
      <c r="G8" s="11" t="s">
        <v>67</v>
      </c>
      <c r="H8" s="11" t="s">
        <v>103</v>
      </c>
      <c r="I8" s="11"/>
      <c r="J8" s="11" t="e">
        <f>VLOOKUP(B8,[3]额度信息!$B:$T,19,0)</f>
        <v>#N/A</v>
      </c>
      <c r="K8" s="11"/>
      <c r="L8" s="27">
        <f>IFERROR(([1]!b_stm07_bs($A8,47,$A$1,1,100000000))/[1]!b_stm07_bs($A8,109,$A$1,1,100000000),"")</f>
        <v>0.11263656291157136</v>
      </c>
      <c r="M8" s="20"/>
      <c r="N8" s="18"/>
      <c r="O8" s="27" t="e">
        <f t="shared" si="0"/>
        <v>#N/A</v>
      </c>
      <c r="P8" s="21">
        <f t="shared" si="12"/>
        <v>2.0583450738120415E-2</v>
      </c>
      <c r="Q8" s="27" t="str">
        <f t="shared" si="1"/>
        <v>41 169</v>
      </c>
      <c r="R8" s="18">
        <f>IFERROR([1]!s_stmnote_bank($A8,"34",$A$1,100000000)/[1]!s_stmnote_bank_1n(A8,$A$1,1,100000000),"")</f>
        <v>1.5683450738120414E-2</v>
      </c>
      <c r="S8" s="22"/>
      <c r="T8" s="22"/>
      <c r="U8" s="22"/>
      <c r="V8" s="22"/>
      <c r="W8" s="22"/>
      <c r="X8" s="22"/>
      <c r="Y8" s="22"/>
      <c r="Z8" s="25">
        <f>[1]!b_stm07_bs(A8,74,$A$1,1,100000000)</f>
        <v>666.67088261410004</v>
      </c>
      <c r="AA8" s="25">
        <f>[1]!b_stm07_bs(A8,109,$A$1,1,100000000)</f>
        <v>549.83247961339998</v>
      </c>
      <c r="AB8" s="10">
        <f>[1]!s_stmnote_bank_5n(A8,$A$1,1)</f>
        <v>0.49</v>
      </c>
      <c r="AC8" s="25">
        <f>IF([1]!s_stmnote_bank_23n(A8,$A$1,1)=0,"",IFERROR([1]!s_stmnote_bank_23n(A8,$A$1,1),""))</f>
        <v>611.6</v>
      </c>
      <c r="AD8" s="27" t="str">
        <f t="shared" si="2"/>
        <v>156 167</v>
      </c>
      <c r="AE8" s="25">
        <f>[1]!s_stmnote_bank_capadequacyratio(A8,$A$1,1)</f>
        <v>14.47</v>
      </c>
      <c r="AF8" s="25">
        <f>IF([1]!s_stmnote_bank_capadequacyratio_ct1(A8,$A$1,1)=0,"",IFERROR([1]!s_stmnote_bank_capadequacyratio_ct1(A8,$A$1,1),""))</f>
        <v>11.72</v>
      </c>
      <c r="AG8" s="27" t="str">
        <f t="shared" si="8"/>
        <v>119 167</v>
      </c>
      <c r="AH8" s="6">
        <f>IF(OR([1]!s_fa_roe(A8,20201231)=0,[1]!s_fa_roe(A8,20211231)="0",[1]!s_fa_roe(A8,20221231)="0"),"",IFERROR(([1]!s_fa_roe(A8,20221231)+[1]!s_fa_roe(A8,20201231)+[1]!s_fa_roe(A8,20211231))/3,""))</f>
        <v>11.370233333333331</v>
      </c>
      <c r="AI8" s="27" t="str">
        <f t="shared" si="3"/>
        <v>145 173</v>
      </c>
      <c r="AJ8" s="28">
        <f>IFERROR(([1]!s_stmnote_bank_65(A8,$A$1,1,2,4,100000000)+[1]!s_stmnote_bank_65(A8,$A$1,1,2,6,100000000))/[1]!s_stmnote_bank_1n(A8,$A$1,1,100000000),"")</f>
        <v>7.0443653421985719E-2</v>
      </c>
      <c r="AK8" s="28">
        <f>IFERROR([1]!s_stmnote_bank_614(A8,$A$1,1,2,100000000)/[1]!s_stmnote_bank_647(A8,$A$1,1,2,100000000),"")</f>
        <v>0.13907506648891754</v>
      </c>
      <c r="AL8" s="28">
        <f>IFERROR(([1]!b_stm07_bs(A8,104,$A$1,1,100000000)+[1]!b_stm07_bs(A8,106,$A$1,1,100000000)+[1]!b_stm07_bs(A8,76,$A$1,1,100000000)+[1]!b_stm07_bs(A8,108,$A$1,1,100000000)+[1]!b_stm07_bs(A8,95,$A$1,1,100000000))/[1]!b_stm07_bs(A8,128,$A$1,1,100000000),"")</f>
        <v>3.0782820588553691E-2</v>
      </c>
      <c r="AM8" s="28">
        <f>IFERROR(([1]!s_stmnote_bank_614(A8,$A$1,1,2,100000000)+[1]!b_stm07_bs(A8,104,$A$1,1,100000000)+[1]!b_stm07_bs(A8,106,$A$1,1,100000000)+[1]!b_stm07_bs(A8,76,$A$1,1,100000000)+[1]!b_stm07_bs(A8,108,$A$1,1,100000000)+[1]!b_stm07_bs(A8,95,$A$1,1,100000000))/[1]!b_stm07_bs(A8,128,$A$1,1,100000000),"")</f>
        <v>0.15744880101426939</v>
      </c>
      <c r="AN8" s="31" t="e">
        <f>IF(Z8&gt;#REF!,#REF!,IF(Z8&gt;#REF!,#REF!,IF(Z8&gt;#REF!,#REF!,IF(Z8&gt;#REF!,#REF!,IF(Z8&gt;#REF!,#REF!,IF(Z8&gt;#REF!,#REF!,IF(Z8&gt;#REF!,#REF!,#REF!)))))))</f>
        <v>#REF!</v>
      </c>
      <c r="AO8" s="31" t="e">
        <f>IF(AA8&gt;#REF!,#REF!,IF(AA8&gt;#REF!,#REF!,IF(AA8&gt;#REF!,#REF!,IF(AA8&gt;#REF!,#REF!,IF(AA8&gt;#REF!,#REF!,IF(AA8&gt;#REF!,#REF!,IF(AA8&gt;#REF!,#REF!,#REF!)))))))</f>
        <v>#REF!</v>
      </c>
      <c r="AP8" s="31" t="e">
        <f>IF(AB8&lt;#REF!,#REF!,IF(AB8&lt;#REF!,#REF!,IF(AB8&lt;#REF!,#REF!,IF(AB8&lt;#REF!,#REF!,IF(AB8&lt;#REF!,#REF!,IF(AB8&lt;#REF!,#REF!,#REF!))))))</f>
        <v>#REF!</v>
      </c>
      <c r="AQ8" s="31" t="e">
        <f>IF(AC8&gt;#REF!,#REF!,IF(AC8&gt;#REF!,#REF!,IF(AC8&gt;#REF!,#REF!,IF(AC8&gt;#REF!,#REF!,#REF!))))</f>
        <v>#REF!</v>
      </c>
      <c r="AR8" s="31" t="e">
        <f>IF(AE8&gt;#REF!,#REF!,IF(AE8&gt;#REF!,#REF!,IF(AE8&gt;#REF!,#REF!,IF(AE8&gt;#REF!,#REF!,#REF!))))</f>
        <v>#REF!</v>
      </c>
      <c r="AS8" s="31" t="e">
        <f>IF(AF8&gt;#REF!,#REF!,IF(AF8&gt;#REF!,#REF!,IF(AF8&gt;#REF!,#REF!,IF(AF8&gt;#REF!,#REF!,#REF!))))</f>
        <v>#REF!</v>
      </c>
      <c r="AT8" s="31" t="e">
        <f>IF(AH8&gt;#REF!,#REF!,IF(AH8&gt;#REF!,#REF!,IF(AH8&gt;#REF!,#REF!,IF(AH8&gt;#REF!,#REF!,IF(AH8&gt;#REF!,#REF!,#REF!)))))</f>
        <v>#REF!</v>
      </c>
      <c r="AU8" s="10" t="e">
        <f t="shared" si="4"/>
        <v>#REF!</v>
      </c>
      <c r="AV8" s="10"/>
      <c r="AW8" s="10"/>
      <c r="AX8" s="10"/>
      <c r="AY8" s="31" t="str">
        <f>IFERROR(VLOOKUP(AV8,#REF!,3,0),"")</f>
        <v/>
      </c>
      <c r="AZ8" s="31" t="str">
        <f>IFERROR(VLOOKUP(AW8,#REF!,3,0),"")</f>
        <v/>
      </c>
      <c r="BA8" s="31" t="str">
        <f>IFERROR(VLOOKUP(AX8,#REF!,3,0),"")</f>
        <v/>
      </c>
      <c r="BB8" s="31" t="str">
        <f>IFERROR(AY8*#REF!+AZ8*#REF!+BA8*#REF!,"")</f>
        <v/>
      </c>
      <c r="BC8" s="32" t="str">
        <f t="shared" si="5"/>
        <v/>
      </c>
      <c r="BD8" s="32" t="str">
        <f>IFERROR(VLOOKUP(BC8*10,#REF!,2,1),"")</f>
        <v/>
      </c>
      <c r="BE8" s="10"/>
      <c r="BF8" s="10"/>
      <c r="BG8" s="10"/>
      <c r="BH8" s="11" t="s">
        <v>754</v>
      </c>
      <c r="BI8" s="10">
        <v>5.03999996185303</v>
      </c>
      <c r="BJ8" s="11" t="s">
        <v>111</v>
      </c>
      <c r="BK8" s="33" t="s">
        <v>134</v>
      </c>
      <c r="BL8" s="10">
        <f>IF([1]!s_stmnote_bank_17n(A8,$A$1,1)="0","",[1]!s_stmnote_bank_17n(A8,$A$1,1))</f>
        <v>0</v>
      </c>
      <c r="BM8" s="10">
        <f>IF([1]!s_stmnote_bank_18n(A8,$A$1,1)="0","",[1]!s_stmnote_bank_18n(A8,$A$1,1))</f>
        <v>0</v>
      </c>
      <c r="BN8" s="41" t="s">
        <v>67</v>
      </c>
      <c r="BO8" s="42" t="s">
        <v>67</v>
      </c>
      <c r="BP8" s="52">
        <f>[1]!s_stmnote_bank_5444(A8,$A$1,1)</f>
        <v>0</v>
      </c>
      <c r="BQ8" s="52">
        <f>[1]!s_stmnote_bank_129n($A8,$A$1,1)</f>
        <v>50.477600000000002</v>
      </c>
      <c r="BR8" s="52">
        <f t="shared" si="13"/>
        <v>5.5657097437780978</v>
      </c>
      <c r="BS8" s="52">
        <f>[1]!b_stm07_is(A8,19,$A$1,1,100000000)</f>
        <v>32.147014520900001</v>
      </c>
      <c r="BT8" s="52">
        <f xml:space="preserve"> [1]!s_stm07_bs(A8,"W15273164",$A$1,1,100000000)-[1]!s_stm07_bs(A8,"W17642530",$A$1,1,100000000)-[1]!s_stm07_bs(A8,"W15910877",$A$1,1,100000000)-[1]!s_stm07_bs_39(A8,$A$1,1,100000000)-[1]!s_stm07_bs(A8,"W17700468",$A$1,1,100000000)-[1]!s_stm07_bs(A8,"W16504296",$A$1,1,100000000)-[1]!s_stm07_bs(A8,"W13769069",$A$1,1,100000000)</f>
        <v>657.09723378299987</v>
      </c>
      <c r="BU8" s="52">
        <f xml:space="preserve"> [1]!s_stm07_bs(A8,"W15273164",$B$1,1,100000000)-[1]!s_stm07_bs(A8,"W17642530",$B$1,1,100000000)-[1]!s_stm07_bs(A8,"W15910877",$B$1,1,100000000)-[1]!s_stm07_bs_39(A8,$B$1,1,100000000)-[1]!s_stm07_bs(A8,"W17700468",$B$1,1,100000000)-[1]!s_stm07_bs(A8,"W16504296",$B$1,1,100000000)-[1]!s_stm07_bs(A8,"W13769069",$B$1,1,100000000)</f>
        <v>566.23247285899993</v>
      </c>
      <c r="BV8" s="52">
        <f xml:space="preserve"> [1]!s_stm07_bs(A8,"W15273164",$E$1,1,100000000)-[1]!s_stm07_bs(A8,"W17642530",$E$1,1,100000000)-[1]!s_stm07_bs(A8,"W15910877",$E$1,1,100000000)-[1]!s_stm07_bs_39(A8,$E$1,1,100000000)-[1]!s_stm07_bs(A8,"W17700468",$E$1,1,100000000)-[1]!s_stm07_bs(A8,"W16504296",$E$1,1,100000000)-[1]!s_stm07_bs(A8,"W13769069",$E$1,1,100000000)</f>
        <v>0</v>
      </c>
      <c r="BW8" s="52">
        <f xml:space="preserve"> [1]!s_stm07_bs(A8,"W15273164",$F$1,1,100000000)-[1]!s_stm07_bs(A8,"W17642530",$F$1,1,100000000)-[1]!s_stm07_bs(A8,"W15910877",$F$1,1,100000000)-[1]!s_stm07_bs_39(A8,$F$1,1,100000000)-[1]!s_stm07_bs(A8,"W17700468",$F$1,1,100000000)-[1]!s_stm07_bs(A8,"W16504296",$F$1,1,100000000)-[1]!s_stm07_bs(A8,"W13769069",$F$1,1,100000000)</f>
        <v>0</v>
      </c>
      <c r="BX8" s="52">
        <f xml:space="preserve"> [1]!s_stm07_bs(A8,"W15273164",$G$1,1,100000000)-[1]!s_stm07_bs(A8,"W17642530",$G$1,1,100000000)-[1]!s_stm07_bs(A8,"W15910877",$G$1,1,100000000)-[1]!s_stm07_bs_39(A8,$G$1,1,100000000)-[1]!s_stm07_bs(A8,"W17700468",$G$1,1,100000000)-[1]!s_stm07_bs(A8,"W16504296",$G$1,1,100000000)-[1]!s_stm07_bs(A8,"W13769069",$G$1,1,100000000)</f>
        <v>0</v>
      </c>
      <c r="BY8" s="52">
        <f>IFERROR([1]!b_stm07_is(A8,20,$A$1,1,100000000)/AVERAGEIF(CA8:CE8,"&gt;0")*100,0)</f>
        <v>2.3326532723977489</v>
      </c>
      <c r="BZ8" s="52">
        <f>[1]!b_stm07_is(A8,20,$A$1,1,100000000)</f>
        <v>12.878986576700001</v>
      </c>
      <c r="CA8" s="52">
        <f>[1]!s_stmnote_bank_38(A8,$A$1,1,100000000)</f>
        <v>599.61037302750003</v>
      </c>
      <c r="CB8" s="52">
        <f>[1]!s_stmnote_bank_38(A8,$B$1,1,100000000)</f>
        <v>504.62459657529996</v>
      </c>
      <c r="CC8" s="52">
        <f>[1]!s_stmnote_bank_38(A8,$E$1,1,100000000)</f>
        <v>0</v>
      </c>
      <c r="CD8" s="52">
        <f>[1]!s_stmnote_bank_38(A8,$F$1,1,100000000)</f>
        <v>0</v>
      </c>
      <c r="CE8" s="52">
        <f>[1]!s_stmnote_bank_38(A8,$G$1,1,100000000)</f>
        <v>0</v>
      </c>
      <c r="CF8" s="52">
        <f>IF(BP8&lt;&gt;0,BP8,IFERROR(IF(([1]!b_stm07_is(A8,19,$A$1,1,100000000)-[1]!b_stm07_is(A8,20,$A$1,1,100000000))/AVERAGE([1]!s_stmnote_bank_35(A8,$A$1,1,100000000),[1]!s_stmnote_bank_35(A8,$B$1,1,100000000))*100=0,"",([1]!b_stm07_is(A8,19,$A$1,1,100000000)-[1]!b_stm07_is(A8,20,$A$1,1,100000000))/AVERAGE([1]!s_stmnote_bank_35(A8,$A$1,1,100000000),[1]!s_stmnote_bank_35(A8,$B$1,1,100000000))*100),""))</f>
        <v>3.1967281047440865</v>
      </c>
      <c r="CG8" s="27" t="str">
        <f t="shared" si="6"/>
        <v>7 171</v>
      </c>
      <c r="CH8" s="80">
        <f t="shared" si="14"/>
        <v>1.5530574272581841</v>
      </c>
      <c r="CI8" s="27" t="str">
        <f t="shared" si="7"/>
        <v>23 169</v>
      </c>
      <c r="CJ8" s="55">
        <f>[1]!s_stmnote_bank_30(A8,$A$1,1)</f>
        <v>5.0214999999999996</v>
      </c>
      <c r="CP8" s="69">
        <f>[1]!b_stm07_bs($A8,141,$A$1,1,100000000)</f>
        <v>62.9729646491</v>
      </c>
      <c r="CQ8" s="69">
        <f>[1]!b_stm07_bs($A8,141,$D$1,1,100000000)</f>
        <v>0</v>
      </c>
      <c r="CR8" s="68">
        <f>IF([1]!s_fa_roic_yearly($A8,$A$1)=0,"",[1]!s_fa_roic_yearly($A8,$A$1))</f>
        <v>11.9556</v>
      </c>
      <c r="CS8" s="27">
        <f t="shared" si="9"/>
        <v>0.17159763313609466</v>
      </c>
      <c r="CT8" s="68">
        <f>IF([1]!s_fa_roic_yearly($A8,$D$1)=0,"",[1]!s_fa_roic_yearly($A8,$D$1))</f>
        <v>11.3666</v>
      </c>
      <c r="CU8" s="27">
        <f t="shared" si="10"/>
        <v>0.323943661971831</v>
      </c>
      <c r="CV8" s="78">
        <f>[1]!s_stm07_bs(A8,"W14578191",$A$1,1,100000000)</f>
        <v>451.34696427</v>
      </c>
      <c r="CW8" s="78">
        <f>[1]!s_stmnote_bank_682($A8,$A$1,1,2,100000000)</f>
        <v>305.03072680439999</v>
      </c>
      <c r="CX8" s="79">
        <f t="shared" si="11"/>
        <v>0.67582314926555642</v>
      </c>
    </row>
    <row r="9" spans="1:102" s="46" customFormat="1" ht="13.5">
      <c r="A9" s="8" t="s">
        <v>710</v>
      </c>
      <c r="B9" s="8" t="s">
        <v>1072</v>
      </c>
      <c r="C9" s="9" t="s">
        <v>711</v>
      </c>
      <c r="D9" s="9" t="s">
        <v>1065</v>
      </c>
      <c r="E9" s="10" t="s">
        <v>138</v>
      </c>
      <c r="F9" s="11" t="s">
        <v>178</v>
      </c>
      <c r="G9" s="11"/>
      <c r="H9" s="11" t="s">
        <v>179</v>
      </c>
      <c r="I9" s="11"/>
      <c r="J9" s="11" t="e">
        <f>VLOOKUP(B9,[3]额度信息!$B:$T,19,0)</f>
        <v>#N/A</v>
      </c>
      <c r="K9" s="11" t="s">
        <v>712</v>
      </c>
      <c r="L9" s="27">
        <f>IFERROR(([1]!b_stm07_bs($A9,47,$A$1,1,100000000))/[1]!b_stm07_bs($A9,109,$A$1,1,100000000),"")</f>
        <v>0.16584508091238859</v>
      </c>
      <c r="M9" s="20"/>
      <c r="N9" s="18"/>
      <c r="O9" s="27" t="e">
        <f t="shared" si="0"/>
        <v>#N/A</v>
      </c>
      <c r="P9" s="21">
        <f t="shared" si="12"/>
        <v>1.0622583465243023E-2</v>
      </c>
      <c r="Q9" s="27" t="str">
        <f t="shared" si="1"/>
        <v>6 169</v>
      </c>
      <c r="R9" s="18">
        <f>IFERROR([1]!s_stmnote_bank($A9,"34",$A$1,100000000)/[1]!s_stmnote_bank_1n(A9,$A$1,1,100000000),"")</f>
        <v>3.6225834652430225E-3</v>
      </c>
      <c r="S9" s="22"/>
      <c r="T9" s="22"/>
      <c r="U9" s="22"/>
      <c r="V9" s="22"/>
      <c r="W9" s="22"/>
      <c r="X9" s="22"/>
      <c r="Y9" s="22"/>
      <c r="Z9" s="25">
        <f>[1]!b_stm07_bs(A9,74,$A$1,1,100000000)</f>
        <v>1399.30674378</v>
      </c>
      <c r="AA9" s="25">
        <f>[1]!b_stm07_bs(A9,109,$A$1,1,100000000)</f>
        <v>720.69073566999998</v>
      </c>
      <c r="AB9" s="10">
        <f>[1]!s_stmnote_bank_5n(A9,$A$1,1)</f>
        <v>0.7</v>
      </c>
      <c r="AC9" s="25">
        <f>IF([1]!s_stmnote_bank_23n(A9,$A$1,1)=0,"",IFERROR([1]!s_stmnote_bank_23n(A9,$A$1,1),""))</f>
        <v>282.7</v>
      </c>
      <c r="AD9" s="27" t="str">
        <f t="shared" si="2"/>
        <v>101 167</v>
      </c>
      <c r="AE9" s="25">
        <f>[1]!s_stmnote_bank_capadequacyratio(A9,$A$1,1)</f>
        <v>15.3</v>
      </c>
      <c r="AF9" s="25">
        <f>IF([1]!s_stmnote_bank_capadequacyratio_ct1(A9,$A$1,1)=0,"",IFERROR([1]!s_stmnote_bank_capadequacyratio_ct1(A9,$A$1,1),""))</f>
        <v>12.7</v>
      </c>
      <c r="AG9" s="27" t="str">
        <f t="shared" si="8"/>
        <v>134 167</v>
      </c>
      <c r="AH9" s="6">
        <f>IF(OR([1]!s_fa_roe(A9,20201231)=0,[1]!s_fa_roe(A9,20211231)="0",[1]!s_fa_roe(A9,20221231)="0"),"",IFERROR(([1]!s_fa_roe(A9,20221231)+[1]!s_fa_roe(A9,20201231)+[1]!s_fa_roe(A9,20211231))/3,""))</f>
        <v>4.246666666666667</v>
      </c>
      <c r="AI9" s="27" t="str">
        <f t="shared" si="3"/>
        <v>25 173</v>
      </c>
      <c r="AJ9" s="28">
        <f>IFERROR(([1]!s_stmnote_bank_65(A9,$A$1,1,2,4,100000000)+[1]!s_stmnote_bank_65(A9,$A$1,1,2,6,100000000))/[1]!s_stmnote_bank_1n(A9,$A$1,1,100000000),"")</f>
        <v>0.16474997980641196</v>
      </c>
      <c r="AK9" s="28">
        <f>IFERROR([1]!s_stmnote_bank_614(A9,$A$1,1,2,100000000)/[1]!s_stmnote_bank_647(A9,$A$1,1,2,100000000),"")</f>
        <v>0.21516198661252595</v>
      </c>
      <c r="AL9" s="28">
        <f>IFERROR(([1]!b_stm07_bs(A9,104,$A$1,1,100000000)+[1]!b_stm07_bs(A9,106,$A$1,1,100000000)+[1]!b_stm07_bs(A9,76,$A$1,1,100000000)+[1]!b_stm07_bs(A9,108,$A$1,1,100000000)+[1]!b_stm07_bs(A9,95,$A$1,1,100000000))/[1]!b_stm07_bs(A9,128,$A$1,1,100000000),"")</f>
        <v>0.35691044205984818</v>
      </c>
      <c r="AM9" s="28">
        <f>IFERROR(([1]!s_stmnote_bank_614(A9,$A$1,1,2,100000000)+[1]!b_stm07_bs(A9,104,$A$1,1,100000000)+[1]!b_stm07_bs(A9,106,$A$1,1,100000000)+[1]!b_stm07_bs(A9,76,$A$1,1,100000000)+[1]!b_stm07_bs(A9,108,$A$1,1,100000000)+[1]!b_stm07_bs(A9,95,$A$1,1,100000000))/[1]!b_stm07_bs(A9,128,$A$1,1,100000000),"")</f>
        <v>0.47884746620790275</v>
      </c>
      <c r="AN9" s="31" t="e">
        <f>IF(Z9&gt;#REF!,#REF!,IF(Z9&gt;#REF!,#REF!,IF(Z9&gt;#REF!,#REF!,IF(Z9&gt;#REF!,#REF!,IF(Z9&gt;#REF!,#REF!,IF(Z9&gt;#REF!,#REF!,IF(Z9&gt;#REF!,#REF!,#REF!)))))))</f>
        <v>#REF!</v>
      </c>
      <c r="AO9" s="31" t="e">
        <f>IF(AA9&gt;#REF!,#REF!,IF(AA9&gt;#REF!,#REF!,IF(AA9&gt;#REF!,#REF!,IF(AA9&gt;#REF!,#REF!,IF(AA9&gt;#REF!,#REF!,IF(AA9&gt;#REF!,#REF!,IF(AA9&gt;#REF!,#REF!,#REF!)))))))</f>
        <v>#REF!</v>
      </c>
      <c r="AP9" s="31" t="e">
        <f>IF(AB9&lt;#REF!,#REF!,IF(AB9&lt;#REF!,#REF!,IF(AB9&lt;#REF!,#REF!,IF(AB9&lt;#REF!,#REF!,IF(AB9&lt;#REF!,#REF!,IF(AB9&lt;#REF!,#REF!,#REF!))))))</f>
        <v>#REF!</v>
      </c>
      <c r="AQ9" s="31" t="e">
        <f>IF(AC9&gt;#REF!,#REF!,IF(AC9&gt;#REF!,#REF!,IF(AC9&gt;#REF!,#REF!,IF(AC9&gt;#REF!,#REF!,#REF!))))</f>
        <v>#REF!</v>
      </c>
      <c r="AR9" s="31" t="e">
        <f>IF(AE9&gt;#REF!,#REF!,IF(AE9&gt;#REF!,#REF!,IF(AE9&gt;#REF!,#REF!,IF(AE9&gt;#REF!,#REF!,#REF!))))</f>
        <v>#REF!</v>
      </c>
      <c r="AS9" s="31" t="e">
        <f>IF(AF9&gt;#REF!,#REF!,IF(AF9&gt;#REF!,#REF!,IF(AF9&gt;#REF!,#REF!,IF(AF9&gt;#REF!,#REF!,#REF!))))</f>
        <v>#REF!</v>
      </c>
      <c r="AT9" s="31" t="e">
        <f>IF(AH9&gt;#REF!,#REF!,IF(AH9&gt;#REF!,#REF!,IF(AH9&gt;#REF!,#REF!,IF(AH9&gt;#REF!,#REF!,IF(AH9&gt;#REF!,#REF!,#REF!)))))</f>
        <v>#REF!</v>
      </c>
      <c r="AU9" s="10" t="e">
        <f t="shared" si="4"/>
        <v>#REF!</v>
      </c>
      <c r="AV9" s="10" t="s">
        <v>60</v>
      </c>
      <c r="AW9" s="10" t="s">
        <v>61</v>
      </c>
      <c r="AX9" s="10" t="s">
        <v>62</v>
      </c>
      <c r="AY9" s="31" t="str">
        <f>IFERROR(VLOOKUP(AV9,#REF!,3,0),"")</f>
        <v/>
      </c>
      <c r="AZ9" s="31" t="str">
        <f>IFERROR(VLOOKUP(AW9,#REF!,3,0),"")</f>
        <v/>
      </c>
      <c r="BA9" s="31" t="str">
        <f>IFERROR(VLOOKUP(AX9,#REF!,3,0),"")</f>
        <v/>
      </c>
      <c r="BB9" s="31" t="str">
        <f>IFERROR(AY9*#REF!+AZ9*#REF!+BA9*#REF!,"")</f>
        <v/>
      </c>
      <c r="BC9" s="32" t="str">
        <f t="shared" si="5"/>
        <v/>
      </c>
      <c r="BD9" s="32" t="str">
        <f>IFERROR(VLOOKUP(BC9*10,#REF!,2,1),"")</f>
        <v/>
      </c>
      <c r="BE9" s="11">
        <v>1</v>
      </c>
      <c r="BF9" s="11">
        <v>-2</v>
      </c>
      <c r="BG9" s="10" t="s">
        <v>713</v>
      </c>
      <c r="BH9" s="11" t="s">
        <v>263</v>
      </c>
      <c r="BI9" s="10">
        <v>100</v>
      </c>
      <c r="BJ9" s="33" t="s">
        <v>486</v>
      </c>
      <c r="BK9" s="33" t="s">
        <v>487</v>
      </c>
      <c r="BL9" s="10">
        <f>IF([1]!s_stmnote_bank_17n(A9,$A$1,1)="0","",[1]!s_stmnote_bank_17n(A9,$A$1,1))</f>
        <v>0</v>
      </c>
      <c r="BM9" s="10">
        <f>IF([1]!s_stmnote_bank_18n(A9,$A$1,1)="0","",[1]!s_stmnote_bank_18n(A9,$A$1,1))</f>
        <v>0</v>
      </c>
      <c r="BN9" s="41" t="s">
        <v>67</v>
      </c>
      <c r="BO9" s="42" t="s">
        <v>67</v>
      </c>
      <c r="BP9" s="52">
        <f>[1]!s_stmnote_bank_5444(A9,$A$1,1)</f>
        <v>0</v>
      </c>
      <c r="BQ9" s="53">
        <f>[1]!s_stmnote_bank_129n($A9,$A$1,1)</f>
        <v>61.675699999999999</v>
      </c>
      <c r="BR9" s="52">
        <f t="shared" si="13"/>
        <v>2.667498796087604</v>
      </c>
      <c r="BS9" s="52">
        <f>[1]!b_stm07_is(A9,19,$A$1,1,100000000)</f>
        <v>35.257538539999999</v>
      </c>
      <c r="BT9" s="52">
        <f xml:space="preserve"> [1]!s_stm07_bs(A9,"W15273164",$A$1,1,100000000)-[1]!s_stm07_bs(A9,"W17642530",$A$1,1,100000000)-[1]!s_stm07_bs(A9,"W15910877",$A$1,1,100000000)-[1]!s_stm07_bs_39(A9,$A$1,1,100000000)-[1]!s_stm07_bs(A9,"W17700468",$A$1,1,100000000)-[1]!s_stm07_bs(A9,"W16504296",$A$1,1,100000000)-[1]!s_stm07_bs(A9,"W13769069",$A$1,1,100000000)</f>
        <v>1373.2323042</v>
      </c>
      <c r="BU9" s="52">
        <f xml:space="preserve"> [1]!s_stm07_bs(A9,"W15273164",$B$1,1,100000000)-[1]!s_stm07_bs(A9,"W17642530",$B$1,1,100000000)-[1]!s_stm07_bs(A9,"W15910877",$B$1,1,100000000)-[1]!s_stm07_bs_39(A9,$B$1,1,100000000)-[1]!s_stm07_bs(A9,"W17700468",$B$1,1,100000000)-[1]!s_stm07_bs(A9,"W16504296",$B$1,1,100000000)-[1]!s_stm07_bs(A9,"W13769069",$B$1,1,100000000)</f>
        <v>1306.9705159499999</v>
      </c>
      <c r="BV9" s="52">
        <f xml:space="preserve"> [1]!s_stm07_bs(A9,"W15273164",$E$1,1,100000000)-[1]!s_stm07_bs(A9,"W17642530",$E$1,1,100000000)-[1]!s_stm07_bs(A9,"W15910877",$E$1,1,100000000)-[1]!s_stm07_bs_39(A9,$E$1,1,100000000)-[1]!s_stm07_bs(A9,"W17700468",$E$1,1,100000000)-[1]!s_stm07_bs(A9,"W16504296",$E$1,1,100000000)-[1]!s_stm07_bs(A9,"W13769069",$E$1,1,100000000)</f>
        <v>1348.2118</v>
      </c>
      <c r="BW9" s="52">
        <f xml:space="preserve"> [1]!s_stm07_bs(A9,"W15273164",$F$1,1,100000000)-[1]!s_stm07_bs(A9,"W17642530",$F$1,1,100000000)-[1]!s_stm07_bs(A9,"W15910877",$F$1,1,100000000)-[1]!s_stm07_bs_39(A9,$F$1,1,100000000)-[1]!s_stm07_bs(A9,"W17700468",$F$1,1,100000000)-[1]!s_stm07_bs(A9,"W16504296",$F$1,1,100000000)-[1]!s_stm07_bs(A9,"W13769069",$F$1,1,100000000)</f>
        <v>1338.828</v>
      </c>
      <c r="BX9" s="52">
        <f xml:space="preserve"> [1]!s_stm07_bs(A9,"W15273164",$G$1,1,100000000)-[1]!s_stm07_bs(A9,"W17642530",$G$1,1,100000000)-[1]!s_stm07_bs(A9,"W15910877",$G$1,1,100000000)-[1]!s_stm07_bs_39(A9,$G$1,1,100000000)-[1]!s_stm07_bs(A9,"W17700468",$G$1,1,100000000)-[1]!s_stm07_bs(A9,"W16504296",$G$1,1,100000000)-[1]!s_stm07_bs(A9,"W13769069",$G$1,1,100000000)</f>
        <v>1364.9853000000001</v>
      </c>
      <c r="BY9" s="52">
        <f>IFERROR([1]!b_stm07_is(A9,20,$A$1,1,100000000)/AVERAGEIF(CA9:CE9,"&gt;0")*100,0)</f>
        <v>1.5948673453414146</v>
      </c>
      <c r="BZ9" s="52">
        <f>[1]!b_stm07_is(A9,20,$A$1,1,100000000)</f>
        <v>17.752719750000001</v>
      </c>
      <c r="CA9" s="52">
        <f>[1]!s_stmnote_bank_38(A9,$A$1,1,100000000)</f>
        <v>1174.5677058700001</v>
      </c>
      <c r="CB9" s="52">
        <f>[1]!s_stmnote_bank_38(A9,$B$1,1,100000000)</f>
        <v>1051.66381136</v>
      </c>
      <c r="CC9" s="52">
        <f>[1]!s_stmnote_bank_38(A9,$E$1,1,100000000)</f>
        <v>0</v>
      </c>
      <c r="CD9" s="52">
        <f>[1]!s_stmnote_bank_38(A9,$F$1,1,100000000)</f>
        <v>0</v>
      </c>
      <c r="CE9" s="52">
        <f>[1]!s_stmnote_bank_38(A9,$G$1,1,100000000)</f>
        <v>0</v>
      </c>
      <c r="CF9" s="52">
        <f>IF(BP9&lt;&gt;0,BP9,IFERROR(IF(([1]!b_stm07_is(A9,19,$A$1,1,100000000)-[1]!b_stm07_is(A9,20,$A$1,1,100000000))/AVERAGE([1]!s_stmnote_bank_35(A9,$A$1,1,100000000),[1]!s_stmnote_bank_35(A9,$B$1,1,100000000))*100=0,"",([1]!b_stm07_is(A9,19,$A$1,1,100000000)-[1]!b_stm07_is(A9,20,$A$1,1,100000000))/AVERAGE([1]!s_stmnote_bank_35(A9,$A$1,1,100000000),[1]!s_stmnote_bank_35(A9,$B$1,1,100000000))*100),""))</f>
        <v>1.4285627833191821</v>
      </c>
      <c r="CG9" s="27" t="str">
        <f t="shared" si="6"/>
        <v>157 171</v>
      </c>
      <c r="CH9" s="80">
        <f t="shared" si="14"/>
        <v>1.3448355458852586</v>
      </c>
      <c r="CI9" s="27" t="str">
        <f t="shared" si="7"/>
        <v>30 169</v>
      </c>
      <c r="CJ9" s="55">
        <f>[1]!s_stmnote_bank_30(A9,$A$1,1)</f>
        <v>40.500100000000003</v>
      </c>
      <c r="CP9" s="69">
        <f>[1]!b_stm07_bs($A9,141,$A$1,1,100000000)</f>
        <v>127.6236639</v>
      </c>
      <c r="CQ9" s="69">
        <f>[1]!b_stm07_bs($A9,141,$D$1,1,100000000)</f>
        <v>131.43320803</v>
      </c>
      <c r="CR9" s="68">
        <f>IF([1]!s_fa_roic_yearly($A9,$A$1)=0,"",[1]!s_fa_roic_yearly($A9,$A$1))</f>
        <v>5.9431000000000003</v>
      </c>
      <c r="CS9" s="27">
        <f t="shared" si="9"/>
        <v>0.73372781065088755</v>
      </c>
      <c r="CT9" s="68">
        <f>IF([1]!s_fa_roic_yearly($A9,$D$1)=0,"",[1]!s_fa_roic_yearly($A9,$D$1))</f>
        <v>6.9058000000000002</v>
      </c>
      <c r="CU9" s="27">
        <f t="shared" si="10"/>
        <v>0.78873239436619713</v>
      </c>
      <c r="CV9" s="78">
        <f>[1]!s_stm07_bs(A9,"W14578191",$A$1,1,100000000)</f>
        <v>485.6028149</v>
      </c>
      <c r="CW9" s="78">
        <f>[1]!s_stmnote_bank_682($A9,$A$1,1,2,100000000)</f>
        <v>55.300885919999999</v>
      </c>
      <c r="CX9" s="79">
        <f t="shared" si="11"/>
        <v>0.11388090065208557</v>
      </c>
    </row>
    <row r="10" spans="1:102" s="46" customFormat="1" ht="13.5">
      <c r="A10" s="8" t="s">
        <v>941</v>
      </c>
      <c r="B10" s="13" t="s">
        <v>942</v>
      </c>
      <c r="C10" s="15" t="s">
        <v>943</v>
      </c>
      <c r="D10" s="9" t="s">
        <v>1065</v>
      </c>
      <c r="E10" s="10" t="s">
        <v>138</v>
      </c>
      <c r="F10" s="11" t="s">
        <v>178</v>
      </c>
      <c r="G10" s="11"/>
      <c r="H10" s="11" t="s">
        <v>116</v>
      </c>
      <c r="I10" s="11"/>
      <c r="J10" s="11" t="e">
        <f>VLOOKUP(B10,[3]额度信息!$B:$T,19,0)</f>
        <v>#N/A</v>
      </c>
      <c r="K10" s="11" t="s">
        <v>944</v>
      </c>
      <c r="L10" s="27">
        <f>IFERROR(([1]!b_stm07_bs($A10,47,$A$1,1,100000000))/[1]!b_stm07_bs($A10,109,$A$1,1,100000000),"")</f>
        <v>0.16907988327386439</v>
      </c>
      <c r="M10" s="20">
        <v>3.1</v>
      </c>
      <c r="N10" s="18">
        <f>IFERROR(([1]!s_stmnote_bank_26($A10,$A$1,1,100000000)-[1]!s_stmnote_bank_26($A10,$B$1,1,100000000)+M10)/[1]!s_stmnote_bank_1n($A10,$B$1,1,100000000),"")</f>
        <v>4.8221112907200023E-3</v>
      </c>
      <c r="O10" s="27" t="str">
        <f t="shared" si="0"/>
        <v>11 50</v>
      </c>
      <c r="P10" s="21">
        <f t="shared" si="12"/>
        <v>7.1999999999999998E-3</v>
      </c>
      <c r="Q10" s="27" t="str">
        <f t="shared" si="1"/>
        <v>4 169</v>
      </c>
      <c r="R10" s="18">
        <f>IFERROR([1]!s_stmnote_bank($A10,"34",$A$1,100000000)/[1]!s_stmnote_bank_1n(A10,$A$1,1,100000000),"")</f>
        <v>0</v>
      </c>
      <c r="S10" s="22">
        <v>0.14199999999999999</v>
      </c>
      <c r="T10" s="22">
        <v>1.7999999999999999E-2</v>
      </c>
      <c r="U10" s="22"/>
      <c r="V10" s="22"/>
      <c r="W10" s="22"/>
      <c r="X10" s="22"/>
      <c r="Y10" s="22"/>
      <c r="Z10" s="25">
        <f>[1]!b_stm07_bs(A10,74,$A$1,1,100000000)</f>
        <v>1370.6721024799999</v>
      </c>
      <c r="AA10" s="25">
        <f>[1]!b_stm07_bs(A10,109,$A$1,1,100000000)</f>
        <v>539.37733539999999</v>
      </c>
      <c r="AB10" s="10">
        <v>0.72</v>
      </c>
      <c r="AC10" s="25">
        <f>IF([1]!s_stmnote_bank_23n(A10,$A$1,1)=0,"",IFERROR([1]!s_stmnote_bank_23n(A10,$A$1,1),""))</f>
        <v>410.89</v>
      </c>
      <c r="AD10" s="27" t="str">
        <f t="shared" si="2"/>
        <v>133 167</v>
      </c>
      <c r="AE10" s="25">
        <f>[1]!s_stmnote_bank_capadequacyratio(A10,$A$1,1)</f>
        <v>13.6</v>
      </c>
      <c r="AF10" s="25">
        <f>IF([1]!s_stmnote_bank_capadequacyratio_ct1(A10,$A$1,1)=0,"",IFERROR([1]!s_stmnote_bank_capadequacyratio_ct1(A10,$A$1,1),""))</f>
        <v>12.4</v>
      </c>
      <c r="AG10" s="27" t="str">
        <f t="shared" si="8"/>
        <v>128 167</v>
      </c>
      <c r="AH10" s="6">
        <f>IF(OR([1]!s_fa_roe(A10,20201231)=0,[1]!s_fa_roe(A10,20211231)="0",[1]!s_fa_roe(A10,20221231)="0"),"",IFERROR(([1]!s_fa_roe(A10,20221231)+[1]!s_fa_roe(A10,20201231)+[1]!s_fa_roe(A10,20211231))/3,""))</f>
        <v>5.5485999999999995</v>
      </c>
      <c r="AI10" s="27" t="str">
        <f t="shared" si="3"/>
        <v>49 173</v>
      </c>
      <c r="AJ10" s="28">
        <f>IFERROR(([1]!s_stmnote_bank_65(A10,$A$1,1,2,4,100000000)+[1]!s_stmnote_bank_65(A10,$A$1,1,2,6,100000000))/[1]!s_stmnote_bank_1n(A10,$A$1,1,100000000),"")</f>
        <v>0.2450465861702526</v>
      </c>
      <c r="AK10" s="28">
        <f>IFERROR([1]!s_stmnote_bank_614(A10,$A$1,1,2,100000000)/[1]!s_stmnote_bank_647(A10,$A$1,1,2,100000000),"")</f>
        <v>0.49691971167315019</v>
      </c>
      <c r="AL10" s="28">
        <f>IFERROR(([1]!b_stm07_bs(A10,104,$A$1,1,100000000)+[1]!b_stm07_bs(A10,106,$A$1,1,100000000)+[1]!b_stm07_bs(A10,76,$A$1,1,100000000)+[1]!b_stm07_bs(A10,108,$A$1,1,100000000)+[1]!b_stm07_bs(A10,95,$A$1,1,100000000))/[1]!b_stm07_bs(A10,128,$A$1,1,100000000),"")</f>
        <v>0.54640960132710981</v>
      </c>
      <c r="AM10" s="28">
        <f>IFERROR(([1]!s_stmnote_bank_614(A10,$A$1,1,2,100000000)+[1]!b_stm07_bs(A10,104,$A$1,1,100000000)+[1]!b_stm07_bs(A10,106,$A$1,1,100000000)+[1]!b_stm07_bs(A10,76,$A$1,1,100000000)+[1]!b_stm07_bs(A10,108,$A$1,1,100000000)+[1]!b_stm07_bs(A10,95,$A$1,1,100000000))/[1]!b_stm07_bs(A10,128,$A$1,1,100000000),"")</f>
        <v>0.76132645994758363</v>
      </c>
      <c r="AN10" s="31" t="e">
        <f>IF(Z10&gt;#REF!,#REF!,IF(Z10&gt;#REF!,#REF!,IF(Z10&gt;#REF!,#REF!,IF(Z10&gt;#REF!,#REF!,IF(Z10&gt;#REF!,#REF!,IF(Z10&gt;#REF!,#REF!,IF(Z10&gt;#REF!,#REF!,#REF!)))))))</f>
        <v>#REF!</v>
      </c>
      <c r="AO10" s="31" t="e">
        <f>IF(AA10&gt;#REF!,#REF!,IF(AA10&gt;#REF!,#REF!,IF(AA10&gt;#REF!,#REF!,IF(AA10&gt;#REF!,#REF!,IF(AA10&gt;#REF!,#REF!,IF(AA10&gt;#REF!,#REF!,IF(AA10&gt;#REF!,#REF!,#REF!)))))))</f>
        <v>#REF!</v>
      </c>
      <c r="AP10" s="31" t="e">
        <f>IF(AB10&lt;#REF!,#REF!,IF(AB10&lt;#REF!,#REF!,IF(AB10&lt;#REF!,#REF!,IF(AB10&lt;#REF!,#REF!,IF(AB10&lt;#REF!,#REF!,IF(AB10&lt;#REF!,#REF!,#REF!))))))</f>
        <v>#REF!</v>
      </c>
      <c r="AQ10" s="31" t="e">
        <f>IF(AC10&gt;#REF!,#REF!,IF(AC10&gt;#REF!,#REF!,IF(AC10&gt;#REF!,#REF!,IF(AC10&gt;#REF!,#REF!,#REF!))))</f>
        <v>#REF!</v>
      </c>
      <c r="AR10" s="31" t="e">
        <f>IF(AE10&gt;#REF!,#REF!,IF(AE10&gt;#REF!,#REF!,IF(AE10&gt;#REF!,#REF!,IF(AE10&gt;#REF!,#REF!,#REF!))))</f>
        <v>#REF!</v>
      </c>
      <c r="AS10" s="31" t="e">
        <f>IF(AF10&gt;#REF!,#REF!,IF(AF10&gt;#REF!,#REF!,IF(AF10&gt;#REF!,#REF!,IF(AF10&gt;#REF!,#REF!,#REF!))))</f>
        <v>#REF!</v>
      </c>
      <c r="AT10" s="31" t="e">
        <f>IF(AH10&gt;#REF!,#REF!,IF(AH10&gt;#REF!,#REF!,IF(AH10&gt;#REF!,#REF!,IF(AH10&gt;#REF!,#REF!,IF(AH10&gt;#REF!,#REF!,#REF!)))))</f>
        <v>#REF!</v>
      </c>
      <c r="AU10" s="10" t="e">
        <f t="shared" si="4"/>
        <v>#REF!</v>
      </c>
      <c r="AV10" s="10" t="s">
        <v>60</v>
      </c>
      <c r="AW10" s="10" t="s">
        <v>161</v>
      </c>
      <c r="AX10" s="10" t="s">
        <v>62</v>
      </c>
      <c r="AY10" s="31" t="str">
        <f>IFERROR(VLOOKUP(AV10,#REF!,3,0),"")</f>
        <v/>
      </c>
      <c r="AZ10" s="31" t="str">
        <f>IFERROR(VLOOKUP(AW10,#REF!,3,0),"")</f>
        <v/>
      </c>
      <c r="BA10" s="31" t="str">
        <f>IFERROR(VLOOKUP(AX10,#REF!,3,0),"")</f>
        <v/>
      </c>
      <c r="BB10" s="31" t="str">
        <f>IFERROR(AY10*#REF!+AZ10*#REF!+BA10*#REF!,"")</f>
        <v/>
      </c>
      <c r="BC10" s="32" t="str">
        <f t="shared" si="5"/>
        <v/>
      </c>
      <c r="BD10" s="32" t="str">
        <f>IFERROR(VLOOKUP(BC10*10,#REF!,2,1),"")</f>
        <v/>
      </c>
      <c r="BE10" s="11">
        <v>1</v>
      </c>
      <c r="BF10" s="11">
        <v>-2</v>
      </c>
      <c r="BG10" s="10" t="s">
        <v>945</v>
      </c>
      <c r="BH10" s="11" t="s">
        <v>946</v>
      </c>
      <c r="BI10" s="11">
        <v>100</v>
      </c>
      <c r="BJ10" s="11" t="s">
        <v>71</v>
      </c>
      <c r="BK10" s="11" t="s">
        <v>72</v>
      </c>
      <c r="BL10" s="10">
        <f>IF([1]!s_stmnote_bank_17n(A10,$A$1,1)="0","",[1]!s_stmnote_bank_17n(A10,$A$1,1))</f>
        <v>0</v>
      </c>
      <c r="BM10" s="10">
        <f>IF([1]!s_stmnote_bank_18n(A10,$A$1,1)="0","",[1]!s_stmnote_bank_18n(A10,$A$1,1))</f>
        <v>0</v>
      </c>
      <c r="BN10" s="41" t="s">
        <v>67</v>
      </c>
      <c r="BO10" s="42" t="s">
        <v>67</v>
      </c>
      <c r="BP10" s="52">
        <f>[1]!s_stmnote_bank_5444(A10,$A$1,1)</f>
        <v>0</v>
      </c>
      <c r="BQ10" s="53">
        <f>[1]!s_stmnote_bank_129n($A10,$A$1,1)</f>
        <v>52.89</v>
      </c>
      <c r="BR10" s="52">
        <f t="shared" si="13"/>
        <v>3.5025211571899932</v>
      </c>
      <c r="BS10" s="52">
        <f>[1]!b_stm07_is(A10,19,$A$1,1,100000000)</f>
        <v>42.096058620000001</v>
      </c>
      <c r="BT10" s="52">
        <f xml:space="preserve"> [1]!s_stm07_bs(A10,"W15273164",$A$1,1,100000000)-[1]!s_stm07_bs(A10,"W17642530",$A$1,1,100000000)-[1]!s_stm07_bs(A10,"W15910877",$A$1,1,100000000)-[1]!s_stm07_bs_39(A10,$A$1,1,100000000)-[1]!s_stm07_bs(A10,"W17700468",$A$1,1,100000000)-[1]!s_stm07_bs(A10,"W16504296",$A$1,1,100000000)-[1]!s_stm07_bs(A10,"W13769069",$A$1,1,100000000)</f>
        <v>1356.1410459000001</v>
      </c>
      <c r="BU10" s="52">
        <f xml:space="preserve"> [1]!s_stm07_bs(A10,"W15273164",$B$1,1,100000000)-[1]!s_stm07_bs(A10,"W17642530",$B$1,1,100000000)-[1]!s_stm07_bs(A10,"W15910877",$B$1,1,100000000)-[1]!s_stm07_bs_39(A10,$B$1,1,100000000)-[1]!s_stm07_bs(A10,"W17700468",$B$1,1,100000000)-[1]!s_stm07_bs(A10,"W16504296",$B$1,1,100000000)-[1]!s_stm07_bs(A10,"W13769069",$B$1,1,100000000)</f>
        <v>1179.8413156199999</v>
      </c>
      <c r="BV10" s="52">
        <f xml:space="preserve"> [1]!s_stm07_bs(A10,"W15273164",$E$1,1,100000000)-[1]!s_stm07_bs(A10,"W17642530",$E$1,1,100000000)-[1]!s_stm07_bs(A10,"W15910877",$E$1,1,100000000)-[1]!s_stm07_bs_39(A10,$E$1,1,100000000)-[1]!s_stm07_bs(A10,"W17700468",$E$1,1,100000000)-[1]!s_stm07_bs(A10,"W16504296",$E$1,1,100000000)-[1]!s_stm07_bs(A10,"W13769069",$E$1,1,100000000)</f>
        <v>0</v>
      </c>
      <c r="BW10" s="52">
        <f xml:space="preserve"> [1]!s_stm07_bs(A10,"W15273164",$F$1,1,100000000)-[1]!s_stm07_bs(A10,"W17642530",$F$1,1,100000000)-[1]!s_stm07_bs(A10,"W15910877",$F$1,1,100000000)-[1]!s_stm07_bs_39(A10,$F$1,1,100000000)-[1]!s_stm07_bs(A10,"W17700468",$F$1,1,100000000)-[1]!s_stm07_bs(A10,"W16504296",$F$1,1,100000000)-[1]!s_stm07_bs(A10,"W13769069",$F$1,1,100000000)</f>
        <v>0</v>
      </c>
      <c r="BX10" s="52">
        <f xml:space="preserve"> [1]!s_stm07_bs(A10,"W15273164",$G$1,1,100000000)-[1]!s_stm07_bs(A10,"W17642530",$G$1,1,100000000)-[1]!s_stm07_bs(A10,"W15910877",$G$1,1,100000000)-[1]!s_stm07_bs_39(A10,$G$1,1,100000000)-[1]!s_stm07_bs(A10,"W17700468",$G$1,1,100000000)-[1]!s_stm07_bs(A10,"W16504296",$G$1,1,100000000)-[1]!s_stm07_bs(A10,"W13769069",$G$1,1,100000000)</f>
        <v>0</v>
      </c>
      <c r="BY10" s="52">
        <f>IFERROR([1]!b_stm07_is(A10,20,$A$1,1,100000000)/AVERAGEIF(CA10:CE10,"&gt;0")*100,0)</f>
        <v>2.0876577472058293</v>
      </c>
      <c r="BZ10" s="52">
        <f>[1]!b_stm07_is(A10,20,$A$1,1,100000000)</f>
        <v>23.665041909999999</v>
      </c>
      <c r="CA10" s="52">
        <f>[1]!s_stmnote_bank_38(A10,$A$1,1,100000000)</f>
        <v>1220.8159755500001</v>
      </c>
      <c r="CB10" s="52">
        <f>[1]!s_stmnote_bank_38(A10,$B$1,1,100000000)</f>
        <v>1046.3221069900001</v>
      </c>
      <c r="CC10" s="52">
        <f>[1]!s_stmnote_bank_38(A10,$E$1,1,100000000)</f>
        <v>0</v>
      </c>
      <c r="CD10" s="52">
        <f>[1]!s_stmnote_bank_38(A10,$F$1,1,100000000)</f>
        <v>0</v>
      </c>
      <c r="CE10" s="52">
        <f>[1]!s_stmnote_bank_38(A10,$G$1,1,100000000)</f>
        <v>0</v>
      </c>
      <c r="CF10" s="52">
        <f>IF(BP10&lt;&gt;0,BP10,IFERROR(IF(([1]!b_stm07_is(A10,19,$A$1,1,100000000)-[1]!b_stm07_is(A10,20,$A$1,1,100000000))/AVERAGE([1]!s_stmnote_bank_35(A10,$A$1,1,100000000),[1]!s_stmnote_bank_35(A10,$B$1,1,100000000))*100=0,"",([1]!b_stm07_is(A10,19,$A$1,1,100000000)-[1]!b_stm07_is(A10,20,$A$1,1,100000000))/AVERAGE([1]!s_stmnote_bank_35(A10,$A$1,1,100000000),[1]!s_stmnote_bank_35(A10,$B$1,1,100000000))*100),""))</f>
        <v>1.4965826097097716</v>
      </c>
      <c r="CG10" s="27" t="str">
        <f t="shared" si="6"/>
        <v>154 171</v>
      </c>
      <c r="CH10" s="80">
        <f t="shared" si="14"/>
        <v>2.0785869579302383</v>
      </c>
      <c r="CI10" s="27" t="str">
        <f t="shared" si="7"/>
        <v>8 169</v>
      </c>
      <c r="CJ10" s="55">
        <f>[1]!s_stmnote_bank_30(A10,$A$1,1)</f>
        <v>25.087800000000001</v>
      </c>
      <c r="CP10" s="69">
        <f>[1]!b_stm07_bs($A10,141,$A$1,1,100000000)</f>
        <v>123.55155684</v>
      </c>
      <c r="CQ10" s="69">
        <f>[1]!b_stm07_bs($A10,141,$D$1,1,100000000)</f>
        <v>0</v>
      </c>
      <c r="CR10" s="68">
        <f>IF([1]!s_fa_roic_yearly($A10,$A$1)=0,"",[1]!s_fa_roic_yearly($A10,$A$1))</f>
        <v>5.9791999999999996</v>
      </c>
      <c r="CS10" s="27">
        <f t="shared" si="9"/>
        <v>0.72189349112426038</v>
      </c>
      <c r="CT10" s="68" t="str">
        <f>IF([1]!s_fa_roic_yearly($A10,$D$1)=0,"",[1]!s_fa_roic_yearly($A10,$D$1))</f>
        <v/>
      </c>
      <c r="CU10" s="27" t="e">
        <f t="shared" si="10"/>
        <v>#VALUE!</v>
      </c>
      <c r="CV10" s="78">
        <f>[1]!s_stm07_bs(A10,"W14578191",$A$1,1,100000000)</f>
        <v>683.33082547000004</v>
      </c>
      <c r="CW10" s="78">
        <f>[1]!s_stmnote_bank_682($A10,$A$1,1,2,100000000)</f>
        <v>157.78728651</v>
      </c>
      <c r="CX10" s="79">
        <f t="shared" si="11"/>
        <v>0.23090907160740587</v>
      </c>
    </row>
    <row r="11" spans="1:102" s="46" customFormat="1" ht="13.5">
      <c r="A11" s="8" t="s">
        <v>343</v>
      </c>
      <c r="B11" s="13" t="s">
        <v>344</v>
      </c>
      <c r="C11" s="15" t="s">
        <v>345</v>
      </c>
      <c r="D11" s="9" t="s">
        <v>1061</v>
      </c>
      <c r="E11" s="10" t="s">
        <v>345</v>
      </c>
      <c r="F11" s="11" t="s">
        <v>66</v>
      </c>
      <c r="G11" s="11" t="s">
        <v>346</v>
      </c>
      <c r="H11" s="11" t="s">
        <v>116</v>
      </c>
      <c r="I11" s="11"/>
      <c r="J11" s="11">
        <f>VLOOKUP(B11,[3]额度信息!$B:$T,19,0)</f>
        <v>0</v>
      </c>
      <c r="K11" s="11" t="s">
        <v>347</v>
      </c>
      <c r="L11" s="27">
        <f>IFERROR(([1]!b_stm07_bs($A11,47,$A$1,1,100000000))/[1]!b_stm07_bs($A11,109,$A$1,1,100000000),"")</f>
        <v>0.13140153799929305</v>
      </c>
      <c r="M11" s="20"/>
      <c r="N11" s="18"/>
      <c r="O11" s="27" t="e">
        <f t="shared" si="0"/>
        <v>#N/A</v>
      </c>
      <c r="P11" s="21">
        <f t="shared" si="12"/>
        <v>2.8279872305841308E-2</v>
      </c>
      <c r="Q11" s="27" t="str">
        <f t="shared" si="1"/>
        <v>74 169</v>
      </c>
      <c r="R11" s="18">
        <f>IFERROR([1]!s_stmnote_bank($A11,"34",$A$1,100000000)/[1]!s_stmnote_bank_1n(A11,$A$1,1,100000000),"")</f>
        <v>2.057987230584131E-2</v>
      </c>
      <c r="S11" s="22"/>
      <c r="T11" s="22"/>
      <c r="U11" s="22"/>
      <c r="V11" s="22"/>
      <c r="W11" s="22"/>
      <c r="X11" s="22"/>
      <c r="Y11" s="22"/>
      <c r="Z11" s="25">
        <f>[1]!b_stm07_bs(A11,74,$A$1,1,100000000)</f>
        <v>1223.8837488199999</v>
      </c>
      <c r="AA11" s="25">
        <f>[1]!b_stm07_bs(A11,109,$A$1,1,100000000)</f>
        <v>887.51316998000004</v>
      </c>
      <c r="AB11" s="10">
        <f>[1]!s_stmnote_bank_5n(A11,$A$1,1)</f>
        <v>0.77</v>
      </c>
      <c r="AC11" s="25">
        <f>IF([1]!s_stmnote_bank_23n(A11,$A$1,1)=0,"",IFERROR([1]!s_stmnote_bank_23n(A11,$A$1,1),""))</f>
        <v>602.59</v>
      </c>
      <c r="AD11" s="27" t="str">
        <f t="shared" si="2"/>
        <v>155 167</v>
      </c>
      <c r="AE11" s="25">
        <f>[1]!s_stmnote_bank_capadequacyratio(A11,$A$1,1)</f>
        <v>13.14</v>
      </c>
      <c r="AF11" s="25">
        <f>IF([1]!s_stmnote_bank_capadequacyratio_ct1(A11,$A$1,1)=0,"",IFERROR([1]!s_stmnote_bank_capadequacyratio_ct1(A11,$A$1,1),""))</f>
        <v>8.18</v>
      </c>
      <c r="AG11" s="27" t="str">
        <f t="shared" si="8"/>
        <v>15 167</v>
      </c>
      <c r="AH11" s="6">
        <f>IF(OR([1]!s_fa_roe(A11,20201231)=0,[1]!s_fa_roe(A11,20211231)="0",[1]!s_fa_roe(A11,20221231)="0"),"",IFERROR(([1]!s_fa_roe(A11,20221231)+[1]!s_fa_roe(A11,20201231)+[1]!s_fa_roe(A11,20211231))/3,""))</f>
        <v>12.0831</v>
      </c>
      <c r="AI11" s="27" t="str">
        <f t="shared" si="3"/>
        <v>149 173</v>
      </c>
      <c r="AJ11" s="28">
        <f>IFERROR(([1]!s_stmnote_bank_65(A11,$A$1,1,2,4,100000000)+[1]!s_stmnote_bank_65(A11,$A$1,1,2,6,100000000))/[1]!s_stmnote_bank_1n(A11,$A$1,1,100000000),"")</f>
        <v>0.1674150858118767</v>
      </c>
      <c r="AK11" s="28">
        <f>IFERROR([1]!s_stmnote_bank_614(A11,$A$1,1,2,100000000)/[1]!s_stmnote_bank_647(A11,$A$1,1,2,100000000),"")</f>
        <v>0.33683593901681108</v>
      </c>
      <c r="AL11" s="28">
        <f>IFERROR(([1]!b_stm07_bs(A11,104,$A$1,1,100000000)+[1]!b_stm07_bs(A11,106,$A$1,1,100000000)+[1]!b_stm07_bs(A11,76,$A$1,1,100000000)+[1]!b_stm07_bs(A11,108,$A$1,1,100000000)+[1]!b_stm07_bs(A11,95,$A$1,1,100000000))/[1]!b_stm07_bs(A11,128,$A$1,1,100000000),"")</f>
        <v>0.16424618795483406</v>
      </c>
      <c r="AM11" s="28">
        <f>IFERROR(([1]!s_stmnote_bank_614(A11,$A$1,1,2,100000000)+[1]!b_stm07_bs(A11,104,$A$1,1,100000000)+[1]!b_stm07_bs(A11,106,$A$1,1,100000000)+[1]!b_stm07_bs(A11,76,$A$1,1,100000000)+[1]!b_stm07_bs(A11,108,$A$1,1,100000000)+[1]!b_stm07_bs(A11,95,$A$1,1,100000000))/[1]!b_stm07_bs(A11,128,$A$1,1,100000000),"")</f>
        <v>0.42605776988756117</v>
      </c>
      <c r="AN11" s="31" t="e">
        <f>IF(Z11&gt;#REF!,#REF!,IF(Z11&gt;#REF!,#REF!,IF(Z11&gt;#REF!,#REF!,IF(Z11&gt;#REF!,#REF!,IF(Z11&gt;#REF!,#REF!,IF(Z11&gt;#REF!,#REF!,IF(Z11&gt;#REF!,#REF!,#REF!)))))))</f>
        <v>#REF!</v>
      </c>
      <c r="AO11" s="31" t="e">
        <f>IF(AA11&gt;#REF!,#REF!,IF(AA11&gt;#REF!,#REF!,IF(AA11&gt;#REF!,#REF!,IF(AA11&gt;#REF!,#REF!,IF(AA11&gt;#REF!,#REF!,IF(AA11&gt;#REF!,#REF!,IF(AA11&gt;#REF!,#REF!,#REF!)))))))</f>
        <v>#REF!</v>
      </c>
      <c r="AP11" s="31" t="e">
        <f>IF(AB11&lt;#REF!,#REF!,IF(AB11&lt;#REF!,#REF!,IF(AB11&lt;#REF!,#REF!,IF(AB11&lt;#REF!,#REF!,IF(AB11&lt;#REF!,#REF!,IF(AB11&lt;#REF!,#REF!,#REF!))))))</f>
        <v>#REF!</v>
      </c>
      <c r="AQ11" s="31" t="e">
        <f>IF(AC11&gt;#REF!,#REF!,IF(AC11&gt;#REF!,#REF!,IF(AC11&gt;#REF!,#REF!,IF(AC11&gt;#REF!,#REF!,#REF!))))</f>
        <v>#REF!</v>
      </c>
      <c r="AR11" s="31" t="e">
        <f>IF(AE11&gt;#REF!,#REF!,IF(AE11&gt;#REF!,#REF!,IF(AE11&gt;#REF!,#REF!,IF(AE11&gt;#REF!,#REF!,#REF!))))</f>
        <v>#REF!</v>
      </c>
      <c r="AS11" s="31" t="e">
        <f>IF(AF11&gt;#REF!,#REF!,IF(AF11&gt;#REF!,#REF!,IF(AF11&gt;#REF!,#REF!,IF(AF11&gt;#REF!,#REF!,#REF!))))</f>
        <v>#REF!</v>
      </c>
      <c r="AT11" s="31" t="e">
        <f>IF(AH11&gt;#REF!,#REF!,IF(AH11&gt;#REF!,#REF!,IF(AH11&gt;#REF!,#REF!,IF(AH11&gt;#REF!,#REF!,IF(AH11&gt;#REF!,#REF!,#REF!)))))</f>
        <v>#REF!</v>
      </c>
      <c r="AU11" s="10" t="e">
        <f t="shared" si="4"/>
        <v>#REF!</v>
      </c>
      <c r="AV11" s="10" t="s">
        <v>141</v>
      </c>
      <c r="AW11" s="10" t="s">
        <v>61</v>
      </c>
      <c r="AX11" s="10" t="s">
        <v>261</v>
      </c>
      <c r="AY11" s="31" t="str">
        <f>IFERROR(VLOOKUP(AV11,#REF!,3,0),"")</f>
        <v/>
      </c>
      <c r="AZ11" s="31" t="str">
        <f>IFERROR(VLOOKUP(AW11,#REF!,3,0),"")</f>
        <v/>
      </c>
      <c r="BA11" s="31" t="str">
        <f>IFERROR(VLOOKUP(AX11,#REF!,3,0),"")</f>
        <v/>
      </c>
      <c r="BB11" s="31" t="str">
        <f>IFERROR(AY11*#REF!+AZ11*#REF!+BA11*#REF!,"")</f>
        <v/>
      </c>
      <c r="BC11" s="32" t="str">
        <f t="shared" si="5"/>
        <v/>
      </c>
      <c r="BD11" s="32" t="str">
        <f>IFERROR(VLOOKUP(BC11*10,#REF!,2,1),"")</f>
        <v/>
      </c>
      <c r="BE11" s="11">
        <v>0</v>
      </c>
      <c r="BF11" s="11">
        <v>-1</v>
      </c>
      <c r="BG11" s="10" t="s">
        <v>348</v>
      </c>
      <c r="BH11" s="11" t="s">
        <v>349</v>
      </c>
      <c r="BI11" s="50">
        <v>9.9099998474121094</v>
      </c>
      <c r="BJ11" s="11" t="s">
        <v>92</v>
      </c>
      <c r="BK11" s="11" t="s">
        <v>350</v>
      </c>
      <c r="BL11" s="10">
        <f>IF([1]!s_stmnote_bank_17n(A11,$A$1,1)="0","",[1]!s_stmnote_bank_17n(A11,$A$1,1))</f>
        <v>4.92</v>
      </c>
      <c r="BM11" s="10">
        <f>IF([1]!s_stmnote_bank_18n(A11,$A$1,1)="0","",[1]!s_stmnote_bank_18n(A11,$A$1,1))</f>
        <v>38.1</v>
      </c>
      <c r="BN11" s="41" t="s">
        <v>67</v>
      </c>
      <c r="BO11" s="42" t="s">
        <v>67</v>
      </c>
      <c r="BP11" s="52">
        <f>[1]!s_stmnote_bank_5444(A11,$A$1,1)</f>
        <v>2.0499999999999998</v>
      </c>
      <c r="BQ11" s="52">
        <f>[1]!s_stmnote_bank_129n($A11,$A$1,1)</f>
        <v>37.25</v>
      </c>
      <c r="BR11" s="52">
        <f t="shared" si="13"/>
        <v>4.6159999222284931</v>
      </c>
      <c r="BS11" s="52">
        <f>[1]!b_stm07_is(A11,19,$A$1,1,100000000)</f>
        <v>49.007712740000002</v>
      </c>
      <c r="BT11" s="52">
        <f xml:space="preserve"> [1]!s_stm07_bs(A11,"W15273164",$A$1,1,100000000)-[1]!s_stm07_bs(A11,"W17642530",$A$1,1,100000000)-[1]!s_stm07_bs(A11,"W15910877",$A$1,1,100000000)-[1]!s_stm07_bs_39(A11,$A$1,1,100000000)-[1]!s_stm07_bs(A11,"W17700468",$A$1,1,100000000)-[1]!s_stm07_bs(A11,"W16504296",$A$1,1,100000000)-[1]!s_stm07_bs(A11,"W13769069",$A$1,1,100000000)</f>
        <v>1208.0494892900001</v>
      </c>
      <c r="BU11" s="52">
        <f xml:space="preserve"> [1]!s_stm07_bs(A11,"W15273164",$B$1,1,100000000)-[1]!s_stm07_bs(A11,"W17642530",$B$1,1,100000000)-[1]!s_stm07_bs(A11,"W15910877",$B$1,1,100000000)-[1]!s_stm07_bs_39(A11,$B$1,1,100000000)-[1]!s_stm07_bs(A11,"W17700468",$B$1,1,100000000)-[1]!s_stm07_bs(A11,"W16504296",$B$1,1,100000000)-[1]!s_stm07_bs(A11,"W13769069",$B$1,1,100000000)</f>
        <v>1030.4810384199998</v>
      </c>
      <c r="BV11" s="52">
        <f xml:space="preserve"> [1]!s_stm07_bs(A11,"W15273164",$E$1,1,100000000)-[1]!s_stm07_bs(A11,"W17642530",$E$1,1,100000000)-[1]!s_stm07_bs(A11,"W15910877",$E$1,1,100000000)-[1]!s_stm07_bs_39(A11,$E$1,1,100000000)-[1]!s_stm07_bs(A11,"W17700468",$E$1,1,100000000)-[1]!s_stm07_bs(A11,"W16504296",$E$1,1,100000000)-[1]!s_stm07_bs(A11,"W13769069",$E$1,1,100000000)</f>
        <v>1122.9138430842002</v>
      </c>
      <c r="BW11" s="52">
        <f xml:space="preserve"> [1]!s_stm07_bs(A11,"W15273164",$F$1,1,100000000)-[1]!s_stm07_bs(A11,"W17642530",$F$1,1,100000000)-[1]!s_stm07_bs(A11,"W15910877",$F$1,1,100000000)-[1]!s_stm07_bs_39(A11,$F$1,1,100000000)-[1]!s_stm07_bs(A11,"W17700468",$F$1,1,100000000)-[1]!s_stm07_bs(A11,"W16504296",$F$1,1,100000000)-[1]!s_stm07_bs(A11,"W13769069",$F$1,1,100000000)</f>
        <v>1091.1515428800001</v>
      </c>
      <c r="BX11" s="52">
        <f xml:space="preserve"> [1]!s_stm07_bs(A11,"W15273164",$G$1,1,100000000)-[1]!s_stm07_bs(A11,"W17642530",$G$1,1,100000000)-[1]!s_stm07_bs(A11,"W15910877",$G$1,1,100000000)-[1]!s_stm07_bs_39(A11,$G$1,1,100000000)-[1]!s_stm07_bs(A11,"W17700468",$G$1,1,100000000)-[1]!s_stm07_bs(A11,"W16504296",$G$1,1,100000000)-[1]!s_stm07_bs(A11,"W13769069",$G$1,1,100000000)</f>
        <v>1085.7942538700001</v>
      </c>
      <c r="BY11" s="52">
        <f>IFERROR([1]!b_stm07_is(A11,20,$A$1,1,100000000)/AVERAGEIF(CA11:CE11,"&gt;0")*100,0)</f>
        <v>2.7890151334739128</v>
      </c>
      <c r="BZ11" s="52">
        <f>[1]!b_stm07_is(A11,20,$A$1,1,100000000)</f>
        <v>28.892147219999998</v>
      </c>
      <c r="CA11" s="52">
        <f>[1]!s_stmnote_bank_38(A11,$A$1,1,100000000)</f>
        <v>1127.18331741</v>
      </c>
      <c r="CB11" s="52">
        <f>[1]!s_stmnote_bank_38(A11,$B$1,1,100000000)</f>
        <v>963.78287007999995</v>
      </c>
      <c r="CC11" s="52">
        <f>[1]!s_stmnote_bank_38(A11,$E$1,1,100000000)</f>
        <v>1047.0457050786999</v>
      </c>
      <c r="CD11" s="52">
        <f>[1]!s_stmnote_bank_38(A11,$F$1,1,100000000)</f>
        <v>1026.0513975878</v>
      </c>
      <c r="CE11" s="52">
        <f>[1]!s_stmnote_bank_38(A11,$G$1,1,100000000)</f>
        <v>1015.56927498</v>
      </c>
      <c r="CF11" s="52">
        <f>IF(BP11&lt;&gt;0,BP11,IFERROR(IF(([1]!b_stm07_is(A11,19,$A$1,1,100000000)-[1]!b_stm07_is(A11,20,$A$1,1,100000000))/AVERAGE([1]!s_stmnote_bank_35(A11,$A$1,1,100000000),[1]!s_stmnote_bank_35(A11,$B$1,1,100000000))*100=0,"",([1]!b_stm07_is(A11,19,$A$1,1,100000000)-[1]!b_stm07_is(A11,20,$A$1,1,100000000))/AVERAGE([1]!s_stmnote_bank_35(A11,$A$1,1,100000000),[1]!s_stmnote_bank_35(A11,$B$1,1,100000000))*100),""))</f>
        <v>2.0499999999999998</v>
      </c>
      <c r="CG11" s="27" t="str">
        <f t="shared" si="6"/>
        <v>85 171</v>
      </c>
      <c r="CH11" s="80">
        <f t="shared" si="14"/>
        <v>0.7248971911293125</v>
      </c>
      <c r="CI11" s="27" t="str">
        <f t="shared" si="7"/>
        <v>76 169</v>
      </c>
      <c r="CJ11" s="55">
        <f>[1]!s_stmnote_bank_30(A11,$A$1,1)</f>
        <v>31.711300000000001</v>
      </c>
      <c r="CP11" s="69">
        <f>[1]!b_stm07_bs($A11,141,$A$1,1,100000000)</f>
        <v>82.046058549999998</v>
      </c>
      <c r="CQ11" s="69">
        <f>[1]!b_stm07_bs($A11,141,$D$1,1,100000000)</f>
        <v>90.260597059999995</v>
      </c>
      <c r="CR11" s="68">
        <f>IF([1]!s_fa_roic_yearly($A11,$A$1)=0,"",[1]!s_fa_roic_yearly($A11,$A$1))</f>
        <v>12.2196</v>
      </c>
      <c r="CS11" s="27">
        <f t="shared" si="9"/>
        <v>0.15384615384615385</v>
      </c>
      <c r="CT11" s="68">
        <f>IF([1]!s_fa_roic_yearly($A11,$D$1)=0,"",[1]!s_fa_roic_yearly($A11,$D$1))</f>
        <v>20.449200000000001</v>
      </c>
      <c r="CU11" s="27">
        <f t="shared" si="10"/>
        <v>7.0422535211267607E-3</v>
      </c>
      <c r="CV11" s="78">
        <f>[1]!s_stm07_bs(A11,"W14578191",$A$1,1,100000000)</f>
        <v>672.59705500999996</v>
      </c>
      <c r="CW11" s="78">
        <f>[1]!s_stmnote_bank_682($A11,$A$1,1,2,100000000)</f>
        <v>202.37475325</v>
      </c>
      <c r="CX11" s="79">
        <f t="shared" si="11"/>
        <v>0.30088557739372074</v>
      </c>
    </row>
    <row r="12" spans="1:102" s="46" customFormat="1" ht="13.5">
      <c r="A12" s="8" t="s">
        <v>619</v>
      </c>
      <c r="B12" s="8" t="s">
        <v>620</v>
      </c>
      <c r="C12" s="9" t="s">
        <v>621</v>
      </c>
      <c r="D12" s="9" t="s">
        <v>1065</v>
      </c>
      <c r="E12" s="10" t="s">
        <v>138</v>
      </c>
      <c r="F12" s="11" t="s">
        <v>178</v>
      </c>
      <c r="G12" s="11" t="s">
        <v>139</v>
      </c>
      <c r="H12" s="11" t="s">
        <v>179</v>
      </c>
      <c r="I12" s="11"/>
      <c r="J12" s="11">
        <f>VLOOKUP(B12,[3]额度信息!$B:$T,19,0)</f>
        <v>0</v>
      </c>
      <c r="K12" s="11" t="s">
        <v>622</v>
      </c>
      <c r="L12" s="27">
        <f>IFERROR(([1]!b_stm07_bs($A12,47,$A$1,1,100000000))/[1]!b_stm07_bs($A12,109,$A$1,1,100000000),"")</f>
        <v>0.12159484941568999</v>
      </c>
      <c r="M12" s="20"/>
      <c r="N12" s="18"/>
      <c r="O12" s="27" t="e">
        <f t="shared" si="0"/>
        <v>#N/A</v>
      </c>
      <c r="P12" s="21">
        <f t="shared" si="12"/>
        <v>1.5322724739563191E-2</v>
      </c>
      <c r="Q12" s="27" t="str">
        <f t="shared" si="1"/>
        <v>24 169</v>
      </c>
      <c r="R12" s="18">
        <f>IFERROR([1]!s_stmnote_bank($A12,"34",$A$1,100000000)/[1]!s_stmnote_bank_1n(A12,$A$1,1,100000000),"")</f>
        <v>1.262272473956319E-2</v>
      </c>
      <c r="S12" s="22"/>
      <c r="T12" s="22"/>
      <c r="U12" s="22"/>
      <c r="V12" s="22"/>
      <c r="W12" s="22"/>
      <c r="X12" s="22"/>
      <c r="Y12" s="22"/>
      <c r="Z12" s="25">
        <f>[1]!b_stm07_bs(A12,74,$A$1,1,100000000)</f>
        <v>609.16401924000002</v>
      </c>
      <c r="AA12" s="25">
        <f>[1]!b_stm07_bs(A12,109,$A$1,1,100000000)</f>
        <v>317.93978729999998</v>
      </c>
      <c r="AB12" s="10">
        <f>[1]!s_stmnote_bank_5n(A12,$A$1,1)</f>
        <v>0.27</v>
      </c>
      <c r="AC12" s="25">
        <f>IF([1]!s_stmnote_bank_23n(A12,$A$1,1)=0,"",IFERROR([1]!s_stmnote_bank_23n(A12,$A$1,1),""))</f>
        <v>893.99</v>
      </c>
      <c r="AD12" s="27" t="str">
        <f t="shared" si="2"/>
        <v>164 167</v>
      </c>
      <c r="AE12" s="25">
        <f>[1]!s_stmnote_bank_capadequacyratio(A12,$A$1,1)</f>
        <v>19.440000000000001</v>
      </c>
      <c r="AF12" s="25">
        <f>IF([1]!s_stmnote_bank_capadequacyratio_ct1(A12,$A$1,1)=0,"",IFERROR([1]!s_stmnote_bank_capadequacyratio_ct1(A12,$A$1,1),""))</f>
        <v>18.38</v>
      </c>
      <c r="AG12" s="27" t="str">
        <f>RANK(AF12,AF$5:AF$192,0)&amp;" "&amp;COUNTIF(AF$5:AF$192,"&gt;0")</f>
        <v>2 167</v>
      </c>
      <c r="AH12" s="6">
        <f>IF(OR([1]!s_fa_roe(A12,20201231)=0,[1]!s_fa_roe(A12,20211231)="0",[1]!s_fa_roe(A12,20221231)="0"),"",IFERROR(([1]!s_fa_roe(A12,20221231)+[1]!s_fa_roe(A12,20201231)+[1]!s_fa_roe(A12,20211231))/3,""))</f>
        <v>4.1144999999999996</v>
      </c>
      <c r="AI12" s="27" t="str">
        <f t="shared" si="3"/>
        <v>23 173</v>
      </c>
      <c r="AJ12" s="28">
        <f>IFERROR(([1]!s_stmnote_bank_65(A12,$A$1,1,2,4,100000000)+[1]!s_stmnote_bank_65(A12,$A$1,1,2,6,100000000))/[1]!s_stmnote_bank_1n(A12,$A$1,1,100000000),"")</f>
        <v>0.22532516452458451</v>
      </c>
      <c r="AK12" s="28">
        <f>IFERROR([1]!s_stmnote_bank_614(A12,$A$1,1,2,100000000)/[1]!s_stmnote_bank_647(A12,$A$1,1,2,100000000),"")</f>
        <v>0.48757411416309393</v>
      </c>
      <c r="AL12" s="28">
        <f>IFERROR(([1]!b_stm07_bs(A12,104,$A$1,1,100000000)+[1]!b_stm07_bs(A12,106,$A$1,1,100000000)+[1]!b_stm07_bs(A12,76,$A$1,1,100000000)+[1]!b_stm07_bs(A12,108,$A$1,1,100000000)+[1]!b_stm07_bs(A12,95,$A$1,1,100000000))/[1]!b_stm07_bs(A12,128,$A$1,1,100000000),"")</f>
        <v>0.30481289354560992</v>
      </c>
      <c r="AM12" s="28">
        <f>IFERROR(([1]!s_stmnote_bank_614(A12,$A$1,1,2,100000000)+[1]!b_stm07_bs(A12,104,$A$1,1,100000000)+[1]!b_stm07_bs(A12,106,$A$1,1,100000000)+[1]!b_stm07_bs(A12,76,$A$1,1,100000000)+[1]!b_stm07_bs(A12,108,$A$1,1,100000000)+[1]!b_stm07_bs(A12,95,$A$1,1,100000000))/[1]!b_stm07_bs(A12,128,$A$1,1,100000000),"")</f>
        <v>0.60043276236593401</v>
      </c>
      <c r="AN12" s="31" t="e">
        <f>IF(Z12&gt;#REF!,#REF!,IF(Z12&gt;#REF!,#REF!,IF(Z12&gt;#REF!,#REF!,IF(Z12&gt;#REF!,#REF!,IF(Z12&gt;#REF!,#REF!,IF(Z12&gt;#REF!,#REF!,IF(Z12&gt;#REF!,#REF!,#REF!)))))))</f>
        <v>#REF!</v>
      </c>
      <c r="AO12" s="31" t="e">
        <f>IF(AA12&gt;#REF!,#REF!,IF(AA12&gt;#REF!,#REF!,IF(AA12&gt;#REF!,#REF!,IF(AA12&gt;#REF!,#REF!,IF(AA12&gt;#REF!,#REF!,IF(AA12&gt;#REF!,#REF!,IF(AA12&gt;#REF!,#REF!,#REF!)))))))</f>
        <v>#REF!</v>
      </c>
      <c r="AP12" s="31" t="e">
        <f>IF(AB12&lt;#REF!,#REF!,IF(AB12&lt;#REF!,#REF!,IF(AB12&lt;#REF!,#REF!,IF(AB12&lt;#REF!,#REF!,IF(AB12&lt;#REF!,#REF!,IF(AB12&lt;#REF!,#REF!,#REF!))))))</f>
        <v>#REF!</v>
      </c>
      <c r="AQ12" s="31" t="e">
        <f>IF(AC12&gt;#REF!,#REF!,IF(AC12&gt;#REF!,#REF!,IF(AC12&gt;#REF!,#REF!,IF(AC12&gt;#REF!,#REF!,#REF!))))</f>
        <v>#REF!</v>
      </c>
      <c r="AR12" s="31" t="e">
        <f>IF(AE12&gt;#REF!,#REF!,IF(AE12&gt;#REF!,#REF!,IF(AE12&gt;#REF!,#REF!,IF(AE12&gt;#REF!,#REF!,#REF!))))</f>
        <v>#REF!</v>
      </c>
      <c r="AS12" s="31" t="e">
        <f>IF(AF12&gt;#REF!,#REF!,IF(AF12&gt;#REF!,#REF!,IF(AF12&gt;#REF!,#REF!,IF(AF12&gt;#REF!,#REF!,#REF!))))</f>
        <v>#REF!</v>
      </c>
      <c r="AT12" s="31" t="e">
        <f>IF(AH12&gt;#REF!,#REF!,IF(AH12&gt;#REF!,#REF!,IF(AH12&gt;#REF!,#REF!,IF(AH12&gt;#REF!,#REF!,IF(AH12&gt;#REF!,#REF!,#REF!)))))</f>
        <v>#REF!</v>
      </c>
      <c r="AU12" s="10" t="e">
        <f t="shared" si="4"/>
        <v>#REF!</v>
      </c>
      <c r="AV12" s="10" t="s">
        <v>141</v>
      </c>
      <c r="AW12" s="10" t="s">
        <v>141</v>
      </c>
      <c r="AX12" s="10" t="s">
        <v>62</v>
      </c>
      <c r="AY12" s="31" t="str">
        <f>IFERROR(VLOOKUP(AV12,#REF!,3,0),"")</f>
        <v/>
      </c>
      <c r="AZ12" s="31" t="str">
        <f>IFERROR(VLOOKUP(AW12,#REF!,3,0),"")</f>
        <v/>
      </c>
      <c r="BA12" s="31" t="str">
        <f>IFERROR(VLOOKUP(AX12,#REF!,3,0),"")</f>
        <v/>
      </c>
      <c r="BB12" s="31" t="str">
        <f>IFERROR(AY12*#REF!+AZ12*#REF!+BA12*#REF!,"")</f>
        <v/>
      </c>
      <c r="BC12" s="32" t="str">
        <f t="shared" si="5"/>
        <v/>
      </c>
      <c r="BD12" s="32" t="str">
        <f>IFERROR(VLOOKUP(BC12*10,#REF!,2,1),"")</f>
        <v/>
      </c>
      <c r="BE12" s="11">
        <v>1</v>
      </c>
      <c r="BF12" s="11">
        <v>-2</v>
      </c>
      <c r="BG12" s="10" t="s">
        <v>623</v>
      </c>
      <c r="BH12" s="11" t="s">
        <v>624</v>
      </c>
      <c r="BI12" s="10">
        <v>100</v>
      </c>
      <c r="BJ12" s="11" t="s">
        <v>486</v>
      </c>
      <c r="BK12" s="33" t="s">
        <v>487</v>
      </c>
      <c r="BL12" s="10">
        <f>IF([1]!s_stmnote_bank_17n(A12,$A$1,1)="0","",[1]!s_stmnote_bank_17n(A12,$A$1,1))</f>
        <v>6.27</v>
      </c>
      <c r="BM12" s="10">
        <f>IF([1]!s_stmnote_bank_18n(A12,$A$1,1)="0","",[1]!s_stmnote_bank_18n(A12,$A$1,1))</f>
        <v>0</v>
      </c>
      <c r="BN12" s="41" t="s">
        <v>67</v>
      </c>
      <c r="BO12" s="68" t="s">
        <v>67</v>
      </c>
      <c r="BP12" s="52">
        <f>[1]!s_stmnote_bank_5444(A12,$A$1,1)</f>
        <v>1.54</v>
      </c>
      <c r="BQ12" s="53">
        <f>[1]!s_stmnote_bank_129n($A12,$A$1,1)</f>
        <v>69.489999999999995</v>
      </c>
      <c r="BR12" s="52">
        <f t="shared" si="13"/>
        <v>2.7341574968705613</v>
      </c>
      <c r="BS12" s="52">
        <f>[1]!b_stm07_is(A12,19,$A$1,1,100000000)</f>
        <v>16.285891620000001</v>
      </c>
      <c r="BT12" s="52">
        <f xml:space="preserve"> [1]!s_stm07_bs(A12,"W15273164",$A$1,1,100000000)-[1]!s_stm07_bs(A12,"W17642530",$A$1,1,100000000)-[1]!s_stm07_bs(A12,"W15910877",$A$1,1,100000000)-[1]!s_stm07_bs_39(A12,$A$1,1,100000000)-[1]!s_stm07_bs(A12,"W17700468",$A$1,1,100000000)-[1]!s_stm07_bs(A12,"W16504296",$A$1,1,100000000)-[1]!s_stm07_bs(A12,"W13769069",$A$1,1,100000000)</f>
        <v>604.1004029799999</v>
      </c>
      <c r="BU12" s="52">
        <f xml:space="preserve"> [1]!s_stm07_bs(A12,"W15273164",$B$1,1,100000000)-[1]!s_stm07_bs(A12,"W17642530",$B$1,1,100000000)-[1]!s_stm07_bs(A12,"W15910877",$B$1,1,100000000)-[1]!s_stm07_bs_39(A12,$B$1,1,100000000)-[1]!s_stm07_bs(A12,"W17700468",$B$1,1,100000000)-[1]!s_stm07_bs(A12,"W16504296",$B$1,1,100000000)-[1]!s_stm07_bs(A12,"W13769069",$B$1,1,100000000)</f>
        <v>597.42466519000004</v>
      </c>
      <c r="BV12" s="52">
        <f xml:space="preserve"> [1]!s_stm07_bs(A12,"W15273164",$E$1,1,100000000)-[1]!s_stm07_bs(A12,"W17642530",$E$1,1,100000000)-[1]!s_stm07_bs(A12,"W15910877",$E$1,1,100000000)-[1]!s_stm07_bs_39(A12,$E$1,1,100000000)-[1]!s_stm07_bs(A12,"W17700468",$E$1,1,100000000)-[1]!s_stm07_bs(A12,"W16504296",$E$1,1,100000000)-[1]!s_stm07_bs(A12,"W13769069",$E$1,1,100000000)</f>
        <v>0</v>
      </c>
      <c r="BW12" s="52">
        <f xml:space="preserve"> [1]!s_stm07_bs(A12,"W15273164",$F$1,1,100000000)-[1]!s_stm07_bs(A12,"W17642530",$F$1,1,100000000)-[1]!s_stm07_bs(A12,"W15910877",$F$1,1,100000000)-[1]!s_stm07_bs_39(A12,$F$1,1,100000000)-[1]!s_stm07_bs(A12,"W17700468",$F$1,1,100000000)-[1]!s_stm07_bs(A12,"W16504296",$F$1,1,100000000)-[1]!s_stm07_bs(A12,"W13769069",$F$1,1,100000000)</f>
        <v>574.73825999999997</v>
      </c>
      <c r="BX12" s="52">
        <f xml:space="preserve"> [1]!s_stm07_bs(A12,"W15273164",$G$1,1,100000000)-[1]!s_stm07_bs(A12,"W17642530",$G$1,1,100000000)-[1]!s_stm07_bs(A12,"W15910877",$G$1,1,100000000)-[1]!s_stm07_bs_39(A12,$G$1,1,100000000)-[1]!s_stm07_bs(A12,"W17700468",$G$1,1,100000000)-[1]!s_stm07_bs(A12,"W16504296",$G$1,1,100000000)-[1]!s_stm07_bs(A12,"W13769069",$G$1,1,100000000)</f>
        <v>0</v>
      </c>
      <c r="BY12" s="52">
        <f>IFERROR([1]!b_stm07_is(A12,20,$A$1,1,100000000)/AVERAGEIF(CA12:CE12,"&gt;0")*100,0)</f>
        <v>1.6891289384642252</v>
      </c>
      <c r="BZ12" s="52">
        <f>[1]!b_stm07_is(A12,20,$A$1,1,100000000)</f>
        <v>7.9453538799999999</v>
      </c>
      <c r="CA12" s="52">
        <f>[1]!s_stmnote_bank_38(A12,$A$1,1,100000000)</f>
        <v>477.77969991999998</v>
      </c>
      <c r="CB12" s="52">
        <f>[1]!s_stmnote_bank_38(A12,$B$1,1,100000000)</f>
        <v>471.28425449999997</v>
      </c>
      <c r="CC12" s="52">
        <f>[1]!s_stmnote_bank_38(A12,$E$1,1,100000000)</f>
        <v>0</v>
      </c>
      <c r="CD12" s="52">
        <f>[1]!s_stmnote_bank_38(A12,$F$1,1,100000000)</f>
        <v>462.08122800000001</v>
      </c>
      <c r="CE12" s="52">
        <f>[1]!s_stmnote_bank_38(A12,$G$1,1,100000000)</f>
        <v>0</v>
      </c>
      <c r="CF12" s="52">
        <f>IF(BP12&lt;&gt;0,BP12,IFERROR(IF(([1]!b_stm07_is(A12,19,$A$1,1,100000000)-[1]!b_stm07_is(A12,20,$A$1,1,100000000))/AVERAGE([1]!s_stmnote_bank_35(A12,$A$1,1,100000000),[1]!s_stmnote_bank_35(A12,$B$1,1,100000000))*100=0,"",([1]!b_stm07_is(A12,19,$A$1,1,100000000)-[1]!b_stm07_is(A12,20,$A$1,1,100000000))/AVERAGE([1]!s_stmnote_bank_35(A12,$A$1,1,100000000),[1]!s_stmnote_bank_35(A12,$B$1,1,100000000))*100),""))</f>
        <v>1.54</v>
      </c>
      <c r="CG12" s="27" t="str">
        <f t="shared" si="6"/>
        <v>151 171</v>
      </c>
      <c r="CH12" s="80">
        <f t="shared" si="14"/>
        <v>1.0050431800968977</v>
      </c>
      <c r="CI12" s="27" t="str">
        <f t="shared" si="7"/>
        <v>41 169</v>
      </c>
      <c r="CJ12" s="55">
        <f>[1]!s_stmnote_bank_30(A12,$A$1,1)</f>
        <v>38.802100000000003</v>
      </c>
      <c r="CP12" s="69">
        <f>[1]!b_stm07_bs($A12,141,$A$1,1,100000000)</f>
        <v>84.777039540000004</v>
      </c>
      <c r="CQ12" s="69">
        <f>[1]!b_stm07_bs($A12,141,$D$1,1,100000000)</f>
        <v>87.010875999999996</v>
      </c>
      <c r="CR12" s="68">
        <f>IF([1]!s_fa_roic_yearly($A12,$A$1)=0,"",[1]!s_fa_roic_yearly($A12,$A$1))</f>
        <v>3.6937000000000002</v>
      </c>
      <c r="CS12" s="27" t="str">
        <f>RANK(CR12,CR$5:CR$192,1)&amp;" "&amp;COUNTIF(CR$5:CR$192,"&gt;0")</f>
        <v>15 169</v>
      </c>
      <c r="CT12" s="68">
        <f>IF([1]!s_fa_roic_yearly($A12,$D$1)=0,"",[1]!s_fa_roic_yearly($A12,$D$1))</f>
        <v>5.6981999999999999</v>
      </c>
      <c r="CU12" s="27" t="str">
        <f>RANK(CT12,CT$5:CT$192,1)&amp;" "&amp;COUNTIF(CT$5:CT$192,"&gt;0")</f>
        <v>19 142</v>
      </c>
      <c r="CV12" s="78">
        <f>[1]!s_stm07_bs(A12,"W14578191",$A$1,1,100000000)</f>
        <v>276.01477820999997</v>
      </c>
      <c r="CW12" s="78">
        <f>[1]!s_stmnote_bank_682($A12,$A$1,1,2,100000000)</f>
        <v>52.297476230000001</v>
      </c>
      <c r="CX12" s="79">
        <f t="shared" si="11"/>
        <v>0.1894734643165033</v>
      </c>
    </row>
    <row r="13" spans="1:102" s="46" customFormat="1" ht="13.5">
      <c r="A13" s="8" t="s">
        <v>120</v>
      </c>
      <c r="B13" s="8" t="s">
        <v>121</v>
      </c>
      <c r="C13" s="15" t="s">
        <v>122</v>
      </c>
      <c r="D13" s="9" t="s">
        <v>1066</v>
      </c>
      <c r="E13" s="10"/>
      <c r="F13" s="11" t="s">
        <v>66</v>
      </c>
      <c r="G13" s="11" t="s">
        <v>67</v>
      </c>
      <c r="H13" s="11" t="s">
        <v>103</v>
      </c>
      <c r="I13" s="11"/>
      <c r="J13" s="11" t="e">
        <f>VLOOKUP(B13,[3]额度信息!$B:$T,19,0)</f>
        <v>#N/A</v>
      </c>
      <c r="K13" s="11"/>
      <c r="L13" s="27">
        <f>IFERROR(([1]!b_stm07_bs($A13,47,$A$1,1,100000000))/[1]!b_stm07_bs($A13,109,$A$1,1,100000000),"")</f>
        <v>7.2509519111418577E-2</v>
      </c>
      <c r="M13" s="20"/>
      <c r="N13" s="18"/>
      <c r="O13" s="27" t="e">
        <f t="shared" si="0"/>
        <v>#N/A</v>
      </c>
      <c r="P13" s="21">
        <f t="shared" si="12"/>
        <v>1.4843829061466921E-2</v>
      </c>
      <c r="Q13" s="27" t="str">
        <f t="shared" si="1"/>
        <v>22 169</v>
      </c>
      <c r="R13" s="18">
        <f>IFERROR([1]!s_stmnote_bank($A13,"34",$A$1,100000000)/[1]!s_stmnote_bank_1n(A13,$A$1,1,100000000),"")</f>
        <v>5.9438290614669213E-3</v>
      </c>
      <c r="S13" s="22"/>
      <c r="T13" s="22"/>
      <c r="U13" s="22"/>
      <c r="V13" s="22"/>
      <c r="W13" s="22"/>
      <c r="X13" s="22"/>
      <c r="Y13" s="22"/>
      <c r="Z13" s="25">
        <f>[1]!b_stm07_bs(A13,74,$A$1,1,100000000)</f>
        <v>791.44588205910009</v>
      </c>
      <c r="AA13" s="25">
        <f>[1]!b_stm07_bs(A13,109,$A$1,1,100000000)</f>
        <v>619.80745169529996</v>
      </c>
      <c r="AB13" s="10">
        <f>[1]!s_stmnote_bank_5n(A13,$A$1,1)</f>
        <v>0.89</v>
      </c>
      <c r="AC13" s="25">
        <f>IF([1]!s_stmnote_bank_23n(A13,$A$1,1)=0,"",IFERROR([1]!s_stmnote_bank_23n(A13,$A$1,1),""))</f>
        <v>612.89</v>
      </c>
      <c r="AD13" s="27" t="str">
        <f t="shared" si="2"/>
        <v>157 167</v>
      </c>
      <c r="AE13" s="25">
        <f>[1]!s_stmnote_bank_capadequacyratio(A13,$A$1,1)</f>
        <v>17.7027</v>
      </c>
      <c r="AF13" s="25">
        <f>IF([1]!s_stmnote_bank_capadequacyratio_ct1(A13,$A$1,1)=0,"",IFERROR([1]!s_stmnote_bank_capadequacyratio_ct1(A13,$A$1,1),""))</f>
        <v>16.649699999999999</v>
      </c>
      <c r="AG13" s="27" t="str">
        <f t="shared" ref="AG13:AG21" si="15">RANK(AF13,AF$5:AF$192,1)&amp;" "&amp;COUNTIF(AF$5:AF$192,"&gt;0")</f>
        <v>162 167</v>
      </c>
      <c r="AH13" s="6">
        <f>IF(OR([1]!s_fa_roe(A13,20201231)=0,[1]!s_fa_roe(A13,20211231)="0",[1]!s_fa_roe(A13,20221231)="0"),"",IFERROR(([1]!s_fa_roe(A13,20221231)+[1]!s_fa_roe(A13,20201231)+[1]!s_fa_roe(A13,20211231))/3,""))</f>
        <v>14.826833333333333</v>
      </c>
      <c r="AI13" s="27" t="str">
        <f t="shared" si="3"/>
        <v>168 173</v>
      </c>
      <c r="AJ13" s="28">
        <f>IFERROR(([1]!s_stmnote_bank_65(A13,$A$1,1,2,4,100000000)+[1]!s_stmnote_bank_65(A13,$A$1,1,2,6,100000000))/[1]!s_stmnote_bank_1n(A13,$A$1,1,100000000),"")</f>
        <v>3.5761120951831989E-2</v>
      </c>
      <c r="AK13" s="28">
        <f>IFERROR([1]!s_stmnote_bank_614(A13,$A$1,1,2,100000000)/[1]!s_stmnote_bank_647(A13,$A$1,1,2,100000000),"")</f>
        <v>0.13137546793617791</v>
      </c>
      <c r="AL13" s="28">
        <f>IFERROR(([1]!b_stm07_bs(A13,104,$A$1,1,100000000)+[1]!b_stm07_bs(A13,106,$A$1,1,100000000)+[1]!b_stm07_bs(A13,76,$A$1,1,100000000)+[1]!b_stm07_bs(A13,108,$A$1,1,100000000)+[1]!b_stm07_bs(A13,95,$A$1,1,100000000))/[1]!b_stm07_bs(A13,128,$A$1,1,100000000),"")</f>
        <v>5.0138549429503659E-2</v>
      </c>
      <c r="AM13" s="28">
        <f>IFERROR(([1]!s_stmnote_bank_614(A13,$A$1,1,2,100000000)+[1]!b_stm07_bs(A13,104,$A$1,1,100000000)+[1]!b_stm07_bs(A13,106,$A$1,1,100000000)+[1]!b_stm07_bs(A13,76,$A$1,1,100000000)+[1]!b_stm07_bs(A13,108,$A$1,1,100000000)+[1]!b_stm07_bs(A13,95,$A$1,1,100000000))/[1]!b_stm07_bs(A13,128,$A$1,1,100000000),"")</f>
        <v>0.16543685043396825</v>
      </c>
      <c r="AN13" s="31" t="e">
        <f>IF(Z13&gt;#REF!,#REF!,IF(Z13&gt;#REF!,#REF!,IF(Z13&gt;#REF!,#REF!,IF(Z13&gt;#REF!,#REF!,IF(Z13&gt;#REF!,#REF!,IF(Z13&gt;#REF!,#REF!,IF(Z13&gt;#REF!,#REF!,#REF!)))))))</f>
        <v>#REF!</v>
      </c>
      <c r="AO13" s="31" t="e">
        <f>IF(AA13&gt;#REF!,#REF!,IF(AA13&gt;#REF!,#REF!,IF(AA13&gt;#REF!,#REF!,IF(AA13&gt;#REF!,#REF!,IF(AA13&gt;#REF!,#REF!,IF(AA13&gt;#REF!,#REF!,IF(AA13&gt;#REF!,#REF!,#REF!)))))))</f>
        <v>#REF!</v>
      </c>
      <c r="AP13" s="31" t="e">
        <f>IF(AB13&lt;#REF!,#REF!,IF(AB13&lt;#REF!,#REF!,IF(AB13&lt;#REF!,#REF!,IF(AB13&lt;#REF!,#REF!,IF(AB13&lt;#REF!,#REF!,IF(AB13&lt;#REF!,#REF!,#REF!))))))</f>
        <v>#REF!</v>
      </c>
      <c r="AQ13" s="31" t="e">
        <f>IF(AC13&gt;#REF!,#REF!,IF(AC13&gt;#REF!,#REF!,IF(AC13&gt;#REF!,#REF!,IF(AC13&gt;#REF!,#REF!,#REF!))))</f>
        <v>#REF!</v>
      </c>
      <c r="AR13" s="31" t="e">
        <f>IF(AE13&gt;#REF!,#REF!,IF(AE13&gt;#REF!,#REF!,IF(AE13&gt;#REF!,#REF!,IF(AE13&gt;#REF!,#REF!,#REF!))))</f>
        <v>#REF!</v>
      </c>
      <c r="AS13" s="31" t="e">
        <f>IF(AF13&gt;#REF!,#REF!,IF(AF13&gt;#REF!,#REF!,IF(AF13&gt;#REF!,#REF!,IF(AF13&gt;#REF!,#REF!,#REF!))))</f>
        <v>#REF!</v>
      </c>
      <c r="AT13" s="31" t="e">
        <f>IF(AH13&gt;#REF!,#REF!,IF(AH13&gt;#REF!,#REF!,IF(AH13&gt;#REF!,#REF!,IF(AH13&gt;#REF!,#REF!,IF(AH13&gt;#REF!,#REF!,#REF!)))))</f>
        <v>#REF!</v>
      </c>
      <c r="AU13" s="10" t="e">
        <f t="shared" si="4"/>
        <v>#REF!</v>
      </c>
      <c r="AV13" s="10"/>
      <c r="AW13" s="10"/>
      <c r="AX13" s="10"/>
      <c r="AY13" s="31" t="str">
        <f>IFERROR(VLOOKUP(AV13,#REF!,3,0),"")</f>
        <v/>
      </c>
      <c r="AZ13" s="31" t="str">
        <f>IFERROR(VLOOKUP(AW13,#REF!,3,0),"")</f>
        <v/>
      </c>
      <c r="BA13" s="31" t="str">
        <f>IFERROR(VLOOKUP(AX13,#REF!,3,0),"")</f>
        <v/>
      </c>
      <c r="BB13" s="31" t="str">
        <f>IFERROR(AY13*#REF!+AZ13*#REF!+BA13*#REF!,"")</f>
        <v/>
      </c>
      <c r="BC13" s="32" t="str">
        <f t="shared" si="5"/>
        <v/>
      </c>
      <c r="BD13" s="32" t="str">
        <f>IFERROR(VLOOKUP(BC13*10,#REF!,2,1),"")</f>
        <v/>
      </c>
      <c r="BE13" s="10"/>
      <c r="BF13" s="10"/>
      <c r="BG13" s="10"/>
      <c r="BH13" s="11" t="s">
        <v>123</v>
      </c>
      <c r="BI13" s="10">
        <v>5.0322999954223597</v>
      </c>
      <c r="BJ13" s="11"/>
      <c r="BK13" s="33" t="s">
        <v>124</v>
      </c>
      <c r="BL13" s="10">
        <f>IF([1]!s_stmnote_bank_17n(A13,$A$1,1)="0","",[1]!s_stmnote_bank_17n(A13,$A$1,1))</f>
        <v>0.69</v>
      </c>
      <c r="BM13" s="10">
        <f>IF([1]!s_stmnote_bank_18n(A13,$A$1,1)="0","",[1]!s_stmnote_bank_18n(A13,$A$1,1))</f>
        <v>4.3600000000000003</v>
      </c>
      <c r="BN13" s="41" t="s">
        <v>67</v>
      </c>
      <c r="BO13" s="42" t="s">
        <v>67</v>
      </c>
      <c r="BP13" s="52">
        <f>[1]!s_stmnote_bank_5444(A13,$A$1,1)</f>
        <v>3.12</v>
      </c>
      <c r="BQ13" s="52">
        <f>[1]!s_stmnote_bank_129n($A13,$A$1,1)</f>
        <v>22.4</v>
      </c>
      <c r="BR13" s="52">
        <f t="shared" si="13"/>
        <v>5.5560918510412405</v>
      </c>
      <c r="BS13" s="52">
        <f>[1]!b_stm07_is(A13,19,$A$1,1,100000000)</f>
        <v>39.7425299493</v>
      </c>
      <c r="BT13" s="52">
        <f xml:space="preserve"> [1]!s_stm07_bs(A13,"W15273164",$A$1,1,100000000)-[1]!s_stm07_bs(A13,"W17642530",$A$1,1,100000000)-[1]!s_stm07_bs(A13,"W15910877",$A$1,1,100000000)-[1]!s_stm07_bs_39(A13,$A$1,1,100000000)-[1]!s_stm07_bs(A13,"W17700468",$A$1,1,100000000)-[1]!s_stm07_bs(A13,"W16504296",$A$1,1,100000000)-[1]!s_stm07_bs(A13,"W13769069",$A$1,1,100000000)</f>
        <v>781.46526544350013</v>
      </c>
      <c r="BU13" s="52">
        <f xml:space="preserve"> [1]!s_stm07_bs(A13,"W15273164",$B$1,1,100000000)-[1]!s_stm07_bs(A13,"W17642530",$B$1,1,100000000)-[1]!s_stm07_bs(A13,"W15910877",$B$1,1,100000000)-[1]!s_stm07_bs_39(A13,$B$1,1,100000000)-[1]!s_stm07_bs(A13,"W17700468",$B$1,1,100000000)-[1]!s_stm07_bs(A13,"W16504296",$B$1,1,100000000)-[1]!s_stm07_bs(A13,"W13769069",$B$1,1,100000000)</f>
        <v>703.56784186769994</v>
      </c>
      <c r="BV13" s="52">
        <f xml:space="preserve"> [1]!s_stm07_bs(A13,"W15273164",$E$1,1,100000000)-[1]!s_stm07_bs(A13,"W17642530",$E$1,1,100000000)-[1]!s_stm07_bs(A13,"W15910877",$E$1,1,100000000)-[1]!s_stm07_bs_39(A13,$E$1,1,100000000)-[1]!s_stm07_bs(A13,"W17700468",$E$1,1,100000000)-[1]!s_stm07_bs(A13,"W16504296",$E$1,1,100000000)-[1]!s_stm07_bs(A13,"W13769069",$E$1,1,100000000)</f>
        <v>747.16</v>
      </c>
      <c r="BW13" s="52">
        <f xml:space="preserve"> [1]!s_stm07_bs(A13,"W15273164",$F$1,1,100000000)-[1]!s_stm07_bs(A13,"W17642530",$F$1,1,100000000)-[1]!s_stm07_bs(A13,"W15910877",$F$1,1,100000000)-[1]!s_stm07_bs_39(A13,$F$1,1,100000000)-[1]!s_stm07_bs(A13,"W17700468",$F$1,1,100000000)-[1]!s_stm07_bs(A13,"W16504296",$F$1,1,100000000)-[1]!s_stm07_bs(A13,"W13769069",$F$1,1,100000000)</f>
        <v>0</v>
      </c>
      <c r="BX13" s="52">
        <f xml:space="preserve"> [1]!s_stm07_bs(A13,"W15273164",$G$1,1,100000000)-[1]!s_stm07_bs(A13,"W17642530",$G$1,1,100000000)-[1]!s_stm07_bs(A13,"W15910877",$G$1,1,100000000)-[1]!s_stm07_bs_39(A13,$G$1,1,100000000)-[1]!s_stm07_bs(A13,"W17700468",$G$1,1,100000000)-[1]!s_stm07_bs(A13,"W16504296",$G$1,1,100000000)-[1]!s_stm07_bs(A13,"W13769069",$G$1,1,100000000)</f>
        <v>0</v>
      </c>
      <c r="BY13" s="52">
        <f>IFERROR([1]!b_stm07_is(A13,20,$A$1,1,100000000)/AVERAGEIF(CA13:CE13,"&gt;0")*100,0)</f>
        <v>2.4929725677739865</v>
      </c>
      <c r="BZ13" s="52">
        <f>[1]!b_stm07_is(A13,20,$A$1,1,100000000)</f>
        <v>16.543205364799999</v>
      </c>
      <c r="CA13" s="52">
        <f>[1]!s_stmnote_bank_38(A13,$A$1,1,100000000)</f>
        <v>701.7412170755</v>
      </c>
      <c r="CB13" s="52">
        <f>[1]!s_stmnote_bank_38(A13,$B$1,1,100000000)</f>
        <v>625.44589911260005</v>
      </c>
      <c r="CC13" s="52">
        <f>[1]!s_stmnote_bank_38(A13,$E$1,1,100000000)</f>
        <v>0</v>
      </c>
      <c r="CD13" s="52">
        <f>[1]!s_stmnote_bank_38(A13,$F$1,1,100000000)</f>
        <v>0</v>
      </c>
      <c r="CE13" s="52">
        <f>[1]!s_stmnote_bank_38(A13,$G$1,1,100000000)</f>
        <v>0</v>
      </c>
      <c r="CF13" s="52">
        <f>IF(BP13&lt;&gt;0,BP13,IFERROR(IF(([1]!b_stm07_is(A13,19,$A$1,1,100000000)-[1]!b_stm07_is(A13,20,$A$1,1,100000000))/AVERAGE([1]!s_stmnote_bank_35(A13,$A$1,1,100000000),[1]!s_stmnote_bank_35(A13,$B$1,1,100000000))*100=0,"",([1]!b_stm07_is(A13,19,$A$1,1,100000000)-[1]!b_stm07_is(A13,20,$A$1,1,100000000))/AVERAGE([1]!s_stmnote_bank_35(A13,$A$1,1,100000000),[1]!s_stmnote_bank_35(A13,$B$1,1,100000000))*100),""))</f>
        <v>3.12</v>
      </c>
      <c r="CG13" s="27" t="str">
        <f t="shared" si="6"/>
        <v>8 171</v>
      </c>
      <c r="CH13" s="80">
        <f t="shared" si="14"/>
        <v>2.101883541692894</v>
      </c>
      <c r="CI13" s="27" t="str">
        <f t="shared" si="7"/>
        <v>7 169</v>
      </c>
      <c r="CJ13" s="55">
        <f>[1]!s_stmnote_bank_30(A13,$A$1,1)</f>
        <v>10.019600000000001</v>
      </c>
      <c r="CP13" s="69">
        <f>[1]!b_stm07_bs($A13,141,$A$1,1,100000000)</f>
        <v>85.2126306806</v>
      </c>
      <c r="CQ13" s="69">
        <f>[1]!b_stm07_bs($A13,141,$D$1,1,100000000)</f>
        <v>0</v>
      </c>
      <c r="CR13" s="68">
        <f>IF([1]!s_fa_roic_yearly($A13,$A$1)=0,"",[1]!s_fa_roic_yearly($A13,$A$1))</f>
        <v>14.9724</v>
      </c>
      <c r="CS13" s="27">
        <f t="shared" ref="CS13:CS21" si="16">RANK(CR13,CR$5:CR$192,0)/COUNTIF(CR$5:CR$192,"&gt;0")</f>
        <v>4.7337278106508875E-2</v>
      </c>
      <c r="CT13" s="68">
        <f>IF([1]!s_fa_roic_yearly($A13,$D$1)=0,"",[1]!s_fa_roic_yearly($A13,$D$1))</f>
        <v>13.657999999999999</v>
      </c>
      <c r="CU13" s="27">
        <f t="shared" ref="CU13:CU21" si="17">RANK(CT13,CT$5:CT$192,0)/COUNTIF(CT$5:CT$192,"&gt;0")</f>
        <v>0.15492957746478872</v>
      </c>
      <c r="CV13" s="78">
        <f>[1]!s_stm07_bs(A13,"W14578191",$A$1,1,100000000)</f>
        <v>466.39016288790003</v>
      </c>
      <c r="CW13" s="78">
        <f>[1]!s_stmnote_bank_682($A13,$A$1,1,2,100000000)</f>
        <v>424.27741968620001</v>
      </c>
      <c r="CX13" s="79">
        <f t="shared" si="11"/>
        <v>0.90970490685108618</v>
      </c>
    </row>
    <row r="14" spans="1:102" s="46" customFormat="1" ht="13.5">
      <c r="A14" s="8" t="s">
        <v>478</v>
      </c>
      <c r="B14" s="8" t="s">
        <v>479</v>
      </c>
      <c r="C14" s="9" t="s">
        <v>480</v>
      </c>
      <c r="D14" s="9" t="s">
        <v>1061</v>
      </c>
      <c r="E14" s="10"/>
      <c r="F14" s="11" t="s">
        <v>66</v>
      </c>
      <c r="G14" s="11" t="s">
        <v>67</v>
      </c>
      <c r="H14" s="11" t="s">
        <v>116</v>
      </c>
      <c r="I14" s="11"/>
      <c r="J14" s="11" t="e">
        <f>VLOOKUP(B14,[3]额度信息!$B:$T,19,0)</f>
        <v>#N/A</v>
      </c>
      <c r="K14" s="11"/>
      <c r="L14" s="27">
        <f>IFERROR(([1]!b_stm07_bs($A14,47,$A$1,1,100000000))/[1]!b_stm07_bs($A14,109,$A$1,1,100000000),"")</f>
        <v>0.16143521602764066</v>
      </c>
      <c r="M14" s="20"/>
      <c r="N14" s="18"/>
      <c r="O14" s="27" t="e">
        <f t="shared" si="0"/>
        <v>#N/A</v>
      </c>
      <c r="P14" s="21">
        <f t="shared" si="12"/>
        <v>2.3637599747983684E-2</v>
      </c>
      <c r="Q14" s="27" t="str">
        <f t="shared" si="1"/>
        <v>54 169</v>
      </c>
      <c r="R14" s="18">
        <f>IFERROR([1]!s_stmnote_bank($A14,"34",$A$1,100000000)/[1]!s_stmnote_bank_1n(A14,$A$1,1,100000000),"")</f>
        <v>1.3937599747983684E-2</v>
      </c>
      <c r="S14" s="22"/>
      <c r="T14" s="22"/>
      <c r="U14" s="22"/>
      <c r="V14" s="22"/>
      <c r="W14" s="22"/>
      <c r="X14" s="22"/>
      <c r="Y14" s="22"/>
      <c r="Z14" s="25">
        <f>[1]!b_stm07_bs(A14,74,$A$1,1,100000000)</f>
        <v>1848.0160000000001</v>
      </c>
      <c r="AA14" s="25">
        <f>[1]!b_stm07_bs(A14,109,$A$1,1,100000000)</f>
        <v>1177.63958</v>
      </c>
      <c r="AB14" s="10">
        <f>[1]!s_stmnote_bank_5n(A14,$A$1,1)</f>
        <v>0.97</v>
      </c>
      <c r="AC14" s="25">
        <f>IF([1]!s_stmnote_bank_23n(A14,$A$1,1)=0,"",IFERROR([1]!s_stmnote_bank_23n(A14,$A$1,1),""))</f>
        <v>309.97000000000003</v>
      </c>
      <c r="AD14" s="27" t="str">
        <f t="shared" si="2"/>
        <v>112 167</v>
      </c>
      <c r="AE14" s="25">
        <f>[1]!s_stmnote_bank_capadequacyratio(A14,$A$1,1)</f>
        <v>13.26</v>
      </c>
      <c r="AF14" s="25">
        <f>IF([1]!s_stmnote_bank_capadequacyratio_ct1(A14,$A$1,1)=0,"",IFERROR([1]!s_stmnote_bank_capadequacyratio_ct1(A14,$A$1,1),""))</f>
        <v>8.42</v>
      </c>
      <c r="AG14" s="27" t="str">
        <f t="shared" si="15"/>
        <v>21 167</v>
      </c>
      <c r="AH14" s="6">
        <f>IF(OR([1]!s_fa_roe(A14,20201231)=0,[1]!s_fa_roe(A14,20211231)="0",[1]!s_fa_roe(A14,20221231)="0"),"",IFERROR(([1]!s_fa_roe(A14,20221231)+[1]!s_fa_roe(A14,20201231)+[1]!s_fa_roe(A14,20211231))/3,""))</f>
        <v>9.3835666666666668</v>
      </c>
      <c r="AI14" s="27" t="str">
        <f t="shared" si="3"/>
        <v>104 173</v>
      </c>
      <c r="AJ14" s="28">
        <f>IFERROR(([1]!s_stmnote_bank_65(A14,$A$1,1,2,4,100000000)+[1]!s_stmnote_bank_65(A14,$A$1,1,2,6,100000000))/[1]!s_stmnote_bank_1n(A14,$A$1,1,100000000),"")</f>
        <v>0.11130497424132024</v>
      </c>
      <c r="AK14" s="28">
        <f>IFERROR([1]!s_stmnote_bank_614(A14,$A$1,1,2,100000000)/[1]!s_stmnote_bank_647(A14,$A$1,1,2,100000000),"")</f>
        <v>0.33974788788943383</v>
      </c>
      <c r="AL14" s="28">
        <f>IFERROR(([1]!b_stm07_bs(A14,104,$A$1,1,100000000)+[1]!b_stm07_bs(A14,106,$A$1,1,100000000)+[1]!b_stm07_bs(A14,76,$A$1,1,100000000)+[1]!b_stm07_bs(A14,108,$A$1,1,100000000)+[1]!b_stm07_bs(A14,95,$A$1,1,100000000))/[1]!b_stm07_bs(A14,128,$A$1,1,100000000),"")</f>
        <v>0.22711956574289252</v>
      </c>
      <c r="AM14" s="28">
        <f>IFERROR(([1]!s_stmnote_bank_614(A14,$A$1,1,2,100000000)+[1]!b_stm07_bs(A14,104,$A$1,1,100000000)+[1]!b_stm07_bs(A14,106,$A$1,1,100000000)+[1]!b_stm07_bs(A14,76,$A$1,1,100000000)+[1]!b_stm07_bs(A14,108,$A$1,1,100000000)+[1]!b_stm07_bs(A14,95,$A$1,1,100000000))/[1]!b_stm07_bs(A14,128,$A$1,1,100000000),"")</f>
        <v>0.45836053801636428</v>
      </c>
      <c r="AN14" s="31" t="e">
        <f>IF(Z14&gt;#REF!,#REF!,IF(Z14&gt;#REF!,#REF!,IF(Z14&gt;#REF!,#REF!,IF(Z14&gt;#REF!,#REF!,IF(Z14&gt;#REF!,#REF!,IF(Z14&gt;#REF!,#REF!,IF(Z14&gt;#REF!,#REF!,#REF!)))))))</f>
        <v>#REF!</v>
      </c>
      <c r="AO14" s="31" t="e">
        <f>IF(AA14&gt;#REF!,#REF!,IF(AA14&gt;#REF!,#REF!,IF(AA14&gt;#REF!,#REF!,IF(AA14&gt;#REF!,#REF!,IF(AA14&gt;#REF!,#REF!,IF(AA14&gt;#REF!,#REF!,IF(AA14&gt;#REF!,#REF!,#REF!)))))))</f>
        <v>#REF!</v>
      </c>
      <c r="AP14" s="31" t="e">
        <f>IF(AB14&lt;#REF!,#REF!,IF(AB14&lt;#REF!,#REF!,IF(AB14&lt;#REF!,#REF!,IF(AB14&lt;#REF!,#REF!,IF(AB14&lt;#REF!,#REF!,IF(AB14&lt;#REF!,#REF!,#REF!))))))</f>
        <v>#REF!</v>
      </c>
      <c r="AQ14" s="31" t="e">
        <f>IF(AC14&gt;#REF!,#REF!,IF(AC14&gt;#REF!,#REF!,IF(AC14&gt;#REF!,#REF!,IF(AC14&gt;#REF!,#REF!,#REF!))))</f>
        <v>#REF!</v>
      </c>
      <c r="AR14" s="31" t="e">
        <f>IF(AE14&gt;#REF!,#REF!,IF(AE14&gt;#REF!,#REF!,IF(AE14&gt;#REF!,#REF!,IF(AE14&gt;#REF!,#REF!,#REF!))))</f>
        <v>#REF!</v>
      </c>
      <c r="AS14" s="31" t="e">
        <f>IF(AF14&gt;#REF!,#REF!,IF(AF14&gt;#REF!,#REF!,IF(AF14&gt;#REF!,#REF!,IF(AF14&gt;#REF!,#REF!,#REF!))))</f>
        <v>#REF!</v>
      </c>
      <c r="AT14" s="31" t="e">
        <f>IF(AH14&gt;#REF!,#REF!,IF(AH14&gt;#REF!,#REF!,IF(AH14&gt;#REF!,#REF!,IF(AH14&gt;#REF!,#REF!,IF(AH14&gt;#REF!,#REF!,#REF!)))))</f>
        <v>#REF!</v>
      </c>
      <c r="AU14" s="10" t="e">
        <f t="shared" si="4"/>
        <v>#REF!</v>
      </c>
      <c r="AV14" s="10"/>
      <c r="AW14" s="10"/>
      <c r="AX14" s="10"/>
      <c r="AY14" s="31" t="str">
        <f>IFERROR(VLOOKUP(AV14,#REF!,3,0),"")</f>
        <v/>
      </c>
      <c r="AZ14" s="31" t="str">
        <f>IFERROR(VLOOKUP(AW14,#REF!,3,0),"")</f>
        <v/>
      </c>
      <c r="BA14" s="31" t="str">
        <f>IFERROR(VLOOKUP(AX14,#REF!,3,0),"")</f>
        <v/>
      </c>
      <c r="BB14" s="31" t="str">
        <f>IFERROR(AY14*#REF!+AZ14*#REF!+BA14*#REF!,"")</f>
        <v/>
      </c>
      <c r="BC14" s="32" t="str">
        <f t="shared" si="5"/>
        <v/>
      </c>
      <c r="BD14" s="32" t="str">
        <f>IFERROR(VLOOKUP(BC14*10,#REF!,2,1),"")</f>
        <v/>
      </c>
      <c r="BE14" s="10"/>
      <c r="BF14" s="10"/>
      <c r="BG14" s="10"/>
      <c r="BH14" s="11" t="s">
        <v>481</v>
      </c>
      <c r="BI14" s="10">
        <v>19.940000534057599</v>
      </c>
      <c r="BJ14" s="33" t="s">
        <v>111</v>
      </c>
      <c r="BK14" s="33" t="s">
        <v>447</v>
      </c>
      <c r="BL14" s="10">
        <f>IF([1]!s_stmnote_bank_17n(A14,$A$1,1)="0","",[1]!s_stmnote_bank_17n(A14,$A$1,1))</f>
        <v>4.79</v>
      </c>
      <c r="BM14" s="10">
        <f>IF([1]!s_stmnote_bank_18n(A14,$A$1,1)="0","",[1]!s_stmnote_bank_18n(A14,$A$1,1))</f>
        <v>0</v>
      </c>
      <c r="BN14" s="41" t="s">
        <v>67</v>
      </c>
      <c r="BO14" s="42" t="s">
        <v>67</v>
      </c>
      <c r="BP14" s="52">
        <f>[1]!s_stmnote_bank_5444(A14,$A$1,1)</f>
        <v>1.99</v>
      </c>
      <c r="BQ14" s="52">
        <f>[1]!s_stmnote_bank_129n($A14,$A$1,1)</f>
        <v>34.119999999999997</v>
      </c>
      <c r="BR14" s="52">
        <f t="shared" si="13"/>
        <v>4.4954685733983331</v>
      </c>
      <c r="BS14" s="52">
        <f>[1]!b_stm07_is(A14,19,$A$1,1,100000000)</f>
        <v>70.037390000000002</v>
      </c>
      <c r="BT14" s="52">
        <f xml:space="preserve"> [1]!s_stm07_bs(A14,"W15273164",$A$1,1,100000000)-[1]!s_stm07_bs(A14,"W17642530",$A$1,1,100000000)-[1]!s_stm07_bs(A14,"W15910877",$A$1,1,100000000)-[1]!s_stm07_bs_39(A14,$A$1,1,100000000)-[1]!s_stm07_bs(A14,"W17700468",$A$1,1,100000000)-[1]!s_stm07_bs(A14,"W16504296",$A$1,1,100000000)-[1]!s_stm07_bs(A14,"W13769069",$A$1,1,100000000)</f>
        <v>1826.0768400000002</v>
      </c>
      <c r="BU14" s="52">
        <f xml:space="preserve"> [1]!s_stm07_bs(A14,"W15273164",$B$1,1,100000000)-[1]!s_stm07_bs(A14,"W17642530",$B$1,1,100000000)-[1]!s_stm07_bs(A14,"W15910877",$B$1,1,100000000)-[1]!s_stm07_bs_39(A14,$B$1,1,100000000)-[1]!s_stm07_bs(A14,"W17700468",$B$1,1,100000000)-[1]!s_stm07_bs(A14,"W16504296",$B$1,1,100000000)-[1]!s_stm07_bs(A14,"W13769069",$B$1,1,100000000)</f>
        <v>1519.6522</v>
      </c>
      <c r="BV14" s="52">
        <f xml:space="preserve"> [1]!s_stm07_bs(A14,"W15273164",$E$1,1,100000000)-[1]!s_stm07_bs(A14,"W17642530",$E$1,1,100000000)-[1]!s_stm07_bs(A14,"W15910877",$E$1,1,100000000)-[1]!s_stm07_bs_39(A14,$E$1,1,100000000)-[1]!s_stm07_bs(A14,"W17700468",$E$1,1,100000000)-[1]!s_stm07_bs(A14,"W16504296",$E$1,1,100000000)-[1]!s_stm07_bs(A14,"W13769069",$E$1,1,100000000)</f>
        <v>0</v>
      </c>
      <c r="BW14" s="52">
        <f xml:space="preserve"> [1]!s_stm07_bs(A14,"W15273164",$F$1,1,100000000)-[1]!s_stm07_bs(A14,"W17642530",$F$1,1,100000000)-[1]!s_stm07_bs(A14,"W15910877",$F$1,1,100000000)-[1]!s_stm07_bs_39(A14,$F$1,1,100000000)-[1]!s_stm07_bs(A14,"W17700468",$F$1,1,100000000)-[1]!s_stm07_bs(A14,"W16504296",$F$1,1,100000000)-[1]!s_stm07_bs(A14,"W13769069",$F$1,1,100000000)</f>
        <v>0</v>
      </c>
      <c r="BX14" s="52">
        <f xml:space="preserve"> [1]!s_stm07_bs(A14,"W15273164",$G$1,1,100000000)-[1]!s_stm07_bs(A14,"W17642530",$G$1,1,100000000)-[1]!s_stm07_bs(A14,"W15910877",$G$1,1,100000000)-[1]!s_stm07_bs_39(A14,$G$1,1,100000000)-[1]!s_stm07_bs(A14,"W17700468",$G$1,1,100000000)-[1]!s_stm07_bs(A14,"W16504296",$G$1,1,100000000)-[1]!s_stm07_bs(A14,"W13769069",$G$1,1,100000000)</f>
        <v>0</v>
      </c>
      <c r="BY14" s="52">
        <f>IFERROR([1]!b_stm07_is(A14,20,$A$1,1,100000000)/AVERAGEIF(CA14:CE14,"&gt;0")*100,0)</f>
        <v>2.505638186904021</v>
      </c>
      <c r="BZ14" s="52">
        <f>[1]!b_stm07_is(A14,20,$A$1,1,100000000)</f>
        <v>39.24879</v>
      </c>
      <c r="CA14" s="52">
        <f>[1]!s_stmnote_bank_38(A14,$A$1,1,100000000)</f>
        <v>1711.61789</v>
      </c>
      <c r="CB14" s="52">
        <f>[1]!s_stmnote_bank_38(A14,$B$1,1,100000000)</f>
        <v>1421.2199000000001</v>
      </c>
      <c r="CC14" s="52">
        <f>[1]!s_stmnote_bank_38(A14,$E$1,1,100000000)</f>
        <v>0</v>
      </c>
      <c r="CD14" s="52">
        <f>[1]!s_stmnote_bank_38(A14,$F$1,1,100000000)</f>
        <v>0</v>
      </c>
      <c r="CE14" s="52">
        <f>[1]!s_stmnote_bank_38(A14,$G$1,1,100000000)</f>
        <v>0</v>
      </c>
      <c r="CF14" s="52">
        <f>IF(BP14&lt;&gt;0,BP14,IFERROR(IF(([1]!b_stm07_is(A14,19,$A$1,1,100000000)-[1]!b_stm07_is(A14,20,$A$1,1,100000000))/AVERAGE([1]!s_stmnote_bank_35(A14,$A$1,1,100000000),[1]!s_stmnote_bank_35(A14,$B$1,1,100000000))*100=0,"",([1]!b_stm07_is(A14,19,$A$1,1,100000000)-[1]!b_stm07_is(A14,20,$A$1,1,100000000))/AVERAGE([1]!s_stmnote_bank_35(A14,$A$1,1,100000000),[1]!s_stmnote_bank_35(A14,$B$1,1,100000000))*100),""))</f>
        <v>1.99</v>
      </c>
      <c r="CG14" s="27" t="str">
        <f t="shared" si="6"/>
        <v>94 171</v>
      </c>
      <c r="CH14" s="80">
        <f t="shared" si="14"/>
        <v>0.84187904914912082</v>
      </c>
      <c r="CI14" s="27" t="str">
        <f t="shared" si="7"/>
        <v>59 169</v>
      </c>
      <c r="CJ14" s="55">
        <f>[1]!s_stmnote_bank_30(A14,$A$1,1)</f>
        <v>15.286899999999999</v>
      </c>
      <c r="CP14" s="69">
        <f>[1]!b_stm07_bs($A14,141,$A$1,1,100000000)</f>
        <v>117.78386999999999</v>
      </c>
      <c r="CQ14" s="69">
        <f>[1]!b_stm07_bs($A14,141,$D$1,1,100000000)</f>
        <v>0</v>
      </c>
      <c r="CR14" s="68">
        <f>IF([1]!s_fa_roic_yearly($A14,$A$1)=0,"",[1]!s_fa_roic_yearly($A14,$A$1))</f>
        <v>11.328799999999999</v>
      </c>
      <c r="CS14" s="27">
        <f t="shared" si="16"/>
        <v>0.21301775147928995</v>
      </c>
      <c r="CT14" s="68" t="str">
        <f>IF([1]!s_fa_roic_yearly($A14,$D$1)=0,"",[1]!s_fa_roic_yearly($A14,$D$1))</f>
        <v/>
      </c>
      <c r="CU14" s="27" t="e">
        <f t="shared" si="17"/>
        <v>#VALUE!</v>
      </c>
      <c r="CV14" s="78">
        <f>[1]!s_stm07_bs(A14,"W14578191",$A$1,1,100000000)</f>
        <v>1032.7226800000001</v>
      </c>
      <c r="CW14" s="78">
        <f>[1]!s_stmnote_bank_682($A14,$A$1,1,2,100000000)</f>
        <v>270.36473999999998</v>
      </c>
      <c r="CX14" s="79">
        <f t="shared" si="11"/>
        <v>0.26179800757353366</v>
      </c>
    </row>
    <row r="15" spans="1:102" s="46" customFormat="1" ht="13.5">
      <c r="A15" s="8" t="s">
        <v>603</v>
      </c>
      <c r="B15" s="8" t="s">
        <v>604</v>
      </c>
      <c r="C15" s="9" t="s">
        <v>605</v>
      </c>
      <c r="D15" s="9" t="s">
        <v>1065</v>
      </c>
      <c r="E15" s="10" t="s">
        <v>138</v>
      </c>
      <c r="F15" s="11" t="s">
        <v>178</v>
      </c>
      <c r="G15" s="11"/>
      <c r="H15" s="11" t="s">
        <v>179</v>
      </c>
      <c r="I15" s="11"/>
      <c r="J15" s="11" t="e">
        <f>VLOOKUP(B15,[3]额度信息!$B:$T,19,0)</f>
        <v>#N/A</v>
      </c>
      <c r="K15" s="11" t="s">
        <v>606</v>
      </c>
      <c r="L15" s="27">
        <f>IFERROR(([1]!b_stm07_bs($A15,47,$A$1,1,100000000))/[1]!b_stm07_bs($A15,109,$A$1,1,100000000),"")</f>
        <v>0.14874335310302045</v>
      </c>
      <c r="M15" s="20"/>
      <c r="N15" s="18"/>
      <c r="O15" s="27" t="e">
        <f t="shared" si="0"/>
        <v>#N/A</v>
      </c>
      <c r="P15" s="21">
        <f t="shared" si="12"/>
        <v>7.4108890563829698E-3</v>
      </c>
      <c r="Q15" s="27" t="str">
        <f t="shared" si="1"/>
        <v>5 169</v>
      </c>
      <c r="R15" s="18">
        <f>IFERROR([1]!s_stmnote_bank($A15,"34",$A$1,100000000)/[1]!s_stmnote_bank_1n(A15,$A$1,1,100000000),"")</f>
        <v>4.2108890563829693E-3</v>
      </c>
      <c r="S15" s="22"/>
      <c r="T15" s="22"/>
      <c r="U15" s="22"/>
      <c r="V15" s="22"/>
      <c r="W15" s="22"/>
      <c r="X15" s="22"/>
      <c r="Y15" s="22"/>
      <c r="Z15" s="25">
        <f>[1]!b_stm07_bs(A15,74,$A$1,1,100000000)</f>
        <v>782.20119323999995</v>
      </c>
      <c r="AA15" s="25">
        <f>[1]!b_stm07_bs(A15,109,$A$1,1,100000000)</f>
        <v>417.12748009000001</v>
      </c>
      <c r="AB15" s="10">
        <f>[1]!s_stmnote_bank_5n(A15,$A$1,1)</f>
        <v>0.32</v>
      </c>
      <c r="AC15" s="25">
        <f>IF([1]!s_stmnote_bank_23n(A15,$A$1,1)=0,"",IFERROR([1]!s_stmnote_bank_23n(A15,$A$1,1),""))</f>
        <v>796.3</v>
      </c>
      <c r="AD15" s="27" t="str">
        <f t="shared" si="2"/>
        <v>163 167</v>
      </c>
      <c r="AE15" s="25">
        <f>[1]!s_stmnote_bank_capadequacyratio(A15,$A$1,1)</f>
        <v>16</v>
      </c>
      <c r="AF15" s="25">
        <f>IF([1]!s_stmnote_bank_capadequacyratio_ct1(A15,$A$1,1)=0,"",IFERROR([1]!s_stmnote_bank_capadequacyratio_ct1(A15,$A$1,1),""))</f>
        <v>13.2</v>
      </c>
      <c r="AG15" s="27" t="str">
        <f t="shared" si="15"/>
        <v>142 167</v>
      </c>
      <c r="AH15" s="6">
        <f>IF(OR([1]!s_fa_roe(A15,20201231)=0,[1]!s_fa_roe(A15,20211231)="0",[1]!s_fa_roe(A15,20221231)="0"),"",IFERROR(([1]!s_fa_roe(A15,20221231)+[1]!s_fa_roe(A15,20201231)+[1]!s_fa_roe(A15,20211231))/3,""))</f>
        <v>3.9833333333333329</v>
      </c>
      <c r="AI15" s="27" t="str">
        <f t="shared" si="3"/>
        <v>20 173</v>
      </c>
      <c r="AJ15" s="28">
        <f>IFERROR(([1]!s_stmnote_bank_65(A15,$A$1,1,2,4,100000000)+[1]!s_stmnote_bank_65(A15,$A$1,1,2,6,100000000))/[1]!s_stmnote_bank_1n(A15,$A$1,1,100000000),"")</f>
        <v>0.26142807458687439</v>
      </c>
      <c r="AK15" s="28">
        <f>IFERROR([1]!s_stmnote_bank_614(A15,$A$1,1,2,100000000)/[1]!s_stmnote_bank_647(A15,$A$1,1,2,100000000),"")</f>
        <v>0.41005916700356132</v>
      </c>
      <c r="AL15" s="28">
        <f>IFERROR(([1]!b_stm07_bs(A15,104,$A$1,1,100000000)+[1]!b_stm07_bs(A15,106,$A$1,1,100000000)+[1]!b_stm07_bs(A15,76,$A$1,1,100000000)+[1]!b_stm07_bs(A15,108,$A$1,1,100000000)+[1]!b_stm07_bs(A15,95,$A$1,1,100000000))/[1]!b_stm07_bs(A15,128,$A$1,1,100000000),"")</f>
        <v>0.33593054914142412</v>
      </c>
      <c r="AM15" s="28">
        <f>IFERROR(([1]!s_stmnote_bank_614(A15,$A$1,1,2,100000000)+[1]!b_stm07_bs(A15,104,$A$1,1,100000000)+[1]!b_stm07_bs(A15,106,$A$1,1,100000000)+[1]!b_stm07_bs(A15,76,$A$1,1,100000000)+[1]!b_stm07_bs(A15,108,$A$1,1,100000000)+[1]!b_stm07_bs(A15,95,$A$1,1,100000000))/[1]!b_stm07_bs(A15,128,$A$1,1,100000000),"")</f>
        <v>0.57764394484477488</v>
      </c>
      <c r="AN15" s="31" t="e">
        <f>IF(Z15&gt;#REF!,#REF!,IF(Z15&gt;#REF!,#REF!,IF(Z15&gt;#REF!,#REF!,IF(Z15&gt;#REF!,#REF!,IF(Z15&gt;#REF!,#REF!,IF(Z15&gt;#REF!,#REF!,IF(Z15&gt;#REF!,#REF!,#REF!)))))))</f>
        <v>#REF!</v>
      </c>
      <c r="AO15" s="31" t="e">
        <f>IF(AA15&gt;#REF!,#REF!,IF(AA15&gt;#REF!,#REF!,IF(AA15&gt;#REF!,#REF!,IF(AA15&gt;#REF!,#REF!,IF(AA15&gt;#REF!,#REF!,IF(AA15&gt;#REF!,#REF!,IF(AA15&gt;#REF!,#REF!,#REF!)))))))</f>
        <v>#REF!</v>
      </c>
      <c r="AP15" s="31" t="e">
        <f>IF(AB15&lt;#REF!,#REF!,IF(AB15&lt;#REF!,#REF!,IF(AB15&lt;#REF!,#REF!,IF(AB15&lt;#REF!,#REF!,IF(AB15&lt;#REF!,#REF!,IF(AB15&lt;#REF!,#REF!,#REF!))))))</f>
        <v>#REF!</v>
      </c>
      <c r="AQ15" s="31" t="e">
        <f>IF(AC15&gt;#REF!,#REF!,IF(AC15&gt;#REF!,#REF!,IF(AC15&gt;#REF!,#REF!,IF(AC15&gt;#REF!,#REF!,#REF!))))</f>
        <v>#REF!</v>
      </c>
      <c r="AR15" s="31" t="e">
        <f>IF(AE15&gt;#REF!,#REF!,IF(AE15&gt;#REF!,#REF!,IF(AE15&gt;#REF!,#REF!,IF(AE15&gt;#REF!,#REF!,#REF!))))</f>
        <v>#REF!</v>
      </c>
      <c r="AS15" s="31" t="e">
        <f>IF(AF15&gt;#REF!,#REF!,IF(AF15&gt;#REF!,#REF!,IF(AF15&gt;#REF!,#REF!,IF(AF15&gt;#REF!,#REF!,#REF!))))</f>
        <v>#REF!</v>
      </c>
      <c r="AT15" s="31" t="e">
        <f>IF(AH15&gt;#REF!,#REF!,IF(AH15&gt;#REF!,#REF!,IF(AH15&gt;#REF!,#REF!,IF(AH15&gt;#REF!,#REF!,IF(AH15&gt;#REF!,#REF!,#REF!)))))</f>
        <v>#REF!</v>
      </c>
      <c r="AU15" s="10" t="e">
        <f t="shared" si="4"/>
        <v>#REF!</v>
      </c>
      <c r="AV15" s="10" t="s">
        <v>60</v>
      </c>
      <c r="AW15" s="10" t="s">
        <v>61</v>
      </c>
      <c r="AX15" s="10" t="s">
        <v>62</v>
      </c>
      <c r="AY15" s="31" t="str">
        <f>IFERROR(VLOOKUP(AV15,#REF!,3,0),"")</f>
        <v/>
      </c>
      <c r="AZ15" s="31" t="str">
        <f>IFERROR(VLOOKUP(AW15,#REF!,3,0),"")</f>
        <v/>
      </c>
      <c r="BA15" s="31" t="str">
        <f>IFERROR(VLOOKUP(AX15,#REF!,3,0),"")</f>
        <v/>
      </c>
      <c r="BB15" s="31" t="str">
        <f>IFERROR(AY15*#REF!+AZ15*#REF!+BA15*#REF!,"")</f>
        <v/>
      </c>
      <c r="BC15" s="32" t="str">
        <f t="shared" si="5"/>
        <v/>
      </c>
      <c r="BD15" s="32" t="str">
        <f>IFERROR(VLOOKUP(BC15*10,#REF!,2,1),"")</f>
        <v/>
      </c>
      <c r="BE15" s="11">
        <v>1</v>
      </c>
      <c r="BF15" s="11">
        <v>-3</v>
      </c>
      <c r="BG15" s="10" t="s">
        <v>607</v>
      </c>
      <c r="BH15" s="11" t="s">
        <v>608</v>
      </c>
      <c r="BI15" s="10">
        <v>100</v>
      </c>
      <c r="BJ15" s="11" t="s">
        <v>486</v>
      </c>
      <c r="BK15" s="33" t="s">
        <v>487</v>
      </c>
      <c r="BL15" s="10">
        <f>IF([1]!s_stmnote_bank_17n(A15,$A$1,1)="0","",[1]!s_stmnote_bank_17n(A15,$A$1,1))</f>
        <v>7.93</v>
      </c>
      <c r="BM15" s="10">
        <f>IF([1]!s_stmnote_bank_18n(A15,$A$1,1)="0","",[1]!s_stmnote_bank_18n(A15,$A$1,1))</f>
        <v>55.24</v>
      </c>
      <c r="BN15" s="41" t="s">
        <v>67</v>
      </c>
      <c r="BO15" s="68" t="s">
        <v>67</v>
      </c>
      <c r="BP15" s="52">
        <f>[1]!s_stmnote_bank_5444(A15,$A$1,1)</f>
        <v>1.66</v>
      </c>
      <c r="BQ15" s="53">
        <f>[1]!s_stmnote_bank_129n($A15,$A$1,1)</f>
        <v>65.7</v>
      </c>
      <c r="BR15" s="52">
        <f t="shared" si="13"/>
        <v>2.6623460400946244</v>
      </c>
      <c r="BS15" s="52">
        <f>[1]!b_stm07_is(A15,19,$A$1,1,100000000)</f>
        <v>20.922265970000002</v>
      </c>
      <c r="BT15" s="52">
        <f xml:space="preserve"> [1]!s_stm07_bs(A15,"W15273164",$A$1,1,100000000)-[1]!s_stm07_bs(A15,"W17642530",$A$1,1,100000000)-[1]!s_stm07_bs(A15,"W15910877",$A$1,1,100000000)-[1]!s_stm07_bs_39(A15,$A$1,1,100000000)-[1]!s_stm07_bs(A15,"W17700468",$A$1,1,100000000)-[1]!s_stm07_bs(A15,"W16504296",$A$1,1,100000000)-[1]!s_stm07_bs(A15,"W13769069",$A$1,1,100000000)</f>
        <v>774.86498591999987</v>
      </c>
      <c r="BU15" s="52">
        <f xml:space="preserve"> [1]!s_stm07_bs(A15,"W15273164",$B$1,1,100000000)-[1]!s_stm07_bs(A15,"W17642530",$B$1,1,100000000)-[1]!s_stm07_bs(A15,"W15910877",$B$1,1,100000000)-[1]!s_stm07_bs_39(A15,$B$1,1,100000000)-[1]!s_stm07_bs(A15,"W17700468",$B$1,1,100000000)-[1]!s_stm07_bs(A15,"W16504296",$B$1,1,100000000)-[1]!s_stm07_bs(A15,"W13769069",$B$1,1,100000000)</f>
        <v>793.10089184999993</v>
      </c>
      <c r="BV15" s="52">
        <f xml:space="preserve"> [1]!s_stm07_bs(A15,"W15273164",$E$1,1,100000000)-[1]!s_stm07_bs(A15,"W17642530",$E$1,1,100000000)-[1]!s_stm07_bs(A15,"W15910877",$E$1,1,100000000)-[1]!s_stm07_bs_39(A15,$E$1,1,100000000)-[1]!s_stm07_bs(A15,"W17700468",$E$1,1,100000000)-[1]!s_stm07_bs(A15,"W16504296",$E$1,1,100000000)-[1]!s_stm07_bs(A15,"W13769069",$E$1,1,100000000)</f>
        <v>716.63880100000006</v>
      </c>
      <c r="BW15" s="52">
        <f xml:space="preserve"> [1]!s_stm07_bs(A15,"W15273164",$F$1,1,100000000)-[1]!s_stm07_bs(A15,"W17642530",$F$1,1,100000000)-[1]!s_stm07_bs(A15,"W15910877",$F$1,1,100000000)-[1]!s_stm07_bs_39(A15,$F$1,1,100000000)-[1]!s_stm07_bs(A15,"W17700468",$F$1,1,100000000)-[1]!s_stm07_bs(A15,"W16504296",$F$1,1,100000000)-[1]!s_stm07_bs(A15,"W13769069",$F$1,1,100000000)</f>
        <v>783.27175999999997</v>
      </c>
      <c r="BX15" s="52">
        <f xml:space="preserve"> [1]!s_stm07_bs(A15,"W15273164",$G$1,1,100000000)-[1]!s_stm07_bs(A15,"W17642530",$G$1,1,100000000)-[1]!s_stm07_bs(A15,"W15910877",$G$1,1,100000000)-[1]!s_stm07_bs_39(A15,$G$1,1,100000000)-[1]!s_stm07_bs(A15,"W17700468",$G$1,1,100000000)-[1]!s_stm07_bs(A15,"W16504296",$G$1,1,100000000)-[1]!s_stm07_bs(A15,"W13769069",$G$1,1,100000000)</f>
        <v>780.8401990000001</v>
      </c>
      <c r="BY15" s="52">
        <f>IFERROR([1]!b_stm07_is(A15,20,$A$1,1,100000000)/AVERAGEIF(CA15:CE15,"&gt;0")*100,0)</f>
        <v>1.5620830606589537</v>
      </c>
      <c r="BZ15" s="52">
        <f>[1]!b_stm07_is(A15,20,$A$1,1,100000000)</f>
        <v>9.8094335600000004</v>
      </c>
      <c r="CA15" s="52">
        <f>[1]!s_stmnote_bank_38(A15,$A$1,1,100000000)</f>
        <v>654.84659646</v>
      </c>
      <c r="CB15" s="52">
        <f>[1]!s_stmnote_bank_38(A15,$B$1,1,100000000)</f>
        <v>608.27887777000001</v>
      </c>
      <c r="CC15" s="52">
        <f>[1]!s_stmnote_bank_38(A15,$E$1,1,100000000)</f>
        <v>597.62062400000002</v>
      </c>
      <c r="CD15" s="52">
        <f>[1]!s_stmnote_bank_38(A15,$F$1,1,100000000)</f>
        <v>649.70195100000001</v>
      </c>
      <c r="CE15" s="52">
        <f>[1]!s_stmnote_bank_38(A15,$G$1,1,100000000)</f>
        <v>629.40853300000003</v>
      </c>
      <c r="CF15" s="52">
        <f>IF(BP15&lt;&gt;0,BP15,IFERROR(IF(([1]!b_stm07_is(A15,19,$A$1,1,100000000)-[1]!b_stm07_is(A15,20,$A$1,1,100000000))/AVERAGE([1]!s_stmnote_bank_35(A15,$A$1,1,100000000),[1]!s_stmnote_bank_35(A15,$B$1,1,100000000))*100=0,"",([1]!b_stm07_is(A15,19,$A$1,1,100000000)-[1]!b_stm07_is(A15,20,$A$1,1,100000000))/AVERAGE([1]!s_stmnote_bank_35(A15,$A$1,1,100000000),[1]!s_stmnote_bank_35(A15,$B$1,1,100000000))*100),""))</f>
        <v>1.66</v>
      </c>
      <c r="CG15" s="27" t="str">
        <f t="shared" si="6"/>
        <v>142 171</v>
      </c>
      <c r="CH15" s="80">
        <f t="shared" si="14"/>
        <v>2.2399471741791204</v>
      </c>
      <c r="CI15" s="27" t="str">
        <f t="shared" si="7"/>
        <v>6 169</v>
      </c>
      <c r="CJ15" s="55">
        <f>[1]!s_stmnote_bank_30(A15,$A$1,1)</f>
        <v>30.437899999999999</v>
      </c>
      <c r="CP15" s="69">
        <f>[1]!b_stm07_bs($A15,141,$A$1,1,100000000)</f>
        <v>74.557553870000007</v>
      </c>
      <c r="CQ15" s="69">
        <f>[1]!b_stm07_bs($A15,141,$D$1,1,100000000)</f>
        <v>97.191547999999997</v>
      </c>
      <c r="CR15" s="68">
        <f>IF([1]!s_fa_roic_yearly($A15,$A$1)=0,"",[1]!s_fa_roic_yearly($A15,$A$1))</f>
        <v>4.5880999999999998</v>
      </c>
      <c r="CS15" s="27">
        <f t="shared" si="16"/>
        <v>0.84023668639053251</v>
      </c>
      <c r="CT15" s="68">
        <f>IF([1]!s_fa_roic_yearly($A15,$D$1)=0,"",[1]!s_fa_roic_yearly($A15,$D$1))</f>
        <v>6.7732000000000001</v>
      </c>
      <c r="CU15" s="27">
        <f t="shared" si="17"/>
        <v>0.80281690140845074</v>
      </c>
      <c r="CV15" s="78">
        <f>[1]!s_stm07_bs(A15,"W14578191",$A$1,1,100000000)</f>
        <v>391.6010503</v>
      </c>
      <c r="CW15" s="78">
        <f>[1]!s_stmnote_bank_682($A15,$A$1,1,2,100000000)</f>
        <v>48.470079499999997</v>
      </c>
      <c r="CX15" s="79">
        <f t="shared" si="11"/>
        <v>0.12377413049037472</v>
      </c>
    </row>
    <row r="16" spans="1:102" s="46" customFormat="1" ht="13.5">
      <c r="A16" s="8" t="s">
        <v>164</v>
      </c>
      <c r="B16" s="8" t="s">
        <v>165</v>
      </c>
      <c r="C16" s="9" t="s">
        <v>166</v>
      </c>
      <c r="D16" s="9" t="s">
        <v>1066</v>
      </c>
      <c r="E16" s="10" t="s">
        <v>167</v>
      </c>
      <c r="F16" s="11" t="s">
        <v>66</v>
      </c>
      <c r="G16" s="11" t="s">
        <v>139</v>
      </c>
      <c r="H16" s="11" t="s">
        <v>116</v>
      </c>
      <c r="I16" s="11"/>
      <c r="J16" s="11">
        <f>VLOOKUP(B16,[3]额度信息!$B:$T,19,0)</f>
        <v>0</v>
      </c>
      <c r="K16" s="11" t="s">
        <v>168</v>
      </c>
      <c r="L16" s="27">
        <f>IFERROR(([1]!b_stm07_bs($A16,47,$A$1,1,100000000))/[1]!b_stm07_bs($A16,109,$A$1,1,100000000),"")</f>
        <v>0.10503518203102741</v>
      </c>
      <c r="M16" s="20"/>
      <c r="N16" s="18"/>
      <c r="O16" s="27" t="e">
        <f t="shared" si="0"/>
        <v>#N/A</v>
      </c>
      <c r="P16" s="21">
        <f t="shared" si="12"/>
        <v>2.9629962227656959E-2</v>
      </c>
      <c r="Q16" s="27" t="str">
        <f t="shared" si="1"/>
        <v>83 169</v>
      </c>
      <c r="R16" s="18">
        <f>IFERROR([1]!s_stmnote_bank($A16,"34",$A$1,100000000)/[1]!s_stmnote_bank_1n(A16,$A$1,1,100000000),"")</f>
        <v>9.1299622276569611E-3</v>
      </c>
      <c r="S16" s="22"/>
      <c r="T16" s="22"/>
      <c r="U16" s="22"/>
      <c r="V16" s="22"/>
      <c r="W16" s="22"/>
      <c r="X16" s="22"/>
      <c r="Y16" s="22"/>
      <c r="Z16" s="25">
        <f>[1]!b_stm07_bs(A16,74,$A$1,1,100000000)</f>
        <v>2136.4942701995001</v>
      </c>
      <c r="AA16" s="25">
        <f>[1]!b_stm07_bs(A16,109,$A$1,1,100000000)</f>
        <v>1592.7921754387</v>
      </c>
      <c r="AB16" s="10">
        <f>[1]!s_stmnote_bank_5n(A16,$A$1,1)</f>
        <v>2.0499999999999998</v>
      </c>
      <c r="AC16" s="25">
        <f>IF([1]!s_stmnote_bank_23n(A16,$A$1,1)=0,"",IFERROR([1]!s_stmnote_bank_23n(A16,$A$1,1),""))</f>
        <v>182.73</v>
      </c>
      <c r="AD16" s="27" t="str">
        <f t="shared" si="2"/>
        <v>50 167</v>
      </c>
      <c r="AE16" s="25">
        <f>[1]!s_stmnote_bank_capadequacyratio(A16,$A$1,1)</f>
        <v>15.72</v>
      </c>
      <c r="AF16" s="25">
        <f>IF([1]!s_stmnote_bank_capadequacyratio_ct1(A16,$A$1,1)=0,"",IFERROR([1]!s_stmnote_bank_capadequacyratio_ct1(A16,$A$1,1),""))</f>
        <v>12.71</v>
      </c>
      <c r="AG16" s="27" t="str">
        <f t="shared" si="15"/>
        <v>135 167</v>
      </c>
      <c r="AH16" s="6">
        <f>IF(OR([1]!s_fa_roe(A16,20201231)=0,[1]!s_fa_roe(A16,20211231)="0",[1]!s_fa_roe(A16,20221231)="0"),"",IFERROR(([1]!s_fa_roe(A16,20221231)+[1]!s_fa_roe(A16,20201231)+[1]!s_fa_roe(A16,20211231))/3,""))</f>
        <v>9.9248666666666683</v>
      </c>
      <c r="AI16" s="27" t="str">
        <f t="shared" si="3"/>
        <v>117 173</v>
      </c>
      <c r="AJ16" s="28">
        <f>IFERROR(([1]!s_stmnote_bank_65(A16,$A$1,1,2,4,100000000)+[1]!s_stmnote_bank_65(A16,$A$1,1,2,6,100000000))/[1]!s_stmnote_bank_1n(A16,$A$1,1,100000000),"")</f>
        <v>2.4011157466252174E-2</v>
      </c>
      <c r="AK16" s="28">
        <f>IFERROR([1]!s_stmnote_bank_614(A16,$A$1,1,2,100000000)/[1]!s_stmnote_bank_647(A16,$A$1,1,2,100000000),"")</f>
        <v>0.15668490701855833</v>
      </c>
      <c r="AL16" s="28">
        <f>IFERROR(([1]!b_stm07_bs(A16,104,$A$1,1,100000000)+[1]!b_stm07_bs(A16,106,$A$1,1,100000000)+[1]!b_stm07_bs(A16,76,$A$1,1,100000000)+[1]!b_stm07_bs(A16,108,$A$1,1,100000000)+[1]!b_stm07_bs(A16,95,$A$1,1,100000000))/[1]!b_stm07_bs(A16,128,$A$1,1,100000000),"")</f>
        <v>0.11380768793377227</v>
      </c>
      <c r="AM16" s="28">
        <f>IFERROR(([1]!s_stmnote_bank_614(A16,$A$1,1,2,100000000)+[1]!b_stm07_bs(A16,104,$A$1,1,100000000)+[1]!b_stm07_bs(A16,106,$A$1,1,100000000)+[1]!b_stm07_bs(A16,76,$A$1,1,100000000)+[1]!b_stm07_bs(A16,108,$A$1,1,100000000)+[1]!b_stm07_bs(A16,95,$A$1,1,100000000))/[1]!b_stm07_bs(A16,128,$A$1,1,100000000),"")</f>
        <v>0.24145886942269323</v>
      </c>
      <c r="AN16" s="31" t="e">
        <f>IF(Z16&gt;#REF!,#REF!,IF(Z16&gt;#REF!,#REF!,IF(Z16&gt;#REF!,#REF!,IF(Z16&gt;#REF!,#REF!,IF(Z16&gt;#REF!,#REF!,IF(Z16&gt;#REF!,#REF!,IF(Z16&gt;#REF!,#REF!,#REF!)))))))</f>
        <v>#REF!</v>
      </c>
      <c r="AO16" s="31" t="e">
        <f>IF(AA16&gt;#REF!,#REF!,IF(AA16&gt;#REF!,#REF!,IF(AA16&gt;#REF!,#REF!,IF(AA16&gt;#REF!,#REF!,IF(AA16&gt;#REF!,#REF!,IF(AA16&gt;#REF!,#REF!,IF(AA16&gt;#REF!,#REF!,#REF!)))))))</f>
        <v>#REF!</v>
      </c>
      <c r="AP16" s="31" t="e">
        <f>IF(AB16&lt;#REF!,#REF!,IF(AB16&lt;#REF!,#REF!,IF(AB16&lt;#REF!,#REF!,IF(AB16&lt;#REF!,#REF!,IF(AB16&lt;#REF!,#REF!,IF(AB16&lt;#REF!,#REF!,#REF!))))))</f>
        <v>#REF!</v>
      </c>
      <c r="AQ16" s="31" t="e">
        <f>IF(AC16&gt;#REF!,#REF!,IF(AC16&gt;#REF!,#REF!,IF(AC16&gt;#REF!,#REF!,IF(AC16&gt;#REF!,#REF!,#REF!))))</f>
        <v>#REF!</v>
      </c>
      <c r="AR16" s="31" t="e">
        <f>IF(AE16&gt;#REF!,#REF!,IF(AE16&gt;#REF!,#REF!,IF(AE16&gt;#REF!,#REF!,IF(AE16&gt;#REF!,#REF!,#REF!))))</f>
        <v>#REF!</v>
      </c>
      <c r="AS16" s="31" t="e">
        <f>IF(AF16&gt;#REF!,#REF!,IF(AF16&gt;#REF!,#REF!,IF(AF16&gt;#REF!,#REF!,IF(AF16&gt;#REF!,#REF!,#REF!))))</f>
        <v>#REF!</v>
      </c>
      <c r="AT16" s="31" t="e">
        <f>IF(AH16&gt;#REF!,#REF!,IF(AH16&gt;#REF!,#REF!,IF(AH16&gt;#REF!,#REF!,IF(AH16&gt;#REF!,#REF!,IF(AH16&gt;#REF!,#REF!,#REF!)))))</f>
        <v>#REF!</v>
      </c>
      <c r="AU16" s="10" t="e">
        <f t="shared" si="4"/>
        <v>#REF!</v>
      </c>
      <c r="AV16" s="10" t="s">
        <v>141</v>
      </c>
      <c r="AW16" s="10" t="s">
        <v>69</v>
      </c>
      <c r="AX16" s="10" t="s">
        <v>62</v>
      </c>
      <c r="AY16" s="31" t="str">
        <f>IFERROR(VLOOKUP(AV16,#REF!,3,0),"")</f>
        <v/>
      </c>
      <c r="AZ16" s="31" t="str">
        <f>IFERROR(VLOOKUP(AW16,#REF!,3,0),"")</f>
        <v/>
      </c>
      <c r="BA16" s="31" t="str">
        <f>IFERROR(VLOOKUP(AX16,#REF!,3,0),"")</f>
        <v/>
      </c>
      <c r="BB16" s="31" t="str">
        <f>IFERROR(AY16*#REF!+AZ16*#REF!+BA16*#REF!,"")</f>
        <v/>
      </c>
      <c r="BC16" s="32" t="str">
        <f t="shared" si="5"/>
        <v/>
      </c>
      <c r="BD16" s="32" t="str">
        <f>IFERROR(VLOOKUP(BC16*10,#REF!,2,1),"")</f>
        <v/>
      </c>
      <c r="BE16" s="11">
        <v>0</v>
      </c>
      <c r="BF16" s="11">
        <v>-1</v>
      </c>
      <c r="BG16" s="10" t="s">
        <v>169</v>
      </c>
      <c r="BH16" s="11" t="s">
        <v>170</v>
      </c>
      <c r="BI16" s="10">
        <v>5.5999999046325701</v>
      </c>
      <c r="BJ16" s="33" t="s">
        <v>111</v>
      </c>
      <c r="BK16" s="33" t="s">
        <v>118</v>
      </c>
      <c r="BL16" s="10">
        <f>IF([1]!s_stmnote_bank_17n(A16,$A$1,1)="0","",[1]!s_stmnote_bank_17n(A16,$A$1,1))</f>
        <v>2.0099999999999998</v>
      </c>
      <c r="BM16" s="10">
        <f>IF([1]!s_stmnote_bank_18n(A16,$A$1,1)="0","",[1]!s_stmnote_bank_18n(A16,$A$1,1))</f>
        <v>13.79</v>
      </c>
      <c r="BN16" s="41"/>
      <c r="BO16" s="52"/>
      <c r="BP16" s="52">
        <f>[1]!s_stmnote_bank_5444(A16,$A$1,1)</f>
        <v>0</v>
      </c>
      <c r="BQ16" s="52">
        <f>[1]!s_stmnote_bank_129n($A16,$A$1,1)</f>
        <v>34.770000000000003</v>
      </c>
      <c r="BR16" s="52">
        <f t="shared" si="13"/>
        <v>4.5588966080962123</v>
      </c>
      <c r="BS16" s="52">
        <f>[1]!b_stm07_is(A16,19,$A$1,1,100000000)</f>
        <v>79.699913193699999</v>
      </c>
      <c r="BT16" s="52">
        <f xml:space="preserve"> [1]!s_stm07_bs(A16,"W15273164",$A$1,1,100000000)-[1]!s_stm07_bs(A16,"W17642530",$A$1,1,100000000)-[1]!s_stm07_bs(A16,"W15910877",$A$1,1,100000000)-[1]!s_stm07_bs_39(A16,$A$1,1,100000000)-[1]!s_stm07_bs(A16,"W17700468",$A$1,1,100000000)-[1]!s_stm07_bs(A16,"W16504296",$A$1,1,100000000)-[1]!s_stm07_bs(A16,"W13769069",$A$1,1,100000000)</f>
        <v>2113.6842081574996</v>
      </c>
      <c r="BU16" s="52">
        <f xml:space="preserve"> [1]!s_stm07_bs(A16,"W15273164",$B$1,1,100000000)-[1]!s_stm07_bs(A16,"W17642530",$B$1,1,100000000)-[1]!s_stm07_bs(A16,"W15910877",$B$1,1,100000000)-[1]!s_stm07_bs_39(A16,$B$1,1,100000000)-[1]!s_stm07_bs(A16,"W17700468",$B$1,1,100000000)-[1]!s_stm07_bs(A16,"W16504296",$B$1,1,100000000)-[1]!s_stm07_bs(A16,"W13769069",$B$1,1,100000000)</f>
        <v>1697.8258169981</v>
      </c>
      <c r="BV16" s="52">
        <f xml:space="preserve"> [1]!s_stm07_bs(A16,"W15273164",$E$1,1,100000000)-[1]!s_stm07_bs(A16,"W17642530",$E$1,1,100000000)-[1]!s_stm07_bs(A16,"W15910877",$E$1,1,100000000)-[1]!s_stm07_bs_39(A16,$E$1,1,100000000)-[1]!s_stm07_bs(A16,"W17700468",$E$1,1,100000000)-[1]!s_stm07_bs(A16,"W16504296",$E$1,1,100000000)-[1]!s_stm07_bs(A16,"W13769069",$E$1,1,100000000)</f>
        <v>1805.22</v>
      </c>
      <c r="BW16" s="52">
        <f xml:space="preserve"> [1]!s_stm07_bs(A16,"W15273164",$F$1,1,100000000)-[1]!s_stm07_bs(A16,"W17642530",$F$1,1,100000000)-[1]!s_stm07_bs(A16,"W15910877",$F$1,1,100000000)-[1]!s_stm07_bs_39(A16,$F$1,1,100000000)-[1]!s_stm07_bs(A16,"W17700468",$F$1,1,100000000)-[1]!s_stm07_bs(A16,"W16504296",$F$1,1,100000000)-[1]!s_stm07_bs(A16,"W13769069",$F$1,1,100000000)</f>
        <v>1707.0923648167002</v>
      </c>
      <c r="BX16" s="52">
        <f xml:space="preserve"> [1]!s_stm07_bs(A16,"W15273164",$G$1,1,100000000)-[1]!s_stm07_bs(A16,"W17642530",$G$1,1,100000000)-[1]!s_stm07_bs(A16,"W15910877",$G$1,1,100000000)-[1]!s_stm07_bs_39(A16,$G$1,1,100000000)-[1]!s_stm07_bs(A16,"W17700468",$G$1,1,100000000)-[1]!s_stm07_bs(A16,"W16504296",$G$1,1,100000000)-[1]!s_stm07_bs(A16,"W13769069",$G$1,1,100000000)</f>
        <v>0</v>
      </c>
      <c r="BY16" s="52">
        <f>IFERROR([1]!b_stm07_is(A16,20,$A$1,1,100000000)/AVERAGEIF(CA16:CE16,"&gt;0")*100,0)</f>
        <v>2.595383026483836</v>
      </c>
      <c r="BZ16" s="52">
        <f>[1]!b_stm07_is(A16,20,$A$1,1,100000000)</f>
        <v>44.862228436000002</v>
      </c>
      <c r="CA16" s="52">
        <f>[1]!s_stmnote_bank_38(A16,$A$1,1,100000000)</f>
        <v>1938.9006412038</v>
      </c>
      <c r="CB16" s="52">
        <f>[1]!s_stmnote_bank_38(A16,$B$1,1,100000000)</f>
        <v>1518.1789480681</v>
      </c>
      <c r="CC16" s="52">
        <f>[1]!s_stmnote_bank_38(A16,$E$1,1,100000000)</f>
        <v>0</v>
      </c>
      <c r="CD16" s="52">
        <f>[1]!s_stmnote_bank_38(A16,$F$1,1,100000000)</f>
        <v>0</v>
      </c>
      <c r="CE16" s="52">
        <f>[1]!s_stmnote_bank_38(A16,$G$1,1,100000000)</f>
        <v>0</v>
      </c>
      <c r="CF16" s="52">
        <f>IF(BP16&lt;&gt;0,BP16,IFERROR(IF(([1]!b_stm07_is(A16,19,$A$1,1,100000000)-[1]!b_stm07_is(A16,20,$A$1,1,100000000))/AVERAGE([1]!s_stmnote_bank_35(A16,$A$1,1,100000000),[1]!s_stmnote_bank_35(A16,$B$1,1,100000000))*100=0,"",([1]!b_stm07_is(A16,19,$A$1,1,100000000)-[1]!b_stm07_is(A16,20,$A$1,1,100000000))/AVERAGE([1]!s_stmnote_bank_35(A16,$A$1,1,100000000),[1]!s_stmnote_bank_35(A16,$B$1,1,100000000))*100),""))</f>
        <v>1.8652378551837263</v>
      </c>
      <c r="CG16" s="27" t="str">
        <f t="shared" si="6"/>
        <v>116 171</v>
      </c>
      <c r="CH16" s="80">
        <f t="shared" si="14"/>
        <v>0.62951070975132439</v>
      </c>
      <c r="CI16" s="27" t="str">
        <f t="shared" si="7"/>
        <v>90 169</v>
      </c>
      <c r="CJ16" s="55">
        <f>[1]!s_stmnote_bank_30(A16,$A$1,1)</f>
        <v>26.142900000000001</v>
      </c>
      <c r="CP16" s="69">
        <f>[1]!b_stm07_bs($A16,141,$A$1,1,100000000)</f>
        <v>181.42819875730001</v>
      </c>
      <c r="CQ16" s="69">
        <f>[1]!b_stm07_bs($A16,141,$D$1,1,100000000)</f>
        <v>176.94</v>
      </c>
      <c r="CR16" s="68">
        <f>IF([1]!s_fa_roic_yearly($A16,$A$1)=0,"",[1]!s_fa_roic_yearly($A16,$A$1))</f>
        <v>10.527100000000001</v>
      </c>
      <c r="CS16" s="27">
        <f t="shared" si="16"/>
        <v>0.28402366863905326</v>
      </c>
      <c r="CT16" s="68" t="str">
        <f>IF([1]!s_fa_roic_yearly($A16,$D$1)=0,"",[1]!s_fa_roic_yearly($A16,$D$1))</f>
        <v/>
      </c>
      <c r="CU16" s="27" t="e">
        <f t="shared" si="17"/>
        <v>#VALUE!</v>
      </c>
      <c r="CV16" s="78">
        <f>[1]!s_stm07_bs(A16,"W14578191",$A$1,1,100000000)</f>
        <v>1223.831230042</v>
      </c>
      <c r="CW16" s="78">
        <f>[1]!s_stmnote_bank_682($A16,$A$1,1,2,100000000)</f>
        <v>674.46152226139998</v>
      </c>
      <c r="CX16" s="79">
        <f t="shared" si="11"/>
        <v>0.55110664420473521</v>
      </c>
    </row>
    <row r="17" spans="1:102" s="46" customFormat="1" ht="13.5">
      <c r="A17" s="8" t="s">
        <v>130</v>
      </c>
      <c r="B17" s="8" t="s">
        <v>131</v>
      </c>
      <c r="C17" s="9" t="s">
        <v>132</v>
      </c>
      <c r="D17" s="9" t="s">
        <v>1066</v>
      </c>
      <c r="E17" s="10"/>
      <c r="F17" s="11" t="s">
        <v>90</v>
      </c>
      <c r="G17" s="11" t="s">
        <v>67</v>
      </c>
      <c r="H17" s="11" t="s">
        <v>103</v>
      </c>
      <c r="I17" s="11"/>
      <c r="J17" s="11" t="e">
        <f>VLOOKUP(B17,[3]额度信息!$B:$T,19,0)</f>
        <v>#N/A</v>
      </c>
      <c r="K17" s="11"/>
      <c r="L17" s="27">
        <f>IFERROR(([1]!b_stm07_bs($A17,47,$A$1,1,100000000))/[1]!b_stm07_bs($A17,109,$A$1,1,100000000),"")</f>
        <v>8.4745403508583075E-2</v>
      </c>
      <c r="M17" s="20"/>
      <c r="N17" s="18"/>
      <c r="O17" s="27" t="e">
        <f t="shared" si="0"/>
        <v>#N/A</v>
      </c>
      <c r="P17" s="21">
        <f t="shared" si="12"/>
        <v>6.3E-3</v>
      </c>
      <c r="Q17" s="27" t="str">
        <f t="shared" si="1"/>
        <v>3 169</v>
      </c>
      <c r="R17" s="18">
        <f>IFERROR([1]!s_stmnote_bank($A17,"34",$A$1,100000000)/[1]!s_stmnote_bank_1n(A17,$A$1,1,100000000),"")</f>
        <v>0</v>
      </c>
      <c r="S17" s="22"/>
      <c r="T17" s="22"/>
      <c r="U17" s="22"/>
      <c r="V17" s="22"/>
      <c r="W17" s="22"/>
      <c r="X17" s="22"/>
      <c r="Y17" s="22"/>
      <c r="Z17" s="25">
        <f>[1]!b_stm07_bs(A17,74,$A$1,1,100000000)</f>
        <v>671.42879850429995</v>
      </c>
      <c r="AA17" s="25">
        <f>[1]!b_stm07_bs(A17,109,$A$1,1,100000000)</f>
        <v>542.38851375160004</v>
      </c>
      <c r="AB17" s="10">
        <f>[1]!s_stmnote_bank_5n(A17,$A$1,1)</f>
        <v>0.63</v>
      </c>
      <c r="AC17" s="25">
        <f>IF([1]!s_stmnote_bank_23n(A17,$A$1,1)=0,"",IFERROR([1]!s_stmnote_bank_23n(A17,$A$1,1),""))</f>
        <v>518.98</v>
      </c>
      <c r="AD17" s="27" t="str">
        <f t="shared" si="2"/>
        <v>148 167</v>
      </c>
      <c r="AE17" s="25">
        <f>[1]!s_stmnote_bank_capadequacyratio(A17,$A$1,1)</f>
        <v>15.22</v>
      </c>
      <c r="AF17" s="25">
        <f>IF([1]!s_stmnote_bank_capadequacyratio_ct1(A17,$A$1,1)=0,"",IFERROR([1]!s_stmnote_bank_capadequacyratio_ct1(A17,$A$1,1),""))</f>
        <v>12.75</v>
      </c>
      <c r="AG17" s="27" t="str">
        <f t="shared" si="15"/>
        <v>136 167</v>
      </c>
      <c r="AH17" s="6">
        <f>IF(OR([1]!s_fa_roe(A17,20201231)=0,[1]!s_fa_roe(A17,20211231)="0",[1]!s_fa_roe(A17,20221231)="0"),"",IFERROR(([1]!s_fa_roe(A17,20221231)+[1]!s_fa_roe(A17,20201231)+[1]!s_fa_roe(A17,20211231))/3,""))</f>
        <v>12.7455</v>
      </c>
      <c r="AI17" s="27" t="str">
        <f t="shared" si="3"/>
        <v>153 173</v>
      </c>
      <c r="AJ17" s="28">
        <f>IFERROR(([1]!s_stmnote_bank_65(A17,$A$1,1,2,4,100000000)+[1]!s_stmnote_bank_65(A17,$A$1,1,2,6,100000000))/[1]!s_stmnote_bank_1n(A17,$A$1,1,100000000),"")</f>
        <v>9.5011117754179975E-2</v>
      </c>
      <c r="AK17" s="28">
        <f>IFERROR([1]!s_stmnote_bank_614(A17,$A$1,1,2,100000000)/[1]!s_stmnote_bank_647(A17,$A$1,1,2,100000000),"")</f>
        <v>0.22564239938873329</v>
      </c>
      <c r="AL17" s="28">
        <f>IFERROR(([1]!b_stm07_bs(A17,104,$A$1,1,100000000)+[1]!b_stm07_bs(A17,106,$A$1,1,100000000)+[1]!b_stm07_bs(A17,76,$A$1,1,100000000)+[1]!b_stm07_bs(A17,108,$A$1,1,100000000)+[1]!b_stm07_bs(A17,95,$A$1,1,100000000))/[1]!b_stm07_bs(A17,128,$A$1,1,100000000),"")</f>
        <v>5.8229759450104113E-2</v>
      </c>
      <c r="AM17" s="28">
        <f>IFERROR(([1]!s_stmnote_bank_614(A17,$A$1,1,2,100000000)+[1]!b_stm07_bs(A17,104,$A$1,1,100000000)+[1]!b_stm07_bs(A17,106,$A$1,1,100000000)+[1]!b_stm07_bs(A17,76,$A$1,1,100000000)+[1]!b_stm07_bs(A17,108,$A$1,1,100000000)+[1]!b_stm07_bs(A17,95,$A$1,1,100000000))/[1]!b_stm07_bs(A17,128,$A$1,1,100000000),"")</f>
        <v>0.25841757666142523</v>
      </c>
      <c r="AN17" s="31" t="e">
        <f>IF(Z17&gt;#REF!,#REF!,IF(Z17&gt;#REF!,#REF!,IF(Z17&gt;#REF!,#REF!,IF(Z17&gt;#REF!,#REF!,IF(Z17&gt;#REF!,#REF!,IF(Z17&gt;#REF!,#REF!,IF(Z17&gt;#REF!,#REF!,#REF!)))))))</f>
        <v>#REF!</v>
      </c>
      <c r="AO17" s="31" t="e">
        <f>IF(AA17&gt;#REF!,#REF!,IF(AA17&gt;#REF!,#REF!,IF(AA17&gt;#REF!,#REF!,IF(AA17&gt;#REF!,#REF!,IF(AA17&gt;#REF!,#REF!,IF(AA17&gt;#REF!,#REF!,IF(AA17&gt;#REF!,#REF!,#REF!)))))))</f>
        <v>#REF!</v>
      </c>
      <c r="AP17" s="31" t="e">
        <f>IF(AB17&lt;#REF!,#REF!,IF(AB17&lt;#REF!,#REF!,IF(AB17&lt;#REF!,#REF!,IF(AB17&lt;#REF!,#REF!,IF(AB17&lt;#REF!,#REF!,IF(AB17&lt;#REF!,#REF!,#REF!))))))</f>
        <v>#REF!</v>
      </c>
      <c r="AQ17" s="31" t="e">
        <f>IF(AC17&gt;#REF!,#REF!,IF(AC17&gt;#REF!,#REF!,IF(AC17&gt;#REF!,#REF!,IF(AC17&gt;#REF!,#REF!,#REF!))))</f>
        <v>#REF!</v>
      </c>
      <c r="AR17" s="31" t="e">
        <f>IF(AE17&gt;#REF!,#REF!,IF(AE17&gt;#REF!,#REF!,IF(AE17&gt;#REF!,#REF!,IF(AE17&gt;#REF!,#REF!,#REF!))))</f>
        <v>#REF!</v>
      </c>
      <c r="AS17" s="31" t="e">
        <f>IF(AF17&gt;#REF!,#REF!,IF(AF17&gt;#REF!,#REF!,IF(AF17&gt;#REF!,#REF!,IF(AF17&gt;#REF!,#REF!,#REF!))))</f>
        <v>#REF!</v>
      </c>
      <c r="AT17" s="31" t="e">
        <f>IF(AH17&gt;#REF!,#REF!,IF(AH17&gt;#REF!,#REF!,IF(AH17&gt;#REF!,#REF!,IF(AH17&gt;#REF!,#REF!,IF(AH17&gt;#REF!,#REF!,#REF!)))))</f>
        <v>#REF!</v>
      </c>
      <c r="AU17" s="10" t="e">
        <f t="shared" si="4"/>
        <v>#REF!</v>
      </c>
      <c r="AV17" s="10"/>
      <c r="AW17" s="10"/>
      <c r="AX17" s="10"/>
      <c r="AY17" s="31" t="str">
        <f>IFERROR(VLOOKUP(AV17,#REF!,3,0),"")</f>
        <v/>
      </c>
      <c r="AZ17" s="31" t="str">
        <f>IFERROR(VLOOKUP(AW17,#REF!,3,0),"")</f>
        <v/>
      </c>
      <c r="BA17" s="31" t="str">
        <f>IFERROR(VLOOKUP(AX17,#REF!,3,0),"")</f>
        <v/>
      </c>
      <c r="BB17" s="31" t="str">
        <f>IFERROR(AY17*#REF!+AZ17*#REF!+BA17*#REF!,"")</f>
        <v/>
      </c>
      <c r="BC17" s="32" t="str">
        <f t="shared" si="5"/>
        <v/>
      </c>
      <c r="BD17" s="32" t="str">
        <f>IFERROR(VLOOKUP(BC17*10,#REF!,2,1),"")</f>
        <v/>
      </c>
      <c r="BE17" s="10"/>
      <c r="BF17" s="10"/>
      <c r="BG17" s="10"/>
      <c r="BH17" s="11" t="s">
        <v>133</v>
      </c>
      <c r="BI17" s="10">
        <v>4.8200001716613796</v>
      </c>
      <c r="BJ17" s="11" t="s">
        <v>111</v>
      </c>
      <c r="BK17" s="33" t="s">
        <v>134</v>
      </c>
      <c r="BL17" s="10">
        <f>IF([1]!s_stmnote_bank_17n(A17,$A$1,1)="0","",[1]!s_stmnote_bank_17n(A17,$A$1,1))</f>
        <v>1.71</v>
      </c>
      <c r="BM17" s="10">
        <f>IF([1]!s_stmnote_bank_18n(A17,$A$1,1)="0","",[1]!s_stmnote_bank_18n(A17,$A$1,1))</f>
        <v>11.92</v>
      </c>
      <c r="BN17" s="41" t="s">
        <v>67</v>
      </c>
      <c r="BO17" s="68" t="s">
        <v>67</v>
      </c>
      <c r="BP17" s="52">
        <f>[1]!s_stmnote_bank_5444(A17,$A$1,1)</f>
        <v>0</v>
      </c>
      <c r="BQ17" s="52">
        <f>[1]!s_stmnote_bank_129n($A17,$A$1,1)</f>
        <v>37.69</v>
      </c>
      <c r="BR17" s="52">
        <f t="shared" si="13"/>
        <v>5.3623453522315288</v>
      </c>
      <c r="BS17" s="52">
        <f>[1]!b_stm07_is(A17,19,$A$1,1,100000000)</f>
        <v>31.077155857499999</v>
      </c>
      <c r="BT17" s="52">
        <f xml:space="preserve"> [1]!s_stm07_bs(A17,"W15273164",$A$1,1,100000000)-[1]!s_stm07_bs(A17,"W17642530",$A$1,1,100000000)-[1]!s_stm07_bs(A17,"W15910877",$A$1,1,100000000)-[1]!s_stm07_bs_39(A17,$A$1,1,100000000)-[1]!s_stm07_bs(A17,"W17700468",$A$1,1,100000000)-[1]!s_stm07_bs(A17,"W16504296",$A$1,1,100000000)-[1]!s_stm07_bs(A17,"W13769069",$A$1,1,100000000)</f>
        <v>658.77502270009995</v>
      </c>
      <c r="BU17" s="52">
        <f xml:space="preserve"> [1]!s_stm07_bs(A17,"W15273164",$B$1,1,100000000)-[1]!s_stm07_bs(A17,"W17642530",$B$1,1,100000000)-[1]!s_stm07_bs(A17,"W15910877",$B$1,1,100000000)-[1]!s_stm07_bs_39(A17,$B$1,1,100000000)-[1]!s_stm07_bs(A17,"W17700468",$B$1,1,100000000)-[1]!s_stm07_bs(A17,"W16504296",$B$1,1,100000000)-[1]!s_stm07_bs(A17,"W13769069",$B$1,1,100000000)</f>
        <v>554.66135818580005</v>
      </c>
      <c r="BV17" s="52">
        <f xml:space="preserve"> [1]!s_stm07_bs(A17,"W15273164",$E$1,1,100000000)-[1]!s_stm07_bs(A17,"W17642530",$E$1,1,100000000)-[1]!s_stm07_bs(A17,"W15910877",$E$1,1,100000000)-[1]!s_stm07_bs_39(A17,$E$1,1,100000000)-[1]!s_stm07_bs(A17,"W17700468",$E$1,1,100000000)-[1]!s_stm07_bs(A17,"W16504296",$E$1,1,100000000)-[1]!s_stm07_bs(A17,"W13769069",$E$1,1,100000000)</f>
        <v>647.49229243670004</v>
      </c>
      <c r="BW17" s="52">
        <f xml:space="preserve"> [1]!s_stm07_bs(A17,"W15273164",$F$1,1,100000000)-[1]!s_stm07_bs(A17,"W17642530",$F$1,1,100000000)-[1]!s_stm07_bs(A17,"W15910877",$F$1,1,100000000)-[1]!s_stm07_bs_39(A17,$F$1,1,100000000)-[1]!s_stm07_bs(A17,"W17700468",$F$1,1,100000000)-[1]!s_stm07_bs(A17,"W16504296",$F$1,1,100000000)-[1]!s_stm07_bs(A17,"W13769069",$F$1,1,100000000)</f>
        <v>626.18396703600001</v>
      </c>
      <c r="BX17" s="52">
        <f xml:space="preserve"> [1]!s_stm07_bs(A17,"W15273164",$G$1,1,100000000)-[1]!s_stm07_bs(A17,"W17642530",$G$1,1,100000000)-[1]!s_stm07_bs(A17,"W15910877",$G$1,1,100000000)-[1]!s_stm07_bs_39(A17,$G$1,1,100000000)-[1]!s_stm07_bs(A17,"W17700468",$G$1,1,100000000)-[1]!s_stm07_bs(A17,"W16504296",$G$1,1,100000000)-[1]!s_stm07_bs(A17,"W13769069",$G$1,1,100000000)</f>
        <v>608.21261913489991</v>
      </c>
      <c r="BY17" s="52">
        <f>IFERROR([1]!b_stm07_is(A17,20,$A$1,1,100000000)/AVERAGEIF(CA17:CE17,"&gt;0")*100,0)</f>
        <v>2.2887793528422513</v>
      </c>
      <c r="BZ17" s="52">
        <f>[1]!b_stm07_is(A17,20,$A$1,1,100000000)</f>
        <v>12.8958609149</v>
      </c>
      <c r="CA17" s="52">
        <f>[1]!s_stmnote_bank_38(A17,$A$1,1,100000000)</f>
        <v>604.11310227519994</v>
      </c>
      <c r="CB17" s="52">
        <f>[1]!s_stmnote_bank_38(A17,$B$1,1,100000000)</f>
        <v>495.64931414820001</v>
      </c>
      <c r="CC17" s="52">
        <f>[1]!s_stmnote_bank_38(A17,$E$1,1,100000000)</f>
        <v>591.8930882006</v>
      </c>
      <c r="CD17" s="52">
        <f>[1]!s_stmnote_bank_38(A17,$F$1,1,100000000)</f>
        <v>571.81526315510007</v>
      </c>
      <c r="CE17" s="52">
        <f>[1]!s_stmnote_bank_38(A17,$G$1,1,100000000)</f>
        <v>553.72104647020001</v>
      </c>
      <c r="CF17" s="52">
        <f>IF(BP17&lt;&gt;0,BP17,IFERROR(IF(([1]!b_stm07_is(A17,19,$A$1,1,100000000)-[1]!b_stm07_is(A17,20,$A$1,1,100000000))/AVERAGE([1]!s_stmnote_bank_35(A17,$A$1,1,100000000),[1]!s_stmnote_bank_35(A17,$B$1,1,100000000))*100=0,"",([1]!b_stm07_is(A17,19,$A$1,1,100000000)-[1]!b_stm07_is(A17,20,$A$1,1,100000000))/AVERAGE([1]!s_stmnote_bank_35(A17,$A$1,1,100000000),[1]!s_stmnote_bank_35(A17,$B$1,1,100000000))*100),""))</f>
        <v>3.1161561137811509</v>
      </c>
      <c r="CG17" s="27" t="str">
        <f t="shared" si="6"/>
        <v>9 171</v>
      </c>
      <c r="CH17" s="80">
        <f t="shared" si="14"/>
        <v>4.9462795456843667</v>
      </c>
      <c r="CI17" s="27" t="str">
        <f t="shared" si="7"/>
        <v>1 169</v>
      </c>
      <c r="CJ17" s="55">
        <f>[1]!s_stmnote_bank_30(A17,$A$1,1)</f>
        <v>7.5247000000000002</v>
      </c>
      <c r="CP17" s="69">
        <f>[1]!b_stm07_bs($A17,141,$A$1,1,100000000)</f>
        <v>60.073685347700007</v>
      </c>
      <c r="CQ17" s="69">
        <f>[1]!b_stm07_bs($A17,141,$D$1,1,100000000)</f>
        <v>64.707518453000006</v>
      </c>
      <c r="CR17" s="68">
        <f>IF([1]!s_fa_roic_yearly($A17,$A$1)=0,"",[1]!s_fa_roic_yearly($A17,$A$1))</f>
        <v>13.206099999999999</v>
      </c>
      <c r="CS17" s="27">
        <f t="shared" si="16"/>
        <v>0.11242603550295859</v>
      </c>
      <c r="CT17" s="68">
        <f>IF([1]!s_fa_roic_yearly($A17,$D$1)=0,"",[1]!s_fa_roic_yearly($A17,$D$1))</f>
        <v>19.811</v>
      </c>
      <c r="CU17" s="27">
        <f t="shared" si="17"/>
        <v>1.4084507042253521E-2</v>
      </c>
      <c r="CV17" s="78">
        <f>[1]!s_stm07_bs(A17,"W14578191",$A$1,1,100000000)</f>
        <v>449.9973213147</v>
      </c>
      <c r="CW17" s="78">
        <f>[1]!s_stmnote_bank_682($A17,$A$1,1,2,100000000)</f>
        <v>0</v>
      </c>
      <c r="CX17" s="79" t="str">
        <f t="shared" si="11"/>
        <v/>
      </c>
    </row>
    <row r="18" spans="1:102" s="46" customFormat="1" ht="13.5">
      <c r="A18" s="8" t="s">
        <v>957</v>
      </c>
      <c r="B18" s="13" t="s">
        <v>958</v>
      </c>
      <c r="C18" s="9" t="s">
        <v>959</v>
      </c>
      <c r="D18" s="9" t="s">
        <v>1065</v>
      </c>
      <c r="E18" s="10" t="s">
        <v>138</v>
      </c>
      <c r="F18" s="11" t="s">
        <v>178</v>
      </c>
      <c r="G18" s="11" t="s">
        <v>346</v>
      </c>
      <c r="H18" s="11" t="s">
        <v>139</v>
      </c>
      <c r="I18" s="11"/>
      <c r="J18" s="11">
        <f>VLOOKUP(B18,[3]额度信息!$B:$T,19,0)</f>
        <v>0</v>
      </c>
      <c r="K18" s="11" t="s">
        <v>960</v>
      </c>
      <c r="L18" s="27">
        <f>IFERROR(([1]!b_stm07_bs($A18,47,$A$1,1,100000000))/[1]!b_stm07_bs($A18,109,$A$1,1,100000000),"")</f>
        <v>0.11863281728904256</v>
      </c>
      <c r="M18" s="20">
        <v>5.81</v>
      </c>
      <c r="N18" s="18">
        <f>IFERROR(([1]!s_stmnote_bank_26($A18,$A$1,1,100000000)-[1]!s_stmnote_bank_26($A18,$B$1,1,100000000)+M18)/[1]!s_stmnote_bank_1n($A18,$B$1,1,100000000),"")</f>
        <v>5.4993273805745771E-3</v>
      </c>
      <c r="O18" s="27" t="str">
        <f t="shared" si="0"/>
        <v>15 50</v>
      </c>
      <c r="P18" s="21">
        <f t="shared" si="12"/>
        <v>6.0999999999999995E-3</v>
      </c>
      <c r="Q18" s="27" t="str">
        <f t="shared" si="1"/>
        <v>2 169</v>
      </c>
      <c r="R18" s="18">
        <f>IFERROR([1]!s_stmnote_bank($A18,"34",$A$1,100000000)/[1]!s_stmnote_bank_1n(A18,$A$1,1,100000000),"")</f>
        <v>0</v>
      </c>
      <c r="S18" s="22">
        <v>5.5399999999999998E-2</v>
      </c>
      <c r="T18" s="22">
        <v>2.6100000000000002E-2</v>
      </c>
      <c r="U18" s="22"/>
      <c r="V18" s="22"/>
      <c r="W18" s="22"/>
      <c r="X18" s="22"/>
      <c r="Y18" s="22"/>
      <c r="Z18" s="25">
        <f>[1]!b_stm07_bs(A18,74,$A$1,1,100000000)</f>
        <v>2589.4608079099999</v>
      </c>
      <c r="AA18" s="25">
        <f>[1]!b_stm07_bs(A18,109,$A$1,1,100000000)</f>
        <v>1520.3892876499999</v>
      </c>
      <c r="AB18" s="10">
        <f>[1]!s_stmnote_bank_5n(A18,$A$1,1)</f>
        <v>0.61</v>
      </c>
      <c r="AC18" s="25">
        <f>IF([1]!s_stmnote_bank_23n(A18,$A$1,1)=0,"",IFERROR([1]!s_stmnote_bank_23n(A18,$A$1,1),""))</f>
        <v>321</v>
      </c>
      <c r="AD18" s="27" t="str">
        <f t="shared" si="2"/>
        <v>115 167</v>
      </c>
      <c r="AE18" s="25">
        <f>[1]!s_stmnote_bank_capadequacyratio(A18,$A$1,1)</f>
        <v>17.3</v>
      </c>
      <c r="AF18" s="25">
        <f>IF([1]!s_stmnote_bank_capadequacyratio_ct1(A18,$A$1,1)=0,"",IFERROR([1]!s_stmnote_bank_capadequacyratio_ct1(A18,$A$1,1),""))</f>
        <v>14.5</v>
      </c>
      <c r="AG18" s="27" t="str">
        <f t="shared" si="15"/>
        <v>151 167</v>
      </c>
      <c r="AH18" s="6">
        <f>IF(OR([1]!s_fa_roe(A18,20201231)=0,[1]!s_fa_roe(A18,20211231)="0",[1]!s_fa_roe(A18,20221231)="0"),"",IFERROR(([1]!s_fa_roe(A18,20221231)+[1]!s_fa_roe(A18,20201231)+[1]!s_fa_roe(A18,20211231))/3,""))</f>
        <v>6.7185999999999995</v>
      </c>
      <c r="AI18" s="27" t="str">
        <f t="shared" si="3"/>
        <v>67 173</v>
      </c>
      <c r="AJ18" s="28">
        <f>IFERROR(([1]!s_stmnote_bank_65(A18,$A$1,1,2,4,100000000)+[1]!s_stmnote_bank_65(A18,$A$1,1,2,6,100000000))/[1]!s_stmnote_bank_1n(A18,$A$1,1,100000000),"")</f>
        <v>0.11677351048322902</v>
      </c>
      <c r="AK18" s="28">
        <f>IFERROR([1]!s_stmnote_bank_614(A18,$A$1,1,2,100000000)/[1]!s_stmnote_bank_647(A18,$A$1,1,2,100000000),"")</f>
        <v>0.56742630669338834</v>
      </c>
      <c r="AL18" s="28">
        <f>IFERROR(([1]!b_stm07_bs(A18,104,$A$1,1,100000000)+[1]!b_stm07_bs(A18,106,$A$1,1,100000000)+[1]!b_stm07_bs(A18,76,$A$1,1,100000000)+[1]!b_stm07_bs(A18,108,$A$1,1,100000000)+[1]!b_stm07_bs(A18,95,$A$1,1,100000000))/[1]!b_stm07_bs(A18,128,$A$1,1,100000000),"")</f>
        <v>0.24208454362245829</v>
      </c>
      <c r="AM18" s="28">
        <f>IFERROR(([1]!s_stmnote_bank_614(A18,$A$1,1,2,100000000)+[1]!b_stm07_bs(A18,104,$A$1,1,100000000)+[1]!b_stm07_bs(A18,106,$A$1,1,100000000)+[1]!b_stm07_bs(A18,76,$A$1,1,100000000)+[1]!b_stm07_bs(A18,108,$A$1,1,100000000)+[1]!b_stm07_bs(A18,95,$A$1,1,100000000))/[1]!b_stm07_bs(A18,128,$A$1,1,100000000),"")</f>
        <v>0.6305106248213892</v>
      </c>
      <c r="AN18" s="31" t="e">
        <f>IF(Z18&gt;#REF!,#REF!,IF(Z18&gt;#REF!,#REF!,IF(Z18&gt;#REF!,#REF!,IF(Z18&gt;#REF!,#REF!,IF(Z18&gt;#REF!,#REF!,IF(Z18&gt;#REF!,#REF!,IF(Z18&gt;#REF!,#REF!,#REF!)))))))</f>
        <v>#REF!</v>
      </c>
      <c r="AO18" s="31" t="e">
        <f>IF(AA18&gt;#REF!,#REF!,IF(AA18&gt;#REF!,#REF!,IF(AA18&gt;#REF!,#REF!,IF(AA18&gt;#REF!,#REF!,IF(AA18&gt;#REF!,#REF!,IF(AA18&gt;#REF!,#REF!,IF(AA18&gt;#REF!,#REF!,#REF!)))))))</f>
        <v>#REF!</v>
      </c>
      <c r="AP18" s="31" t="e">
        <f>IF(AB18&lt;#REF!,#REF!,IF(AB18&lt;#REF!,#REF!,IF(AB18&lt;#REF!,#REF!,IF(AB18&lt;#REF!,#REF!,IF(AB18&lt;#REF!,#REF!,IF(AB18&lt;#REF!,#REF!,#REF!))))))</f>
        <v>#REF!</v>
      </c>
      <c r="AQ18" s="31" t="e">
        <f>IF(AC18&gt;#REF!,#REF!,IF(AC18&gt;#REF!,#REF!,IF(AC18&gt;#REF!,#REF!,IF(AC18&gt;#REF!,#REF!,#REF!))))</f>
        <v>#REF!</v>
      </c>
      <c r="AR18" s="31" t="e">
        <f>IF(AE18&gt;#REF!,#REF!,IF(AE18&gt;#REF!,#REF!,IF(AE18&gt;#REF!,#REF!,IF(AE18&gt;#REF!,#REF!,#REF!))))</f>
        <v>#REF!</v>
      </c>
      <c r="AS18" s="31" t="e">
        <f>IF(AF18&gt;#REF!,#REF!,IF(AF18&gt;#REF!,#REF!,IF(AF18&gt;#REF!,#REF!,IF(AF18&gt;#REF!,#REF!,#REF!))))</f>
        <v>#REF!</v>
      </c>
      <c r="AT18" s="31" t="e">
        <f>IF(AH18&gt;#REF!,#REF!,IF(AH18&gt;#REF!,#REF!,IF(AH18&gt;#REF!,#REF!,IF(AH18&gt;#REF!,#REF!,IF(AH18&gt;#REF!,#REF!,#REF!)))))</f>
        <v>#REF!</v>
      </c>
      <c r="AU18" s="10" t="e">
        <f t="shared" si="4"/>
        <v>#REF!</v>
      </c>
      <c r="AV18" s="10" t="s">
        <v>141</v>
      </c>
      <c r="AW18" s="10" t="s">
        <v>141</v>
      </c>
      <c r="AX18" s="10" t="s">
        <v>62</v>
      </c>
      <c r="AY18" s="31" t="str">
        <f>IFERROR(VLOOKUP(AV18,#REF!,3,0),"")</f>
        <v/>
      </c>
      <c r="AZ18" s="31" t="str">
        <f>IFERROR(VLOOKUP(AW18,#REF!,3,0),"")</f>
        <v/>
      </c>
      <c r="BA18" s="31" t="str">
        <f>IFERROR(VLOOKUP(AX18,#REF!,3,0),"")</f>
        <v/>
      </c>
      <c r="BB18" s="31" t="str">
        <f>IFERROR(AY18*#REF!+AZ18*#REF!+BA18*#REF!,"")</f>
        <v/>
      </c>
      <c r="BC18" s="32" t="str">
        <f t="shared" si="5"/>
        <v/>
      </c>
      <c r="BD18" s="32" t="str">
        <f>IFERROR(VLOOKUP(BC18*10,#REF!,2,1),"")</f>
        <v/>
      </c>
      <c r="BE18" s="11">
        <v>2</v>
      </c>
      <c r="BF18" s="11">
        <v>-3</v>
      </c>
      <c r="BG18" s="10" t="s">
        <v>961</v>
      </c>
      <c r="BH18" s="11" t="s">
        <v>962</v>
      </c>
      <c r="BI18" s="11">
        <v>100</v>
      </c>
      <c r="BJ18" s="11" t="s">
        <v>71</v>
      </c>
      <c r="BK18" s="11"/>
      <c r="BL18" s="10">
        <f>IF([1]!s_stmnote_bank_17n(A18,$A$1,1)="0","",[1]!s_stmnote_bank_17n(A18,$A$1,1))</f>
        <v>0</v>
      </c>
      <c r="BM18" s="10">
        <f>IF([1]!s_stmnote_bank_18n(A18,$A$1,1)="0","",[1]!s_stmnote_bank_18n(A18,$A$1,1))</f>
        <v>0</v>
      </c>
      <c r="BN18" s="41">
        <f>IF([1]!s_stmnote_bank_58(A18,$A$1,1)="0","",[1]!s_stmnote_bank_58(A18,$A$1,1))</f>
        <v>0</v>
      </c>
      <c r="BO18" s="42" t="s">
        <v>67</v>
      </c>
      <c r="BP18" s="52">
        <f>[1]!s_stmnote_bank_5444(A18,$A$1,1)</f>
        <v>1.8</v>
      </c>
      <c r="BQ18" s="53">
        <f>[1]!s_stmnote_bank_129n($A18,$A$1,1)</f>
        <v>57.9</v>
      </c>
      <c r="BR18" s="52">
        <f t="shared" si="13"/>
        <v>2.3809637910705903</v>
      </c>
      <c r="BS18" s="52">
        <f>[1]!b_stm07_is(A18,19,$A$1,1,100000000)</f>
        <v>65.869568720000004</v>
      </c>
      <c r="BT18" s="52">
        <f xml:space="preserve"> [1]!s_stm07_bs(A18,"W15273164",$A$1,1,100000000)-[1]!s_stm07_bs(A18,"W17642530",$A$1,1,100000000)-[1]!s_stm07_bs(A18,"W15910877",$A$1,1,100000000)-[1]!s_stm07_bs_39(A18,$A$1,1,100000000)-[1]!s_stm07_bs(A18,"W17700468",$A$1,1,100000000)-[1]!s_stm07_bs(A18,"W16504296",$A$1,1,100000000)-[1]!s_stm07_bs(A18,"W13769069",$A$1,1,100000000)</f>
        <v>2471.0074603800003</v>
      </c>
      <c r="BU18" s="52">
        <f xml:space="preserve"> [1]!s_stm07_bs(A18,"W15273164",$B$1,1,100000000)-[1]!s_stm07_bs(A18,"W17642530",$B$1,1,100000000)-[1]!s_stm07_bs(A18,"W15910877",$B$1,1,100000000)-[1]!s_stm07_bs_39(A18,$B$1,1,100000000)-[1]!s_stm07_bs(A18,"W17700468",$B$1,1,100000000)-[1]!s_stm07_bs(A18,"W16504296",$B$1,1,100000000)-[1]!s_stm07_bs(A18,"W13769069",$B$1,1,100000000)</f>
        <v>2808.7230810199999</v>
      </c>
      <c r="BV18" s="52">
        <f xml:space="preserve"> [1]!s_stm07_bs(A18,"W15273164",$E$1,1,100000000)-[1]!s_stm07_bs(A18,"W17642530",$E$1,1,100000000)-[1]!s_stm07_bs(A18,"W15910877",$E$1,1,100000000)-[1]!s_stm07_bs_39(A18,$E$1,1,100000000)-[1]!s_stm07_bs(A18,"W17700468",$E$1,1,100000000)-[1]!s_stm07_bs(A18,"W16504296",$E$1,1,100000000)-[1]!s_stm07_bs(A18,"W13769069",$E$1,1,100000000)</f>
        <v>0</v>
      </c>
      <c r="BW18" s="52">
        <f xml:space="preserve"> [1]!s_stm07_bs(A18,"W15273164",$F$1,1,100000000)-[1]!s_stm07_bs(A18,"W17642530",$F$1,1,100000000)-[1]!s_stm07_bs(A18,"W15910877",$F$1,1,100000000)-[1]!s_stm07_bs_39(A18,$F$1,1,100000000)-[1]!s_stm07_bs(A18,"W17700468",$F$1,1,100000000)-[1]!s_stm07_bs(A18,"W16504296",$F$1,1,100000000)-[1]!s_stm07_bs(A18,"W13769069",$F$1,1,100000000)</f>
        <v>0</v>
      </c>
      <c r="BX18" s="52">
        <f xml:space="preserve"> [1]!s_stm07_bs(A18,"W15273164",$G$1,1,100000000)-[1]!s_stm07_bs(A18,"W17642530",$G$1,1,100000000)-[1]!s_stm07_bs(A18,"W15910877",$G$1,1,100000000)-[1]!s_stm07_bs_39(A18,$G$1,1,100000000)-[1]!s_stm07_bs(A18,"W17700468",$G$1,1,100000000)-[1]!s_stm07_bs(A18,"W16504296",$G$1,1,100000000)-[1]!s_stm07_bs(A18,"W13769069",$G$1,1,100000000)</f>
        <v>0</v>
      </c>
      <c r="BY18" s="52">
        <f>IFERROR([1]!b_stm07_is(A18,20,$A$1,1,100000000)/AVERAGEIF(CA18:CE18,"&gt;0")*100,0)</f>
        <v>1.1458199058170648</v>
      </c>
      <c r="BZ18" s="52">
        <f>[1]!b_stm07_is(A18,20,$A$1,1,100000000)</f>
        <v>24.803827779999999</v>
      </c>
      <c r="CA18" s="52">
        <f>[1]!s_stmnote_bank_38(A18,$A$1,1,100000000)</f>
        <v>2080.89534684</v>
      </c>
      <c r="CB18" s="52">
        <f>[1]!s_stmnote_bank_38(A18,$B$1,1,100000000)</f>
        <v>2248.5507823600001</v>
      </c>
      <c r="CC18" s="52">
        <f>[1]!s_stmnote_bank_38(A18,$E$1,1,100000000)</f>
        <v>0</v>
      </c>
      <c r="CD18" s="52">
        <f>[1]!s_stmnote_bank_38(A18,$F$1,1,100000000)</f>
        <v>0</v>
      </c>
      <c r="CE18" s="52">
        <f>[1]!s_stmnote_bank_38(A18,$G$1,1,100000000)</f>
        <v>0</v>
      </c>
      <c r="CF18" s="52">
        <f>IF(BP18&lt;&gt;0,BP18,IFERROR(IF(([1]!b_stm07_is(A18,19,$A$1,1,100000000)-[1]!b_stm07_is(A18,20,$A$1,1,100000000))/AVERAGE([1]!s_stmnote_bank_35(A18,$A$1,1,100000000),[1]!s_stmnote_bank_35(A18,$B$1,1,100000000))*100=0,"",([1]!b_stm07_is(A18,19,$A$1,1,100000000)-[1]!b_stm07_is(A18,20,$A$1,1,100000000))/AVERAGE([1]!s_stmnote_bank_35(A18,$A$1,1,100000000),[1]!s_stmnote_bank_35(A18,$B$1,1,100000000))*100),""))</f>
        <v>1.8</v>
      </c>
      <c r="CG18" s="27" t="str">
        <f t="shared" si="6"/>
        <v>126 171</v>
      </c>
      <c r="CH18" s="80">
        <f t="shared" si="14"/>
        <v>2.9508196721311482</v>
      </c>
      <c r="CI18" s="27" t="str">
        <f t="shared" si="7"/>
        <v>3 169</v>
      </c>
      <c r="CJ18" s="55">
        <f>[1]!s_stmnote_bank_30(A18,$A$1,1)</f>
        <v>43.5077</v>
      </c>
      <c r="CP18" s="69">
        <f>[1]!b_stm07_bs($A18,141,$A$1,1,100000000)</f>
        <v>274.12893746999998</v>
      </c>
      <c r="CQ18" s="69">
        <f>[1]!b_stm07_bs($A18,141,$D$1,1,100000000)</f>
        <v>0</v>
      </c>
      <c r="CR18" s="68">
        <f>IF([1]!s_fa_roic_yearly($A18,$A$1)=0,"",[1]!s_fa_roic_yearly($A18,$A$1))</f>
        <v>8.3352000000000004</v>
      </c>
      <c r="CS18" s="27">
        <f t="shared" si="16"/>
        <v>0.55621301775147924</v>
      </c>
      <c r="CT18" s="68" t="str">
        <f>IF([1]!s_fa_roic_yearly($A18,$D$1)=0,"",[1]!s_fa_roic_yearly($A18,$D$1))</f>
        <v/>
      </c>
      <c r="CU18" s="27" t="e">
        <f t="shared" si="17"/>
        <v>#VALUE!</v>
      </c>
      <c r="CV18" s="78">
        <f>[1]!s_stm07_bs(A18,"W14578191",$A$1,1,100000000)</f>
        <v>994.71495319999997</v>
      </c>
      <c r="CW18" s="78">
        <f>[1]!s_stmnote_bank_682($A18,$A$1,1,2,100000000)</f>
        <v>222.09728185</v>
      </c>
      <c r="CX18" s="79">
        <f t="shared" si="11"/>
        <v>0.22327731289804442</v>
      </c>
    </row>
    <row r="19" spans="1:102" s="46" customFormat="1" ht="13.5">
      <c r="A19" s="8" t="s">
        <v>113</v>
      </c>
      <c r="B19" s="8" t="s">
        <v>114</v>
      </c>
      <c r="C19" s="9" t="s">
        <v>115</v>
      </c>
      <c r="D19" s="9" t="s">
        <v>1066</v>
      </c>
      <c r="E19" s="10"/>
      <c r="F19" s="11" t="s">
        <v>90</v>
      </c>
      <c r="G19" s="11" t="s">
        <v>67</v>
      </c>
      <c r="H19" s="11" t="s">
        <v>116</v>
      </c>
      <c r="I19" s="11"/>
      <c r="J19" s="11" t="e">
        <f>VLOOKUP(B19,[3]额度信息!$B:$T,19,0)</f>
        <v>#N/A</v>
      </c>
      <c r="K19" s="11"/>
      <c r="L19" s="27">
        <f>IFERROR(([1]!b_stm07_bs($A19,47,$A$1,1,100000000))/[1]!b_stm07_bs($A19,109,$A$1,1,100000000),"")</f>
        <v>8.3266536121036391E-2</v>
      </c>
      <c r="M19" s="20"/>
      <c r="N19" s="18"/>
      <c r="O19" s="27" t="e">
        <f t="shared" si="0"/>
        <v>#N/A</v>
      </c>
      <c r="P19" s="21">
        <f t="shared" si="12"/>
        <v>1.106352929176227E-2</v>
      </c>
      <c r="Q19" s="27" t="str">
        <f t="shared" si="1"/>
        <v>7 169</v>
      </c>
      <c r="R19" s="18">
        <v>4.26352929176227E-3</v>
      </c>
      <c r="S19" s="22"/>
      <c r="T19" s="22"/>
      <c r="U19" s="22"/>
      <c r="V19" s="22"/>
      <c r="W19" s="22"/>
      <c r="X19" s="22"/>
      <c r="Y19" s="22"/>
      <c r="Z19" s="25">
        <f>[1]!b_stm07_bs(A19,74,$A$1,1,100000000)</f>
        <v>686.47567260849996</v>
      </c>
      <c r="AA19" s="25">
        <f>[1]!b_stm07_bs(A19,109,$A$1,1,100000000)</f>
        <v>570.63364569089993</v>
      </c>
      <c r="AB19" s="10">
        <f>[1]!s_stmnote_bank_5n(A19,$A$1,1)</f>
        <v>0.68</v>
      </c>
      <c r="AC19" s="25">
        <f>IF([1]!s_stmnote_bank_23n(A19,$A$1,1)=0,"",IFERROR([1]!s_stmnote_bank_23n(A19,$A$1,1),""))</f>
        <v>580.9</v>
      </c>
      <c r="AD19" s="27" t="str">
        <f t="shared" si="2"/>
        <v>154 167</v>
      </c>
      <c r="AE19" s="25">
        <f>[1]!s_stmnote_bank_capadequacyratio(A19,$A$1,1)</f>
        <v>16.739999999999998</v>
      </c>
      <c r="AF19" s="25">
        <f>IF([1]!s_stmnote_bank_capadequacyratio_ct1(A19,$A$1,1)=0,"",IFERROR([1]!s_stmnote_bank_capadequacyratio_ct1(A19,$A$1,1),""))</f>
        <v>13.23</v>
      </c>
      <c r="AG19" s="27" t="str">
        <f t="shared" si="15"/>
        <v>144 167</v>
      </c>
      <c r="AH19" s="6">
        <f>IF(OR([1]!s_fa_roe(A19,20201231)=0,[1]!s_fa_roe(A19,20211231)="0",[1]!s_fa_roe(A19,20221231)="0"),"",IFERROR(([1]!s_fa_roe(A19,20221231)+[1]!s_fa_roe(A19,20201231)+[1]!s_fa_roe(A19,20211231))/3,""))</f>
        <v>10.075833333333334</v>
      </c>
      <c r="AI19" s="27" t="str">
        <f t="shared" si="3"/>
        <v>120 173</v>
      </c>
      <c r="AJ19" s="28">
        <f>IFERROR(([1]!s_stmnote_bank_65(A19,$A$1,1,2,4,100000000)+[1]!s_stmnote_bank_65(A19,$A$1,1,2,6,100000000))/[1]!s_stmnote_bank_1n(A19,$A$1,1,100000000),"")</f>
        <v>0</v>
      </c>
      <c r="AK19" s="28">
        <f>IFERROR([1]!s_stmnote_bank_614(A19,$A$1,1,2,100000000)/[1]!s_stmnote_bank_647(A19,$A$1,1,2,100000000),"")</f>
        <v>0.18971305780213374</v>
      </c>
      <c r="AL19" s="28">
        <f>IFERROR(([1]!b_stm07_bs(A19,104,$A$1,1,100000000)+[1]!b_stm07_bs(A19,106,$A$1,1,100000000)+[1]!b_stm07_bs(A19,76,$A$1,1,100000000)+[1]!b_stm07_bs(A19,108,$A$1,1,100000000)+[1]!b_stm07_bs(A19,95,$A$1,1,100000000))/[1]!b_stm07_bs(A19,128,$A$1,1,100000000),"")</f>
        <v>2.574092002650662E-2</v>
      </c>
      <c r="AM19" s="28">
        <f>IFERROR(([1]!s_stmnote_bank_614(A19,$A$1,1,2,100000000)+[1]!b_stm07_bs(A19,104,$A$1,1,100000000)+[1]!b_stm07_bs(A19,106,$A$1,1,100000000)+[1]!b_stm07_bs(A19,76,$A$1,1,100000000)+[1]!b_stm07_bs(A19,108,$A$1,1,100000000)+[1]!b_stm07_bs(A19,95,$A$1,1,100000000))/[1]!b_stm07_bs(A19,128,$A$1,1,100000000),"")</f>
        <v>0.19714717547362937</v>
      </c>
      <c r="AN19" s="31" t="e">
        <f>IF(Z19&gt;#REF!,#REF!,IF(Z19&gt;#REF!,#REF!,IF(Z19&gt;#REF!,#REF!,IF(Z19&gt;#REF!,#REF!,IF(Z19&gt;#REF!,#REF!,IF(Z19&gt;#REF!,#REF!,IF(Z19&gt;#REF!,#REF!,#REF!)))))))</f>
        <v>#REF!</v>
      </c>
      <c r="AO19" s="31" t="e">
        <f>IF(AA19&gt;#REF!,#REF!,IF(AA19&gt;#REF!,#REF!,IF(AA19&gt;#REF!,#REF!,IF(AA19&gt;#REF!,#REF!,IF(AA19&gt;#REF!,#REF!,IF(AA19&gt;#REF!,#REF!,IF(AA19&gt;#REF!,#REF!,#REF!)))))))</f>
        <v>#REF!</v>
      </c>
      <c r="AP19" s="31" t="e">
        <f>IF(AB19&lt;#REF!,#REF!,IF(AB19&lt;#REF!,#REF!,IF(AB19&lt;#REF!,#REF!,IF(AB19&lt;#REF!,#REF!,IF(AB19&lt;#REF!,#REF!,IF(AB19&lt;#REF!,#REF!,#REF!))))))</f>
        <v>#REF!</v>
      </c>
      <c r="AQ19" s="31" t="e">
        <f>IF(AC19&gt;#REF!,#REF!,IF(AC19&gt;#REF!,#REF!,IF(AC19&gt;#REF!,#REF!,IF(AC19&gt;#REF!,#REF!,#REF!))))</f>
        <v>#REF!</v>
      </c>
      <c r="AR19" s="31" t="e">
        <f>IF(AE19&gt;#REF!,#REF!,IF(AE19&gt;#REF!,#REF!,IF(AE19&gt;#REF!,#REF!,IF(AE19&gt;#REF!,#REF!,#REF!))))</f>
        <v>#REF!</v>
      </c>
      <c r="AS19" s="31" t="e">
        <f>IF(AF19&gt;#REF!,#REF!,IF(AF19&gt;#REF!,#REF!,IF(AF19&gt;#REF!,#REF!,IF(AF19&gt;#REF!,#REF!,#REF!))))</f>
        <v>#REF!</v>
      </c>
      <c r="AT19" s="31" t="e">
        <f>IF(AH19&gt;#REF!,#REF!,IF(AH19&gt;#REF!,#REF!,IF(AH19&gt;#REF!,#REF!,IF(AH19&gt;#REF!,#REF!,IF(AH19&gt;#REF!,#REF!,#REF!)))))</f>
        <v>#REF!</v>
      </c>
      <c r="AU19" s="10" t="e">
        <f t="shared" si="4"/>
        <v>#REF!</v>
      </c>
      <c r="AV19" s="10"/>
      <c r="AW19" s="10"/>
      <c r="AX19" s="10"/>
      <c r="AY19" s="31" t="str">
        <f>IFERROR(VLOOKUP(AV19,#REF!,3,0),"")</f>
        <v/>
      </c>
      <c r="AZ19" s="31" t="str">
        <f>IFERROR(VLOOKUP(AW19,#REF!,3,0),"")</f>
        <v/>
      </c>
      <c r="BA19" s="31" t="str">
        <f>IFERROR(VLOOKUP(AX19,#REF!,3,0),"")</f>
        <v/>
      </c>
      <c r="BB19" s="31" t="str">
        <f>IFERROR(AY19*#REF!+AZ19*#REF!+BA19*#REF!,"")</f>
        <v/>
      </c>
      <c r="BC19" s="32" t="str">
        <f t="shared" si="5"/>
        <v/>
      </c>
      <c r="BD19" s="32" t="str">
        <f>IFERROR(VLOOKUP(BC19*10,#REF!,2,1),"")</f>
        <v/>
      </c>
      <c r="BE19" s="10"/>
      <c r="BF19" s="10"/>
      <c r="BG19" s="10"/>
      <c r="BH19" s="11" t="s">
        <v>117</v>
      </c>
      <c r="BI19" s="10">
        <v>7.4000000953674299</v>
      </c>
      <c r="BJ19" s="11"/>
      <c r="BK19" s="33" t="s">
        <v>118</v>
      </c>
      <c r="BL19" s="10">
        <f>IF([1]!s_stmnote_bank_17n(A19,$A$1,1)="0","",[1]!s_stmnote_bank_17n(A19,$A$1,1))</f>
        <v>2.77</v>
      </c>
      <c r="BM19" s="10">
        <f>IF([1]!s_stmnote_bank_18n(A19,$A$1,1)="0","",[1]!s_stmnote_bank_18n(A19,$A$1,1))</f>
        <v>0</v>
      </c>
      <c r="BN19" s="41"/>
      <c r="BO19" s="52"/>
      <c r="BP19" s="52">
        <f>[1]!s_stmnote_bank_5444(A19,$A$1,1)</f>
        <v>0</v>
      </c>
      <c r="BQ19" s="52">
        <f>[1]!s_stmnote_bank_129n($A19,$A$1,1)</f>
        <v>32.19</v>
      </c>
      <c r="BR19" s="52">
        <f t="shared" si="13"/>
        <v>4.2243479306866663</v>
      </c>
      <c r="BS19" s="52">
        <f>[1]!b_stm07_is(A19,19,$A$1,1,100000000)</f>
        <v>24.913285208600001</v>
      </c>
      <c r="BT19" s="52">
        <f xml:space="preserve"> [1]!s_stm07_bs(A19,"W15273164",$A$1,1,100000000)-[1]!s_stm07_bs(A19,"W17642530",$A$1,1,100000000)-[1]!s_stm07_bs(A19,"W15910877",$A$1,1,100000000)-[1]!s_stm07_bs_39(A19,$A$1,1,100000000)-[1]!s_stm07_bs(A19,"W17700468",$A$1,1,100000000)-[1]!s_stm07_bs(A19,"W16504296",$A$1,1,100000000)-[1]!s_stm07_bs(A19,"W13769069",$A$1,1,100000000)</f>
        <v>681.04894976579999</v>
      </c>
      <c r="BU19" s="52">
        <f xml:space="preserve"> [1]!s_stm07_bs(A19,"W15273164",$B$1,1,100000000)-[1]!s_stm07_bs(A19,"W17642530",$B$1,1,100000000)-[1]!s_stm07_bs(A19,"W15910877",$B$1,1,100000000)-[1]!s_stm07_bs_39(A19,$B$1,1,100000000)-[1]!s_stm07_bs(A19,"W17700468",$B$1,1,100000000)-[1]!s_stm07_bs(A19,"W16504296",$B$1,1,100000000)-[1]!s_stm07_bs(A19,"W13769069",$B$1,1,100000000)</f>
        <v>572.48067779989992</v>
      </c>
      <c r="BV19" s="52">
        <f xml:space="preserve"> [1]!s_stm07_bs(A19,"W15273164",$E$1,1,100000000)-[1]!s_stm07_bs(A19,"W17642530",$E$1,1,100000000)-[1]!s_stm07_bs(A19,"W15910877",$E$1,1,100000000)-[1]!s_stm07_bs_39(A19,$E$1,1,100000000)-[1]!s_stm07_bs(A19,"W17700468",$E$1,1,100000000)-[1]!s_stm07_bs(A19,"W16504296",$E$1,1,100000000)-[1]!s_stm07_bs(A19,"W13769069",$E$1,1,100000000)</f>
        <v>649.00039570980005</v>
      </c>
      <c r="BW19" s="52">
        <f xml:space="preserve"> [1]!s_stm07_bs(A19,"W15273164",$F$1,1,100000000)-[1]!s_stm07_bs(A19,"W17642530",$F$1,1,100000000)-[1]!s_stm07_bs(A19,"W15910877",$F$1,1,100000000)-[1]!s_stm07_bs_39(A19,$F$1,1,100000000)-[1]!s_stm07_bs(A19,"W17700468",$F$1,1,100000000)-[1]!s_stm07_bs(A19,"W16504296",$F$1,1,100000000)-[1]!s_stm07_bs(A19,"W13769069",$F$1,1,100000000)</f>
        <v>0</v>
      </c>
      <c r="BX19" s="52">
        <f xml:space="preserve"> [1]!s_stm07_bs(A19,"W15273164",$G$1,1,100000000)-[1]!s_stm07_bs(A19,"W17642530",$G$1,1,100000000)-[1]!s_stm07_bs(A19,"W15910877",$G$1,1,100000000)-[1]!s_stm07_bs_39(A19,$G$1,1,100000000)-[1]!s_stm07_bs(A19,"W17700468",$G$1,1,100000000)-[1]!s_stm07_bs(A19,"W16504296",$G$1,1,100000000)-[1]!s_stm07_bs(A19,"W13769069",$G$1,1,100000000)</f>
        <v>0</v>
      </c>
      <c r="BY19" s="52">
        <f>IFERROR([1]!b_stm07_is(A19,20,$A$1,1,100000000)/AVERAGEIF(CA19:CE19,"&gt;0")*100,0)</f>
        <v>2.298465178513077</v>
      </c>
      <c r="BZ19" s="52">
        <f>[1]!b_stm07_is(A19,20,$A$1,1,100000000)</f>
        <v>13.1332558359</v>
      </c>
      <c r="CA19" s="52">
        <f>[1]!s_stmnote_bank_38(A19,$A$1,1,100000000)</f>
        <v>621.73268942120001</v>
      </c>
      <c r="CB19" s="52">
        <f>[1]!s_stmnote_bank_38(A19,$B$1,1,100000000)</f>
        <v>503.85495685269996</v>
      </c>
      <c r="CC19" s="52">
        <f>[1]!s_stmnote_bank_38(A19,$E$1,1,100000000)</f>
        <v>588.58961758129999</v>
      </c>
      <c r="CD19" s="52">
        <f>[1]!s_stmnote_bank_38(A19,$F$1,1,100000000)</f>
        <v>0</v>
      </c>
      <c r="CE19" s="52">
        <f>[1]!s_stmnote_bank_38(A19,$G$1,1,100000000)</f>
        <v>0</v>
      </c>
      <c r="CF19" s="52">
        <f>IF(BP19&lt;&gt;0,BP19,IFERROR(IF(([1]!b_stm07_is(A19,19,$A$1,1,100000000)-[1]!b_stm07_is(A19,20,$A$1,1,100000000))/AVERAGE([1]!s_stmnote_bank_35(A19,$A$1,1,100000000),[1]!s_stmnote_bank_35(A19,$B$1,1,100000000))*100=0,"",([1]!b_stm07_is(A19,19,$A$1,1,100000000)-[1]!b_stm07_is(A19,20,$A$1,1,100000000))/AVERAGE([1]!s_stmnote_bank_35(A19,$A$1,1,100000000),[1]!s_stmnote_bank_35(A19,$B$1,1,100000000))*100),""))</f>
        <v>1.8933476260564048</v>
      </c>
      <c r="CG19" s="27" t="str">
        <f t="shared" si="6"/>
        <v>112 171</v>
      </c>
      <c r="CH19" s="80">
        <f t="shared" si="14"/>
        <v>1.7113414500255011</v>
      </c>
      <c r="CI19" s="27" t="str">
        <f t="shared" si="7"/>
        <v>18 169</v>
      </c>
      <c r="CJ19" s="55">
        <f>[1]!s_stmnote_bank_30(A19,$A$1,1)</f>
        <v>14.7119</v>
      </c>
      <c r="CP19" s="69">
        <f>[1]!b_stm07_bs($A19,141,$A$1,1,100000000)</f>
        <v>54.896308562500003</v>
      </c>
      <c r="CQ19" s="69">
        <f>[1]!b_stm07_bs($A19,141,$D$1,1,100000000)</f>
        <v>57.829530843500002</v>
      </c>
      <c r="CR19" s="68">
        <f>IF([1]!s_fa_roic_yearly($A19,$A$1)=0,"",[1]!s_fa_roic_yearly($A19,$A$1))</f>
        <v>10.2707</v>
      </c>
      <c r="CS19" s="27">
        <f t="shared" si="16"/>
        <v>0.31360946745562129</v>
      </c>
      <c r="CT19" s="68">
        <f>IF([1]!s_fa_roic_yearly($A19,$D$1)=0,"",[1]!s_fa_roic_yearly($A19,$D$1))</f>
        <v>7.4223999999999997</v>
      </c>
      <c r="CU19" s="27">
        <f t="shared" si="17"/>
        <v>0.74647887323943662</v>
      </c>
      <c r="CV19" s="78">
        <f>[1]!s_stm07_bs(A19,"W14578191",$A$1,1,100000000)</f>
        <v>393.30220876980002</v>
      </c>
      <c r="CW19" s="78">
        <f>[1]!s_stmnote_bank_682($A19,$A$1,1,2,100000000)</f>
        <v>0</v>
      </c>
      <c r="CX19" s="79" t="str">
        <f t="shared" si="11"/>
        <v/>
      </c>
    </row>
    <row r="20" spans="1:102" s="46" customFormat="1" ht="13.5">
      <c r="A20" s="8" t="s">
        <v>397</v>
      </c>
      <c r="B20" s="8" t="s">
        <v>398</v>
      </c>
      <c r="C20" s="9" t="s">
        <v>399</v>
      </c>
      <c r="D20" s="9" t="s">
        <v>1061</v>
      </c>
      <c r="E20" s="10"/>
      <c r="F20" s="11" t="s">
        <v>66</v>
      </c>
      <c r="G20" s="11" t="s">
        <v>67</v>
      </c>
      <c r="H20" s="11" t="s">
        <v>116</v>
      </c>
      <c r="I20" s="11"/>
      <c r="J20" s="11" t="e">
        <f>VLOOKUP(B20,[3]额度信息!$B:$T,19,0)</f>
        <v>#N/A</v>
      </c>
      <c r="K20" s="11"/>
      <c r="L20" s="27">
        <f>IFERROR(([1]!b_stm07_bs($A20,47,$A$1,1,100000000))/[1]!b_stm07_bs($A20,109,$A$1,1,100000000),"")</f>
        <v>9.0094381012676847E-2</v>
      </c>
      <c r="M20" s="20"/>
      <c r="N20" s="18"/>
      <c r="O20" s="27" t="e">
        <f t="shared" si="0"/>
        <v>#N/A</v>
      </c>
      <c r="P20" s="21">
        <f t="shared" si="12"/>
        <v>1.3407330843973327E-2</v>
      </c>
      <c r="Q20" s="27" t="str">
        <f t="shared" si="1"/>
        <v>14 169</v>
      </c>
      <c r="R20" s="18">
        <f>IFERROR([1]!s_stmnote_bank($A20,"34",$A$1,100000000)/[1]!s_stmnote_bank_1n(A20,$A$1,1,100000000),"")</f>
        <v>5.6073308439733259E-3</v>
      </c>
      <c r="S20" s="22"/>
      <c r="T20" s="22"/>
      <c r="U20" s="22"/>
      <c r="V20" s="22"/>
      <c r="W20" s="22"/>
      <c r="X20" s="22"/>
      <c r="Y20" s="22"/>
      <c r="Z20" s="25">
        <f>[1]!b_stm07_bs(A20,74,$A$1,1,100000000)</f>
        <v>1013.9856430385</v>
      </c>
      <c r="AA20" s="25">
        <f>[1]!b_stm07_bs(A20,109,$A$1,1,100000000)</f>
        <v>712.75683323429996</v>
      </c>
      <c r="AB20" s="10">
        <f>[1]!s_stmnote_bank_5n(A20,$A$1,1)</f>
        <v>0.78</v>
      </c>
      <c r="AC20" s="25">
        <f>IF([1]!s_stmnote_bank_23n(A20,$A$1,1)=0,"",IFERROR([1]!s_stmnote_bank_23n(A20,$A$1,1),""))</f>
        <v>424.94</v>
      </c>
      <c r="AD20" s="27" t="str">
        <f t="shared" si="2"/>
        <v>137 167</v>
      </c>
      <c r="AE20" s="25">
        <f>[1]!s_stmnote_bank_capadequacyratio(A20,$A$1,1)</f>
        <v>13.44</v>
      </c>
      <c r="AF20" s="25">
        <f>IF([1]!s_stmnote_bank_capadequacyratio_ct1(A20,$A$1,1)=0,"",IFERROR([1]!s_stmnote_bank_capadequacyratio_ct1(A20,$A$1,1),""))</f>
        <v>8.8000000000000007</v>
      </c>
      <c r="AG20" s="27" t="str">
        <f t="shared" si="15"/>
        <v>38 167</v>
      </c>
      <c r="AH20" s="6">
        <f>IF(OR([1]!s_fa_roe(A20,20201231)=0,[1]!s_fa_roe(A20,20211231)="0",[1]!s_fa_roe(A20,20221231)="0"),"",IFERROR(([1]!s_fa_roe(A20,20221231)+[1]!s_fa_roe(A20,20201231)+[1]!s_fa_roe(A20,20211231))/3,""))</f>
        <v>12.802100000000001</v>
      </c>
      <c r="AI20" s="27" t="str">
        <f t="shared" si="3"/>
        <v>155 173</v>
      </c>
      <c r="AJ20" s="28">
        <f>IFERROR(([1]!s_stmnote_bank_65(A20,$A$1,1,2,4,100000000)+[1]!s_stmnote_bank_65(A20,$A$1,1,2,6,100000000))/[1]!s_stmnote_bank_1n(A20,$A$1,1,100000000),"")</f>
        <v>6.8770036319018693E-2</v>
      </c>
      <c r="AK20" s="28">
        <f>IFERROR([1]!s_stmnote_bank_614(A20,$A$1,1,2,100000000)/[1]!s_stmnote_bank_647(A20,$A$1,1,2,100000000),"")</f>
        <v>0.29835688000636007</v>
      </c>
      <c r="AL20" s="28">
        <f>IFERROR(([1]!b_stm07_bs(A20,104,$A$1,1,100000000)+[1]!b_stm07_bs(A20,106,$A$1,1,100000000)+[1]!b_stm07_bs(A20,76,$A$1,1,100000000)+[1]!b_stm07_bs(A20,108,$A$1,1,100000000)+[1]!b_stm07_bs(A20,95,$A$1,1,100000000))/[1]!b_stm07_bs(A20,128,$A$1,1,100000000),"")</f>
        <v>0.18125586741122054</v>
      </c>
      <c r="AM20" s="28">
        <f>IFERROR(([1]!s_stmnote_bank_614(A20,$A$1,1,2,100000000)+[1]!b_stm07_bs(A20,104,$A$1,1,100000000)+[1]!b_stm07_bs(A20,106,$A$1,1,100000000)+[1]!b_stm07_bs(A20,76,$A$1,1,100000000)+[1]!b_stm07_bs(A20,108,$A$1,1,100000000)+[1]!b_stm07_bs(A20,95,$A$1,1,100000000))/[1]!b_stm07_bs(A20,128,$A$1,1,100000000),"")</f>
        <v>0.40129217083789659</v>
      </c>
      <c r="AN20" s="31" t="e">
        <f>IF(Z20&gt;#REF!,#REF!,IF(Z20&gt;#REF!,#REF!,IF(Z20&gt;#REF!,#REF!,IF(Z20&gt;#REF!,#REF!,IF(Z20&gt;#REF!,#REF!,IF(Z20&gt;#REF!,#REF!,IF(Z20&gt;#REF!,#REF!,#REF!)))))))</f>
        <v>#REF!</v>
      </c>
      <c r="AO20" s="31" t="e">
        <f>IF(AA20&gt;#REF!,#REF!,IF(AA20&gt;#REF!,#REF!,IF(AA20&gt;#REF!,#REF!,IF(AA20&gt;#REF!,#REF!,IF(AA20&gt;#REF!,#REF!,IF(AA20&gt;#REF!,#REF!,IF(AA20&gt;#REF!,#REF!,#REF!)))))))</f>
        <v>#REF!</v>
      </c>
      <c r="AP20" s="31" t="e">
        <f>IF(AB20&lt;#REF!,#REF!,IF(AB20&lt;#REF!,#REF!,IF(AB20&lt;#REF!,#REF!,IF(AB20&lt;#REF!,#REF!,IF(AB20&lt;#REF!,#REF!,IF(AB20&lt;#REF!,#REF!,#REF!))))))</f>
        <v>#REF!</v>
      </c>
      <c r="AQ20" s="31" t="e">
        <f>IF(AC20&gt;#REF!,#REF!,IF(AC20&gt;#REF!,#REF!,IF(AC20&gt;#REF!,#REF!,IF(AC20&gt;#REF!,#REF!,#REF!))))</f>
        <v>#REF!</v>
      </c>
      <c r="AR20" s="31" t="e">
        <f>IF(AE20&gt;#REF!,#REF!,IF(AE20&gt;#REF!,#REF!,IF(AE20&gt;#REF!,#REF!,IF(AE20&gt;#REF!,#REF!,#REF!))))</f>
        <v>#REF!</v>
      </c>
      <c r="AS20" s="31" t="e">
        <f>IF(AF20&gt;#REF!,#REF!,IF(AF20&gt;#REF!,#REF!,IF(AF20&gt;#REF!,#REF!,IF(AF20&gt;#REF!,#REF!,#REF!))))</f>
        <v>#REF!</v>
      </c>
      <c r="AT20" s="31" t="e">
        <f>IF(AH20&gt;#REF!,#REF!,IF(AH20&gt;#REF!,#REF!,IF(AH20&gt;#REF!,#REF!,IF(AH20&gt;#REF!,#REF!,IF(AH20&gt;#REF!,#REF!,#REF!)))))</f>
        <v>#REF!</v>
      </c>
      <c r="AU20" s="10" t="e">
        <f t="shared" si="4"/>
        <v>#REF!</v>
      </c>
      <c r="AV20" s="10"/>
      <c r="AW20" s="10"/>
      <c r="AX20" s="10"/>
      <c r="AY20" s="31" t="str">
        <f>IFERROR(VLOOKUP(AV20,#REF!,3,0),"")</f>
        <v/>
      </c>
      <c r="AZ20" s="31" t="str">
        <f>IFERROR(VLOOKUP(AW20,#REF!,3,0),"")</f>
        <v/>
      </c>
      <c r="BA20" s="31" t="str">
        <f>IFERROR(VLOOKUP(AX20,#REF!,3,0),"")</f>
        <v/>
      </c>
      <c r="BB20" s="31" t="str">
        <f>IFERROR(AY20*#REF!+AZ20*#REF!+BA20*#REF!,"")</f>
        <v/>
      </c>
      <c r="BC20" s="32" t="str">
        <f t="shared" si="5"/>
        <v/>
      </c>
      <c r="BD20" s="32" t="str">
        <f>IFERROR(VLOOKUP(BC20*10,#REF!,2,1),"")</f>
        <v/>
      </c>
      <c r="BE20" s="10"/>
      <c r="BF20" s="10"/>
      <c r="BG20" s="10"/>
      <c r="BH20" s="11" t="s">
        <v>400</v>
      </c>
      <c r="BI20" s="10">
        <v>17.899999618530298</v>
      </c>
      <c r="BJ20" s="11" t="s">
        <v>111</v>
      </c>
      <c r="BK20" s="33" t="s">
        <v>134</v>
      </c>
      <c r="BL20" s="10">
        <f>IF([1]!s_stmnote_bank_17n(A20,$A$1,1)="0","",[1]!s_stmnote_bank_17n(A20,$A$1,1))</f>
        <v>3.46</v>
      </c>
      <c r="BM20" s="10">
        <f>IF([1]!s_stmnote_bank_18n(A20,$A$1,1)="0","",[1]!s_stmnote_bank_18n(A20,$A$1,1))</f>
        <v>25.25</v>
      </c>
      <c r="BN20" s="41" t="s">
        <v>67</v>
      </c>
      <c r="BO20" s="68" t="s">
        <v>67</v>
      </c>
      <c r="BP20" s="52">
        <f>[1]!s_stmnote_bank_5444(A20,$A$1,1)</f>
        <v>2.39</v>
      </c>
      <c r="BQ20" s="52">
        <f>[1]!s_stmnote_bank_129n($A20,$A$1,1)</f>
        <v>36.93</v>
      </c>
      <c r="BR20" s="52">
        <f t="shared" si="13"/>
        <v>4.7821406642227693</v>
      </c>
      <c r="BS20" s="52">
        <f>[1]!b_stm07_is(A20,19,$A$1,1,100000000)</f>
        <v>41.692586198500003</v>
      </c>
      <c r="BT20" s="52">
        <f xml:space="preserve"> [1]!s_stm07_bs(A20,"W15273164",$A$1,1,100000000)-[1]!s_stm07_bs(A20,"W17642530",$A$1,1,100000000)-[1]!s_stm07_bs(A20,"W15910877",$A$1,1,100000000)-[1]!s_stm07_bs_39(A20,$A$1,1,100000000)-[1]!s_stm07_bs(A20,"W17700468",$A$1,1,100000000)-[1]!s_stm07_bs(A20,"W16504296",$A$1,1,100000000)-[1]!s_stm07_bs(A20,"W13769069",$A$1,1,100000000)</f>
        <v>998.4617110401</v>
      </c>
      <c r="BU20" s="52">
        <f xml:space="preserve"> [1]!s_stm07_bs(A20,"W15273164",$B$1,1,100000000)-[1]!s_stm07_bs(A20,"W17642530",$B$1,1,100000000)-[1]!s_stm07_bs(A20,"W15910877",$B$1,1,100000000)-[1]!s_stm07_bs_39(A20,$B$1,1,100000000)-[1]!s_stm07_bs(A20,"W17700468",$B$1,1,100000000)-[1]!s_stm07_bs(A20,"W16504296",$B$1,1,100000000)-[1]!s_stm07_bs(A20,"W13769069",$B$1,1,100000000)</f>
        <v>838.75519781909998</v>
      </c>
      <c r="BV20" s="52">
        <f xml:space="preserve"> [1]!s_stm07_bs(A20,"W15273164",$E$1,1,100000000)-[1]!s_stm07_bs(A20,"W17642530",$E$1,1,100000000)-[1]!s_stm07_bs(A20,"W15910877",$E$1,1,100000000)-[1]!s_stm07_bs_39(A20,$E$1,1,100000000)-[1]!s_stm07_bs(A20,"W17700468",$E$1,1,100000000)-[1]!s_stm07_bs(A20,"W16504296",$E$1,1,100000000)-[1]!s_stm07_bs(A20,"W13769069",$E$1,1,100000000)</f>
        <v>954.53820574240012</v>
      </c>
      <c r="BW20" s="52">
        <f xml:space="preserve"> [1]!s_stm07_bs(A20,"W15273164",$F$1,1,100000000)-[1]!s_stm07_bs(A20,"W17642530",$F$1,1,100000000)-[1]!s_stm07_bs(A20,"W15910877",$F$1,1,100000000)-[1]!s_stm07_bs_39(A20,$F$1,1,100000000)-[1]!s_stm07_bs(A20,"W17700468",$F$1,1,100000000)-[1]!s_stm07_bs(A20,"W16504296",$F$1,1,100000000)-[1]!s_stm07_bs(A20,"W13769069",$F$1,1,100000000)</f>
        <v>925.04906000000005</v>
      </c>
      <c r="BX20" s="52">
        <f xml:space="preserve"> [1]!s_stm07_bs(A20,"W15273164",$G$1,1,100000000)-[1]!s_stm07_bs(A20,"W17642530",$G$1,1,100000000)-[1]!s_stm07_bs(A20,"W15910877",$G$1,1,100000000)-[1]!s_stm07_bs_39(A20,$G$1,1,100000000)-[1]!s_stm07_bs(A20,"W17700468",$G$1,1,100000000)-[1]!s_stm07_bs(A20,"W16504296",$G$1,1,100000000)-[1]!s_stm07_bs(A20,"W13769069",$G$1,1,100000000)</f>
        <v>892.65536744120004</v>
      </c>
      <c r="BY20" s="52">
        <f>IFERROR([1]!b_stm07_is(A20,20,$A$1,1,100000000)/AVERAGEIF(CA20:CE20,"&gt;0")*100,0)</f>
        <v>2.3902510897433764</v>
      </c>
      <c r="BZ20" s="52">
        <f>[1]!b_stm07_is(A20,20,$A$1,1,100000000)</f>
        <v>20.5791966012</v>
      </c>
      <c r="CA20" s="52">
        <f>[1]!s_stmnote_bank_38(A20,$A$1,1,100000000)</f>
        <v>935.54793863710006</v>
      </c>
      <c r="CB20" s="52">
        <f>[1]!s_stmnote_bank_38(A20,$B$1,1,100000000)</f>
        <v>786.36522679350003</v>
      </c>
      <c r="CC20" s="52">
        <f>[1]!s_stmnote_bank_38(A20,$E$1,1,100000000)</f>
        <v>895.75579739190005</v>
      </c>
      <c r="CD20" s="52">
        <f>[1]!s_stmnote_bank_38(A20,$F$1,1,100000000)</f>
        <v>869.82989999999995</v>
      </c>
      <c r="CE20" s="52">
        <f>[1]!s_stmnote_bank_38(A20,$G$1,1,100000000)</f>
        <v>817.32013496100001</v>
      </c>
      <c r="CF20" s="52">
        <f>IF(BP20&lt;&gt;0,BP20,IFERROR(IF(([1]!b_stm07_is(A20,19,$A$1,1,100000000)-[1]!b_stm07_is(A20,20,$A$1,1,100000000))/AVERAGE([1]!s_stmnote_bank_35(A20,$A$1,1,100000000),[1]!s_stmnote_bank_35(A20,$B$1,1,100000000))*100=0,"",([1]!b_stm07_is(A20,19,$A$1,1,100000000)-[1]!b_stm07_is(A20,20,$A$1,1,100000000))/AVERAGE([1]!s_stmnote_bank_35(A20,$A$1,1,100000000),[1]!s_stmnote_bank_35(A20,$B$1,1,100000000))*100),""))</f>
        <v>2.39</v>
      </c>
      <c r="CG20" s="27" t="str">
        <f t="shared" si="6"/>
        <v>39 171</v>
      </c>
      <c r="CH20" s="80">
        <f t="shared" si="14"/>
        <v>1.7826068647170878</v>
      </c>
      <c r="CI20" s="27" t="str">
        <f t="shared" si="7"/>
        <v>14 169</v>
      </c>
      <c r="CJ20" s="55">
        <f>[1]!s_stmnote_bank_30(A20,$A$1,1)</f>
        <v>6.9100999999999999</v>
      </c>
      <c r="CP20" s="69">
        <f>[1]!b_stm07_bs($A20,141,$A$1,1,100000000)</f>
        <v>68.928065521999997</v>
      </c>
      <c r="CQ20" s="69">
        <f>[1]!b_stm07_bs($A20,141,$D$1,1,100000000)</f>
        <v>71.950954735699995</v>
      </c>
      <c r="CR20" s="68">
        <f>IF([1]!s_fa_roic_yearly($A20,$A$1)=0,"",[1]!s_fa_roic_yearly($A20,$A$1))</f>
        <v>12.928800000000001</v>
      </c>
      <c r="CS20" s="27">
        <f t="shared" si="16"/>
        <v>0.13017751479289941</v>
      </c>
      <c r="CT20" s="68">
        <f>IF([1]!s_fa_roic_yearly($A20,$D$1)=0,"",[1]!s_fa_roic_yearly($A20,$D$1))</f>
        <v>13.1462</v>
      </c>
      <c r="CU20" s="27">
        <f t="shared" si="17"/>
        <v>0.176056338028169</v>
      </c>
      <c r="CV20" s="78">
        <f>[1]!s_stm07_bs(A20,"W14578191",$A$1,1,100000000)</f>
        <v>517.73764646480004</v>
      </c>
      <c r="CW20" s="78">
        <f>[1]!s_stmnote_bank_682($A20,$A$1,1,2,100000000)</f>
        <v>167.46809258959999</v>
      </c>
      <c r="CX20" s="79">
        <f t="shared" si="11"/>
        <v>0.32346130078254953</v>
      </c>
    </row>
    <row r="21" spans="1:102" s="46" customFormat="1" ht="13.5">
      <c r="A21" s="8" t="s">
        <v>336</v>
      </c>
      <c r="B21" s="8" t="s">
        <v>337</v>
      </c>
      <c r="C21" s="9" t="s">
        <v>338</v>
      </c>
      <c r="D21" s="9" t="s">
        <v>1066</v>
      </c>
      <c r="E21" s="10" t="s">
        <v>167</v>
      </c>
      <c r="F21" s="11" t="s">
        <v>66</v>
      </c>
      <c r="G21" s="11" t="s">
        <v>206</v>
      </c>
      <c r="H21" s="11" t="s">
        <v>116</v>
      </c>
      <c r="I21" s="11"/>
      <c r="J21" s="11">
        <f>VLOOKUP(B21,[3]额度信息!$B:$T,19,0)</f>
        <v>0</v>
      </c>
      <c r="K21" s="11" t="s">
        <v>339</v>
      </c>
      <c r="L21" s="27">
        <f>IFERROR(([1]!b_stm07_bs($A21,47,$A$1,1,100000000))/[1]!b_stm07_bs($A21,109,$A$1,1,100000000),"")</f>
        <v>7.3689354276604543E-2</v>
      </c>
      <c r="M21" s="20">
        <v>4.83</v>
      </c>
      <c r="N21" s="18">
        <f>IFERROR(([1]!s_stmnote_bank_26($A21,$A$1,1,100000000)-[1]!s_stmnote_bank_26($A21,$B$1,1,100000000)+M21)/[1]!s_stmnote_bank_1n($A21,$B$1,1,100000000),"")</f>
        <v>4.8649432621059412E-3</v>
      </c>
      <c r="O21" s="27" t="str">
        <f t="shared" si="0"/>
        <v>12 50</v>
      </c>
      <c r="P21" s="21">
        <f t="shared" si="12"/>
        <v>1.2440343139076042E-2</v>
      </c>
      <c r="Q21" s="27" t="str">
        <f t="shared" si="1"/>
        <v>9 169</v>
      </c>
      <c r="R21" s="18">
        <v>3.14034313907604E-3</v>
      </c>
      <c r="S21" s="22">
        <v>3.6622576143351001E-3</v>
      </c>
      <c r="T21" s="22">
        <v>8.5685942484018708E-3</v>
      </c>
      <c r="U21" s="22"/>
      <c r="V21" s="22"/>
      <c r="W21" s="22"/>
      <c r="X21" s="22"/>
      <c r="Y21" s="22"/>
      <c r="Z21" s="25">
        <f>[1]!b_stm07_bs(A21,74,$A$1,1,100000000)</f>
        <v>2017.6986300000001</v>
      </c>
      <c r="AA21" s="25">
        <f>[1]!b_stm07_bs(A21,109,$A$1,1,100000000)</f>
        <v>1618.1107999999999</v>
      </c>
      <c r="AB21" s="10">
        <f>[1]!s_stmnote_bank_5n(A21,$A$1,1)</f>
        <v>0.93</v>
      </c>
      <c r="AC21" s="25">
        <f>IF([1]!s_stmnote_bank_23n(A21,$A$1,1)=0,"",IFERROR([1]!s_stmnote_bank_23n(A21,$A$1,1),""))</f>
        <v>477.19</v>
      </c>
      <c r="AD21" s="27" t="str">
        <f t="shared" si="2"/>
        <v>144 167</v>
      </c>
      <c r="AE21" s="25">
        <f>[1]!s_stmnote_bank_capadequacyratio(A21,$A$1,1)</f>
        <v>14.35</v>
      </c>
      <c r="AF21" s="25">
        <f>IF([1]!s_stmnote_bank_capadequacyratio_ct1(A21,$A$1,1)=0,"",IFERROR([1]!s_stmnote_bank_capadequacyratio_ct1(A21,$A$1,1),""))</f>
        <v>8.74</v>
      </c>
      <c r="AG21" s="27" t="str">
        <f t="shared" si="15"/>
        <v>35 167</v>
      </c>
      <c r="AH21" s="6">
        <f>IF(OR([1]!s_fa_roe(A21,20201231)=0,[1]!s_fa_roe(A21,20211231)="0",[1]!s_fa_roe(A21,20221231)="0"),"",IFERROR(([1]!s_fa_roe(A21,20221231)+[1]!s_fa_roe(A21,20201231)+[1]!s_fa_roe(A21,20211231))/3,""))</f>
        <v>10.742100000000001</v>
      </c>
      <c r="AI21" s="27" t="str">
        <f t="shared" si="3"/>
        <v>133 173</v>
      </c>
      <c r="AJ21" s="28">
        <f>IFERROR(([1]!s_stmnote_bank_65(A21,$A$1,1,2,4,100000000)+[1]!s_stmnote_bank_65(A21,$A$1,1,2,6,100000000))/[1]!s_stmnote_bank_1n(A21,$A$1,1,100000000),"")</f>
        <v>3.3447283741218109E-2</v>
      </c>
      <c r="AK21" s="28">
        <f>IFERROR([1]!s_stmnote_bank_614(A21,$A$1,1,2,100000000)/[1]!s_stmnote_bank_647(A21,$A$1,1,2,100000000),"")</f>
        <v>0.20916252426916829</v>
      </c>
      <c r="AL21" s="28">
        <f>IFERROR(([1]!b_stm07_bs(A21,104,$A$1,1,100000000)+[1]!b_stm07_bs(A21,106,$A$1,1,100000000)+[1]!b_stm07_bs(A21,76,$A$1,1,100000000)+[1]!b_stm07_bs(A21,108,$A$1,1,100000000)+[1]!b_stm07_bs(A21,95,$A$1,1,100000000))/[1]!b_stm07_bs(A21,128,$A$1,1,100000000),"")</f>
        <v>7.4318038304700754E-2</v>
      </c>
      <c r="AM21" s="28">
        <f>IFERROR(([1]!s_stmnote_bank_614(A21,$A$1,1,2,100000000)+[1]!b_stm07_bs(A21,104,$A$1,1,100000000)+[1]!b_stm07_bs(A21,106,$A$1,1,100000000)+[1]!b_stm07_bs(A21,76,$A$1,1,100000000)+[1]!b_stm07_bs(A21,108,$A$1,1,100000000)+[1]!b_stm07_bs(A21,95,$A$1,1,100000000))/[1]!b_stm07_bs(A21,128,$A$1,1,100000000),"")</f>
        <v>0.2507724606943022</v>
      </c>
      <c r="AN21" s="31" t="e">
        <f>IF(Z21&gt;#REF!,#REF!,IF(Z21&gt;#REF!,#REF!,IF(Z21&gt;#REF!,#REF!,IF(Z21&gt;#REF!,#REF!,IF(Z21&gt;#REF!,#REF!,IF(Z21&gt;#REF!,#REF!,IF(Z21&gt;#REF!,#REF!,#REF!)))))))</f>
        <v>#REF!</v>
      </c>
      <c r="AO21" s="31" t="e">
        <f>IF(AA21&gt;#REF!,#REF!,IF(AA21&gt;#REF!,#REF!,IF(AA21&gt;#REF!,#REF!,IF(AA21&gt;#REF!,#REF!,IF(AA21&gt;#REF!,#REF!,IF(AA21&gt;#REF!,#REF!,IF(AA21&gt;#REF!,#REF!,#REF!)))))))</f>
        <v>#REF!</v>
      </c>
      <c r="AP21" s="31" t="e">
        <f>IF(AB21&lt;#REF!,#REF!,IF(AB21&lt;#REF!,#REF!,IF(AB21&lt;#REF!,#REF!,IF(AB21&lt;#REF!,#REF!,IF(AB21&lt;#REF!,#REF!,IF(AB21&lt;#REF!,#REF!,#REF!))))))</f>
        <v>#REF!</v>
      </c>
      <c r="AQ21" s="31" t="e">
        <f>IF(AC21&gt;#REF!,#REF!,IF(AC21&gt;#REF!,#REF!,IF(AC21&gt;#REF!,#REF!,IF(AC21&gt;#REF!,#REF!,#REF!))))</f>
        <v>#REF!</v>
      </c>
      <c r="AR21" s="31" t="e">
        <f>IF(AE21&gt;#REF!,#REF!,IF(AE21&gt;#REF!,#REF!,IF(AE21&gt;#REF!,#REF!,IF(AE21&gt;#REF!,#REF!,#REF!))))</f>
        <v>#REF!</v>
      </c>
      <c r="AS21" s="31" t="e">
        <f>IF(AF21&gt;#REF!,#REF!,IF(AF21&gt;#REF!,#REF!,IF(AF21&gt;#REF!,#REF!,IF(AF21&gt;#REF!,#REF!,#REF!))))</f>
        <v>#REF!</v>
      </c>
      <c r="AT21" s="31" t="e">
        <f>IF(AH21&gt;#REF!,#REF!,IF(AH21&gt;#REF!,#REF!,IF(AH21&gt;#REF!,#REF!,IF(AH21&gt;#REF!,#REF!,IF(AH21&gt;#REF!,#REF!,#REF!)))))</f>
        <v>#REF!</v>
      </c>
      <c r="AU21" s="10" t="e">
        <f t="shared" si="4"/>
        <v>#REF!</v>
      </c>
      <c r="AV21" s="10" t="s">
        <v>60</v>
      </c>
      <c r="AW21" s="10" t="s">
        <v>61</v>
      </c>
      <c r="AX21" s="10" t="s">
        <v>261</v>
      </c>
      <c r="AY21" s="31" t="str">
        <f>IFERROR(VLOOKUP(AV21,#REF!,3,0),"")</f>
        <v/>
      </c>
      <c r="AZ21" s="31" t="str">
        <f>IFERROR(VLOOKUP(AW21,#REF!,3,0),"")</f>
        <v/>
      </c>
      <c r="BA21" s="31" t="str">
        <f>IFERROR(VLOOKUP(AX21,#REF!,3,0),"")</f>
        <v/>
      </c>
      <c r="BB21" s="31" t="str">
        <f>IFERROR(AY21*#REF!+AZ21*#REF!+BA21*#REF!,"")</f>
        <v/>
      </c>
      <c r="BC21" s="32" t="str">
        <f t="shared" si="5"/>
        <v/>
      </c>
      <c r="BD21" s="32" t="str">
        <f>IFERROR(VLOOKUP(BC21*10,#REF!,2,1),"")</f>
        <v/>
      </c>
      <c r="BE21" s="11">
        <v>0</v>
      </c>
      <c r="BF21" s="11">
        <v>-1</v>
      </c>
      <c r="BG21" s="10" t="s">
        <v>340</v>
      </c>
      <c r="BH21" s="11" t="s">
        <v>341</v>
      </c>
      <c r="BI21" s="10">
        <v>9.0799999237060494</v>
      </c>
      <c r="BJ21" s="33" t="s">
        <v>92</v>
      </c>
      <c r="BK21" s="33" t="s">
        <v>342</v>
      </c>
      <c r="BL21" s="10">
        <f>IF([1]!s_stmnote_bank_17n(A21,$A$1,1)="0","",[1]!s_stmnote_bank_17n(A21,$A$1,1))</f>
        <v>0</v>
      </c>
      <c r="BM21" s="10">
        <f>IF([1]!s_stmnote_bank_18n(A21,$A$1,1)="0","",[1]!s_stmnote_bank_18n(A21,$A$1,1))</f>
        <v>21.31</v>
      </c>
      <c r="BN21" s="41" t="s">
        <v>67</v>
      </c>
      <c r="BO21" s="68" t="s">
        <v>67</v>
      </c>
      <c r="BP21" s="52">
        <f>[1]!s_stmnote_bank_5444(A21,$A$1,1)</f>
        <v>1.95</v>
      </c>
      <c r="BQ21" s="52">
        <f>[1]!s_stmnote_bank_129n($A21,$A$1,1)</f>
        <v>28.77</v>
      </c>
      <c r="BR21" s="52">
        <f t="shared" si="13"/>
        <v>4.2428364626178396</v>
      </c>
      <c r="BS21" s="52">
        <f>[1]!b_stm07_is(A21,19,$A$1,1,100000000)</f>
        <v>77.729500000000002</v>
      </c>
      <c r="BT21" s="52">
        <f xml:space="preserve"> [1]!s_stm07_bs(A21,"W15273164",$A$1,1,100000000)-[1]!s_stm07_bs(A21,"W17642530",$A$1,1,100000000)-[1]!s_stm07_bs(A21,"W15910877",$A$1,1,100000000)-[1]!s_stm07_bs_39(A21,$A$1,1,100000000)-[1]!s_stm07_bs(A21,"W17700468",$A$1,1,100000000)-[1]!s_stm07_bs(A21,"W16504296",$A$1,1,100000000)-[1]!s_stm07_bs(A21,"W13769069",$A$1,1,100000000)</f>
        <v>1991.84968</v>
      </c>
      <c r="BU21" s="52">
        <f xml:space="preserve"> [1]!s_stm07_bs(A21,"W15273164",$B$1,1,100000000)-[1]!s_stm07_bs(A21,"W17642530",$B$1,1,100000000)-[1]!s_stm07_bs(A21,"W15910877",$B$1,1,100000000)-[1]!s_stm07_bs_39(A21,$B$1,1,100000000)-[1]!s_stm07_bs(A21,"W17700468",$B$1,1,100000000)-[1]!s_stm07_bs(A21,"W16504296",$B$1,1,100000000)-[1]!s_stm07_bs(A21,"W13769069",$B$1,1,100000000)</f>
        <v>1775.9517800000003</v>
      </c>
      <c r="BV21" s="52">
        <f xml:space="preserve"> [1]!s_stm07_bs(A21,"W15273164",$E$1,1,100000000)-[1]!s_stm07_bs(A21,"W17642530",$E$1,1,100000000)-[1]!s_stm07_bs(A21,"W15910877",$E$1,1,100000000)-[1]!s_stm07_bs_39(A21,$E$1,1,100000000)-[1]!s_stm07_bs(A21,"W17700468",$E$1,1,100000000)-[1]!s_stm07_bs(A21,"W16504296",$E$1,1,100000000)-[1]!s_stm07_bs(A21,"W13769069",$E$1,1,100000000)</f>
        <v>2008.33618</v>
      </c>
      <c r="BW21" s="52">
        <f xml:space="preserve"> [1]!s_stm07_bs(A21,"W15273164",$F$1,1,100000000)-[1]!s_stm07_bs(A21,"W17642530",$F$1,1,100000000)-[1]!s_stm07_bs(A21,"W15910877",$F$1,1,100000000)-[1]!s_stm07_bs_39(A21,$F$1,1,100000000)-[1]!s_stm07_bs(A21,"W17700468",$F$1,1,100000000)-[1]!s_stm07_bs(A21,"W16504296",$F$1,1,100000000)-[1]!s_stm07_bs(A21,"W13769069",$F$1,1,100000000)</f>
        <v>1949.1692400000002</v>
      </c>
      <c r="BX21" s="52">
        <f xml:space="preserve"> [1]!s_stm07_bs(A21,"W15273164",$G$1,1,100000000)-[1]!s_stm07_bs(A21,"W17642530",$G$1,1,100000000)-[1]!s_stm07_bs(A21,"W15910877",$G$1,1,100000000)-[1]!s_stm07_bs_39(A21,$G$1,1,100000000)-[1]!s_stm07_bs(A21,"W17700468",$G$1,1,100000000)-[1]!s_stm07_bs(A21,"W16504296",$G$1,1,100000000)-[1]!s_stm07_bs(A21,"W13769069",$G$1,1,100000000)</f>
        <v>1886.6479999999999</v>
      </c>
      <c r="BY21" s="52">
        <f>IFERROR([1]!b_stm07_is(A21,20,$A$1,1,100000000)/AVERAGEIF(CA21:CE21,"&gt;0")*100,0)</f>
        <v>2.388851336404044</v>
      </c>
      <c r="BZ21" s="52">
        <f>[1]!b_stm07_is(A21,20,$A$1,1,100000000)</f>
        <v>42.68873</v>
      </c>
      <c r="CA21" s="52">
        <f>[1]!s_stmnote_bank_38(A21,$A$1,1,100000000)</f>
        <v>1852.2879399999999</v>
      </c>
      <c r="CB21" s="52">
        <f>[1]!s_stmnote_bank_38(A21,$B$1,1,100000000)</f>
        <v>1643.0246500000001</v>
      </c>
      <c r="CC21" s="52">
        <f>[1]!s_stmnote_bank_38(A21,$E$1,1,100000000)</f>
        <v>1868.0773300000001</v>
      </c>
      <c r="CD21" s="52">
        <f>[1]!s_stmnote_bank_38(A21,$F$1,1,100000000)</f>
        <v>1814.08861</v>
      </c>
      <c r="CE21" s="52">
        <f>[1]!s_stmnote_bank_38(A21,$G$1,1,100000000)</f>
        <v>1757.5123900000001</v>
      </c>
      <c r="CF21" s="52">
        <f>IF(BP21&lt;&gt;0,BP21,IFERROR(IF(([1]!b_stm07_is(A21,19,$A$1,1,100000000)-[1]!b_stm07_is(A21,20,$A$1,1,100000000))/AVERAGE([1]!s_stmnote_bank_35(A21,$A$1,1,100000000),[1]!s_stmnote_bank_35(A21,$B$1,1,100000000))*100=0,"",([1]!b_stm07_is(A21,19,$A$1,1,100000000)-[1]!b_stm07_is(A21,20,$A$1,1,100000000))/AVERAGE([1]!s_stmnote_bank_35(A21,$A$1,1,100000000),[1]!s_stmnote_bank_35(A21,$B$1,1,100000000))*100),""))</f>
        <v>1.95</v>
      </c>
      <c r="CG21" s="27" t="str">
        <f t="shared" si="6"/>
        <v>101 171</v>
      </c>
      <c r="CH21" s="80">
        <f t="shared" si="14"/>
        <v>1.5674808791044559</v>
      </c>
      <c r="CI21" s="27" t="str">
        <f t="shared" si="7"/>
        <v>22 169</v>
      </c>
      <c r="CJ21" s="55">
        <f>[1]!s_stmnote_bank_30(A21,$A$1,1)</f>
        <v>19.433</v>
      </c>
      <c r="CP21" s="69">
        <f>[1]!b_stm07_bs($A21,141,$A$1,1,100000000)</f>
        <v>159.24161000000001</v>
      </c>
      <c r="CQ21" s="69">
        <f>[1]!b_stm07_bs($A21,141,$D$1,1,100000000)</f>
        <v>169.18601000000001</v>
      </c>
      <c r="CR21" s="68">
        <f>IF([1]!s_fa_roic_yearly($A21,$A$1)=0,"",[1]!s_fa_roic_yearly($A21,$A$1))</f>
        <v>10.6135</v>
      </c>
      <c r="CS21" s="27">
        <f t="shared" si="16"/>
        <v>0.27218934911242604</v>
      </c>
      <c r="CT21" s="68">
        <f>IF([1]!s_fa_roic_yearly($A21,$D$1)=0,"",[1]!s_fa_roic_yearly($A21,$D$1))</f>
        <v>12.521800000000001</v>
      </c>
      <c r="CU21" s="27">
        <f t="shared" si="17"/>
        <v>0.22535211267605634</v>
      </c>
      <c r="CV21" s="78">
        <f>[1]!s_stm07_bs(A21,"W14578191",$A$1,1,100000000)</f>
        <v>1127.4154599999999</v>
      </c>
      <c r="CW21" s="78">
        <f>[1]!s_stmnote_bank_682($A21,$A$1,1,2,100000000)</f>
        <v>251.22821999999999</v>
      </c>
      <c r="CX21" s="79">
        <f t="shared" si="11"/>
        <v>0.22283552861693062</v>
      </c>
    </row>
    <row r="22" spans="1:102" s="46" customFormat="1" ht="13.5">
      <c r="A22" s="8" t="s">
        <v>693</v>
      </c>
      <c r="B22" s="8" t="s">
        <v>694</v>
      </c>
      <c r="C22" s="9" t="s">
        <v>1075</v>
      </c>
      <c r="D22" s="9" t="s">
        <v>1064</v>
      </c>
      <c r="E22" s="10" t="s">
        <v>456</v>
      </c>
      <c r="F22" s="11" t="s">
        <v>178</v>
      </c>
      <c r="G22" s="11" t="s">
        <v>245</v>
      </c>
      <c r="H22" s="11" t="s">
        <v>259</v>
      </c>
      <c r="I22" s="11"/>
      <c r="J22" s="11">
        <f>VLOOKUP(B22,[3]额度信息!$B:$T,19,0)</f>
        <v>0</v>
      </c>
      <c r="K22" s="11" t="s">
        <v>695</v>
      </c>
      <c r="L22" s="27">
        <f>IFERROR(([1]!b_stm07_bs($A22,47,$A$1,1,100000000))/[1]!b_stm07_bs($A22,109,$A$1,1,100000000),"")</f>
        <v>9.4440928741537811E-2</v>
      </c>
      <c r="M22" s="20">
        <v>840.76</v>
      </c>
      <c r="N22" s="18">
        <f>IFERROR(([1]!s_stmnote_bank_26($A22,$A$1,1,100000000)-[1]!s_stmnote_bank_26($A22,$B$1,1,100000000)+M22)/[1]!s_stmnote_bank_1n($A22,$B$1,1,100000000),"")</f>
        <v>2.2409586471579278E-2</v>
      </c>
      <c r="O22" s="27" t="str">
        <f t="shared" si="0"/>
        <v>45 50</v>
      </c>
      <c r="P22" s="21">
        <f t="shared" si="12"/>
        <v>4.6809885770695198E-2</v>
      </c>
      <c r="Q22" s="27" t="str">
        <f t="shared" si="1"/>
        <v>128 169</v>
      </c>
      <c r="R22" s="18">
        <v>2.8909885770695198E-2</v>
      </c>
      <c r="S22" s="22">
        <v>5.24973292404224E-2</v>
      </c>
      <c r="T22" s="22">
        <v>1.91104197294274E-2</v>
      </c>
      <c r="U22" s="22">
        <v>1.0761234691805999E-2</v>
      </c>
      <c r="V22" s="22"/>
      <c r="W22" s="22">
        <v>1.11507765711758E-2</v>
      </c>
      <c r="X22" s="22">
        <v>1.8216543177973499E-2</v>
      </c>
      <c r="Y22" s="22">
        <v>0.27953403165954199</v>
      </c>
      <c r="Z22" s="25">
        <f>[1]!b_stm07_bs(A22,74,$A$1,1,100000000)</f>
        <v>69527.86</v>
      </c>
      <c r="AA22" s="25">
        <f>[1]!b_stm07_bs(A22,109,$A$1,1,100000000)</f>
        <v>38256.93</v>
      </c>
      <c r="AB22" s="10">
        <f>[1]!s_stmnote_bank_5n(A22,$A$1,1)</f>
        <v>1.79</v>
      </c>
      <c r="AC22" s="25">
        <f>IF([1]!s_stmnote_bank_23n(A22,$A$1,1)=0,"",IFERROR([1]!s_stmnote_bank_23n(A22,$A$1,1),""))</f>
        <v>145.30000000000001</v>
      </c>
      <c r="AD22" s="27" t="str">
        <f t="shared" si="2"/>
        <v>16 167</v>
      </c>
      <c r="AE22" s="25">
        <f>[1]!s_stmnote_bank_capadequacyratio(A22,$A$1,1)</f>
        <v>13.64</v>
      </c>
      <c r="AF22" s="25">
        <f>IF([1]!s_stmnote_bank_capadequacyratio_ct1(A22,$A$1,1)=0,"",IFERROR([1]!s_stmnote_bank_capadequacyratio_ct1(A22,$A$1,1),""))</f>
        <v>9.0399999999999991</v>
      </c>
      <c r="AG22" s="27" t="str">
        <f>RANK(AF22,AF$5:AF$192,0)&amp;" "&amp;COUNTIF(AF$5:AF$192,"&gt;0")</f>
        <v>123 167</v>
      </c>
      <c r="AH22" s="6">
        <f>IF(OR([1]!s_fa_roe(A22,20201231)=0,[1]!s_fa_roe(A22,20211231)="0",[1]!s_fa_roe(A22,20221231)="0"),"",IFERROR(([1]!s_fa_roe(A22,20221231)+[1]!s_fa_roe(A22,20201231)+[1]!s_fa_roe(A22,20211231))/3,""))</f>
        <v>6.2606333333333337</v>
      </c>
      <c r="AI22" s="27" t="str">
        <f t="shared" si="3"/>
        <v>60 173</v>
      </c>
      <c r="AJ22" s="28">
        <f>IFERROR(([1]!s_stmnote_bank_65(A22,$A$1,1,2,4,100000000)+[1]!s_stmnote_bank_65(A22,$A$1,1,2,6,100000000))/[1]!s_stmnote_bank_1n(A22,$A$1,1,100000000),"")</f>
        <v>0.1169582360693795</v>
      </c>
      <c r="AK22" s="28">
        <f>IFERROR([1]!s_stmnote_bank_614(A22,$A$1,1,2,100000000)/[1]!s_stmnote_bank_647(A22,$A$1,1,2,100000000),"")</f>
        <v>0.32185273379326707</v>
      </c>
      <c r="AL22" s="28">
        <f>IFERROR(([1]!b_stm07_bs(A22,104,$A$1,1,100000000)+[1]!b_stm07_bs(A22,106,$A$1,1,100000000)+[1]!b_stm07_bs(A22,76,$A$1,1,100000000)+[1]!b_stm07_bs(A22,108,$A$1,1,100000000)+[1]!b_stm07_bs(A22,95,$A$1,1,100000000))/[1]!b_stm07_bs(A22,128,$A$1,1,100000000),"")</f>
        <v>0.32118185172520008</v>
      </c>
      <c r="AM22" s="28">
        <f>IFERROR(([1]!s_stmnote_bank_614(A22,$A$1,1,2,100000000)+[1]!b_stm07_bs(A22,104,$A$1,1,100000000)+[1]!b_stm07_bs(A22,106,$A$1,1,100000000)+[1]!b_stm07_bs(A22,76,$A$1,1,100000000)+[1]!b_stm07_bs(A22,108,$A$1,1,100000000)+[1]!b_stm07_bs(A22,95,$A$1,1,100000000))/[1]!b_stm07_bs(A22,128,$A$1,1,100000000),"")</f>
        <v>0.51206966993269354</v>
      </c>
      <c r="AN22" s="31" t="e">
        <f>IF(Z22&gt;#REF!,#REF!,IF(Z22&gt;#REF!,#REF!,IF(Z22&gt;#REF!,#REF!,IF(Z22&gt;#REF!,#REF!,IF(Z22&gt;#REF!,#REF!,IF(Z22&gt;#REF!,#REF!,IF(Z22&gt;#REF!,#REF!,#REF!)))))))</f>
        <v>#REF!</v>
      </c>
      <c r="AO22" s="31" t="e">
        <f>IF(AA22&gt;#REF!,#REF!,IF(AA22&gt;#REF!,#REF!,IF(AA22&gt;#REF!,#REF!,IF(AA22&gt;#REF!,#REF!,IF(AA22&gt;#REF!,#REF!,IF(AA22&gt;#REF!,#REF!,IF(AA22&gt;#REF!,#REF!,#REF!)))))))</f>
        <v>#REF!</v>
      </c>
      <c r="AP22" s="31" t="e">
        <f>IF(AB22&lt;#REF!,#REF!,IF(AB22&lt;#REF!,#REF!,IF(AB22&lt;#REF!,#REF!,IF(AB22&lt;#REF!,#REF!,IF(AB22&lt;#REF!,#REF!,IF(AB22&lt;#REF!,#REF!,#REF!))))))</f>
        <v>#REF!</v>
      </c>
      <c r="AQ22" s="31" t="e">
        <f>IF(AC22&gt;#REF!,#REF!,IF(AC22&gt;#REF!,#REF!,IF(AC22&gt;#REF!,#REF!,IF(AC22&gt;#REF!,#REF!,#REF!))))</f>
        <v>#REF!</v>
      </c>
      <c r="AR22" s="31" t="e">
        <f>IF(AE22&gt;#REF!,#REF!,IF(AE22&gt;#REF!,#REF!,IF(AE22&gt;#REF!,#REF!,IF(AE22&gt;#REF!,#REF!,#REF!))))</f>
        <v>#REF!</v>
      </c>
      <c r="AS22" s="31" t="e">
        <f>IF(AF22&gt;#REF!,#REF!,IF(AF22&gt;#REF!,#REF!,IF(AF22&gt;#REF!,#REF!,IF(AF22&gt;#REF!,#REF!,#REF!))))</f>
        <v>#REF!</v>
      </c>
      <c r="AT22" s="31" t="e">
        <f>IF(AH22&gt;#REF!,#REF!,IF(AH22&gt;#REF!,#REF!,IF(AH22&gt;#REF!,#REF!,IF(AH22&gt;#REF!,#REF!,IF(AH22&gt;#REF!,#REF!,#REF!)))))</f>
        <v>#REF!</v>
      </c>
      <c r="AU22" s="10" t="e">
        <f t="shared" si="4"/>
        <v>#REF!</v>
      </c>
      <c r="AV22" s="10" t="s">
        <v>395</v>
      </c>
      <c r="AW22" s="10" t="s">
        <v>161</v>
      </c>
      <c r="AX22" s="10" t="s">
        <v>141</v>
      </c>
      <c r="AY22" s="31" t="str">
        <f>IFERROR(VLOOKUP(AV22,#REF!,3,0),"")</f>
        <v/>
      </c>
      <c r="AZ22" s="31" t="str">
        <f>IFERROR(VLOOKUP(AW22,#REF!,3,0),"")</f>
        <v/>
      </c>
      <c r="BA22" s="31" t="str">
        <f>IFERROR(VLOOKUP(AX22,#REF!,3,0),"")</f>
        <v/>
      </c>
      <c r="BB22" s="31" t="str">
        <f>IFERROR(AY22*#REF!+AZ22*#REF!+BA22*#REF!,"")</f>
        <v/>
      </c>
      <c r="BC22" s="32" t="str">
        <f t="shared" si="5"/>
        <v/>
      </c>
      <c r="BD22" s="32" t="str">
        <f>IFERROR(VLOOKUP(BC22*10,#REF!,2,1),"")</f>
        <v/>
      </c>
      <c r="BE22" s="11">
        <v>2</v>
      </c>
      <c r="BF22" s="11">
        <v>-1</v>
      </c>
      <c r="BG22" s="10" t="s">
        <v>696</v>
      </c>
      <c r="BH22" s="11" t="s">
        <v>634</v>
      </c>
      <c r="BI22" s="10">
        <v>18.920000076293899</v>
      </c>
      <c r="BJ22" s="33" t="s">
        <v>71</v>
      </c>
      <c r="BK22" s="33" t="s">
        <v>72</v>
      </c>
      <c r="BL22" s="10">
        <f>IF([1]!s_stmnote_bank_17n(A22,$A$1,1)="0","",[1]!s_stmnote_bank_17n(A22,$A$1,1))</f>
        <v>1.57</v>
      </c>
      <c r="BM22" s="10">
        <f>IF([1]!s_stmnote_bank_18n(A22,$A$1,1)="0","",[1]!s_stmnote_bank_18n(A22,$A$1,1))</f>
        <v>9.76</v>
      </c>
      <c r="BN22" s="41">
        <v>3.91</v>
      </c>
      <c r="BO22" s="52">
        <v>2.4</v>
      </c>
      <c r="BP22" s="52">
        <f>[1]!s_stmnote_bank_5444(A22,$A$1,1)</f>
        <v>1.91</v>
      </c>
      <c r="BQ22" s="52">
        <f>[1]!s_stmnote_bank_129n($A22,$A$1,1)</f>
        <v>29.17</v>
      </c>
      <c r="BR22" s="52">
        <f t="shared" si="13"/>
        <v>4.0776682291274238</v>
      </c>
      <c r="BS22" s="52">
        <f>[1]!b_stm07_is(A22,19,$A$1,1,100000000)</f>
        <v>2776.79</v>
      </c>
      <c r="BT22" s="52">
        <f xml:space="preserve"> [1]!s_stm07_bs(A22,"W15273164",$A$1,1,100000000)-[1]!s_stm07_bs(A22,"W17642530",$A$1,1,100000000)-[1]!s_stm07_bs(A22,"W15910877",$A$1,1,100000000)-[1]!s_stm07_bs_39(A22,$A$1,1,100000000)-[1]!s_stm07_bs(A22,"W17700468",$A$1,1,100000000)-[1]!s_stm07_bs(A22,"W16504296",$A$1,1,100000000)-[1]!s_stm07_bs(A22,"W13769069",$A$1,1,100000000)</f>
        <v>67901.94</v>
      </c>
      <c r="BU22" s="52">
        <f xml:space="preserve"> [1]!s_stm07_bs(A22,"W15273164",$B$1,1,100000000)-[1]!s_stm07_bs(A22,"W17642530",$B$1,1,100000000)-[1]!s_stm07_bs(A22,"W15910877",$B$1,1,100000000)-[1]!s_stm07_bs_39(A22,$B$1,1,100000000)-[1]!s_stm07_bs(A22,"W17700468",$B$1,1,100000000)-[1]!s_stm07_bs(A22,"W16504296",$B$1,1,100000000)-[1]!s_stm07_bs(A22,"W13769069",$B$1,1,100000000)</f>
        <v>67876.989999999991</v>
      </c>
      <c r="BV22" s="52">
        <f xml:space="preserve"> [1]!s_stm07_bs(A22,"W15273164",$E$1,1,100000000)-[1]!s_stm07_bs(A22,"W17642530",$E$1,1,100000000)-[1]!s_stm07_bs(A22,"W15910877",$E$1,1,100000000)-[1]!s_stm07_bs_39(A22,$E$1,1,100000000)-[1]!s_stm07_bs(A22,"W17700468",$E$1,1,100000000)-[1]!s_stm07_bs(A22,"W16504296",$E$1,1,100000000)-[1]!s_stm07_bs(A22,"W13769069",$E$1,1,100000000)</f>
        <v>68595.930000000008</v>
      </c>
      <c r="BW22" s="52">
        <f xml:space="preserve"> [1]!s_stm07_bs(A22,"W15273164",$F$1,1,100000000)-[1]!s_stm07_bs(A22,"W17642530",$F$1,1,100000000)-[1]!s_stm07_bs(A22,"W15910877",$F$1,1,100000000)-[1]!s_stm07_bs_39(A22,$F$1,1,100000000)-[1]!s_stm07_bs(A22,"W17700468",$F$1,1,100000000)-[1]!s_stm07_bs(A22,"W16504296",$F$1,1,100000000)-[1]!s_stm07_bs(A22,"W13769069",$F$1,1,100000000)</f>
        <v>69136.05</v>
      </c>
      <c r="BX22" s="52">
        <f xml:space="preserve"> [1]!s_stm07_bs(A22,"W15273164",$G$1,1,100000000)-[1]!s_stm07_bs(A22,"W17642530",$G$1,1,100000000)-[1]!s_stm07_bs(A22,"W15910877",$G$1,1,100000000)-[1]!s_stm07_bs_39(A22,$G$1,1,100000000)-[1]!s_stm07_bs(A22,"W17700468",$G$1,1,100000000)-[1]!s_stm07_bs(A22,"W16504296",$G$1,1,100000000)-[1]!s_stm07_bs(A22,"W13769069",$G$1,1,100000000)</f>
        <v>69000.170000000013</v>
      </c>
      <c r="BY22" s="52">
        <f>IFERROR([1]!b_stm07_is(A22,20,$A$1,1,100000000)/AVERAGEIF(CA22:CE22,"&gt;0")*100,0)</f>
        <v>2.450775161868711</v>
      </c>
      <c r="BZ22" s="52">
        <f>[1]!b_stm07_is(A22,20,$A$1,1,100000000)</f>
        <v>1519.04</v>
      </c>
      <c r="CA22" s="52">
        <f>[1]!s_stmnote_bank_38(A22,$A$1,1,100000000)</f>
        <v>61502.03</v>
      </c>
      <c r="CB22" s="52">
        <f>[1]!s_stmnote_bank_38(A22,$B$1,1,100000000)</f>
        <v>61567.15</v>
      </c>
      <c r="CC22" s="52">
        <f>[1]!s_stmnote_bank_38(A22,$E$1,1,100000000)</f>
        <v>61923.73</v>
      </c>
      <c r="CD22" s="52">
        <f>[1]!s_stmnote_bank_38(A22,$F$1,1,100000000)</f>
        <v>62383.14</v>
      </c>
      <c r="CE22" s="52">
        <f>[1]!s_stmnote_bank_38(A22,$G$1,1,100000000)</f>
        <v>62534.06</v>
      </c>
      <c r="CF22" s="52">
        <f>IF(BP22&lt;&gt;0,BP22,IFERROR(IF(([1]!b_stm07_is(A22,19,$A$1,1,100000000)-[1]!b_stm07_is(A22,20,$A$1,1,100000000))/AVERAGE([1]!s_stmnote_bank_35(A22,$A$1,1,100000000),[1]!s_stmnote_bank_35(A22,$B$1,1,100000000))*100=0,"",([1]!b_stm07_is(A22,19,$A$1,1,100000000)-[1]!b_stm07_is(A22,20,$A$1,1,100000000))/AVERAGE([1]!s_stmnote_bank_35(A22,$A$1,1,100000000),[1]!s_stmnote_bank_35(A22,$B$1,1,100000000))*100),""))</f>
        <v>1.91</v>
      </c>
      <c r="CG22" s="27" t="str">
        <f t="shared" si="6"/>
        <v>107 171</v>
      </c>
      <c r="CH22" s="80">
        <f t="shared" si="14"/>
        <v>0.40803346740823149</v>
      </c>
      <c r="CI22" s="27" t="str">
        <f t="shared" si="7"/>
        <v>131 169</v>
      </c>
      <c r="CJ22" s="55">
        <f>[1]!s_stmnote_bank_30(A22,$A$1,1)</f>
        <v>25.490500000000001</v>
      </c>
      <c r="CK22" s="65">
        <v>1863.86</v>
      </c>
      <c r="CL22" s="48">
        <v>564.47</v>
      </c>
      <c r="CM22" s="64">
        <f>CK22/(5/8*[1]!s_stmnote_bank_1n($A22,$A$1,1,100000000)+[1]!s_stmnote_bank_1n($A22,$B$1,1,100000000)*3/8)</f>
        <v>4.6903936247377459E-2</v>
      </c>
      <c r="CN22" s="48"/>
      <c r="CO22" s="48"/>
      <c r="CP22" s="69">
        <f>[1]!b_stm07_bs($A22,141,$A$1,1,100000000)</f>
        <v>5865.39</v>
      </c>
      <c r="CQ22" s="69">
        <f>[1]!b_stm07_bs($A22,141,$D$1,1,100000000)</f>
        <v>6027.11</v>
      </c>
      <c r="CR22" s="68">
        <f>IF([1]!s_fa_roic_yearly($A22,$A$1)=0,"",[1]!s_fa_roic_yearly($A22,$A$1))</f>
        <v>6.2294999999999998</v>
      </c>
      <c r="CS22" s="27" t="str">
        <f>RANK(CR22,CR$5:CR$192,1)&amp;" "&amp;COUNTIF(CR$5:CR$192,"&gt;0")</f>
        <v>50 169</v>
      </c>
      <c r="CT22" s="68">
        <f>IF([1]!s_fa_roic_yearly($A22,$D$1)=0,"",[1]!s_fa_roic_yearly($A22,$D$1))</f>
        <v>8.4634</v>
      </c>
      <c r="CU22" s="27" t="str">
        <f>RANK(CT22,CT$5:CT$192,1)&amp;" "&amp;COUNTIF(CT$5:CT$192,"&gt;0")</f>
        <v>47 142</v>
      </c>
      <c r="CV22" s="78">
        <f>[1]!s_stm07_bs(A22,"W14578191",$A$1,1,100000000)</f>
        <v>39676.79</v>
      </c>
      <c r="CW22" s="78">
        <f>[1]!s_stmnote_bank_682($A22,$A$1,1,2,100000000)</f>
        <v>17413.310000000001</v>
      </c>
      <c r="CX22" s="79">
        <f t="shared" si="11"/>
        <v>0.43887900205636599</v>
      </c>
    </row>
    <row r="23" spans="1:102" s="46" customFormat="1" ht="13.5">
      <c r="A23" s="8" t="s">
        <v>302</v>
      </c>
      <c r="B23" s="8" t="s">
        <v>303</v>
      </c>
      <c r="C23" s="9" t="s">
        <v>304</v>
      </c>
      <c r="D23" s="9" t="s">
        <v>1061</v>
      </c>
      <c r="E23" s="10"/>
      <c r="F23" s="11" t="s">
        <v>66</v>
      </c>
      <c r="G23" s="11" t="s">
        <v>67</v>
      </c>
      <c r="H23" s="11" t="s">
        <v>179</v>
      </c>
      <c r="I23" s="11"/>
      <c r="J23" s="11" t="e">
        <f>VLOOKUP(B23,[3]额度信息!$B:$T,19,0)</f>
        <v>#N/A</v>
      </c>
      <c r="K23" s="11"/>
      <c r="L23" s="27">
        <f>IFERROR(([1]!b_stm07_bs($A23,47,$A$1,1,100000000))/[1]!b_stm07_bs($A23,109,$A$1,1,100000000),"")</f>
        <v>0.10476362352278661</v>
      </c>
      <c r="M23" s="20"/>
      <c r="N23" s="18"/>
      <c r="O23" s="27" t="e">
        <f t="shared" si="0"/>
        <v>#N/A</v>
      </c>
      <c r="P23" s="21">
        <f t="shared" si="12"/>
        <v>2.1770111212420142E-2</v>
      </c>
      <c r="Q23" s="27" t="str">
        <f t="shared" si="1"/>
        <v>46 169</v>
      </c>
      <c r="R23" s="18">
        <f>IFERROR([1]!s_stmnote_bank($A23,"34",$A$1,100000000)/[1]!s_stmnote_bank_1n(A23,$A$1,1,100000000),"")</f>
        <v>8.2701112124201406E-3</v>
      </c>
      <c r="S23" s="22"/>
      <c r="T23" s="22"/>
      <c r="U23" s="22"/>
      <c r="V23" s="22"/>
      <c r="W23" s="22"/>
      <c r="X23" s="22"/>
      <c r="Y23" s="22"/>
      <c r="Z23" s="25">
        <f>[1]!b_stm07_bs(A23,74,$A$1,1,100000000)</f>
        <v>2032.7239010288001</v>
      </c>
      <c r="AA23" s="25">
        <f>[1]!b_stm07_bs(A23,109,$A$1,1,100000000)</f>
        <v>1527.3355069806</v>
      </c>
      <c r="AB23" s="10">
        <f>[1]!s_stmnote_bank_5n(A23,$A$1,1)</f>
        <v>1.35</v>
      </c>
      <c r="AC23" s="25">
        <f>IF([1]!s_stmnote_bank_23n(A23,$A$1,1)=0,"",IFERROR([1]!s_stmnote_bank_23n(A23,$A$1,1),""))</f>
        <v>170.74</v>
      </c>
      <c r="AD23" s="27" t="str">
        <f t="shared" si="2"/>
        <v>40 167</v>
      </c>
      <c r="AE23" s="25">
        <f>[1]!s_stmnote_bank_capadequacyratio(A23,$A$1,1)</f>
        <v>11.68</v>
      </c>
      <c r="AF23" s="25">
        <f>IF([1]!s_stmnote_bank_capadequacyratio_ct1(A23,$A$1,1)=0,"",IFERROR([1]!s_stmnote_bank_capadequacyratio_ct1(A23,$A$1,1),""))</f>
        <v>8.73</v>
      </c>
      <c r="AG23" s="27" t="str">
        <f>RANK(AF23,AF$5:AF$192,1)&amp;" "&amp;COUNTIF(AF$5:AF$192,"&gt;0")</f>
        <v>34 167</v>
      </c>
      <c r="AH23" s="6">
        <f>IF(OR([1]!s_fa_roe(A23,20201231)=0,[1]!s_fa_roe(A23,20211231)="0",[1]!s_fa_roe(A23,20221231)="0"),"",IFERROR(([1]!s_fa_roe(A23,20221231)+[1]!s_fa_roe(A23,20201231)+[1]!s_fa_roe(A23,20211231))/3,""))</f>
        <v>7.6311333333333335</v>
      </c>
      <c r="AI23" s="27" t="str">
        <f t="shared" si="3"/>
        <v>72 173</v>
      </c>
      <c r="AJ23" s="28">
        <f>IFERROR(([1]!s_stmnote_bank_65(A23,$A$1,1,2,4,100000000)+[1]!s_stmnote_bank_65(A23,$A$1,1,2,6,100000000))/[1]!s_stmnote_bank_1n(A23,$A$1,1,100000000),"")</f>
        <v>0.11368370780613347</v>
      </c>
      <c r="AK23" s="28">
        <f>IFERROR([1]!s_stmnote_bank_614(A23,$A$1,1,2,100000000)/[1]!s_stmnote_bank_647(A23,$A$1,1,2,100000000),"")</f>
        <v>0.2256492584173109</v>
      </c>
      <c r="AL23" s="28">
        <f>IFERROR(([1]!b_stm07_bs(A23,104,$A$1,1,100000000)+[1]!b_stm07_bs(A23,106,$A$1,1,100000000)+[1]!b_stm07_bs(A23,76,$A$1,1,100000000)+[1]!b_stm07_bs(A23,108,$A$1,1,100000000)+[1]!b_stm07_bs(A23,95,$A$1,1,100000000))/[1]!b_stm07_bs(A23,128,$A$1,1,100000000),"")</f>
        <v>0.15160871500970735</v>
      </c>
      <c r="AM23" s="28">
        <f>IFERROR(([1]!s_stmnote_bank_614(A23,$A$1,1,2,100000000)+[1]!b_stm07_bs(A23,104,$A$1,1,100000000)+[1]!b_stm07_bs(A23,106,$A$1,1,100000000)+[1]!b_stm07_bs(A23,76,$A$1,1,100000000)+[1]!b_stm07_bs(A23,108,$A$1,1,100000000)+[1]!b_stm07_bs(A23,95,$A$1,1,100000000))/[1]!b_stm07_bs(A23,128,$A$1,1,100000000),"")</f>
        <v>0.33353029124098971</v>
      </c>
      <c r="AN23" s="31" t="e">
        <f>IF(Z23&gt;#REF!,#REF!,IF(Z23&gt;#REF!,#REF!,IF(Z23&gt;#REF!,#REF!,IF(Z23&gt;#REF!,#REF!,IF(Z23&gt;#REF!,#REF!,IF(Z23&gt;#REF!,#REF!,IF(Z23&gt;#REF!,#REF!,#REF!)))))))</f>
        <v>#REF!</v>
      </c>
      <c r="AO23" s="31" t="e">
        <f>IF(AA23&gt;#REF!,#REF!,IF(AA23&gt;#REF!,#REF!,IF(AA23&gt;#REF!,#REF!,IF(AA23&gt;#REF!,#REF!,IF(AA23&gt;#REF!,#REF!,IF(AA23&gt;#REF!,#REF!,IF(AA23&gt;#REF!,#REF!,#REF!)))))))</f>
        <v>#REF!</v>
      </c>
      <c r="AP23" s="31" t="e">
        <f>IF(AB23&lt;#REF!,#REF!,IF(AB23&lt;#REF!,#REF!,IF(AB23&lt;#REF!,#REF!,IF(AB23&lt;#REF!,#REF!,IF(AB23&lt;#REF!,#REF!,IF(AB23&lt;#REF!,#REF!,#REF!))))))</f>
        <v>#REF!</v>
      </c>
      <c r="AQ23" s="31" t="e">
        <f>IF(AC23&gt;#REF!,#REF!,IF(AC23&gt;#REF!,#REF!,IF(AC23&gt;#REF!,#REF!,IF(AC23&gt;#REF!,#REF!,#REF!))))</f>
        <v>#REF!</v>
      </c>
      <c r="AR23" s="31" t="e">
        <f>IF(AE23&gt;#REF!,#REF!,IF(AE23&gt;#REF!,#REF!,IF(AE23&gt;#REF!,#REF!,IF(AE23&gt;#REF!,#REF!,#REF!))))</f>
        <v>#REF!</v>
      </c>
      <c r="AS23" s="31" t="e">
        <f>IF(AF23&gt;#REF!,#REF!,IF(AF23&gt;#REF!,#REF!,IF(AF23&gt;#REF!,#REF!,IF(AF23&gt;#REF!,#REF!,#REF!))))</f>
        <v>#REF!</v>
      </c>
      <c r="AT23" s="31" t="e">
        <f>IF(AH23&gt;#REF!,#REF!,IF(AH23&gt;#REF!,#REF!,IF(AH23&gt;#REF!,#REF!,IF(AH23&gt;#REF!,#REF!,IF(AH23&gt;#REF!,#REF!,#REF!)))))</f>
        <v>#REF!</v>
      </c>
      <c r="AU23" s="10" t="e">
        <f t="shared" si="4"/>
        <v>#REF!</v>
      </c>
      <c r="AV23" s="10" t="s">
        <v>141</v>
      </c>
      <c r="AW23" s="10" t="s">
        <v>69</v>
      </c>
      <c r="AX23" s="10" t="s">
        <v>62</v>
      </c>
      <c r="AY23" s="31" t="str">
        <f>IFERROR(VLOOKUP(AV23,#REF!,3,0),"")</f>
        <v/>
      </c>
      <c r="AZ23" s="31" t="str">
        <f>IFERROR(VLOOKUP(AW23,#REF!,3,0),"")</f>
        <v/>
      </c>
      <c r="BA23" s="31" t="str">
        <f>IFERROR(VLOOKUP(AX23,#REF!,3,0),"")</f>
        <v/>
      </c>
      <c r="BB23" s="31" t="str">
        <f>IFERROR(AY23*#REF!+AZ23*#REF!+BA23*#REF!,"")</f>
        <v/>
      </c>
      <c r="BC23" s="32" t="str">
        <f t="shared" si="5"/>
        <v/>
      </c>
      <c r="BD23" s="32" t="str">
        <f>IFERROR(VLOOKUP(BC23*10,#REF!,2,1),"")</f>
        <v/>
      </c>
      <c r="BE23" s="10"/>
      <c r="BF23" s="10"/>
      <c r="BG23" s="10"/>
      <c r="BH23" s="11" t="s">
        <v>305</v>
      </c>
      <c r="BI23" s="10">
        <v>8.2299995422363299</v>
      </c>
      <c r="BJ23" s="33" t="s">
        <v>111</v>
      </c>
      <c r="BK23" s="33" t="s">
        <v>306</v>
      </c>
      <c r="BL23" s="10">
        <f>IF([1]!s_stmnote_bank_17n(A23,$A$1,1)="0","",[1]!s_stmnote_bank_17n(A23,$A$1,1))</f>
        <v>3.94</v>
      </c>
      <c r="BM23" s="10">
        <f>IF([1]!s_stmnote_bank_18n(A23,$A$1,1)="0","",[1]!s_stmnote_bank_18n(A23,$A$1,1))</f>
        <v>28.55</v>
      </c>
      <c r="BN23" s="41" t="s">
        <v>67</v>
      </c>
      <c r="BO23" s="42" t="s">
        <v>67</v>
      </c>
      <c r="BP23" s="52">
        <f>[1]!s_stmnote_bank_5444(A23,$A$1,1)</f>
        <v>0</v>
      </c>
      <c r="BQ23" s="52">
        <f>[1]!s_stmnote_bank_129n($A23,$A$1,1)</f>
        <v>50.95</v>
      </c>
      <c r="BR23" s="52">
        <f t="shared" si="13"/>
        <v>6.2699053310599311</v>
      </c>
      <c r="BS23" s="52">
        <f>[1]!b_stm07_is(A23,19,$A$1,1,100000000)</f>
        <v>112.84562219370001</v>
      </c>
      <c r="BT23" s="52">
        <f xml:space="preserve"> [1]!s_stm07_bs(A23,"W15273164",$A$1,1,100000000)-[1]!s_stm07_bs(A23,"W17642530",$A$1,1,100000000)-[1]!s_stm07_bs(A23,"W15910877",$A$1,1,100000000)-[1]!s_stm07_bs_39(A23,$A$1,1,100000000)-[1]!s_stm07_bs(A23,"W17700468",$A$1,1,100000000)-[1]!s_stm07_bs(A23,"W16504296",$A$1,1,100000000)-[1]!s_stm07_bs(A23,"W13769069",$A$1,1,100000000)</f>
        <v>1942.2420988215999</v>
      </c>
      <c r="BU23" s="52">
        <f xml:space="preserve"> [1]!s_stm07_bs(A23,"W15273164",$B$1,1,100000000)-[1]!s_stm07_bs(A23,"W17642530",$B$1,1,100000000)-[1]!s_stm07_bs(A23,"W15910877",$B$1,1,100000000)-[1]!s_stm07_bs_39(A23,$B$1,1,100000000)-[1]!s_stm07_bs(A23,"W17700468",$B$1,1,100000000)-[1]!s_stm07_bs(A23,"W16504296",$B$1,1,100000000)-[1]!s_stm07_bs(A23,"W13769069",$B$1,1,100000000)</f>
        <v>1770.5278610856999</v>
      </c>
      <c r="BV23" s="52">
        <f xml:space="preserve"> [1]!s_stm07_bs(A23,"W15273164",$E$1,1,100000000)-[1]!s_stm07_bs(A23,"W17642530",$E$1,1,100000000)-[1]!s_stm07_bs(A23,"W15910877",$E$1,1,100000000)-[1]!s_stm07_bs_39(A23,$E$1,1,100000000)-[1]!s_stm07_bs(A23,"W17700468",$E$1,1,100000000)-[1]!s_stm07_bs(A23,"W16504296",$E$1,1,100000000)-[1]!s_stm07_bs(A23,"W13769069",$E$1,1,100000000)</f>
        <v>1897.3626067180001</v>
      </c>
      <c r="BW23" s="52">
        <f xml:space="preserve"> [1]!s_stm07_bs(A23,"W15273164",$F$1,1,100000000)-[1]!s_stm07_bs(A23,"W17642530",$F$1,1,100000000)-[1]!s_stm07_bs(A23,"W15910877",$F$1,1,100000000)-[1]!s_stm07_bs_39(A23,$F$1,1,100000000)-[1]!s_stm07_bs(A23,"W17700468",$F$1,1,100000000)-[1]!s_stm07_bs(A23,"W16504296",$F$1,1,100000000)-[1]!s_stm07_bs(A23,"W13769069",$F$1,1,100000000)</f>
        <v>1834.3253268278997</v>
      </c>
      <c r="BX23" s="52">
        <f xml:space="preserve"> [1]!s_stm07_bs(A23,"W15273164",$G$1,1,100000000)-[1]!s_stm07_bs(A23,"W17642530",$G$1,1,100000000)-[1]!s_stm07_bs(A23,"W15910877",$G$1,1,100000000)-[1]!s_stm07_bs_39(A23,$G$1,1,100000000)-[1]!s_stm07_bs(A23,"W17700468",$G$1,1,100000000)-[1]!s_stm07_bs(A23,"W16504296",$G$1,1,100000000)-[1]!s_stm07_bs(A23,"W13769069",$G$1,1,100000000)</f>
        <v>1758.0697573608004</v>
      </c>
      <c r="BY23" s="52">
        <f>IFERROR([1]!b_stm07_is(A23,20,$A$1,1,100000000)/AVERAGEIF(CA23:CE23,"&gt;0")*100,0)</f>
        <v>3.5936927935312251</v>
      </c>
      <c r="BZ23" s="52">
        <f>[1]!b_stm07_is(A23,20,$A$1,1,100000000)</f>
        <v>62.608811407200001</v>
      </c>
      <c r="CA23" s="52">
        <f>[1]!s_stmnote_bank_38(A23,$A$1,1,100000000)</f>
        <v>1866.7662434573001</v>
      </c>
      <c r="CB23" s="52">
        <f>[1]!s_stmnote_bank_38(A23,$B$1,1,100000000)</f>
        <v>1674.7019256166</v>
      </c>
      <c r="CC23" s="52">
        <f>[1]!s_stmnote_bank_38(A23,$E$1,1,100000000)</f>
        <v>1783.6153175799</v>
      </c>
      <c r="CD23" s="52">
        <f>[1]!s_stmnote_bank_38(A23,$F$1,1,100000000)</f>
        <v>1723.1056910246</v>
      </c>
      <c r="CE23" s="52">
        <f>[1]!s_stmnote_bank_38(A23,$G$1,1,100000000)</f>
        <v>1662.7406380112</v>
      </c>
      <c r="CF23" s="52">
        <f>IF(BP23&lt;&gt;0,BP23,IFERROR(IF(([1]!b_stm07_is(A23,19,$A$1,1,100000000)-[1]!b_stm07_is(A23,20,$A$1,1,100000000))/AVERAGE([1]!s_stmnote_bank_35(A23,$A$1,1,100000000),[1]!s_stmnote_bank_35(A23,$B$1,1,100000000))*100=0,"",([1]!b_stm07_is(A23,19,$A$1,1,100000000)-[1]!b_stm07_is(A23,20,$A$1,1,100000000))/AVERAGE([1]!s_stmnote_bank_35(A23,$A$1,1,100000000),[1]!s_stmnote_bank_35(A23,$B$1,1,100000000))*100),""))</f>
        <v>3.0015816195092642</v>
      </c>
      <c r="CG23" s="27" t="str">
        <f t="shared" si="6"/>
        <v>13 171</v>
      </c>
      <c r="CH23" s="80">
        <f t="shared" si="14"/>
        <v>1.3787626485788558</v>
      </c>
      <c r="CI23" s="27" t="str">
        <f t="shared" si="7"/>
        <v>28 169</v>
      </c>
      <c r="CJ23" s="55">
        <f>[1]!s_stmnote_bank_30(A23,$A$1,1)</f>
        <v>12.6472</v>
      </c>
      <c r="CP23" s="69">
        <f>[1]!b_stm07_bs($A23,141,$A$1,1,100000000)</f>
        <v>138.2695342392</v>
      </c>
      <c r="CQ23" s="69">
        <f>[1]!b_stm07_bs($A23,141,$D$1,1,100000000)</f>
        <v>153.9752849187</v>
      </c>
      <c r="CR23" s="68">
        <f>IF([1]!s_fa_roic_yearly($A23,$A$1)=0,"",[1]!s_fa_roic_yearly($A23,$A$1))</f>
        <v>8.3635000000000002</v>
      </c>
      <c r="CS23" s="27">
        <f>RANK(CR23,CR$5:CR$192,0)/COUNTIF(CR$5:CR$192,"&gt;0")</f>
        <v>0.55029585798816572</v>
      </c>
      <c r="CT23" s="68">
        <f>IF([1]!s_fa_roic_yearly($A23,$D$1)=0,"",[1]!s_fa_roic_yearly($A23,$D$1))</f>
        <v>7.8129999999999997</v>
      </c>
      <c r="CU23" s="27">
        <f>RANK(CT23,CT$5:CT$192,0)/COUNTIF(CT$5:CT$192,"&gt;0")</f>
        <v>0.71126760563380287</v>
      </c>
      <c r="CV23" s="78">
        <f>[1]!s_stm07_bs(A23,"W14578191",$A$1,1,100000000)</f>
        <v>1381.1919212788</v>
      </c>
      <c r="CW23" s="78">
        <f>[1]!s_stmnote_bank_682($A23,$A$1,1,2,100000000)</f>
        <v>736.50669192300006</v>
      </c>
      <c r="CX23" s="79">
        <f t="shared" si="11"/>
        <v>0.53323993615680354</v>
      </c>
    </row>
    <row r="24" spans="1:102" s="46" customFormat="1" ht="13.5">
      <c r="A24" s="8" t="s">
        <v>230</v>
      </c>
      <c r="B24" s="8" t="s">
        <v>231</v>
      </c>
      <c r="C24" s="9" t="s">
        <v>232</v>
      </c>
      <c r="D24" s="9" t="s">
        <v>1066</v>
      </c>
      <c r="E24" s="10"/>
      <c r="F24" s="11" t="s">
        <v>90</v>
      </c>
      <c r="G24" s="11" t="s">
        <v>67</v>
      </c>
      <c r="H24" s="11" t="s">
        <v>67</v>
      </c>
      <c r="I24" s="11"/>
      <c r="J24" s="11" t="e">
        <f>VLOOKUP(B24,[3]额度信息!$B:$T,19,0)</f>
        <v>#N/A</v>
      </c>
      <c r="K24" s="11"/>
      <c r="L24" s="27">
        <f>IFERROR(([1]!b_stm07_bs($A24,47,$A$1,1,100000000))/[1]!b_stm07_bs($A24,109,$A$1,1,100000000),"")</f>
        <v>7.2338006095262197E-2</v>
      </c>
      <c r="M24" s="20"/>
      <c r="N24" s="18"/>
      <c r="O24" s="27" t="e">
        <f t="shared" si="0"/>
        <v>#N/A</v>
      </c>
      <c r="P24" s="21">
        <f t="shared" si="12"/>
        <v>2.8334439941542798E-2</v>
      </c>
      <c r="Q24" s="27" t="str">
        <f t="shared" si="1"/>
        <v>75 169</v>
      </c>
      <c r="R24" s="24">
        <f>IFERROR([1]!s_stmnote_bank($A24,"34",$A$1,100000000)/[1]!s_stmnote_bank_1n(A24,$A$1,1,100000000),"")</f>
        <v>1.60344399415428E-2</v>
      </c>
      <c r="S24" s="22"/>
      <c r="T24" s="22"/>
      <c r="U24" s="22"/>
      <c r="V24" s="22"/>
      <c r="W24" s="22"/>
      <c r="X24" s="22"/>
      <c r="Y24" s="22"/>
      <c r="Z24" s="25">
        <f>[1]!b_stm07_bs(A24,74,$A$1,1,100000000)</f>
        <v>773.75851439500002</v>
      </c>
      <c r="AA24" s="25">
        <f>[1]!b_stm07_bs(A24,109,$A$1,1,100000000)</f>
        <v>606.50297568919996</v>
      </c>
      <c r="AB24" s="10">
        <f>[1]!s_stmnote_bank_5n(A24,$A$1,1)</f>
        <v>1.23</v>
      </c>
      <c r="AC24" s="25">
        <f>IF([1]!s_stmnote_bank_23n(A24,$A$1,1)=0,"",IFERROR([1]!s_stmnote_bank_23n(A24,$A$1,1),""))</f>
        <v>253.31</v>
      </c>
      <c r="AD24" s="27" t="str">
        <f t="shared" si="2"/>
        <v>92 167</v>
      </c>
      <c r="AE24" s="25">
        <f>[1]!s_stmnote_bank_capadequacyratio(A24,$A$1,1)</f>
        <v>19.579999999999998</v>
      </c>
      <c r="AF24" s="25">
        <f>IF([1]!s_stmnote_bank_capadequacyratio_ct1(A24,$A$1,1)=0,"",IFERROR([1]!s_stmnote_bank_capadequacyratio_ct1(A24,$A$1,1),""))</f>
        <v>17.14</v>
      </c>
      <c r="AG24" s="27" t="str">
        <f>RANK(AF24,AF$5:AF$192,1)&amp;" "&amp;COUNTIF(AF$5:AF$192,"&gt;0")</f>
        <v>164 167</v>
      </c>
      <c r="AH24" s="6">
        <f>IF(OR([1]!s_fa_roe(A24,20201231)=0,[1]!s_fa_roe(A24,20211231)="0",[1]!s_fa_roe(A24,20221231)="0"),"",IFERROR(([1]!s_fa_roe(A24,20221231)+[1]!s_fa_roe(A24,20201231)+[1]!s_fa_roe(A24,20211231))/3,""))</f>
        <v>13.366199999999999</v>
      </c>
      <c r="AI24" s="27" t="str">
        <f t="shared" si="3"/>
        <v>159 173</v>
      </c>
      <c r="AJ24" s="28">
        <f>IFERROR(([1]!s_stmnote_bank_65(A24,$A$1,1,2,4,100000000)+[1]!s_stmnote_bank_65(A24,$A$1,1,2,6,100000000))/[1]!s_stmnote_bank_1n(A24,$A$1,1,100000000),"")</f>
        <v>2.7478725196514162E-2</v>
      </c>
      <c r="AK24" s="28">
        <f>IFERROR([1]!s_stmnote_bank_614(A24,$A$1,1,2,100000000)/[1]!s_stmnote_bank_647(A24,$A$1,1,2,100000000),"")</f>
        <v>0.28681316514748639</v>
      </c>
      <c r="AL24" s="28">
        <f>IFERROR(([1]!b_stm07_bs(A24,104,$A$1,1,100000000)+[1]!b_stm07_bs(A24,106,$A$1,1,100000000)+[1]!b_stm07_bs(A24,76,$A$1,1,100000000)+[1]!b_stm07_bs(A24,108,$A$1,1,100000000)+[1]!b_stm07_bs(A24,95,$A$1,1,100000000))/[1]!b_stm07_bs(A24,128,$A$1,1,100000000),"")</f>
        <v>8.6843073534285886E-2</v>
      </c>
      <c r="AM24" s="28">
        <f>IFERROR(([1]!s_stmnote_bank_614(A24,$A$1,1,2,100000000)+[1]!b_stm07_bs(A24,104,$A$1,1,100000000)+[1]!b_stm07_bs(A24,106,$A$1,1,100000000)+[1]!b_stm07_bs(A24,76,$A$1,1,100000000)+[1]!b_stm07_bs(A24,108,$A$1,1,100000000)+[1]!b_stm07_bs(A24,95,$A$1,1,100000000))/[1]!b_stm07_bs(A24,128,$A$1,1,100000000),"")</f>
        <v>0.32759636690516653</v>
      </c>
      <c r="AN24" s="31" t="e">
        <f>IF(Z24&gt;#REF!,#REF!,IF(Z24&gt;#REF!,#REF!,IF(Z24&gt;#REF!,#REF!,IF(Z24&gt;#REF!,#REF!,IF(Z24&gt;#REF!,#REF!,IF(Z24&gt;#REF!,#REF!,IF(Z24&gt;#REF!,#REF!,#REF!)))))))</f>
        <v>#REF!</v>
      </c>
      <c r="AO24" s="31" t="e">
        <f>IF(AA24&gt;#REF!,#REF!,IF(AA24&gt;#REF!,#REF!,IF(AA24&gt;#REF!,#REF!,IF(AA24&gt;#REF!,#REF!,IF(AA24&gt;#REF!,#REF!,IF(AA24&gt;#REF!,#REF!,IF(AA24&gt;#REF!,#REF!,#REF!)))))))</f>
        <v>#REF!</v>
      </c>
      <c r="AP24" s="31" t="e">
        <f>IF(AB24&lt;#REF!,#REF!,IF(AB24&lt;#REF!,#REF!,IF(AB24&lt;#REF!,#REF!,IF(AB24&lt;#REF!,#REF!,IF(AB24&lt;#REF!,#REF!,IF(AB24&lt;#REF!,#REF!,#REF!))))))</f>
        <v>#REF!</v>
      </c>
      <c r="AQ24" s="31" t="e">
        <f>IF(AC24&gt;#REF!,#REF!,IF(AC24&gt;#REF!,#REF!,IF(AC24&gt;#REF!,#REF!,IF(AC24&gt;#REF!,#REF!,#REF!))))</f>
        <v>#REF!</v>
      </c>
      <c r="AR24" s="31" t="e">
        <f>IF(AE24&gt;#REF!,#REF!,IF(AE24&gt;#REF!,#REF!,IF(AE24&gt;#REF!,#REF!,IF(AE24&gt;#REF!,#REF!,#REF!))))</f>
        <v>#REF!</v>
      </c>
      <c r="AS24" s="31" t="e">
        <f>IF(AF24&gt;#REF!,#REF!,IF(AF24&gt;#REF!,#REF!,IF(AF24&gt;#REF!,#REF!,IF(AF24&gt;#REF!,#REF!,#REF!))))</f>
        <v>#REF!</v>
      </c>
      <c r="AT24" s="31" t="e">
        <f>IF(AH24&gt;#REF!,#REF!,IF(AH24&gt;#REF!,#REF!,IF(AH24&gt;#REF!,#REF!,IF(AH24&gt;#REF!,#REF!,IF(AH24&gt;#REF!,#REF!,#REF!)))))</f>
        <v>#REF!</v>
      </c>
      <c r="AU24" s="10" t="e">
        <f t="shared" si="4"/>
        <v>#REF!</v>
      </c>
      <c r="AV24" s="10"/>
      <c r="AW24" s="10"/>
      <c r="AX24" s="10"/>
      <c r="AY24" s="31" t="str">
        <f>IFERROR(VLOOKUP(AV24,#REF!,3,0),"")</f>
        <v/>
      </c>
      <c r="AZ24" s="31" t="str">
        <f>IFERROR(VLOOKUP(AW24,#REF!,3,0),"")</f>
        <v/>
      </c>
      <c r="BA24" s="31" t="str">
        <f>IFERROR(VLOOKUP(AX24,#REF!,3,0),"")</f>
        <v/>
      </c>
      <c r="BB24" s="31" t="str">
        <f>IFERROR(AY24*#REF!+AZ24*#REF!+BA24*#REF!,"")</f>
        <v/>
      </c>
      <c r="BC24" s="32" t="str">
        <f t="shared" si="5"/>
        <v/>
      </c>
      <c r="BD24" s="32" t="str">
        <f>IFERROR(VLOOKUP(BC24*10,#REF!,2,1),"")</f>
        <v/>
      </c>
      <c r="BE24" s="10"/>
      <c r="BF24" s="10"/>
      <c r="BG24" s="10"/>
      <c r="BH24" s="11" t="s">
        <v>233</v>
      </c>
      <c r="BI24" s="10">
        <v>10</v>
      </c>
      <c r="BJ24" s="11" t="s">
        <v>234</v>
      </c>
      <c r="BK24" s="33" t="s">
        <v>235</v>
      </c>
      <c r="BL24" s="10">
        <f>IF([1]!s_stmnote_bank_17n(A24,$A$1,1)="0","",[1]!s_stmnote_bank_17n(A24,$A$1,1))</f>
        <v>3.99</v>
      </c>
      <c r="BM24" s="10">
        <f>IF([1]!s_stmnote_bank_18n(A24,$A$1,1)="0","",[1]!s_stmnote_bank_18n(A24,$A$1,1))</f>
        <v>36.61</v>
      </c>
      <c r="BN24" s="41">
        <v>4.2</v>
      </c>
      <c r="BO24" s="42">
        <v>2.31</v>
      </c>
      <c r="BP24" s="52">
        <f>[1]!s_stmnote_bank_5444(A24,$A$1,1)</f>
        <v>2.4</v>
      </c>
      <c r="BQ24" s="52">
        <f>[1]!s_stmnote_bank_129n($A24,$A$1,1)</f>
        <v>34.25</v>
      </c>
      <c r="BR24" s="52">
        <f t="shared" si="13"/>
        <v>4.6354519346655358</v>
      </c>
      <c r="BS24" s="52">
        <f>[1]!b_stm07_is(A24,19,$A$1,1,100000000)</f>
        <v>30.8193999171</v>
      </c>
      <c r="BT24" s="52">
        <f xml:space="preserve"> [1]!s_stm07_bs(A24,"W15273164",$A$1,1,100000000)-[1]!s_stm07_bs(A24,"W17642530",$A$1,1,100000000)-[1]!s_stm07_bs(A24,"W15910877",$A$1,1,100000000)-[1]!s_stm07_bs_39(A24,$A$1,1,100000000)-[1]!s_stm07_bs(A24,"W17700468",$A$1,1,100000000)-[1]!s_stm07_bs(A24,"W16504296",$A$1,1,100000000)-[1]!s_stm07_bs(A24,"W13769069",$A$1,1,100000000)</f>
        <v>763.09499742569994</v>
      </c>
      <c r="BU24" s="52">
        <f xml:space="preserve"> [1]!s_stm07_bs(A24,"W15273164",$B$1,1,100000000)-[1]!s_stm07_bs(A24,"W17642530",$B$1,1,100000000)-[1]!s_stm07_bs(A24,"W15910877",$B$1,1,100000000)-[1]!s_stm07_bs_39(A24,$B$1,1,100000000)-[1]!s_stm07_bs(A24,"W17700468",$B$1,1,100000000)-[1]!s_stm07_bs(A24,"W16504296",$B$1,1,100000000)-[1]!s_stm07_bs(A24,"W13769069",$B$1,1,100000000)</f>
        <v>645.05368004109982</v>
      </c>
      <c r="BV24" s="52">
        <f xml:space="preserve"> [1]!s_stm07_bs(A24,"W15273164",$E$1,1,100000000)-[1]!s_stm07_bs(A24,"W17642530",$E$1,1,100000000)-[1]!s_stm07_bs(A24,"W15910877",$E$1,1,100000000)-[1]!s_stm07_bs_39(A24,$E$1,1,100000000)-[1]!s_stm07_bs(A24,"W17700468",$E$1,1,100000000)-[1]!s_stm07_bs(A24,"W16504296",$E$1,1,100000000)-[1]!s_stm07_bs(A24,"W13769069",$E$1,1,100000000)</f>
        <v>710.05567253870004</v>
      </c>
      <c r="BW24" s="52">
        <f xml:space="preserve"> [1]!s_stm07_bs(A24,"W15273164",$F$1,1,100000000)-[1]!s_stm07_bs(A24,"W17642530",$F$1,1,100000000)-[1]!s_stm07_bs(A24,"W15910877",$F$1,1,100000000)-[1]!s_stm07_bs_39(A24,$F$1,1,100000000)-[1]!s_stm07_bs(A24,"W17700468",$F$1,1,100000000)-[1]!s_stm07_bs(A24,"W16504296",$F$1,1,100000000)-[1]!s_stm07_bs(A24,"W13769069",$F$1,1,100000000)</f>
        <v>695.10434590370005</v>
      </c>
      <c r="BX24" s="52">
        <f xml:space="preserve"> [1]!s_stm07_bs(A24,"W15273164",$G$1,1,100000000)-[1]!s_stm07_bs(A24,"W17642530",$G$1,1,100000000)-[1]!s_stm07_bs(A24,"W15910877",$G$1,1,100000000)-[1]!s_stm07_bs_39(A24,$G$1,1,100000000)-[1]!s_stm07_bs(A24,"W17700468",$G$1,1,100000000)-[1]!s_stm07_bs(A24,"W16504296",$G$1,1,100000000)-[1]!s_stm07_bs(A24,"W13769069",$G$1,1,100000000)</f>
        <v>640.05201502770001</v>
      </c>
      <c r="BY24" s="52">
        <f>IFERROR([1]!b_stm07_is(A24,20,$A$1,1,100000000)/AVERAGEIF(CA24:CE24,"&gt;0")*100,0)</f>
        <v>2.2903859234221606</v>
      </c>
      <c r="BZ24" s="52">
        <f>[1]!b_stm07_is(A24,20,$A$1,1,100000000)</f>
        <v>14.4862157369</v>
      </c>
      <c r="CA24" s="52">
        <f>[1]!s_stmnote_bank_38(A24,$A$1,1,100000000)</f>
        <v>699.83530094630009</v>
      </c>
      <c r="CB24" s="52">
        <f>[1]!s_stmnote_bank_38(A24,$B$1,1,100000000)</f>
        <v>593.18907744149999</v>
      </c>
      <c r="CC24" s="52">
        <f>[1]!s_stmnote_bank_38(A24,$E$1,1,100000000)</f>
        <v>645.06389158429999</v>
      </c>
      <c r="CD24" s="52">
        <f>[1]!s_stmnote_bank_38(A24,$F$1,1,100000000)</f>
        <v>637.19837386330005</v>
      </c>
      <c r="CE24" s="52">
        <f>[1]!s_stmnote_bank_38(A24,$G$1,1,100000000)</f>
        <v>587.10961191339993</v>
      </c>
      <c r="CF24" s="52">
        <f>IF(BP24&lt;&gt;0,BP24,IFERROR(IF(([1]!b_stm07_is(A24,19,$A$1,1,100000000)-[1]!b_stm07_is(A24,20,$A$1,1,100000000))/AVERAGE([1]!s_stmnote_bank_35(A24,$A$1,1,100000000),[1]!s_stmnote_bank_35(A24,$B$1,1,100000000))*100=0,"",([1]!b_stm07_is(A24,19,$A$1,1,100000000)-[1]!b_stm07_is(A24,20,$A$1,1,100000000))/AVERAGE([1]!s_stmnote_bank_35(A24,$A$1,1,100000000),[1]!s_stmnote_bank_35(A24,$B$1,1,100000000))*100),""))</f>
        <v>2.4</v>
      </c>
      <c r="CG24" s="27" t="str">
        <f t="shared" si="6"/>
        <v>35 171</v>
      </c>
      <c r="CH24" s="80">
        <f t="shared" si="14"/>
        <v>0.84702574144803122</v>
      </c>
      <c r="CI24" s="27" t="str">
        <f t="shared" si="7"/>
        <v>58 169</v>
      </c>
      <c r="CJ24" s="55">
        <f>[1]!s_stmnote_bank_30(A24,$A$1,1)</f>
        <v>0.44569999999999999</v>
      </c>
      <c r="CP24" s="69">
        <f>[1]!b_stm07_bs($A24,141,$A$1,1,100000000)</f>
        <v>65.726768664299996</v>
      </c>
      <c r="CQ24" s="69">
        <f>[1]!b_stm07_bs($A24,141,$D$1,1,100000000)</f>
        <v>69.830624877899993</v>
      </c>
      <c r="CR24" s="68">
        <f>IF([1]!s_fa_roic_yearly($A24,$A$1)=0,"",[1]!s_fa_roic_yearly($A24,$A$1))</f>
        <v>13.1616</v>
      </c>
      <c r="CS24" s="27">
        <f>RANK(CR24,CR$5:CR$192,0)/COUNTIF(CR$5:CR$192,"&gt;0")</f>
        <v>0.11834319526627218</v>
      </c>
      <c r="CT24" s="68">
        <f>IF([1]!s_fa_roic_yearly($A24,$D$1)=0,"",[1]!s_fa_roic_yearly($A24,$D$1))</f>
        <v>14.8606</v>
      </c>
      <c r="CU24" s="27">
        <f>RANK(CT24,CT$5:CT$192,0)/COUNTIF(CT$5:CT$192,"&gt;0")</f>
        <v>8.4507042253521125E-2</v>
      </c>
      <c r="CV24" s="78">
        <f>[1]!s_stm07_bs(A24,"W14578191",$A$1,1,100000000)</f>
        <v>463.3679212907</v>
      </c>
      <c r="CW24" s="78">
        <f>[1]!s_stmnote_bank_682($A24,$A$1,1,2,100000000)</f>
        <v>180.58683178689998</v>
      </c>
      <c r="CX24" s="79">
        <f t="shared" si="11"/>
        <v>0.38972665885864471</v>
      </c>
    </row>
    <row r="25" spans="1:102" s="46" customFormat="1" ht="13.5">
      <c r="A25" s="8" t="s">
        <v>926</v>
      </c>
      <c r="B25" s="8" t="s">
        <v>927</v>
      </c>
      <c r="C25" s="9" t="s">
        <v>928</v>
      </c>
      <c r="D25" s="9" t="s">
        <v>1061</v>
      </c>
      <c r="E25" s="10" t="s">
        <v>928</v>
      </c>
      <c r="F25" s="11" t="s">
        <v>178</v>
      </c>
      <c r="G25" s="11" t="s">
        <v>139</v>
      </c>
      <c r="H25" s="11" t="s">
        <v>179</v>
      </c>
      <c r="I25" s="11"/>
      <c r="J25" s="11">
        <f>VLOOKUP(B25,[3]额度信息!$B:$T,19,0)</f>
        <v>0</v>
      </c>
      <c r="K25" s="11" t="s">
        <v>929</v>
      </c>
      <c r="L25" s="27">
        <f>IFERROR(([1]!b_stm07_bs($A25,47,$A$1,1,100000000))/[1]!b_stm07_bs($A25,109,$A$1,1,100000000),"")</f>
        <v>8.9207294811965251E-2</v>
      </c>
      <c r="M25" s="20"/>
      <c r="N25" s="18"/>
      <c r="O25" s="27" t="e">
        <f t="shared" si="0"/>
        <v>#N/A</v>
      </c>
      <c r="P25" s="21">
        <f t="shared" si="12"/>
        <v>2.7069288682098708E-2</v>
      </c>
      <c r="Q25" s="27" t="str">
        <f t="shared" si="1"/>
        <v>71 169</v>
      </c>
      <c r="R25" s="18">
        <f>IFERROR([1]!s_stmnote_bank($A25,"34",$A$1,100000000)/[1]!s_stmnote_bank_1n(A25,$A$1,1,100000000),"")</f>
        <v>2.1769288682098709E-2</v>
      </c>
      <c r="S25" s="22"/>
      <c r="T25" s="22"/>
      <c r="U25" s="22"/>
      <c r="V25" s="22"/>
      <c r="W25" s="22"/>
      <c r="X25" s="22"/>
      <c r="Y25" s="22"/>
      <c r="Z25" s="25">
        <f>[1]!b_stm07_bs(A25,74,$A$1,1,100000000)</f>
        <v>1372.6299268067999</v>
      </c>
      <c r="AA25" s="25">
        <f>[1]!b_stm07_bs(A25,109,$A$1,1,100000000)</f>
        <v>1011.6485980572</v>
      </c>
      <c r="AB25" s="10">
        <f>[1]!s_stmnote_bank_5n(A25,$A$1,1)</f>
        <v>0.53</v>
      </c>
      <c r="AC25" s="25">
        <f>IF([1]!s_stmnote_bank_23n(A25,$A$1,1)=0,"",IFERROR([1]!s_stmnote_bank_23n(A25,$A$1,1),""))</f>
        <v>289.89999999999998</v>
      </c>
      <c r="AD25" s="27" t="str">
        <f t="shared" si="2"/>
        <v>103 167</v>
      </c>
      <c r="AE25" s="25">
        <f>[1]!s_stmnote_bank_capadequacyratio(A25,$A$1,1)</f>
        <v>13.64</v>
      </c>
      <c r="AF25" s="25">
        <f>IF([1]!s_stmnote_bank_capadequacyratio_ct1(A25,$A$1,1)=0,"",IFERROR([1]!s_stmnote_bank_capadequacyratio_ct1(A25,$A$1,1),""))</f>
        <v>10.27</v>
      </c>
      <c r="AG25" s="27" t="str">
        <f>RANK(AF25,AF$5:AF$192,0)&amp;" "&amp;COUNTIF(AF$5:AF$192,"&gt;0")</f>
        <v>76 167</v>
      </c>
      <c r="AH25" s="6">
        <f>IF(OR([1]!s_fa_roe(A25,20201231)=0,[1]!s_fa_roe(A25,20211231)="0",[1]!s_fa_roe(A25,20221231)="0"),"",IFERROR(([1]!s_fa_roe(A25,20221231)+[1]!s_fa_roe(A25,20201231)+[1]!s_fa_roe(A25,20211231))/3,""))</f>
        <v>6.5158999999999994</v>
      </c>
      <c r="AI25" s="27" t="str">
        <f t="shared" si="3"/>
        <v>61 173</v>
      </c>
      <c r="AJ25" s="28">
        <f>IFERROR(([1]!s_stmnote_bank_65(A25,$A$1,1,2,4,100000000)+[1]!s_stmnote_bank_65(A25,$A$1,1,2,6,100000000))/[1]!s_stmnote_bank_1n(A25,$A$1,1,100000000),"")</f>
        <v>0.11401155544319536</v>
      </c>
      <c r="AK25" s="28">
        <f>IFERROR([1]!s_stmnote_bank_614(A25,$A$1,1,2,100000000)/[1]!s_stmnote_bank_647(A25,$A$1,1,2,100000000),"")</f>
        <v>0.23778971052238679</v>
      </c>
      <c r="AL25" s="28">
        <f>IFERROR(([1]!b_stm07_bs(A25,104,$A$1,1,100000000)+[1]!b_stm07_bs(A25,106,$A$1,1,100000000)+[1]!b_stm07_bs(A25,76,$A$1,1,100000000)+[1]!b_stm07_bs(A25,108,$A$1,1,100000000)+[1]!b_stm07_bs(A25,95,$A$1,1,100000000))/[1]!b_stm07_bs(A25,128,$A$1,1,100000000),"")</f>
        <v>0.20863404654145118</v>
      </c>
      <c r="AM25" s="28">
        <f>IFERROR(([1]!s_stmnote_bank_614(A25,$A$1,1,2,100000000)+[1]!b_stm07_bs(A25,104,$A$1,1,100000000)+[1]!b_stm07_bs(A25,106,$A$1,1,100000000)+[1]!b_stm07_bs(A25,76,$A$1,1,100000000)+[1]!b_stm07_bs(A25,108,$A$1,1,100000000)+[1]!b_stm07_bs(A25,95,$A$1,1,100000000))/[1]!b_stm07_bs(A25,128,$A$1,1,100000000),"")</f>
        <v>0.39449829828752203</v>
      </c>
      <c r="AN25" s="31" t="e">
        <f>IF(Z25&gt;#REF!,#REF!,IF(Z25&gt;#REF!,#REF!,IF(Z25&gt;#REF!,#REF!,IF(Z25&gt;#REF!,#REF!,IF(Z25&gt;#REF!,#REF!,IF(Z25&gt;#REF!,#REF!,IF(Z25&gt;#REF!,#REF!,#REF!)))))))</f>
        <v>#REF!</v>
      </c>
      <c r="AO25" s="31" t="e">
        <f>IF(AA25&gt;#REF!,#REF!,IF(AA25&gt;#REF!,#REF!,IF(AA25&gt;#REF!,#REF!,IF(AA25&gt;#REF!,#REF!,IF(AA25&gt;#REF!,#REF!,IF(AA25&gt;#REF!,#REF!,IF(AA25&gt;#REF!,#REF!,#REF!)))))))</f>
        <v>#REF!</v>
      </c>
      <c r="AP25" s="31" t="e">
        <f>IF(AB25&lt;#REF!,#REF!,IF(AB25&lt;#REF!,#REF!,IF(AB25&lt;#REF!,#REF!,IF(AB25&lt;#REF!,#REF!,IF(AB25&lt;#REF!,#REF!,IF(AB25&lt;#REF!,#REF!,#REF!))))))</f>
        <v>#REF!</v>
      </c>
      <c r="AQ25" s="31" t="e">
        <f>IF(AC25&gt;#REF!,#REF!,IF(AC25&gt;#REF!,#REF!,IF(AC25&gt;#REF!,#REF!,IF(AC25&gt;#REF!,#REF!,#REF!))))</f>
        <v>#REF!</v>
      </c>
      <c r="AR25" s="31" t="e">
        <f>IF(AE25&gt;#REF!,#REF!,IF(AE25&gt;#REF!,#REF!,IF(AE25&gt;#REF!,#REF!,IF(AE25&gt;#REF!,#REF!,#REF!))))</f>
        <v>#REF!</v>
      </c>
      <c r="AS25" s="31" t="e">
        <f>IF(AF25&gt;#REF!,#REF!,IF(AF25&gt;#REF!,#REF!,IF(AF25&gt;#REF!,#REF!,IF(AF25&gt;#REF!,#REF!,#REF!))))</f>
        <v>#REF!</v>
      </c>
      <c r="AT25" s="31" t="e">
        <f>IF(AH25&gt;#REF!,#REF!,IF(AH25&gt;#REF!,#REF!,IF(AH25&gt;#REF!,#REF!,IF(AH25&gt;#REF!,#REF!,IF(AH25&gt;#REF!,#REF!,#REF!)))))</f>
        <v>#REF!</v>
      </c>
      <c r="AU25" s="10" t="e">
        <f t="shared" si="4"/>
        <v>#REF!</v>
      </c>
      <c r="AV25" s="10" t="s">
        <v>60</v>
      </c>
      <c r="AW25" s="10" t="s">
        <v>141</v>
      </c>
      <c r="AX25" s="10" t="s">
        <v>62</v>
      </c>
      <c r="AY25" s="31" t="str">
        <f>IFERROR(VLOOKUP(AV25,#REF!,3,0),"")</f>
        <v/>
      </c>
      <c r="AZ25" s="31" t="str">
        <f>IFERROR(VLOOKUP(AW25,#REF!,3,0),"")</f>
        <v/>
      </c>
      <c r="BA25" s="31" t="str">
        <f>IFERROR(VLOOKUP(AX25,#REF!,3,0),"")</f>
        <v/>
      </c>
      <c r="BB25" s="31" t="str">
        <f>IFERROR(AY25*#REF!+AZ25*#REF!+BA25*#REF!,"")</f>
        <v/>
      </c>
      <c r="BC25" s="32" t="str">
        <f t="shared" si="5"/>
        <v/>
      </c>
      <c r="BD25" s="32" t="str">
        <f>IFERROR(VLOOKUP(BC25*10,#REF!,2,1),"")</f>
        <v/>
      </c>
      <c r="BE25" s="11">
        <v>0</v>
      </c>
      <c r="BF25" s="11">
        <v>-1</v>
      </c>
      <c r="BG25" s="10" t="s">
        <v>262</v>
      </c>
      <c r="BH25" s="11" t="s">
        <v>930</v>
      </c>
      <c r="BI25" s="10">
        <v>51</v>
      </c>
      <c r="BJ25" s="33" t="s">
        <v>486</v>
      </c>
      <c r="BK25" s="33" t="s">
        <v>487</v>
      </c>
      <c r="BL25" s="10">
        <f>IF([1]!s_stmnote_bank_17n(A25,$A$1,1)="0","",[1]!s_stmnote_bank_17n(A25,$A$1,1))</f>
        <v>4.7</v>
      </c>
      <c r="BM25" s="10">
        <f>IF([1]!s_stmnote_bank_18n(A25,$A$1,1)="0","",[1]!s_stmnote_bank_18n(A25,$A$1,1))</f>
        <v>0</v>
      </c>
      <c r="BN25" s="41" t="s">
        <v>67</v>
      </c>
      <c r="BO25" s="42" t="s">
        <v>67</v>
      </c>
      <c r="BP25" s="52">
        <f>[1]!s_stmnote_bank_5444(A25,$A$1,1)</f>
        <v>1.96</v>
      </c>
      <c r="BQ25" s="52">
        <f>[1]!s_stmnote_bank_129n($A25,$A$1,1)</f>
        <v>57.4</v>
      </c>
      <c r="BR25" s="52">
        <f t="shared" si="13"/>
        <v>4.3704594043961222</v>
      </c>
      <c r="BS25" s="52">
        <f>[1]!b_stm07_is(A25,19,$A$1,1,100000000)</f>
        <v>51.288986225800002</v>
      </c>
      <c r="BT25" s="52">
        <f xml:space="preserve"> [1]!s_stm07_bs(A25,"W15273164",$A$1,1,100000000)-[1]!s_stm07_bs(A25,"W17642530",$A$1,1,100000000)-[1]!s_stm07_bs(A25,"W15910877",$A$1,1,100000000)-[1]!s_stm07_bs_39(A25,$A$1,1,100000000)-[1]!s_stm07_bs(A25,"W17700468",$A$1,1,100000000)-[1]!s_stm07_bs(A25,"W16504296",$A$1,1,100000000)-[1]!s_stm07_bs(A25,"W13769069",$A$1,1,100000000)</f>
        <v>1354.0412081995</v>
      </c>
      <c r="BU25" s="52">
        <f xml:space="preserve"> [1]!s_stm07_bs(A25,"W15273164",$B$1,1,100000000)-[1]!s_stm07_bs(A25,"W17642530",$B$1,1,100000000)-[1]!s_stm07_bs(A25,"W15910877",$B$1,1,100000000)-[1]!s_stm07_bs_39(A25,$B$1,1,100000000)-[1]!s_stm07_bs(A25,"W17700468",$B$1,1,100000000)-[1]!s_stm07_bs(A25,"W16504296",$B$1,1,100000000)-[1]!s_stm07_bs(A25,"W13769069",$B$1,1,100000000)</f>
        <v>1130.5428869713</v>
      </c>
      <c r="BV25" s="52">
        <f xml:space="preserve"> [1]!s_stm07_bs(A25,"W15273164",$E$1,1,100000000)-[1]!s_stm07_bs(A25,"W17642530",$E$1,1,100000000)-[1]!s_stm07_bs(A25,"W15910877",$E$1,1,100000000)-[1]!s_stm07_bs_39(A25,$E$1,1,100000000)-[1]!s_stm07_bs(A25,"W17700468",$E$1,1,100000000)-[1]!s_stm07_bs(A25,"W16504296",$E$1,1,100000000)-[1]!s_stm07_bs(A25,"W13769069",$E$1,1,100000000)</f>
        <v>1327.55</v>
      </c>
      <c r="BW25" s="52">
        <f xml:space="preserve"> [1]!s_stm07_bs(A25,"W15273164",$F$1,1,100000000)-[1]!s_stm07_bs(A25,"W17642530",$F$1,1,100000000)-[1]!s_stm07_bs(A25,"W15910877",$F$1,1,100000000)-[1]!s_stm07_bs_39(A25,$F$1,1,100000000)-[1]!s_stm07_bs(A25,"W17700468",$F$1,1,100000000)-[1]!s_stm07_bs(A25,"W16504296",$F$1,1,100000000)-[1]!s_stm07_bs(A25,"W13769069",$F$1,1,100000000)</f>
        <v>1246.08</v>
      </c>
      <c r="BX25" s="52">
        <f xml:space="preserve"> [1]!s_stm07_bs(A25,"W15273164",$G$1,1,100000000)-[1]!s_stm07_bs(A25,"W17642530",$G$1,1,100000000)-[1]!s_stm07_bs(A25,"W15910877",$G$1,1,100000000)-[1]!s_stm07_bs_39(A25,$G$1,1,100000000)-[1]!s_stm07_bs(A25,"W17700468",$G$1,1,100000000)-[1]!s_stm07_bs(A25,"W16504296",$G$1,1,100000000)-[1]!s_stm07_bs(A25,"W13769069",$G$1,1,100000000)</f>
        <v>1115.3599999999999</v>
      </c>
      <c r="BY25" s="52">
        <f>IFERROR([1]!b_stm07_is(A25,20,$A$1,1,100000000)/AVERAGEIF(CA25:CE25,"&gt;0")*100,0)</f>
        <v>2.2905395853624109</v>
      </c>
      <c r="BZ25" s="52">
        <f>[1]!b_stm07_is(A25,20,$A$1,1,100000000)</f>
        <v>27.068241429</v>
      </c>
      <c r="CA25" s="52">
        <f>[1]!s_stmnote_bank_38(A25,$A$1,1,100000000)</f>
        <v>1281.6786226743</v>
      </c>
      <c r="CB25" s="52">
        <f>[1]!s_stmnote_bank_38(A25,$B$1,1,100000000)</f>
        <v>1081.8030304679</v>
      </c>
      <c r="CC25" s="52">
        <f>[1]!s_stmnote_bank_38(A25,$E$1,1,100000000)</f>
        <v>0</v>
      </c>
      <c r="CD25" s="52">
        <f>[1]!s_stmnote_bank_38(A25,$F$1,1,100000000)</f>
        <v>0</v>
      </c>
      <c r="CE25" s="52">
        <f>[1]!s_stmnote_bank_38(A25,$G$1,1,100000000)</f>
        <v>0</v>
      </c>
      <c r="CF25" s="52">
        <f>IF(BP25&lt;&gt;0,BP25,IFERROR(IF(([1]!b_stm07_is(A25,19,$A$1,1,100000000)-[1]!b_stm07_is(A25,20,$A$1,1,100000000))/AVERAGE([1]!s_stmnote_bank_35(A25,$A$1,1,100000000),[1]!s_stmnote_bank_35(A25,$B$1,1,100000000))*100=0,"",([1]!b_stm07_is(A25,19,$A$1,1,100000000)-[1]!b_stm07_is(A25,20,$A$1,1,100000000))/AVERAGE([1]!s_stmnote_bank_35(A25,$A$1,1,100000000),[1]!s_stmnote_bank_35(A25,$B$1,1,100000000))*100),""))</f>
        <v>1.96</v>
      </c>
      <c r="CG25" s="27" t="str">
        <f t="shared" si="6"/>
        <v>99 171</v>
      </c>
      <c r="CH25" s="80">
        <f t="shared" si="14"/>
        <v>0.72406778878389033</v>
      </c>
      <c r="CI25" s="27" t="str">
        <f t="shared" si="7"/>
        <v>78 169</v>
      </c>
      <c r="CJ25" s="55">
        <f>[1]!s_stmnote_bank_30(A25,$A$1,1)</f>
        <v>-40.151899999999998</v>
      </c>
      <c r="CP25" s="69">
        <f>[1]!b_stm07_bs($A25,141,$A$1,1,100000000)</f>
        <v>78.353996806799998</v>
      </c>
      <c r="CQ25" s="69">
        <f>[1]!b_stm07_bs($A25,141,$D$1,1,100000000)</f>
        <v>78.17</v>
      </c>
      <c r="CR25" s="68">
        <f>IF([1]!s_fa_roic_yearly($A25,$A$1)=0,"",[1]!s_fa_roic_yearly($A25,$A$1))</f>
        <v>7.2526999999999999</v>
      </c>
      <c r="CS25" s="27" t="str">
        <f>RANK(CR25,CR$5:CR$192,1)&amp;" "&amp;COUNTIF(CR$5:CR$192,"&gt;0")</f>
        <v>61 169</v>
      </c>
      <c r="CT25" s="68" t="str">
        <f>IF([1]!s_fa_roic_yearly($A25,$D$1)=0,"",[1]!s_fa_roic_yearly($A25,$D$1))</f>
        <v/>
      </c>
      <c r="CU25" s="27" t="e">
        <f>RANK(CT25,CT$5:CT$192,1)&amp;" "&amp;COUNTIF(CT$5:CT$192,"&gt;0")</f>
        <v>#VALUE!</v>
      </c>
      <c r="CV25" s="78">
        <f>[1]!s_stm07_bs(A25,"W14578191",$A$1,1,100000000)</f>
        <v>527.83353044879993</v>
      </c>
      <c r="CW25" s="78">
        <f>[1]!s_stmnote_bank_682($A25,$A$1,1,2,100000000)</f>
        <v>252.78385210569999</v>
      </c>
      <c r="CX25" s="79">
        <f t="shared" si="11"/>
        <v>0.47890828741168828</v>
      </c>
    </row>
    <row r="26" spans="1:102" s="46" customFormat="1" ht="13.5">
      <c r="A26" s="8" t="s">
        <v>307</v>
      </c>
      <c r="B26" s="8" t="s">
        <v>308</v>
      </c>
      <c r="C26" s="9" t="s">
        <v>309</v>
      </c>
      <c r="D26" s="9" t="s">
        <v>1061</v>
      </c>
      <c r="E26" s="10" t="s">
        <v>309</v>
      </c>
      <c r="F26" s="11" t="s">
        <v>178</v>
      </c>
      <c r="G26" s="11" t="s">
        <v>245</v>
      </c>
      <c r="H26" s="11" t="s">
        <v>245</v>
      </c>
      <c r="I26" s="11"/>
      <c r="J26" s="11">
        <f>VLOOKUP(B26,[3]额度信息!$B:$T,19,0)</f>
        <v>2</v>
      </c>
      <c r="K26" s="11" t="s">
        <v>310</v>
      </c>
      <c r="L26" s="27">
        <f>IFERROR(([1]!b_stm07_bs($A26,47,$A$1,1,100000000))/[1]!b_stm07_bs($A26,109,$A$1,1,100000000),"")</f>
        <v>7.9492891612381711E-2</v>
      </c>
      <c r="M26" s="20"/>
      <c r="N26" s="18"/>
      <c r="O26" s="27" t="e">
        <f t="shared" si="0"/>
        <v>#N/A</v>
      </c>
      <c r="P26" s="21">
        <f t="shared" si="12"/>
        <v>1.2566397474916067E-2</v>
      </c>
      <c r="Q26" s="27" t="str">
        <f t="shared" si="1"/>
        <v>11 169</v>
      </c>
      <c r="R26" s="19">
        <f>IFERROR([1]!s_stmnote_bank($A26,"34",$A$1,100000000)/[1]!s_stmnote_bank_1n(A26,$A$1,1,100000000),"")</f>
        <v>2.9663974749160678E-3</v>
      </c>
      <c r="S26" s="22"/>
      <c r="T26" s="22"/>
      <c r="U26" s="22"/>
      <c r="V26" s="22"/>
      <c r="W26" s="22"/>
      <c r="X26" s="22"/>
      <c r="Y26" s="22"/>
      <c r="Z26" s="25">
        <f>[1]!b_stm07_bs(A26,74,$A$1,1,100000000)</f>
        <v>3161.5760237727004</v>
      </c>
      <c r="AA26" s="25">
        <f>[1]!b_stm07_bs(A26,109,$A$1,1,100000000)</f>
        <v>2415.1846236348997</v>
      </c>
      <c r="AB26" s="10">
        <f>[1]!s_stmnote_bank_5n(A26,$A$1,1)</f>
        <v>0.96</v>
      </c>
      <c r="AC26" s="25">
        <f>IF([1]!s_stmnote_bank_23n(A26,$A$1,1)=0,"",IFERROR([1]!s_stmnote_bank_23n(A26,$A$1,1),""))</f>
        <v>312.49</v>
      </c>
      <c r="AD26" s="27" t="str">
        <f t="shared" si="2"/>
        <v>113 167</v>
      </c>
      <c r="AE26" s="25">
        <f>[1]!s_stmnote_bank_capadequacyratio(A26,$A$1,1)</f>
        <v>16.38</v>
      </c>
      <c r="AF26" s="25">
        <f>IF([1]!s_stmnote_bank_capadequacyratio_ct1(A26,$A$1,1)=0,"",IFERROR([1]!s_stmnote_bank_capadequacyratio_ct1(A26,$A$1,1),""))</f>
        <v>11.7</v>
      </c>
      <c r="AG26" s="27" t="str">
        <f>RANK(AF26,AF$5:AF$192,1)&amp;" "&amp;COUNTIF(AF$5:AF$192,"&gt;0")</f>
        <v>117 167</v>
      </c>
      <c r="AH26" s="6">
        <f>IF(OR([1]!s_fa_roe(A26,20201231)=0,[1]!s_fa_roe(A26,20211231)="0",[1]!s_fa_roe(A26,20221231)="0"),"",IFERROR(([1]!s_fa_roe(A26,20221231)+[1]!s_fa_roe(A26,20201231)+[1]!s_fa_roe(A26,20211231))/3,""))</f>
        <v>16.776799999999998</v>
      </c>
      <c r="AI26" s="27" t="str">
        <f t="shared" si="3"/>
        <v>174 173</v>
      </c>
      <c r="AJ26" s="28">
        <f>IFERROR(([1]!s_stmnote_bank_65(A26,$A$1,1,2,4,100000000)+[1]!s_stmnote_bank_65(A26,$A$1,1,2,6,100000000))/[1]!s_stmnote_bank_1n(A26,$A$1,1,100000000),"")</f>
        <v>0.12045648682232939</v>
      </c>
      <c r="AK26" s="28">
        <f>IFERROR([1]!s_stmnote_bank_614(A26,$A$1,1,2,100000000)/[1]!s_stmnote_bank_647(A26,$A$1,1,2,100000000),"")</f>
        <v>0.13722112464877115</v>
      </c>
      <c r="AL26" s="28">
        <f>IFERROR(([1]!b_stm07_bs(A26,104,$A$1,1,100000000)+[1]!b_stm07_bs(A26,106,$A$1,1,100000000)+[1]!b_stm07_bs(A26,76,$A$1,1,100000000)+[1]!b_stm07_bs(A26,108,$A$1,1,100000000)+[1]!b_stm07_bs(A26,95,$A$1,1,100000000))/[1]!b_stm07_bs(A26,128,$A$1,1,100000000),"")</f>
        <v>0.110650551221322</v>
      </c>
      <c r="AM26" s="28">
        <f>IFERROR(([1]!s_stmnote_bank_614(A26,$A$1,1,2,100000000)+[1]!b_stm07_bs(A26,104,$A$1,1,100000000)+[1]!b_stm07_bs(A26,106,$A$1,1,100000000)+[1]!b_stm07_bs(A26,76,$A$1,1,100000000)+[1]!b_stm07_bs(A26,108,$A$1,1,100000000)+[1]!b_stm07_bs(A26,95,$A$1,1,100000000))/[1]!b_stm07_bs(A26,128,$A$1,1,100000000),"")</f>
        <v>0.22504219911803436</v>
      </c>
      <c r="AN26" s="31" t="e">
        <f>IF(Z26&gt;#REF!,#REF!,IF(Z26&gt;#REF!,#REF!,IF(Z26&gt;#REF!,#REF!,IF(Z26&gt;#REF!,#REF!,IF(Z26&gt;#REF!,#REF!,IF(Z26&gt;#REF!,#REF!,IF(Z26&gt;#REF!,#REF!,#REF!)))))))</f>
        <v>#REF!</v>
      </c>
      <c r="AO26" s="31" t="e">
        <f>IF(AA26&gt;#REF!,#REF!,IF(AA26&gt;#REF!,#REF!,IF(AA26&gt;#REF!,#REF!,IF(AA26&gt;#REF!,#REF!,IF(AA26&gt;#REF!,#REF!,IF(AA26&gt;#REF!,#REF!,IF(AA26&gt;#REF!,#REF!,#REF!)))))))</f>
        <v>#REF!</v>
      </c>
      <c r="AP26" s="31" t="e">
        <f>IF(AB26&lt;#REF!,#REF!,IF(AB26&lt;#REF!,#REF!,IF(AB26&lt;#REF!,#REF!,IF(AB26&lt;#REF!,#REF!,IF(AB26&lt;#REF!,#REF!,IF(AB26&lt;#REF!,#REF!,#REF!))))))</f>
        <v>#REF!</v>
      </c>
      <c r="AQ26" s="31" t="e">
        <f>IF(AC26&gt;#REF!,#REF!,IF(AC26&gt;#REF!,#REF!,IF(AC26&gt;#REF!,#REF!,IF(AC26&gt;#REF!,#REF!,#REF!))))</f>
        <v>#REF!</v>
      </c>
      <c r="AR26" s="31" t="e">
        <f>IF(AE26&gt;#REF!,#REF!,IF(AE26&gt;#REF!,#REF!,IF(AE26&gt;#REF!,#REF!,IF(AE26&gt;#REF!,#REF!,#REF!))))</f>
        <v>#REF!</v>
      </c>
      <c r="AS26" s="31" t="e">
        <f>IF(AF26&gt;#REF!,#REF!,IF(AF26&gt;#REF!,#REF!,IF(AF26&gt;#REF!,#REF!,IF(AF26&gt;#REF!,#REF!,#REF!))))</f>
        <v>#REF!</v>
      </c>
      <c r="AT26" s="31" t="e">
        <f>IF(AH26&gt;#REF!,#REF!,IF(AH26&gt;#REF!,#REF!,IF(AH26&gt;#REF!,#REF!,IF(AH26&gt;#REF!,#REF!,IF(AH26&gt;#REF!,#REF!,#REF!)))))</f>
        <v>#REF!</v>
      </c>
      <c r="AU26" s="10" t="e">
        <f t="shared" si="4"/>
        <v>#REF!</v>
      </c>
      <c r="AV26" s="10" t="s">
        <v>141</v>
      </c>
      <c r="AW26" s="10" t="s">
        <v>69</v>
      </c>
      <c r="AX26" s="10" t="s">
        <v>62</v>
      </c>
      <c r="AY26" s="31" t="str">
        <f>IFERROR(VLOOKUP(AV26,#REF!,3,0),"")</f>
        <v/>
      </c>
      <c r="AZ26" s="31" t="str">
        <f>IFERROR(VLOOKUP(AW26,#REF!,3,0),"")</f>
        <v/>
      </c>
      <c r="BA26" s="31" t="str">
        <f>IFERROR(VLOOKUP(AX26,#REF!,3,0),"")</f>
        <v/>
      </c>
      <c r="BB26" s="31" t="str">
        <f>IFERROR(AY26*#REF!+AZ26*#REF!+BA26*#REF!,"")</f>
        <v/>
      </c>
      <c r="BC26" s="32" t="str">
        <f t="shared" si="5"/>
        <v/>
      </c>
      <c r="BD26" s="32" t="str">
        <f>IFERROR(VLOOKUP(BC26*10,#REF!,2,1),"")</f>
        <v/>
      </c>
      <c r="BE26" s="11">
        <v>1</v>
      </c>
      <c r="BF26" s="11">
        <v>-2</v>
      </c>
      <c r="BG26" s="10" t="s">
        <v>311</v>
      </c>
      <c r="BH26" s="11" t="s">
        <v>312</v>
      </c>
      <c r="BI26" s="10">
        <v>24.860000610351602</v>
      </c>
      <c r="BJ26" s="33" t="s">
        <v>111</v>
      </c>
      <c r="BK26" s="33" t="s">
        <v>112</v>
      </c>
      <c r="BL26" s="10">
        <f>IF([1]!s_stmnote_bank_17n(A26,$A$1,1)="0","",[1]!s_stmnote_bank_17n(A26,$A$1,1))</f>
        <v>0.91</v>
      </c>
      <c r="BM26" s="10">
        <f>IF([1]!s_stmnote_bank_18n(A26,$A$1,1)="0","",[1]!s_stmnote_bank_18n(A26,$A$1,1))</f>
        <v>0</v>
      </c>
      <c r="BN26" s="41" t="s">
        <v>67</v>
      </c>
      <c r="BO26" s="68" t="s">
        <v>67</v>
      </c>
      <c r="BP26" s="52">
        <f>[1]!s_stmnote_bank_5444(A26,$A$1,1)</f>
        <v>3.55</v>
      </c>
      <c r="BQ26" s="52">
        <f>[1]!s_stmnote_bank_129n($A26,$A$1,1)</f>
        <v>36.79</v>
      </c>
      <c r="BR26" s="52">
        <f t="shared" si="13"/>
        <v>5.8212619938486236</v>
      </c>
      <c r="BS26" s="52">
        <f>[1]!b_stm07_is(A26,19,$A$1,1,100000000)</f>
        <v>163.567979294</v>
      </c>
      <c r="BT26" s="52">
        <f xml:space="preserve"> [1]!s_stm07_bs(A26,"W15273164",$A$1,1,100000000)-[1]!s_stm07_bs(A26,"W17642530",$A$1,1,100000000)-[1]!s_stm07_bs(A26,"W15910877",$A$1,1,100000000)-[1]!s_stm07_bs_39(A26,$A$1,1,100000000)-[1]!s_stm07_bs(A26,"W17700468",$A$1,1,100000000)-[1]!s_stm07_bs(A26,"W16504296",$A$1,1,100000000)-[1]!s_stm07_bs(A26,"W13769069",$A$1,1,100000000)</f>
        <v>3123.443493176901</v>
      </c>
      <c r="BU26" s="52">
        <f xml:space="preserve"> [1]!s_stm07_bs(A26,"W15273164",$B$1,1,100000000)-[1]!s_stm07_bs(A26,"W17642530",$B$1,1,100000000)-[1]!s_stm07_bs(A26,"W15910877",$B$1,1,100000000)-[1]!s_stm07_bs_39(A26,$B$1,1,100000000)-[1]!s_stm07_bs(A26,"W17700468",$B$1,1,100000000)-[1]!s_stm07_bs(A26,"W16504296",$B$1,1,100000000)-[1]!s_stm07_bs(A26,"W13769069",$B$1,1,100000000)</f>
        <v>2729.9995570428005</v>
      </c>
      <c r="BV26" s="52">
        <f xml:space="preserve"> [1]!s_stm07_bs(A26,"W15273164",$E$1,1,100000000)-[1]!s_stm07_bs(A26,"W17642530",$E$1,1,100000000)-[1]!s_stm07_bs(A26,"W15910877",$E$1,1,100000000)-[1]!s_stm07_bs_39(A26,$E$1,1,100000000)-[1]!s_stm07_bs(A26,"W17700468",$E$1,1,100000000)-[1]!s_stm07_bs(A26,"W16504296",$E$1,1,100000000)-[1]!s_stm07_bs(A26,"W13769069",$E$1,1,100000000)</f>
        <v>3024.1624906797992</v>
      </c>
      <c r="BW26" s="52">
        <f xml:space="preserve"> [1]!s_stm07_bs(A26,"W15273164",$F$1,1,100000000)-[1]!s_stm07_bs(A26,"W17642530",$F$1,1,100000000)-[1]!s_stm07_bs(A26,"W15910877",$F$1,1,100000000)-[1]!s_stm07_bs_39(A26,$F$1,1,100000000)-[1]!s_stm07_bs(A26,"W17700468",$F$1,1,100000000)-[1]!s_stm07_bs(A26,"W16504296",$F$1,1,100000000)-[1]!s_stm07_bs(A26,"W13769069",$F$1,1,100000000)</f>
        <v>2946.0671254167</v>
      </c>
      <c r="BX26" s="52">
        <f xml:space="preserve"> [1]!s_stm07_bs(A26,"W15273164",$G$1,1,100000000)-[1]!s_stm07_bs(A26,"W17642530",$G$1,1,100000000)-[1]!s_stm07_bs(A26,"W15910877",$G$1,1,100000000)-[1]!s_stm07_bs_39(A26,$G$1,1,100000000)-[1]!s_stm07_bs(A26,"W17700468",$G$1,1,100000000)-[1]!s_stm07_bs(A26,"W16504296",$G$1,1,100000000)-[1]!s_stm07_bs(A26,"W13769069",$G$1,1,100000000)</f>
        <v>2813.5645087981993</v>
      </c>
      <c r="BY26" s="52">
        <f>IFERROR([1]!b_stm07_is(A26,20,$A$1,1,100000000)/AVERAGEIF(CA26:CE26,"&gt;0")*100,0)</f>
        <v>2.3487870076798245</v>
      </c>
      <c r="BZ26" s="52">
        <f>[1]!b_stm07_is(A26,20,$A$1,1,100000000)</f>
        <v>60.128933411400006</v>
      </c>
      <c r="CA26" s="52">
        <f>[1]!s_stmnote_bank_38(A26,$A$1,1,100000000)</f>
        <v>2861.6000910003004</v>
      </c>
      <c r="CB26" s="52">
        <f>[1]!s_stmnote_bank_38(A26,$B$1,1,100000000)</f>
        <v>2451.7535832858998</v>
      </c>
      <c r="CC26" s="52">
        <f>[1]!s_stmnote_bank_38(A26,$E$1,1,100000000)</f>
        <v>2557.7490317604997</v>
      </c>
      <c r="CD26" s="52">
        <f>[1]!s_stmnote_bank_38(A26,$F$1,1,100000000)</f>
        <v>2483.0845903904997</v>
      </c>
      <c r="CE26" s="52">
        <f>[1]!s_stmnote_bank_38(A26,$G$1,1,100000000)</f>
        <v>2445.8097264509001</v>
      </c>
      <c r="CF26" s="52">
        <f>IF(BP26&lt;&gt;0,BP26,IFERROR(IF(([1]!b_stm07_is(A26,19,$A$1,1,100000000)-[1]!b_stm07_is(A26,20,$A$1,1,100000000))/AVERAGE([1]!s_stmnote_bank_35(A26,$A$1,1,100000000),[1]!s_stmnote_bank_35(A26,$B$1,1,100000000))*100=0,"",([1]!b_stm07_is(A26,19,$A$1,1,100000000)-[1]!b_stm07_is(A26,20,$A$1,1,100000000))/AVERAGE([1]!s_stmnote_bank_35(A26,$A$1,1,100000000),[1]!s_stmnote_bank_35(A26,$B$1,1,100000000))*100),""))</f>
        <v>3.55</v>
      </c>
      <c r="CG26" s="27" t="str">
        <f t="shared" si="6"/>
        <v>4 171</v>
      </c>
      <c r="CH26" s="80">
        <f t="shared" si="14"/>
        <v>2.824994201469591</v>
      </c>
      <c r="CI26" s="27" t="str">
        <f t="shared" si="7"/>
        <v>4 169</v>
      </c>
      <c r="CJ26" s="55">
        <f>[1]!s_stmnote_bank_30(A26,$A$1,1)</f>
        <v>7.5304000000000002</v>
      </c>
      <c r="CP26" s="69">
        <f>[1]!b_stm07_bs($A26,141,$A$1,1,100000000)</f>
        <v>264.38591957169996</v>
      </c>
      <c r="CQ26" s="69">
        <f>[1]!b_stm07_bs($A26,141,$D$1,1,100000000)</f>
        <v>274.01804176540003</v>
      </c>
      <c r="CR26" s="68">
        <f>IF([1]!s_fa_roic_yearly($A26,$A$1)=0,"",[1]!s_fa_roic_yearly($A26,$A$1))</f>
        <v>17.158100000000001</v>
      </c>
      <c r="CS26" s="27">
        <f>RANK(CR26,CR$5:CR$192,0)/COUNTIF(CR$5:CR$192,"&gt;0")</f>
        <v>1.1834319526627219E-2</v>
      </c>
      <c r="CT26" s="68">
        <f>IF([1]!s_fa_roic_yearly($A26,$D$1)=0,"",[1]!s_fa_roic_yearly($A26,$D$1))</f>
        <v>16.626799999999999</v>
      </c>
      <c r="CU26" s="27">
        <f>RANK(CT26,CT$5:CT$192,0)/COUNTIF(CT$5:CT$192,"&gt;0")</f>
        <v>4.9295774647887321E-2</v>
      </c>
      <c r="CV26" s="78">
        <f>[1]!s_stm07_bs(A26,"W14578191",$A$1,1,100000000)</f>
        <v>1873.4585197293</v>
      </c>
      <c r="CW26" s="78">
        <f>[1]!s_stmnote_bank_682($A26,$A$1,1,2,100000000)</f>
        <v>151.91119279980001</v>
      </c>
      <c r="CX26" s="79">
        <f t="shared" si="11"/>
        <v>8.1085965448410346E-2</v>
      </c>
    </row>
    <row r="27" spans="1:102" ht="13.5">
      <c r="A27" s="8" t="s">
        <v>577</v>
      </c>
      <c r="B27" s="8" t="s">
        <v>578</v>
      </c>
      <c r="C27" s="9" t="s">
        <v>579</v>
      </c>
      <c r="D27" s="9" t="s">
        <v>1064</v>
      </c>
      <c r="E27" s="9" t="s">
        <v>579</v>
      </c>
      <c r="F27" s="11" t="s">
        <v>178</v>
      </c>
      <c r="G27" s="11" t="s">
        <v>580</v>
      </c>
      <c r="H27" s="11" t="s">
        <v>66</v>
      </c>
      <c r="I27" s="11"/>
      <c r="J27" s="11">
        <f>VLOOKUP(B27,[3]额度信息!$B:$T,19,0)</f>
        <v>0</v>
      </c>
      <c r="K27" s="11" t="s">
        <v>581</v>
      </c>
      <c r="L27" s="27">
        <f>IFERROR(([1]!b_stm07_bs($A27,47,$A$1,1,100000000))/[1]!b_stm07_bs($A27,109,$A$1,1,100000000),"")</f>
        <v>0.15816143781541259</v>
      </c>
      <c r="M27" s="20">
        <v>386.46</v>
      </c>
      <c r="N27" s="18">
        <f>IFERROR(([1]!s_stmnote_bank_26($A27,$A$1,1,100000000)-[1]!s_stmnote_bank_26($A27,$B$1,1,100000000)+M27)/[1]!s_stmnote_bank_1n($A27,$B$1,1,100000000),"")</f>
        <v>2.185801796934829E-2</v>
      </c>
      <c r="O27" s="27" t="str">
        <f t="shared" si="0"/>
        <v>43 50</v>
      </c>
      <c r="P27" s="21">
        <f t="shared" si="12"/>
        <v>2.8909804438106389E-2</v>
      </c>
      <c r="Q27" s="27" t="str">
        <f t="shared" si="1"/>
        <v>79 169</v>
      </c>
      <c r="R27" s="18">
        <f>IFERROR([1]!s_stmnote_bank($A27,"34",$A$1,100000000)/[1]!s_stmnote_bank_1n(A27,$A$1,1,100000000),"")</f>
        <v>1.4809804438106387E-2</v>
      </c>
      <c r="S27" s="22">
        <v>4.1472059134057798E-2</v>
      </c>
      <c r="T27" s="22">
        <v>2.0881882747309399E-2</v>
      </c>
      <c r="U27" s="22">
        <v>2.2713041305599702E-2</v>
      </c>
      <c r="V27" s="22"/>
      <c r="W27" s="22">
        <v>3.9922047411782799E-4</v>
      </c>
      <c r="X27" s="22">
        <v>7.8961607459726198E-3</v>
      </c>
      <c r="Y27" s="22">
        <v>0.97817988291644498</v>
      </c>
      <c r="Z27" s="25">
        <f>[1]!b_stm07_bs(A27,74,$A$1,1,100000000)</f>
        <v>33599.845459999997</v>
      </c>
      <c r="AA27" s="25">
        <f>[1]!b_stm07_bs(A27,109,$A$1,1,100000000)</f>
        <v>20947.732049999999</v>
      </c>
      <c r="AB27" s="10">
        <f>[1]!s_stmnote_bank_5n(A27,$A$1,1)</f>
        <v>1.41</v>
      </c>
      <c r="AC27" s="25">
        <f>IF([1]!s_stmnote_bank_23n(A27,$A$1,1)=0,"",IFERROR([1]!s_stmnote_bank_23n(A27,$A$1,1),""))</f>
        <v>186.27</v>
      </c>
      <c r="AD27" s="27" t="str">
        <f t="shared" si="2"/>
        <v>53 167</v>
      </c>
      <c r="AE27" s="25">
        <f>[1]!s_stmnote_bank_capadequacyratio(A27,$A$1,1)</f>
        <v>12.37</v>
      </c>
      <c r="AF27" s="25">
        <f>IF([1]!s_stmnote_bank_capadequacyratio_ct1(A27,$A$1,1)=0,"",IFERROR([1]!s_stmnote_bank_capadequacyratio_ct1(A27,$A$1,1),""))</f>
        <v>7.93</v>
      </c>
      <c r="AG27" s="27" t="str">
        <f>RANK(AF27,AF$5:AF$192,0)&amp;" "&amp;COUNTIF(AF$5:AF$192,"&gt;0")</f>
        <v>163 167</v>
      </c>
      <c r="AH27" s="6">
        <f>IF(OR([1]!s_fa_roe(A27,20201231)=0,[1]!s_fa_roe(A27,20211231)="0",[1]!s_fa_roe(A27,20221231)="0"),"",IFERROR(([1]!s_fa_roe(A27,20221231)+[1]!s_fa_roe(A27,20201231)+[1]!s_fa_roe(A27,20211231))/3,""))</f>
        <v>6.8124333333333338</v>
      </c>
      <c r="AI27" s="27" t="str">
        <f t="shared" si="3"/>
        <v>69 173</v>
      </c>
      <c r="AJ27" s="28">
        <f>IFERROR(([1]!s_stmnote_bank_65(A27,$A$1,1,2,4,100000000)+[1]!s_stmnote_bank_65(A27,$A$1,1,2,6,100000000))/[1]!s_stmnote_bank_1n(A27,$A$1,1,100000000),"")</f>
        <v>0.10568988077224596</v>
      </c>
      <c r="AK27" s="28">
        <f>IFERROR([1]!s_stmnote_bank_614(A27,$A$1,1,2,100000000)/[1]!s_stmnote_bank_647(A27,$A$1,1,2,100000000),"")</f>
        <v>0.33908981091821827</v>
      </c>
      <c r="AL27" s="28">
        <f>IFERROR(([1]!b_stm07_bs(A27,104,$A$1,1,100000000)+[1]!b_stm07_bs(A27,106,$A$1,1,100000000)+[1]!b_stm07_bs(A27,76,$A$1,1,100000000)+[1]!b_stm07_bs(A27,108,$A$1,1,100000000)+[1]!b_stm07_bs(A27,95,$A$1,1,100000000))/[1]!b_stm07_bs(A27,128,$A$1,1,100000000),"")</f>
        <v>0.30068566719372253</v>
      </c>
      <c r="AM27" s="28">
        <f>IFERROR(([1]!s_stmnote_bank_614(A27,$A$1,1,2,100000000)+[1]!b_stm07_bs(A27,104,$A$1,1,100000000)+[1]!b_stm07_bs(A27,106,$A$1,1,100000000)+[1]!b_stm07_bs(A27,76,$A$1,1,100000000)+[1]!b_stm07_bs(A27,108,$A$1,1,100000000)+[1]!b_stm07_bs(A27,95,$A$1,1,100000000))/[1]!b_stm07_bs(A27,128,$A$1,1,100000000),"")</f>
        <v>0.52795168343267862</v>
      </c>
      <c r="AN27" s="31" t="e">
        <f>IF(Z27&gt;#REF!,#REF!,IF(Z27&gt;#REF!,#REF!,IF(Z27&gt;#REF!,#REF!,IF(Z27&gt;#REF!,#REF!,IF(Z27&gt;#REF!,#REF!,IF(Z27&gt;#REF!,#REF!,IF(Z27&gt;#REF!,#REF!,#REF!)))))))</f>
        <v>#REF!</v>
      </c>
      <c r="AO27" s="31" t="e">
        <f>IF(AA27&gt;#REF!,#REF!,IF(AA27&gt;#REF!,#REF!,IF(AA27&gt;#REF!,#REF!,IF(AA27&gt;#REF!,#REF!,IF(AA27&gt;#REF!,#REF!,IF(AA27&gt;#REF!,#REF!,IF(AA27&gt;#REF!,#REF!,#REF!)))))))</f>
        <v>#REF!</v>
      </c>
      <c r="AP27" s="31" t="e">
        <f>IF(AB27&lt;#REF!,#REF!,IF(AB27&lt;#REF!,#REF!,IF(AB27&lt;#REF!,#REF!,IF(AB27&lt;#REF!,#REF!,IF(AB27&lt;#REF!,#REF!,IF(AB27&lt;#REF!,#REF!,#REF!))))))</f>
        <v>#REF!</v>
      </c>
      <c r="AQ27" s="31" t="e">
        <f>IF(AC27&gt;#REF!,#REF!,IF(AC27&gt;#REF!,#REF!,IF(AC27&gt;#REF!,#REF!,IF(AC27&gt;#REF!,#REF!,#REF!))))</f>
        <v>#REF!</v>
      </c>
      <c r="AR27" s="31" t="e">
        <f>IF(AE27&gt;#REF!,#REF!,IF(AE27&gt;#REF!,#REF!,IF(AE27&gt;#REF!,#REF!,IF(AE27&gt;#REF!,#REF!,#REF!))))</f>
        <v>#REF!</v>
      </c>
      <c r="AS27" s="31" t="e">
        <f>IF(AF27&gt;#REF!,#REF!,IF(AF27&gt;#REF!,#REF!,IF(AF27&gt;#REF!,#REF!,IF(AF27&gt;#REF!,#REF!,#REF!))))</f>
        <v>#REF!</v>
      </c>
      <c r="AT27" s="31" t="e">
        <f>IF(AH27&gt;#REF!,#REF!,IF(AH27&gt;#REF!,#REF!,IF(AH27&gt;#REF!,#REF!,IF(AH27&gt;#REF!,#REF!,IF(AH27&gt;#REF!,#REF!,#REF!)))))</f>
        <v>#REF!</v>
      </c>
      <c r="AU27" s="10" t="e">
        <f t="shared" si="4"/>
        <v>#REF!</v>
      </c>
      <c r="AV27" s="10" t="s">
        <v>395</v>
      </c>
      <c r="AW27" s="10" t="s">
        <v>61</v>
      </c>
      <c r="AX27" s="10" t="s">
        <v>62</v>
      </c>
      <c r="AY27" s="31" t="str">
        <f>IFERROR(VLOOKUP(AV27,#REF!,3,0),"")</f>
        <v/>
      </c>
      <c r="AZ27" s="31" t="str">
        <f>IFERROR(VLOOKUP(AW27,#REF!,3,0),"")</f>
        <v/>
      </c>
      <c r="BA27" s="31" t="str">
        <f>IFERROR(VLOOKUP(AX27,#REF!,3,0),"")</f>
        <v/>
      </c>
      <c r="BB27" s="31" t="str">
        <f>IFERROR(AY27*#REF!+AZ27*#REF!+BA27*#REF!,"")</f>
        <v/>
      </c>
      <c r="BC27" s="32" t="str">
        <f t="shared" si="5"/>
        <v/>
      </c>
      <c r="BD27" s="32" t="str">
        <f>IFERROR(VLOOKUP(BC27*10,#REF!,2,1),"")</f>
        <v/>
      </c>
      <c r="BE27" s="11">
        <v>2</v>
      </c>
      <c r="BF27" s="11">
        <v>0</v>
      </c>
      <c r="BG27" s="10" t="s">
        <v>582</v>
      </c>
      <c r="BH27" s="11" t="s">
        <v>583</v>
      </c>
      <c r="BI27" s="10">
        <v>43.686000823974602</v>
      </c>
      <c r="BJ27" s="33" t="s">
        <v>71</v>
      </c>
      <c r="BK27" s="33" t="s">
        <v>72</v>
      </c>
      <c r="BL27" s="10">
        <f>IF([1]!s_stmnote_bank_17n(A27,$A$1,1)="0","",[1]!s_stmnote_bank_17n(A27,$A$1,1))</f>
        <v>1.52</v>
      </c>
      <c r="BM27" s="10">
        <f>IF([1]!s_stmnote_bank_18n(A27,$A$1,1)="0","",[1]!s_stmnote_bank_18n(A27,$A$1,1))</f>
        <v>11.58</v>
      </c>
      <c r="BN27" s="41">
        <v>4.1900000000000004</v>
      </c>
      <c r="BO27" s="52">
        <v>2.5099999999999998</v>
      </c>
      <c r="BP27" s="52">
        <f>[1]!s_stmnote_bank_5444(A27,$A$1,1)</f>
        <v>1.88</v>
      </c>
      <c r="BQ27" s="52">
        <f>[1]!s_stmnote_bank_129n($A27,$A$1,1)</f>
        <v>36.4</v>
      </c>
      <c r="BR27" s="52">
        <f t="shared" si="13"/>
        <v>4.2238350882250568</v>
      </c>
      <c r="BS27" s="52">
        <f>[1]!b_stm07_is(A27,19,$A$1,1,100000000)</f>
        <v>1281.8255300000001</v>
      </c>
      <c r="BT27" s="52">
        <f xml:space="preserve"> [1]!s_stm07_bs(A27,"W15273164",$A$1,1,100000000)-[1]!s_stm07_bs(A27,"W17642530",$A$1,1,100000000)-[1]!s_stm07_bs(A27,"W15910877",$A$1,1,100000000)-[1]!s_stm07_bs_39(A27,$A$1,1,100000000)-[1]!s_stm07_bs(A27,"W17700468",$A$1,1,100000000)-[1]!s_stm07_bs(A27,"W16504296",$A$1,1,100000000)-[1]!s_stm07_bs(A27,"W13769069",$A$1,1,100000000)</f>
        <v>33150.431299999989</v>
      </c>
      <c r="BU27" s="52">
        <f xml:space="preserve"> [1]!s_stm07_bs(A27,"W15273164",$B$1,1,100000000)-[1]!s_stm07_bs(A27,"W17642530",$B$1,1,100000000)-[1]!s_stm07_bs(A27,"W15910877",$B$1,1,100000000)-[1]!s_stm07_bs_39(A27,$B$1,1,100000000)-[1]!s_stm07_bs(A27,"W17700468",$B$1,1,100000000)-[1]!s_stm07_bs(A27,"W16504296",$B$1,1,100000000)-[1]!s_stm07_bs(A27,"W13769069",$B$1,1,100000000)</f>
        <v>29807.4486</v>
      </c>
      <c r="BV27" s="52">
        <f xml:space="preserve"> [1]!s_stm07_bs(A27,"W15273164",$E$1,1,100000000)-[1]!s_stm07_bs(A27,"W17642530",$E$1,1,100000000)-[1]!s_stm07_bs(A27,"W15910877",$E$1,1,100000000)-[1]!s_stm07_bs_39(A27,$E$1,1,100000000)-[1]!s_stm07_bs(A27,"W17700468",$E$1,1,100000000)-[1]!s_stm07_bs(A27,"W16504296",$E$1,1,100000000)-[1]!s_stm07_bs(A27,"W13769069",$E$1,1,100000000)</f>
        <v>0</v>
      </c>
      <c r="BW27" s="52">
        <f xml:space="preserve"> [1]!s_stm07_bs(A27,"W15273164",$F$1,1,100000000)-[1]!s_stm07_bs(A27,"W17642530",$F$1,1,100000000)-[1]!s_stm07_bs(A27,"W15910877",$F$1,1,100000000)-[1]!s_stm07_bs_39(A27,$F$1,1,100000000)-[1]!s_stm07_bs(A27,"W17700468",$F$1,1,100000000)-[1]!s_stm07_bs(A27,"W16504296",$F$1,1,100000000)-[1]!s_stm07_bs(A27,"W13769069",$F$1,1,100000000)</f>
        <v>31324.3269</v>
      </c>
      <c r="BX27" s="52">
        <f xml:space="preserve"> [1]!s_stm07_bs(A27,"W15273164",$G$1,1,100000000)-[1]!s_stm07_bs(A27,"W17642530",$G$1,1,100000000)-[1]!s_stm07_bs(A27,"W15910877",$G$1,1,100000000)-[1]!s_stm07_bs_39(A27,$G$1,1,100000000)-[1]!s_stm07_bs(A27,"W17700468",$G$1,1,100000000)-[1]!s_stm07_bs(A27,"W16504296",$G$1,1,100000000)-[1]!s_stm07_bs(A27,"W13769069",$G$1,1,100000000)</f>
        <v>0</v>
      </c>
      <c r="BY27" s="52">
        <f>IFERROR([1]!b_stm07_is(A27,20,$A$1,1,100000000)/AVERAGEIF(CA27:CE27,"&gt;0")*100,0)</f>
        <v>2.5021830122249571</v>
      </c>
      <c r="BZ27" s="52">
        <f>[1]!b_stm07_is(A27,20,$A$1,1,100000000)</f>
        <v>726.83309999999994</v>
      </c>
      <c r="CA27" s="52">
        <f>[1]!s_stmnote_bank_38(A27,$A$1,1,100000000)</f>
        <v>30622.115969999999</v>
      </c>
      <c r="CB27" s="52">
        <f>[1]!s_stmnote_bank_38(A27,$B$1,1,100000000)</f>
        <v>27502.843970000002</v>
      </c>
      <c r="CC27" s="52">
        <f>[1]!s_stmnote_bank_38(A27,$E$1,1,100000000)</f>
        <v>0</v>
      </c>
      <c r="CD27" s="52">
        <f>[1]!s_stmnote_bank_38(A27,$F$1,1,100000000)</f>
        <v>29018.917600000001</v>
      </c>
      <c r="CE27" s="52">
        <f>[1]!s_stmnote_bank_38(A27,$G$1,1,100000000)</f>
        <v>0</v>
      </c>
      <c r="CF27" s="52">
        <f>IF(BP27&lt;&gt;0,BP27,IFERROR(IF(([1]!b_stm07_is(A27,19,$A$1,1,100000000)-[1]!b_stm07_is(A27,20,$A$1,1,100000000))/AVERAGE([1]!s_stmnote_bank_35(A27,$A$1,1,100000000),[1]!s_stmnote_bank_35(A27,$B$1,1,100000000))*100=0,"",([1]!b_stm07_is(A27,19,$A$1,1,100000000)-[1]!b_stm07_is(A27,20,$A$1,1,100000000))/AVERAGE([1]!s_stmnote_bank_35(A27,$A$1,1,100000000),[1]!s_stmnote_bank_35(A27,$B$1,1,100000000))*100),""))</f>
        <v>1.88</v>
      </c>
      <c r="CG27" s="27" t="str">
        <f t="shared" si="6"/>
        <v>114 171</v>
      </c>
      <c r="CH27" s="80">
        <f t="shared" si="14"/>
        <v>0.65029841485954409</v>
      </c>
      <c r="CI27" s="27" t="str">
        <f t="shared" si="7"/>
        <v>88 169</v>
      </c>
      <c r="CJ27" s="55">
        <f>[1]!s_stmnote_bank_30(A27,$A$1,1)</f>
        <v>25.9068</v>
      </c>
      <c r="CK27" s="65">
        <v>1008.18</v>
      </c>
      <c r="CL27" s="48">
        <v>216.24</v>
      </c>
      <c r="CM27" s="64">
        <f>CK27/(5/8*[1]!s_stmnote_bank_1n($A27,$A$1,1,100000000)+[1]!s_stmnote_bank_1n($A27,$B$1,1,100000000)*3/8)</f>
        <v>5.2117221575509208E-2</v>
      </c>
      <c r="CP27" s="69">
        <f>[1]!b_stm07_bs($A27,141,$A$1,1,100000000)</f>
        <v>2345.0075499999998</v>
      </c>
      <c r="CQ27" s="69">
        <f>[1]!b_stm07_bs($A27,141,$D$1,1,100000000)</f>
        <v>2599.66</v>
      </c>
      <c r="CR27" s="68">
        <f>IF([1]!s_fa_roic_yearly($A27,$A$1)=0,"",[1]!s_fa_roic_yearly($A27,$A$1))</f>
        <v>7.7218</v>
      </c>
      <c r="CS27" s="27" t="str">
        <f>RANK(CR27,CR$5:CR$192,1)&amp;" "&amp;COUNTIF(CR$5:CR$192,"&gt;0")</f>
        <v>66 169</v>
      </c>
      <c r="CT27" s="68">
        <f>IF([1]!s_fa_roic_yearly($A27,$D$1)=0,"",[1]!s_fa_roic_yearly($A27,$D$1))</f>
        <v>7.5362</v>
      </c>
      <c r="CU27" s="27" t="str">
        <f>RANK(CT27,CT$5:CT$192,1)&amp;" "&amp;COUNTIF(CT$5:CT$192,"&gt;0")</f>
        <v>38 142</v>
      </c>
      <c r="CV27" s="78">
        <f>[1]!s_stm07_bs(A27,"W14578191",$A$1,1,100000000)</f>
        <v>19697.564030000001</v>
      </c>
      <c r="CW27" s="78">
        <f>[1]!s_stmnote_bank_682($A27,$A$1,1,2,100000000)</f>
        <v>9029.5079999999998</v>
      </c>
      <c r="CX27" s="79">
        <f t="shared" si="11"/>
        <v>0.45840734347900985</v>
      </c>
    </row>
    <row r="28" spans="1:102" s="46" customFormat="1" ht="13.5">
      <c r="A28" s="8" t="s">
        <v>625</v>
      </c>
      <c r="B28" s="8" t="s">
        <v>626</v>
      </c>
      <c r="C28" s="9" t="s">
        <v>627</v>
      </c>
      <c r="D28" s="9" t="s">
        <v>1061</v>
      </c>
      <c r="E28" s="10"/>
      <c r="F28" s="11" t="s">
        <v>66</v>
      </c>
      <c r="G28" s="11" t="s">
        <v>67</v>
      </c>
      <c r="H28" s="11" t="s">
        <v>116</v>
      </c>
      <c r="I28" s="11"/>
      <c r="J28" s="11" t="e">
        <f>VLOOKUP(B28,[3]额度信息!$B:$T,19,0)</f>
        <v>#N/A</v>
      </c>
      <c r="K28" s="11"/>
      <c r="L28" s="27">
        <f>IFERROR(([1]!b_stm07_bs($A28,47,$A$1,1,100000000))/[1]!b_stm07_bs($A28,109,$A$1,1,100000000),"")</f>
        <v>0.11293271945943291</v>
      </c>
      <c r="M28" s="20"/>
      <c r="N28" s="18"/>
      <c r="O28" s="27" t="e">
        <f t="shared" si="0"/>
        <v>#N/A</v>
      </c>
      <c r="P28" s="21">
        <f t="shared" si="12"/>
        <v>1.3283599402918188E-2</v>
      </c>
      <c r="Q28" s="27" t="str">
        <f t="shared" si="1"/>
        <v>13 169</v>
      </c>
      <c r="R28" s="18">
        <f>IFERROR([1]!s_stmnote_bank($A28,"34",$A$1,100000000)/[1]!s_stmnote_bank_1n(A28,$A$1,1,100000000),"")</f>
        <v>2.683599402918188E-3</v>
      </c>
      <c r="S28" s="22"/>
      <c r="T28" s="22"/>
      <c r="U28" s="22"/>
      <c r="V28" s="22"/>
      <c r="W28" s="22"/>
      <c r="X28" s="22"/>
      <c r="Y28" s="22"/>
      <c r="Z28" s="25">
        <f>[1]!b_stm07_bs(A28,74,$A$1,1,100000000)</f>
        <v>1233.5963850816001</v>
      </c>
      <c r="AA28" s="25">
        <f>[1]!b_stm07_bs(A28,109,$A$1,1,100000000)</f>
        <v>766.04587947850007</v>
      </c>
      <c r="AB28" s="10">
        <f>[1]!s_stmnote_bank_5n(A28,$A$1,1)</f>
        <v>1.06</v>
      </c>
      <c r="AC28" s="25">
        <f>IF([1]!s_stmnote_bank_23n(A28,$A$1,1)=0,"",IFERROR([1]!s_stmnote_bank_23n(A28,$A$1,1),""))</f>
        <v>290.3</v>
      </c>
      <c r="AD28" s="27" t="str">
        <f t="shared" si="2"/>
        <v>104 167</v>
      </c>
      <c r="AE28" s="25">
        <f>[1]!s_stmnote_bank_capadequacyratio(A28,$A$1,1)</f>
        <v>13.52</v>
      </c>
      <c r="AF28" s="25">
        <f>IF([1]!s_stmnote_bank_capadequacyratio_ct1(A28,$A$1,1)=0,"",IFERROR([1]!s_stmnote_bank_capadequacyratio_ct1(A28,$A$1,1),""))</f>
        <v>9.18</v>
      </c>
      <c r="AG28" s="27" t="str">
        <f>RANK(AF28,AF$5:AF$192,1)&amp;" "&amp;COUNTIF(AF$5:AF$192,"&gt;0")</f>
        <v>48 167</v>
      </c>
      <c r="AH28" s="6">
        <f>IF(OR([1]!s_fa_roe(A28,20201231)=0,[1]!s_fa_roe(A28,20211231)="0",[1]!s_fa_roe(A28,20221231)="0"),"",IFERROR(([1]!s_fa_roe(A28,20221231)+[1]!s_fa_roe(A28,20201231)+[1]!s_fa_roe(A28,20211231))/3,""))</f>
        <v>9.6798000000000002</v>
      </c>
      <c r="AI28" s="27" t="str">
        <f t="shared" si="3"/>
        <v>111 173</v>
      </c>
      <c r="AJ28" s="28">
        <f>IFERROR(([1]!s_stmnote_bank_65(A28,$A$1,1,2,4,100000000)+[1]!s_stmnote_bank_65(A28,$A$1,1,2,6,100000000))/[1]!s_stmnote_bank_1n(A28,$A$1,1,100000000),"")</f>
        <v>8.6693464853479382E-2</v>
      </c>
      <c r="AK28" s="28">
        <f>IFERROR([1]!s_stmnote_bank_614(A28,$A$1,1,2,100000000)/[1]!s_stmnote_bank_647(A28,$A$1,1,2,100000000),"")</f>
        <v>0.31680010053537683</v>
      </c>
      <c r="AL28" s="28">
        <f>IFERROR(([1]!b_stm07_bs(A28,104,$A$1,1,100000000)+[1]!b_stm07_bs(A28,106,$A$1,1,100000000)+[1]!b_stm07_bs(A28,76,$A$1,1,100000000)+[1]!b_stm07_bs(A28,108,$A$1,1,100000000)+[1]!b_stm07_bs(A28,95,$A$1,1,100000000))/[1]!b_stm07_bs(A28,128,$A$1,1,100000000),"")</f>
        <v>0.29508420222767706</v>
      </c>
      <c r="AM28" s="28">
        <f>IFERROR(([1]!s_stmnote_bank_614(A28,$A$1,1,2,100000000)+[1]!b_stm07_bs(A28,104,$A$1,1,100000000)+[1]!b_stm07_bs(A28,106,$A$1,1,100000000)+[1]!b_stm07_bs(A28,76,$A$1,1,100000000)+[1]!b_stm07_bs(A28,108,$A$1,1,100000000)+[1]!b_stm07_bs(A28,95,$A$1,1,100000000))/[1]!b_stm07_bs(A28,128,$A$1,1,100000000),"")</f>
        <v>0.51066072437771182</v>
      </c>
      <c r="AN28" s="31" t="e">
        <f>IF(Z28&gt;#REF!,#REF!,IF(Z28&gt;#REF!,#REF!,IF(Z28&gt;#REF!,#REF!,IF(Z28&gt;#REF!,#REF!,IF(Z28&gt;#REF!,#REF!,IF(Z28&gt;#REF!,#REF!,IF(Z28&gt;#REF!,#REF!,#REF!)))))))</f>
        <v>#REF!</v>
      </c>
      <c r="AO28" s="31" t="e">
        <f>IF(AA28&gt;#REF!,#REF!,IF(AA28&gt;#REF!,#REF!,IF(AA28&gt;#REF!,#REF!,IF(AA28&gt;#REF!,#REF!,IF(AA28&gt;#REF!,#REF!,IF(AA28&gt;#REF!,#REF!,IF(AA28&gt;#REF!,#REF!,#REF!)))))))</f>
        <v>#REF!</v>
      </c>
      <c r="AP28" s="31" t="e">
        <f>IF(AB28&lt;#REF!,#REF!,IF(AB28&lt;#REF!,#REF!,IF(AB28&lt;#REF!,#REF!,IF(AB28&lt;#REF!,#REF!,IF(AB28&lt;#REF!,#REF!,IF(AB28&lt;#REF!,#REF!,#REF!))))))</f>
        <v>#REF!</v>
      </c>
      <c r="AQ28" s="31" t="e">
        <f>IF(AC28&gt;#REF!,#REF!,IF(AC28&gt;#REF!,#REF!,IF(AC28&gt;#REF!,#REF!,IF(AC28&gt;#REF!,#REF!,#REF!))))</f>
        <v>#REF!</v>
      </c>
      <c r="AR28" s="31" t="e">
        <f>IF(AE28&gt;#REF!,#REF!,IF(AE28&gt;#REF!,#REF!,IF(AE28&gt;#REF!,#REF!,IF(AE28&gt;#REF!,#REF!,#REF!))))</f>
        <v>#REF!</v>
      </c>
      <c r="AS28" s="31" t="e">
        <f>IF(AF28&gt;#REF!,#REF!,IF(AF28&gt;#REF!,#REF!,IF(AF28&gt;#REF!,#REF!,IF(AF28&gt;#REF!,#REF!,#REF!))))</f>
        <v>#REF!</v>
      </c>
      <c r="AT28" s="31" t="e">
        <f>IF(AH28&gt;#REF!,#REF!,IF(AH28&gt;#REF!,#REF!,IF(AH28&gt;#REF!,#REF!,IF(AH28&gt;#REF!,#REF!,IF(AH28&gt;#REF!,#REF!,#REF!)))))</f>
        <v>#REF!</v>
      </c>
      <c r="AU28" s="10" t="e">
        <f t="shared" si="4"/>
        <v>#REF!</v>
      </c>
      <c r="AV28" s="10" t="s">
        <v>395</v>
      </c>
      <c r="AW28" s="10" t="s">
        <v>141</v>
      </c>
      <c r="AX28" s="10" t="s">
        <v>359</v>
      </c>
      <c r="AY28" s="31" t="str">
        <f>IFERROR(VLOOKUP(AV28,#REF!,3,0),"")</f>
        <v/>
      </c>
      <c r="AZ28" s="31" t="str">
        <f>IFERROR(VLOOKUP(AW28,#REF!,3,0),"")</f>
        <v/>
      </c>
      <c r="BA28" s="31" t="str">
        <f>IFERROR(VLOOKUP(AX28,#REF!,3,0),"")</f>
        <v/>
      </c>
      <c r="BB28" s="31" t="str">
        <f>IFERROR(AY28*#REF!+AZ28*#REF!+BA28*#REF!,"")</f>
        <v/>
      </c>
      <c r="BC28" s="32" t="str">
        <f t="shared" si="5"/>
        <v/>
      </c>
      <c r="BD28" s="32" t="str">
        <f>IFERROR(VLOOKUP(BC28*10,#REF!,2,1),"")</f>
        <v/>
      </c>
      <c r="BE28" s="10"/>
      <c r="BF28" s="10"/>
      <c r="BG28" s="10"/>
      <c r="BH28" s="11" t="s">
        <v>628</v>
      </c>
      <c r="BI28" s="10">
        <v>20</v>
      </c>
      <c r="BJ28" s="33" t="s">
        <v>111</v>
      </c>
      <c r="BK28" s="33" t="s">
        <v>118</v>
      </c>
      <c r="BL28" s="10">
        <f>IF([1]!s_stmnote_bank_17n(A28,$A$1,1)="0","",[1]!s_stmnote_bank_17n(A28,$A$1,1))</f>
        <v>4.22</v>
      </c>
      <c r="BM28" s="10">
        <f>IF([1]!s_stmnote_bank_18n(A28,$A$1,1)="0","",[1]!s_stmnote_bank_18n(A28,$A$1,1))</f>
        <v>33.9</v>
      </c>
      <c r="BN28" s="41" t="s">
        <v>67</v>
      </c>
      <c r="BO28" s="68" t="s">
        <v>67</v>
      </c>
      <c r="BP28" s="52">
        <f>[1]!s_stmnote_bank_5444(A28,$A$1,1)</f>
        <v>2.3199999999999998</v>
      </c>
      <c r="BQ28" s="52">
        <f>[1]!s_stmnote_bank_129n($A28,$A$1,1)</f>
        <v>37.049999999999997</v>
      </c>
      <c r="BR28" s="52">
        <f t="shared" si="13"/>
        <v>4.9874662947973087</v>
      </c>
      <c r="BS28" s="52">
        <f>[1]!b_stm07_is(A28,19,$A$1,1,100000000)</f>
        <v>55.236011359499997</v>
      </c>
      <c r="BT28" s="52">
        <f xml:space="preserve"> [1]!s_stm07_bs(A28,"W15273164",$A$1,1,100000000)-[1]!s_stm07_bs(A28,"W17642530",$A$1,1,100000000)-[1]!s_stm07_bs(A28,"W15910877",$A$1,1,100000000)-[1]!s_stm07_bs_39(A28,$A$1,1,100000000)-[1]!s_stm07_bs(A28,"W17700468",$A$1,1,100000000)-[1]!s_stm07_bs(A28,"W16504296",$A$1,1,100000000)-[1]!s_stm07_bs(A28,"W13769069",$A$1,1,100000000)</f>
        <v>1218.4278148226999</v>
      </c>
      <c r="BU28" s="52">
        <f xml:space="preserve"> [1]!s_stm07_bs(A28,"W15273164",$B$1,1,100000000)-[1]!s_stm07_bs(A28,"W17642530",$B$1,1,100000000)-[1]!s_stm07_bs(A28,"W15910877",$B$1,1,100000000)-[1]!s_stm07_bs_39(A28,$B$1,1,100000000)-[1]!s_stm07_bs(A28,"W17700468",$B$1,1,100000000)-[1]!s_stm07_bs(A28,"W16504296",$B$1,1,100000000)-[1]!s_stm07_bs(A28,"W13769069",$B$1,1,100000000)</f>
        <v>1065.4136621049001</v>
      </c>
      <c r="BV28" s="52">
        <f xml:space="preserve"> [1]!s_stm07_bs(A28,"W15273164",$E$1,1,100000000)-[1]!s_stm07_bs(A28,"W17642530",$E$1,1,100000000)-[1]!s_stm07_bs(A28,"W15910877",$E$1,1,100000000)-[1]!s_stm07_bs_39(A28,$E$1,1,100000000)-[1]!s_stm07_bs(A28,"W17700468",$E$1,1,100000000)-[1]!s_stm07_bs(A28,"W16504296",$E$1,1,100000000)-[1]!s_stm07_bs(A28,"W13769069",$E$1,1,100000000)</f>
        <v>1228.9203129508003</v>
      </c>
      <c r="BW28" s="52">
        <f xml:space="preserve"> [1]!s_stm07_bs(A28,"W15273164",$F$1,1,100000000)-[1]!s_stm07_bs(A28,"W17642530",$F$1,1,100000000)-[1]!s_stm07_bs(A28,"W15910877",$F$1,1,100000000)-[1]!s_stm07_bs_39(A28,$F$1,1,100000000)-[1]!s_stm07_bs(A28,"W17700468",$F$1,1,100000000)-[1]!s_stm07_bs(A28,"W16504296",$F$1,1,100000000)-[1]!s_stm07_bs(A28,"W13769069",$F$1,1,100000000)</f>
        <v>1207.7611690000001</v>
      </c>
      <c r="BX28" s="52">
        <f xml:space="preserve"> [1]!s_stm07_bs(A28,"W15273164",$G$1,1,100000000)-[1]!s_stm07_bs(A28,"W17642530",$G$1,1,100000000)-[1]!s_stm07_bs(A28,"W15910877",$G$1,1,100000000)-[1]!s_stm07_bs_39(A28,$G$1,1,100000000)-[1]!s_stm07_bs(A28,"W17700468",$G$1,1,100000000)-[1]!s_stm07_bs(A28,"W16504296",$G$1,1,100000000)-[1]!s_stm07_bs(A28,"W13769069",$G$1,1,100000000)</f>
        <v>1152.839129</v>
      </c>
      <c r="BY28" s="52">
        <f>IFERROR([1]!b_stm07_is(A28,20,$A$1,1,100000000)/AVERAGEIF(CA28:CE28,"&gt;0")*100,0)</f>
        <v>2.6713534518822479</v>
      </c>
      <c r="BZ28" s="52">
        <f>[1]!b_stm07_is(A28,20,$A$1,1,100000000)</f>
        <v>28.628231270100002</v>
      </c>
      <c r="CA28" s="52">
        <f>[1]!s_stmnote_bank_38(A28,$A$1,1,100000000)</f>
        <v>1112.2793660385</v>
      </c>
      <c r="CB28" s="52">
        <f>[1]!s_stmnote_bank_38(A28,$B$1,1,100000000)</f>
        <v>976.64051775869996</v>
      </c>
      <c r="CC28" s="52">
        <f>[1]!s_stmnote_bank_38(A28,$E$1,1,100000000)</f>
        <v>1126.1055839029</v>
      </c>
      <c r="CD28" s="52">
        <f>[1]!s_stmnote_bank_38(A28,$F$1,1,100000000)</f>
        <v>0</v>
      </c>
      <c r="CE28" s="52">
        <f>[1]!s_stmnote_bank_38(A28,$G$1,1,100000000)</f>
        <v>0</v>
      </c>
      <c r="CF28" s="52">
        <f>IF(BP28&lt;&gt;0,BP28,IFERROR(IF(([1]!b_stm07_is(A28,19,$A$1,1,100000000)-[1]!b_stm07_is(A28,20,$A$1,1,100000000))/AVERAGE([1]!s_stmnote_bank_35(A28,$A$1,1,100000000),[1]!s_stmnote_bank_35(A28,$B$1,1,100000000))*100=0,"",([1]!b_stm07_is(A28,19,$A$1,1,100000000)-[1]!b_stm07_is(A28,20,$A$1,1,100000000))/AVERAGE([1]!s_stmnote_bank_35(A28,$A$1,1,100000000),[1]!s_stmnote_bank_35(A28,$B$1,1,100000000))*100),""))</f>
        <v>2.3199999999999998</v>
      </c>
      <c r="CG28" s="27" t="str">
        <f t="shared" si="6"/>
        <v>49 171</v>
      </c>
      <c r="CH28" s="80">
        <f t="shared" si="14"/>
        <v>1.7465145775852997</v>
      </c>
      <c r="CI28" s="27" t="str">
        <f t="shared" si="7"/>
        <v>15 169</v>
      </c>
      <c r="CJ28" s="55">
        <f>[1]!s_stmnote_bank_30(A28,$A$1,1)</f>
        <v>9.3798999999999992</v>
      </c>
      <c r="CP28" s="69">
        <f>[1]!b_stm07_bs($A28,141,$A$1,1,100000000)</f>
        <v>107.8550046515</v>
      </c>
      <c r="CQ28" s="69">
        <f>[1]!b_stm07_bs($A28,141,$D$1,1,100000000)</f>
        <v>108.6155014589</v>
      </c>
      <c r="CR28" s="68">
        <f>IF([1]!s_fa_roic_yearly($A28,$A$1)=0,"",[1]!s_fa_roic_yearly($A28,$A$1))</f>
        <v>10.010400000000001</v>
      </c>
      <c r="CS28" s="27">
        <f>RANK(CR28,CR$5:CR$192,0)/COUNTIF(CR$5:CR$192,"&gt;0")</f>
        <v>0.34319526627218933</v>
      </c>
      <c r="CT28" s="68">
        <f>IF([1]!s_fa_roic_yearly($A28,$D$1)=0,"",[1]!s_fa_roic_yearly($A28,$D$1))</f>
        <v>11.5906</v>
      </c>
      <c r="CU28" s="27">
        <f>RANK(CT28,CT$5:CT$192,0)/COUNTIF(CT$5:CT$192,"&gt;0")</f>
        <v>0.29577464788732394</v>
      </c>
      <c r="CV28" s="78">
        <f>[1]!s_stm07_bs(A28,"W14578191",$A$1,1,100000000)</f>
        <v>538.85480426189997</v>
      </c>
      <c r="CW28" s="78">
        <f>[1]!s_stmnote_bank_682($A28,$A$1,1,2,100000000)</f>
        <v>169.55898052000001</v>
      </c>
      <c r="CX28" s="79">
        <f t="shared" si="11"/>
        <v>0.31466543339490971</v>
      </c>
    </row>
    <row r="29" spans="1:102" s="46" customFormat="1" ht="13.5">
      <c r="A29" s="8" t="s">
        <v>871</v>
      </c>
      <c r="B29" s="8" t="s">
        <v>872</v>
      </c>
      <c r="C29" s="9" t="s">
        <v>873</v>
      </c>
      <c r="D29" s="9" t="s">
        <v>1061</v>
      </c>
      <c r="E29" s="10" t="s">
        <v>873</v>
      </c>
      <c r="F29" s="11" t="s">
        <v>178</v>
      </c>
      <c r="G29" s="11" t="s">
        <v>245</v>
      </c>
      <c r="H29" s="11" t="s">
        <v>259</v>
      </c>
      <c r="I29" s="11"/>
      <c r="J29" s="11">
        <f>VLOOKUP(B29,[3]额度信息!$B:$T,19,0)</f>
        <v>8</v>
      </c>
      <c r="K29" s="11" t="s">
        <v>874</v>
      </c>
      <c r="L29" s="27">
        <f>IFERROR(([1]!b_stm07_bs($A29,47,$A$1,1,100000000))/[1]!b_stm07_bs($A29,109,$A$1,1,100000000),"")</f>
        <v>9.4446284654523607E-2</v>
      </c>
      <c r="M29" s="20">
        <v>109.06</v>
      </c>
      <c r="N29" s="18">
        <f>IFERROR(([1]!s_stmnote_bank_26($A29,$A$1,1,100000000)-[1]!s_stmnote_bank_26($A29,$B$1,1,100000000)+M29)/[1]!s_stmnote_bank_1n($A29,$B$1,1,100000000),"")</f>
        <v>6.6823114572044408E-3</v>
      </c>
      <c r="O29" s="27" t="str">
        <f t="shared" si="0"/>
        <v>19 50</v>
      </c>
      <c r="P29" s="21">
        <f t="shared" si="12"/>
        <v>3.0518451983203899E-2</v>
      </c>
      <c r="Q29" s="27" t="str">
        <f t="shared" si="1"/>
        <v>88 169</v>
      </c>
      <c r="R29" s="18">
        <v>1.6118451983203899E-2</v>
      </c>
      <c r="S29" s="22">
        <v>1.69880805800195E-2</v>
      </c>
      <c r="T29" s="22">
        <v>1.4305752067384801E-2</v>
      </c>
      <c r="U29" s="22">
        <v>6.8431607059368002E-2</v>
      </c>
      <c r="V29" s="22"/>
      <c r="W29" s="22">
        <v>5.6749177859925304E-3</v>
      </c>
      <c r="X29" s="22">
        <v>3.9084809725693101E-2</v>
      </c>
      <c r="Y29" s="22">
        <v>0.54074174951200704</v>
      </c>
      <c r="Z29" s="25">
        <f>[1]!b_stm07_bs(A29,74,$A$1,1,100000000)</f>
        <v>30589.59</v>
      </c>
      <c r="AA29" s="25">
        <f>[1]!b_stm07_bs(A29,109,$A$1,1,100000000)</f>
        <v>17238.37</v>
      </c>
      <c r="AB29" s="10">
        <f>[1]!s_stmnote_bank_5n(A29,$A$1,1)</f>
        <v>1.44</v>
      </c>
      <c r="AC29" s="25">
        <f>IF([1]!s_stmnote_bank_23n(A29,$A$1,1)=0,"",IFERROR([1]!s_stmnote_bank_23n(A29,$A$1,1),""))</f>
        <v>210.22</v>
      </c>
      <c r="AD29" s="27" t="str">
        <f t="shared" si="2"/>
        <v>72 167</v>
      </c>
      <c r="AE29" s="25">
        <f>[1]!s_stmnote_bank_capadequacyratio(A29,$A$1,1)</f>
        <v>14.63</v>
      </c>
      <c r="AF29" s="25">
        <f>IF([1]!s_stmnote_bank_capadequacyratio_ct1(A29,$A$1,1)=0,"",IFERROR([1]!s_stmnote_bank_capadequacyratio_ct1(A29,$A$1,1),""))</f>
        <v>9.86</v>
      </c>
      <c r="AG29" s="27" t="str">
        <f>RANK(AF29,AF$5:AF$192,0)&amp;" "&amp;COUNTIF(AF$5:AF$192,"&gt;0")</f>
        <v>89 167</v>
      </c>
      <c r="AH29" s="6">
        <f>IF(OR([1]!s_fa_roe(A29,20201231)=0,[1]!s_fa_roe(A29,20211231)="0",[1]!s_fa_roe(A29,20221231)="0"),"",IFERROR(([1]!s_fa_roe(A29,20221231)+[1]!s_fa_roe(A29,20201231)+[1]!s_fa_roe(A29,20211231))/3,""))</f>
        <v>8.9756666666666671</v>
      </c>
      <c r="AI29" s="27" t="str">
        <f t="shared" si="3"/>
        <v>97 173</v>
      </c>
      <c r="AJ29" s="28">
        <f>IFERROR(([1]!s_stmnote_bank_65(A29,$A$1,1,2,4,100000000)+[1]!s_stmnote_bank_65(A29,$A$1,1,2,6,100000000))/[1]!s_stmnote_bank_1n(A29,$A$1,1,100000000),"")</f>
        <v>0.1051589791769013</v>
      </c>
      <c r="AK29" s="28">
        <f>IFERROR([1]!s_stmnote_bank_614(A29,$A$1,1,2,100000000)/[1]!s_stmnote_bank_647(A29,$A$1,1,2,100000000),"")</f>
        <v>0.35170716579465994</v>
      </c>
      <c r="AL29" s="28">
        <f>IFERROR(([1]!b_stm07_bs(A29,104,$A$1,1,100000000)+[1]!b_stm07_bs(A29,106,$A$1,1,100000000)+[1]!b_stm07_bs(A29,76,$A$1,1,100000000)+[1]!b_stm07_bs(A29,108,$A$1,1,100000000)+[1]!b_stm07_bs(A29,95,$A$1,1,100000000))/[1]!b_stm07_bs(A29,128,$A$1,1,100000000),"")</f>
        <v>0.30813094409208797</v>
      </c>
      <c r="AM29" s="28">
        <f>IFERROR(([1]!s_stmnote_bank_614(A29,$A$1,1,2,100000000)+[1]!b_stm07_bs(A29,104,$A$1,1,100000000)+[1]!b_stm07_bs(A29,106,$A$1,1,100000000)+[1]!b_stm07_bs(A29,76,$A$1,1,100000000)+[1]!b_stm07_bs(A29,108,$A$1,1,100000000)+[1]!b_stm07_bs(A29,95,$A$1,1,100000000))/[1]!b_stm07_bs(A29,128,$A$1,1,100000000),"")</f>
        <v>0.52453020242363801</v>
      </c>
      <c r="AN29" s="31" t="e">
        <f>IF(Z29&gt;#REF!,#REF!,IF(Z29&gt;#REF!,#REF!,IF(Z29&gt;#REF!,#REF!,IF(Z29&gt;#REF!,#REF!,IF(Z29&gt;#REF!,#REF!,IF(Z29&gt;#REF!,#REF!,IF(Z29&gt;#REF!,#REF!,#REF!)))))))</f>
        <v>#REF!</v>
      </c>
      <c r="AO29" s="31" t="e">
        <f>IF(AA29&gt;#REF!,#REF!,IF(AA29&gt;#REF!,#REF!,IF(AA29&gt;#REF!,#REF!,IF(AA29&gt;#REF!,#REF!,IF(AA29&gt;#REF!,#REF!,IF(AA29&gt;#REF!,#REF!,IF(AA29&gt;#REF!,#REF!,#REF!)))))))</f>
        <v>#REF!</v>
      </c>
      <c r="AP29" s="31" t="e">
        <f>IF(AB29&lt;#REF!,#REF!,IF(AB29&lt;#REF!,#REF!,IF(AB29&lt;#REF!,#REF!,IF(AB29&lt;#REF!,#REF!,IF(AB29&lt;#REF!,#REF!,IF(AB29&lt;#REF!,#REF!,#REF!))))))</f>
        <v>#REF!</v>
      </c>
      <c r="AQ29" s="31" t="e">
        <f>IF(AC29&gt;#REF!,#REF!,IF(AC29&gt;#REF!,#REF!,IF(AC29&gt;#REF!,#REF!,IF(AC29&gt;#REF!,#REF!,#REF!))))</f>
        <v>#REF!</v>
      </c>
      <c r="AR29" s="31" t="e">
        <f>IF(AE29&gt;#REF!,#REF!,IF(AE29&gt;#REF!,#REF!,IF(AE29&gt;#REF!,#REF!,IF(AE29&gt;#REF!,#REF!,#REF!))))</f>
        <v>#REF!</v>
      </c>
      <c r="AS29" s="31" t="e">
        <f>IF(AF29&gt;#REF!,#REF!,IF(AF29&gt;#REF!,#REF!,IF(AF29&gt;#REF!,#REF!,IF(AF29&gt;#REF!,#REF!,#REF!))))</f>
        <v>#REF!</v>
      </c>
      <c r="AT29" s="31" t="e">
        <f>IF(AH29&gt;#REF!,#REF!,IF(AH29&gt;#REF!,#REF!,IF(AH29&gt;#REF!,#REF!,IF(AH29&gt;#REF!,#REF!,IF(AH29&gt;#REF!,#REF!,#REF!)))))</f>
        <v>#REF!</v>
      </c>
      <c r="AU29" s="10" t="e">
        <f t="shared" si="4"/>
        <v>#REF!</v>
      </c>
      <c r="AV29" s="10" t="s">
        <v>60</v>
      </c>
      <c r="AW29" s="10" t="s">
        <v>61</v>
      </c>
      <c r="AX29" s="10" t="s">
        <v>359</v>
      </c>
      <c r="AY29" s="31" t="str">
        <f>IFERROR(VLOOKUP(AV29,#REF!,3,0),"")</f>
        <v/>
      </c>
      <c r="AZ29" s="31" t="str">
        <f>IFERROR(VLOOKUP(AW29,#REF!,3,0),"")</f>
        <v/>
      </c>
      <c r="BA29" s="31" t="str">
        <f>IFERROR(VLOOKUP(AX29,#REF!,3,0),"")</f>
        <v/>
      </c>
      <c r="BB29" s="31" t="str">
        <f>IFERROR(AY29*#REF!+AZ29*#REF!+BA29*#REF!,"")</f>
        <v/>
      </c>
      <c r="BC29" s="32" t="str">
        <f t="shared" si="5"/>
        <v/>
      </c>
      <c r="BD29" s="32" t="str">
        <f>IFERROR(VLOOKUP(BC29*10,#REF!,2,1),"")</f>
        <v/>
      </c>
      <c r="BE29" s="11">
        <v>2</v>
      </c>
      <c r="BF29" s="11">
        <v>-1</v>
      </c>
      <c r="BG29" s="10" t="s">
        <v>875</v>
      </c>
      <c r="BH29" s="11" t="s">
        <v>876</v>
      </c>
      <c r="BI29" s="10">
        <v>13.0299997329712</v>
      </c>
      <c r="BJ29" s="33" t="s">
        <v>460</v>
      </c>
      <c r="BK29" s="33" t="s">
        <v>461</v>
      </c>
      <c r="BL29" s="10">
        <f>IF([1]!s_stmnote_bank_17n(A29,$A$1,1)="0","",[1]!s_stmnote_bank_17n(A29,$A$1,1))</f>
        <v>5.03</v>
      </c>
      <c r="BM29" s="10">
        <f>IF([1]!s_stmnote_bank_18n(A29,$A$1,1)="0","",[1]!s_stmnote_bank_18n(A29,$A$1,1))</f>
        <v>20.57</v>
      </c>
      <c r="BN29" s="41">
        <f>IF([1]!s_stmnote_bank_58(A29,$A$1,1)="0","",[1]!s_stmnote_bank_58(A29,$A$1,1))</f>
        <v>4.07</v>
      </c>
      <c r="BO29" s="52">
        <f>IF([1]!s_stmnote_bank_60(A29,$A$1,1)="0","",[1]!s_stmnote_bank_60(A29,$A$1,1))</f>
        <v>2.27</v>
      </c>
      <c r="BP29" s="52">
        <f>[1]!s_stmnote_bank_5444(A29,$A$1,1)</f>
        <v>1.83</v>
      </c>
      <c r="BQ29" s="52">
        <f>[1]!s_stmnote_bank_129n($A29,$A$1,1)</f>
        <v>24.96</v>
      </c>
      <c r="BR29" s="52">
        <f t="shared" si="13"/>
        <v>3.952348656116119</v>
      </c>
      <c r="BS29" s="52">
        <f>[1]!b_stm07_is(A29,19,$A$1,1,100000000)</f>
        <v>1141.6400000000001</v>
      </c>
      <c r="BT29" s="52">
        <f xml:space="preserve"> [1]!s_stm07_bs(A29,"W15273164",$A$1,1,100000000)-[1]!s_stm07_bs(A29,"W17642530",$A$1,1,100000000)-[1]!s_stm07_bs(A29,"W15910877",$A$1,1,100000000)-[1]!s_stm07_bs_39(A29,$A$1,1,100000000)-[1]!s_stm07_bs(A29,"W17700468",$A$1,1,100000000)-[1]!s_stm07_bs(A29,"W16504296",$A$1,1,100000000)-[1]!s_stm07_bs(A29,"W13769069",$A$1,1,100000000)</f>
        <v>29955.190000000002</v>
      </c>
      <c r="BU29" s="52">
        <f xml:space="preserve"> [1]!s_stm07_bs(A29,"W15273164",$B$1,1,100000000)-[1]!s_stm07_bs(A29,"W17642530",$B$1,1,100000000)-[1]!s_stm07_bs(A29,"W15910877",$B$1,1,100000000)-[1]!s_stm07_bs_39(A29,$B$1,1,100000000)-[1]!s_stm07_bs(A29,"W17700468",$B$1,1,100000000)-[1]!s_stm07_bs(A29,"W16504296",$B$1,1,100000000)-[1]!s_stm07_bs(A29,"W13769069",$B$1,1,100000000)</f>
        <v>28451.690000000002</v>
      </c>
      <c r="BV29" s="52">
        <f xml:space="preserve"> [1]!s_stm07_bs(A29,"W15273164",$E$1,1,100000000)-[1]!s_stm07_bs(A29,"W17642530",$E$1,1,100000000)-[1]!s_stm07_bs(A29,"W15910877",$E$1,1,100000000)-[1]!s_stm07_bs_39(A29,$E$1,1,100000000)-[1]!s_stm07_bs(A29,"W17700468",$E$1,1,100000000)-[1]!s_stm07_bs(A29,"W16504296",$E$1,1,100000000)-[1]!s_stm07_bs(A29,"W13769069",$E$1,1,100000000)</f>
        <v>29879.670000000002</v>
      </c>
      <c r="BW29" s="52">
        <f xml:space="preserve"> [1]!s_stm07_bs(A29,"W15273164",$F$1,1,100000000)-[1]!s_stm07_bs(A29,"W17642530",$F$1,1,100000000)-[1]!s_stm07_bs(A29,"W15910877",$F$1,1,100000000)-[1]!s_stm07_bs_39(A29,$F$1,1,100000000)-[1]!s_stm07_bs(A29,"W17700468",$F$1,1,100000000)-[1]!s_stm07_bs(A29,"W16504296",$F$1,1,100000000)-[1]!s_stm07_bs(A29,"W13769069",$F$1,1,100000000)</f>
        <v>29917.739999999998</v>
      </c>
      <c r="BX29" s="52">
        <f xml:space="preserve"> [1]!s_stm07_bs(A29,"W15273164",$G$1,1,100000000)-[1]!s_stm07_bs(A29,"W17642530",$G$1,1,100000000)-[1]!s_stm07_bs(A29,"W15910877",$G$1,1,100000000)-[1]!s_stm07_bs_39(A29,$G$1,1,100000000)-[1]!s_stm07_bs(A29,"W17700468",$G$1,1,100000000)-[1]!s_stm07_bs(A29,"W16504296",$G$1,1,100000000)-[1]!s_stm07_bs(A29,"W13769069",$G$1,1,100000000)</f>
        <v>29752.879999999997</v>
      </c>
      <c r="BY29" s="52">
        <f>IFERROR([1]!b_stm07_is(A29,20,$A$1,1,100000000)/AVERAGEIF(CA29:CE29,"&gt;0")*100,0)</f>
        <v>2.3102029873673668</v>
      </c>
      <c r="BZ29" s="52">
        <f>[1]!b_stm07_is(A29,20,$A$1,1,100000000)</f>
        <v>627.66999999999996</v>
      </c>
      <c r="CA29" s="52">
        <f>[1]!s_stmnote_bank_38(A29,$A$1,1,100000000)</f>
        <v>27024.37</v>
      </c>
      <c r="CB29" s="52">
        <f>[1]!s_stmnote_bank_38(A29,$B$1,1,100000000)</f>
        <v>26256.46</v>
      </c>
      <c r="CC29" s="52">
        <f>[1]!s_stmnote_bank_38(A29,$E$1,1,100000000)</f>
        <v>27606.32</v>
      </c>
      <c r="CD29" s="52">
        <f>[1]!s_stmnote_bank_38(A29,$F$1,1,100000000)</f>
        <v>27592.55</v>
      </c>
      <c r="CE29" s="52">
        <f>[1]!s_stmnote_bank_38(A29,$G$1,1,100000000)</f>
        <v>27367.67</v>
      </c>
      <c r="CF29" s="52">
        <f>IF(BP29&lt;&gt;0,BP29,IFERROR(IF(([1]!b_stm07_is(A29,19,$A$1,1,100000000)-[1]!b_stm07_is(A29,20,$A$1,1,100000000))/AVERAGE([1]!s_stmnote_bank_35(A29,$A$1,1,100000000),[1]!s_stmnote_bank_35(A29,$B$1,1,100000000))*100=0,"",([1]!b_stm07_is(A29,19,$A$1,1,100000000)-[1]!b_stm07_is(A29,20,$A$1,1,100000000))/AVERAGE([1]!s_stmnote_bank_35(A29,$A$1,1,100000000),[1]!s_stmnote_bank_35(A29,$B$1,1,100000000))*100),""))</f>
        <v>1.83</v>
      </c>
      <c r="CG29" s="27" t="str">
        <f t="shared" si="6"/>
        <v>120 171</v>
      </c>
      <c r="CH29" s="80">
        <f t="shared" si="14"/>
        <v>0.59963722963640387</v>
      </c>
      <c r="CI29" s="27" t="str">
        <f t="shared" si="7"/>
        <v>97 169</v>
      </c>
      <c r="CJ29" s="55">
        <f>[1]!s_stmnote_bank_30(A29,$A$1,1)</f>
        <v>22.448899999999998</v>
      </c>
      <c r="CK29" s="56">
        <v>751.25</v>
      </c>
      <c r="CL29" s="46">
        <v>288.44</v>
      </c>
      <c r="CM29" s="59">
        <f>CK29/(5/8*[1]!s_stmnote_bank_1n($A29,$A$1,1,100000000)+[1]!s_stmnote_bank_1n($A29,$B$1,1,100000000)*3/8)</f>
        <v>4.5985443961916096E-2</v>
      </c>
      <c r="CN29" s="59"/>
      <c r="CP29" s="69">
        <f>[1]!b_stm07_bs($A29,141,$A$1,1,100000000)</f>
        <v>2970.78</v>
      </c>
      <c r="CQ29" s="69">
        <f>[1]!b_stm07_bs($A29,141,$D$1,1,100000000)</f>
        <v>3031.16</v>
      </c>
      <c r="CR29" s="68">
        <f>IF([1]!s_fa_roic_yearly($A29,$A$1)=0,"",[1]!s_fa_roic_yearly($A29,$A$1))</f>
        <v>8.6437000000000008</v>
      </c>
      <c r="CS29" s="27" t="str">
        <f>RANK(CR29,CR$5:CR$192,1)&amp;" "&amp;COUNTIF(CR$5:CR$192,"&gt;0")</f>
        <v>82 169</v>
      </c>
      <c r="CT29" s="68">
        <f>IF([1]!s_fa_roic_yearly($A29,$D$1)=0,"",[1]!s_fa_roic_yearly($A29,$D$1))</f>
        <v>9.109</v>
      </c>
      <c r="CU29" s="27" t="str">
        <f>RANK(CT29,CT$5:CT$192,1)&amp;" "&amp;COUNTIF(CT$5:CT$192,"&gt;0")</f>
        <v>62 142</v>
      </c>
      <c r="CV29" s="78">
        <f>[1]!s_stm07_bs(A29,"W14578191",$A$1,1,100000000)</f>
        <v>16278.21</v>
      </c>
      <c r="CW29" s="78">
        <f>[1]!s_stmnote_bank_682($A29,$A$1,1,2,100000000)</f>
        <v>5887.15</v>
      </c>
      <c r="CX29" s="79">
        <f t="shared" si="11"/>
        <v>0.36165831501129425</v>
      </c>
    </row>
    <row r="30" spans="1:102" s="46" customFormat="1" ht="13.5">
      <c r="A30" s="8" t="s">
        <v>755</v>
      </c>
      <c r="B30" s="8" t="s">
        <v>756</v>
      </c>
      <c r="C30" s="9" t="s">
        <v>757</v>
      </c>
      <c r="D30" s="9" t="s">
        <v>1061</v>
      </c>
      <c r="E30" s="10" t="s">
        <v>757</v>
      </c>
      <c r="F30" s="11" t="s">
        <v>66</v>
      </c>
      <c r="G30" s="11"/>
      <c r="H30" s="11" t="s">
        <v>116</v>
      </c>
      <c r="I30" s="11"/>
      <c r="J30" s="11">
        <f>VLOOKUP(B30,[3]额度信息!$B:$T,19,0)</f>
        <v>0</v>
      </c>
      <c r="K30" s="11" t="s">
        <v>758</v>
      </c>
      <c r="L30" s="27">
        <f>IFERROR(([1]!b_stm07_bs($A30,47,$A$1,1,100000000))/[1]!b_stm07_bs($A30,109,$A$1,1,100000000),"")</f>
        <v>8.8182022201421642E-2</v>
      </c>
      <c r="M30" s="20"/>
      <c r="N30" s="18"/>
      <c r="O30" s="27" t="e">
        <f t="shared" si="0"/>
        <v>#N/A</v>
      </c>
      <c r="P30" s="21">
        <f t="shared" si="12"/>
        <v>1.3500000000000002E-2</v>
      </c>
      <c r="Q30" s="27" t="str">
        <f t="shared" si="1"/>
        <v>16 169</v>
      </c>
      <c r="R30" s="18">
        <v>0</v>
      </c>
      <c r="S30" s="22"/>
      <c r="T30" s="22"/>
      <c r="U30" s="22"/>
      <c r="V30" s="22"/>
      <c r="W30" s="22"/>
      <c r="X30" s="22"/>
      <c r="Y30" s="22"/>
      <c r="Z30" s="25">
        <f>[1]!b_stm07_bs(A30,74,$A$1,1,100000000)</f>
        <v>2012.2285290410998</v>
      </c>
      <c r="AA30" s="25">
        <f>[1]!b_stm07_bs(A30,109,$A$1,1,100000000)</f>
        <v>1238.2822540833001</v>
      </c>
      <c r="AB30" s="10">
        <f>[1]!s_stmnote_bank_5n(A30,$A$1,1)</f>
        <v>1.35</v>
      </c>
      <c r="AC30" s="25">
        <f>IF([1]!s_stmnote_bank_23n(A30,$A$1,1)=0,"",IFERROR([1]!s_stmnote_bank_23n(A30,$A$1,1),""))</f>
        <v>195.76</v>
      </c>
      <c r="AD30" s="27" t="str">
        <f t="shared" si="2"/>
        <v>62 167</v>
      </c>
      <c r="AE30" s="25">
        <f>[1]!s_stmnote_bank_capadequacyratio(A30,$A$1,1)</f>
        <v>13.02</v>
      </c>
      <c r="AF30" s="25">
        <f>IF([1]!s_stmnote_bank_capadequacyratio_ct1(A30,$A$1,1)=0,"",IFERROR([1]!s_stmnote_bank_capadequacyratio_ct1(A30,$A$1,1),""))</f>
        <v>10.029999999999999</v>
      </c>
      <c r="AG30" s="27" t="str">
        <f>RANK(AF30,AF$5:AF$192,1)&amp;" "&amp;COUNTIF(AF$5:AF$192,"&gt;0")</f>
        <v>84 167</v>
      </c>
      <c r="AH30" s="6">
        <f>IF(OR([1]!s_fa_roe(A30,20201231)=0,[1]!s_fa_roe(A30,20211231)="0",[1]!s_fa_roe(A30,20221231)="0"),"",IFERROR(([1]!s_fa_roe(A30,20221231)+[1]!s_fa_roe(A30,20201231)+[1]!s_fa_roe(A30,20211231))/3,""))</f>
        <v>4.7254666666666667</v>
      </c>
      <c r="AI30" s="27" t="str">
        <f t="shared" si="3"/>
        <v>37 173</v>
      </c>
      <c r="AJ30" s="28">
        <f>IFERROR(([1]!s_stmnote_bank_65(A30,$A$1,1,2,4,100000000)+[1]!s_stmnote_bank_65(A30,$A$1,1,2,6,100000000))/[1]!s_stmnote_bank_1n(A30,$A$1,1,100000000),"")</f>
        <v>0.1168213902015756</v>
      </c>
      <c r="AK30" s="28">
        <f>IFERROR([1]!s_stmnote_bank_614(A30,$A$1,1,2,100000000)/[1]!s_stmnote_bank_647(A30,$A$1,1,2,100000000),"")</f>
        <v>0.29600679640034844</v>
      </c>
      <c r="AL30" s="28">
        <f>IFERROR(([1]!b_stm07_bs(A30,104,$A$1,1,100000000)+[1]!b_stm07_bs(A30,106,$A$1,1,100000000)+[1]!b_stm07_bs(A30,76,$A$1,1,100000000)+[1]!b_stm07_bs(A30,108,$A$1,1,100000000)+[1]!b_stm07_bs(A30,95,$A$1,1,100000000))/[1]!b_stm07_bs(A30,128,$A$1,1,100000000),"")</f>
        <v>0.28002427560732263</v>
      </c>
      <c r="AM30" s="28">
        <f>IFERROR(([1]!s_stmnote_bank_614(A30,$A$1,1,2,100000000)+[1]!b_stm07_bs(A30,104,$A$1,1,100000000)+[1]!b_stm07_bs(A30,106,$A$1,1,100000000)+[1]!b_stm07_bs(A30,76,$A$1,1,100000000)+[1]!b_stm07_bs(A30,108,$A$1,1,100000000)+[1]!b_stm07_bs(A30,95,$A$1,1,100000000))/[1]!b_stm07_bs(A30,128,$A$1,1,100000000),"")</f>
        <v>0.47562348566364099</v>
      </c>
      <c r="AN30" s="31" t="e">
        <f>IF(Z30&gt;#REF!,#REF!,IF(Z30&gt;#REF!,#REF!,IF(Z30&gt;#REF!,#REF!,IF(Z30&gt;#REF!,#REF!,IF(Z30&gt;#REF!,#REF!,IF(Z30&gt;#REF!,#REF!,IF(Z30&gt;#REF!,#REF!,#REF!)))))))</f>
        <v>#REF!</v>
      </c>
      <c r="AO30" s="31" t="e">
        <f>IF(AA30&gt;#REF!,#REF!,IF(AA30&gt;#REF!,#REF!,IF(AA30&gt;#REF!,#REF!,IF(AA30&gt;#REF!,#REF!,IF(AA30&gt;#REF!,#REF!,IF(AA30&gt;#REF!,#REF!,IF(AA30&gt;#REF!,#REF!,#REF!)))))))</f>
        <v>#REF!</v>
      </c>
      <c r="AP30" s="31" t="e">
        <f>IF(AB30&lt;#REF!,#REF!,IF(AB30&lt;#REF!,#REF!,IF(AB30&lt;#REF!,#REF!,IF(AB30&lt;#REF!,#REF!,IF(AB30&lt;#REF!,#REF!,IF(AB30&lt;#REF!,#REF!,#REF!))))))</f>
        <v>#REF!</v>
      </c>
      <c r="AQ30" s="31" t="e">
        <f>IF(AC30&gt;#REF!,#REF!,IF(AC30&gt;#REF!,#REF!,IF(AC30&gt;#REF!,#REF!,IF(AC30&gt;#REF!,#REF!,#REF!))))</f>
        <v>#REF!</v>
      </c>
      <c r="AR30" s="31" t="e">
        <f>IF(AE30&gt;#REF!,#REF!,IF(AE30&gt;#REF!,#REF!,IF(AE30&gt;#REF!,#REF!,IF(AE30&gt;#REF!,#REF!,#REF!))))</f>
        <v>#REF!</v>
      </c>
      <c r="AS30" s="31" t="e">
        <f>IF(AF30&gt;#REF!,#REF!,IF(AF30&gt;#REF!,#REF!,IF(AF30&gt;#REF!,#REF!,IF(AF30&gt;#REF!,#REF!,#REF!))))</f>
        <v>#REF!</v>
      </c>
      <c r="AT30" s="31" t="e">
        <f>IF(AH30&gt;#REF!,#REF!,IF(AH30&gt;#REF!,#REF!,IF(AH30&gt;#REF!,#REF!,IF(AH30&gt;#REF!,#REF!,IF(AH30&gt;#REF!,#REF!,#REF!)))))</f>
        <v>#REF!</v>
      </c>
      <c r="AU30" s="10" t="e">
        <f t="shared" si="4"/>
        <v>#REF!</v>
      </c>
      <c r="AV30" s="10" t="s">
        <v>60</v>
      </c>
      <c r="AW30" s="10" t="s">
        <v>141</v>
      </c>
      <c r="AX30" s="10" t="s">
        <v>141</v>
      </c>
      <c r="AY30" s="31" t="str">
        <f>IFERROR(VLOOKUP(AV30,#REF!,3,0),"")</f>
        <v/>
      </c>
      <c r="AZ30" s="31" t="str">
        <f>IFERROR(VLOOKUP(AW30,#REF!,3,0),"")</f>
        <v/>
      </c>
      <c r="BA30" s="31" t="str">
        <f>IFERROR(VLOOKUP(AX30,#REF!,3,0),"")</f>
        <v/>
      </c>
      <c r="BB30" s="31" t="str">
        <f>IFERROR(AY30*#REF!+AZ30*#REF!+BA30*#REF!,"")</f>
        <v/>
      </c>
      <c r="BC30" s="32" t="str">
        <f t="shared" si="5"/>
        <v/>
      </c>
      <c r="BD30" s="32" t="str">
        <f>IFERROR(VLOOKUP(BC30*10,#REF!,2,1),"")</f>
        <v/>
      </c>
      <c r="BE30" s="11">
        <v>0</v>
      </c>
      <c r="BF30" s="11">
        <v>-2</v>
      </c>
      <c r="BG30" s="10" t="s">
        <v>759</v>
      </c>
      <c r="BH30" s="11" t="s">
        <v>760</v>
      </c>
      <c r="BI30" s="10">
        <v>12.189999580383301</v>
      </c>
      <c r="BJ30" s="33" t="s">
        <v>144</v>
      </c>
      <c r="BK30" s="33" t="s">
        <v>761</v>
      </c>
      <c r="BL30" s="10">
        <f>IF([1]!s_stmnote_bank_17n(A30,$A$1,1)="0","",[1]!s_stmnote_bank_17n(A30,$A$1,1))</f>
        <v>3.34</v>
      </c>
      <c r="BM30" s="10">
        <f>IF([1]!s_stmnote_bank_18n(A30,$A$1,1)="0","",[1]!s_stmnote_bank_18n(A30,$A$1,1))</f>
        <v>28.06</v>
      </c>
      <c r="BN30" s="41"/>
      <c r="BO30" s="52"/>
      <c r="BP30" s="52">
        <f>[1]!s_stmnote_bank_5444(A30,$A$1,1)</f>
        <v>2.0099999999999998</v>
      </c>
      <c r="BQ30" s="52">
        <f>[1]!s_stmnote_bank_129n($A30,$A$1,1)</f>
        <v>31.71</v>
      </c>
      <c r="BR30" s="52">
        <f t="shared" si="13"/>
        <v>4.5046372767415299</v>
      </c>
      <c r="BS30" s="52">
        <f>[1]!b_stm07_is(A30,19,$A$1,1,100000000)</f>
        <v>81.8862250042</v>
      </c>
      <c r="BT30" s="52">
        <f xml:space="preserve"> [1]!s_stm07_bs(A30,"W15273164",$A$1,1,100000000)-[1]!s_stm07_bs(A30,"W17642530",$A$1,1,100000000)-[1]!s_stm07_bs(A30,"W15910877",$A$1,1,100000000)-[1]!s_stm07_bs_39(A30,$A$1,1,100000000)-[1]!s_stm07_bs(A30,"W17700468",$A$1,1,100000000)-[1]!s_stm07_bs(A30,"W16504296",$A$1,1,100000000)-[1]!s_stm07_bs(A30,"W13769069",$A$1,1,100000000)</f>
        <v>1963.4839057442998</v>
      </c>
      <c r="BU30" s="52">
        <f xml:space="preserve"> [1]!s_stm07_bs(A30,"W15273164",$B$1,1,100000000)-[1]!s_stm07_bs(A30,"W17642530",$B$1,1,100000000)-[1]!s_stm07_bs(A30,"W15910877",$B$1,1,100000000)-[1]!s_stm07_bs_39(A30,$B$1,1,100000000)-[1]!s_stm07_bs(A30,"W17700468",$B$1,1,100000000)-[1]!s_stm07_bs(A30,"W16504296",$B$1,1,100000000)-[1]!s_stm07_bs(A30,"W13769069",$B$1,1,100000000)</f>
        <v>1782.7054072579999</v>
      </c>
      <c r="BV30" s="52">
        <f xml:space="preserve"> [1]!s_stm07_bs(A30,"W15273164",$E$1,1,100000000)-[1]!s_stm07_bs(A30,"W17642530",$E$1,1,100000000)-[1]!s_stm07_bs(A30,"W15910877",$E$1,1,100000000)-[1]!s_stm07_bs_39(A30,$E$1,1,100000000)-[1]!s_stm07_bs(A30,"W17700468",$E$1,1,100000000)-[1]!s_stm07_bs(A30,"W16504296",$E$1,1,100000000)-[1]!s_stm07_bs(A30,"W13769069",$E$1,1,100000000)</f>
        <v>1934.5771852729997</v>
      </c>
      <c r="BW30" s="52">
        <f xml:space="preserve"> [1]!s_stm07_bs(A30,"W15273164",$F$1,1,100000000)-[1]!s_stm07_bs(A30,"W17642530",$F$1,1,100000000)-[1]!s_stm07_bs(A30,"W15910877",$F$1,1,100000000)-[1]!s_stm07_bs_39(A30,$F$1,1,100000000)-[1]!s_stm07_bs(A30,"W17700468",$F$1,1,100000000)-[1]!s_stm07_bs(A30,"W16504296",$F$1,1,100000000)-[1]!s_stm07_bs(A30,"W13769069",$F$1,1,100000000)</f>
        <v>1872.6449390106002</v>
      </c>
      <c r="BX30" s="52">
        <f xml:space="preserve"> [1]!s_stm07_bs(A30,"W15273164",$G$1,1,100000000)-[1]!s_stm07_bs(A30,"W17642530",$G$1,1,100000000)-[1]!s_stm07_bs(A30,"W15910877",$G$1,1,100000000)-[1]!s_stm07_bs_39(A30,$G$1,1,100000000)-[1]!s_stm07_bs(A30,"W17700468",$G$1,1,100000000)-[1]!s_stm07_bs(A30,"W16504296",$G$1,1,100000000)-[1]!s_stm07_bs(A30,"W13769069",$G$1,1,100000000)</f>
        <v>1791.7017043441001</v>
      </c>
      <c r="BY30" s="52">
        <f>IFERROR([1]!b_stm07_is(A30,20,$A$1,1,100000000)/AVERAGEIF(CA30:CE30,"&gt;0")*100,0)</f>
        <v>2.593363142426615</v>
      </c>
      <c r="BZ30" s="52">
        <f>[1]!b_stm07_is(A30,20,$A$1,1,100000000)</f>
        <v>45.4255716479</v>
      </c>
      <c r="CA30" s="52">
        <f>[1]!s_stmnote_bank_38(A30,$A$1,1,100000000)</f>
        <v>1855.1332418804002</v>
      </c>
      <c r="CB30" s="52">
        <f>[1]!s_stmnote_bank_38(A30,$B$1,1,100000000)</f>
        <v>1652.6921810138001</v>
      </c>
      <c r="CC30" s="52">
        <f>[1]!s_stmnote_bank_38(A30,$E$1,1,100000000)</f>
        <v>1813.7051852196</v>
      </c>
      <c r="CD30" s="52">
        <f>[1]!s_stmnote_bank_38(A30,$F$1,1,100000000)</f>
        <v>1754.3861735457001</v>
      </c>
      <c r="CE30" s="52">
        <f>[1]!s_stmnote_bank_38(A30,$G$1,1,100000000)</f>
        <v>1682.1261828509</v>
      </c>
      <c r="CF30" s="52">
        <f>IF(BP30&lt;&gt;0,BP30,IFERROR(IF(([1]!b_stm07_is(A30,19,$A$1,1,100000000)-[1]!b_stm07_is(A30,20,$A$1,1,100000000))/AVERAGE([1]!s_stmnote_bank_35(A30,$A$1,1,100000000),[1]!s_stmnote_bank_35(A30,$B$1,1,100000000))*100=0,"",([1]!b_stm07_is(A30,19,$A$1,1,100000000)-[1]!b_stm07_is(A30,20,$A$1,1,100000000))/AVERAGE([1]!s_stmnote_bank_35(A30,$A$1,1,100000000),[1]!s_stmnote_bank_35(A30,$B$1,1,100000000))*100),""))</f>
        <v>2.0099999999999998</v>
      </c>
      <c r="CG30" s="27" t="str">
        <f t="shared" si="6"/>
        <v>91 171</v>
      </c>
      <c r="CH30" s="80">
        <f t="shared" si="14"/>
        <v>1.4888888888888885</v>
      </c>
      <c r="CI30" s="27" t="str">
        <f t="shared" si="7"/>
        <v>25 169</v>
      </c>
      <c r="CJ30" s="55">
        <f>[1]!s_stmnote_bank_30(A30,$A$1,1)</f>
        <v>17.956700000000001</v>
      </c>
      <c r="CP30" s="69">
        <f>[1]!b_stm07_bs($A30,141,$A$1,1,100000000)</f>
        <v>138.29476946680001</v>
      </c>
      <c r="CQ30" s="69">
        <f>[1]!b_stm07_bs($A30,141,$D$1,1,100000000)</f>
        <v>136.33566122249999</v>
      </c>
      <c r="CR30" s="68">
        <f>IF([1]!s_fa_roic_yearly($A30,$A$1)=0,"",[1]!s_fa_roic_yearly($A30,$A$1))</f>
        <v>5.0088999999999997</v>
      </c>
      <c r="CS30" s="27">
        <f>RANK(CR30,CR$5:CR$192,0)/COUNTIF(CR$5:CR$192,"&gt;0")</f>
        <v>0.82840236686390534</v>
      </c>
      <c r="CT30" s="68">
        <f>IF([1]!s_fa_roic_yearly($A30,$D$1)=0,"",[1]!s_fa_roic_yearly($A30,$D$1))</f>
        <v>5.5136000000000003</v>
      </c>
      <c r="CU30" s="27">
        <f>RANK(CT30,CT$5:CT$192,0)/COUNTIF(CT$5:CT$192,"&gt;0")</f>
        <v>0.89436619718309862</v>
      </c>
      <c r="CV30" s="78">
        <f>[1]!s_stm07_bs(A30,"W14578191",$A$1,1,100000000)</f>
        <v>1039.1345563363</v>
      </c>
      <c r="CW30" s="78">
        <f>[1]!s_stmnote_bank_682($A30,$A$1,1,2,100000000)</f>
        <v>459.25795891129997</v>
      </c>
      <c r="CX30" s="79">
        <f t="shared" si="11"/>
        <v>0.44196197317363412</v>
      </c>
    </row>
    <row r="31" spans="1:102" ht="13.5">
      <c r="A31" s="8" t="s">
        <v>276</v>
      </c>
      <c r="B31" s="8" t="s">
        <v>277</v>
      </c>
      <c r="C31" s="9" t="s">
        <v>278</v>
      </c>
      <c r="D31" s="9" t="s">
        <v>1066</v>
      </c>
      <c r="E31" s="10"/>
      <c r="F31" s="11" t="s">
        <v>90</v>
      </c>
      <c r="G31" s="11" t="s">
        <v>67</v>
      </c>
      <c r="H31" s="11" t="s">
        <v>103</v>
      </c>
      <c r="I31" s="11"/>
      <c r="J31" s="11" t="e">
        <f>VLOOKUP(B31,[3]额度信息!$B:$T,19,0)</f>
        <v>#N/A</v>
      </c>
      <c r="K31" s="11"/>
      <c r="L31" s="27">
        <f>IFERROR(([1]!b_stm07_bs($A31,47,$A$1,1,100000000))/[1]!b_stm07_bs($A31,109,$A$1,1,100000000),"")</f>
        <v>8.9890059496333538E-2</v>
      </c>
      <c r="M31" s="20"/>
      <c r="N31" s="18"/>
      <c r="O31" s="27" t="e">
        <f t="shared" si="0"/>
        <v>#N/A</v>
      </c>
      <c r="P31" s="21">
        <f t="shared" si="12"/>
        <v>7.9972682354034763E-2</v>
      </c>
      <c r="Q31" s="27" t="str">
        <f t="shared" si="1"/>
        <v>159 169</v>
      </c>
      <c r="R31" s="18">
        <f>IFERROR([1]!s_stmnote_bank($A31,"34",$A$1,100000000)/[1]!s_stmnote_bank_1n(A31,$A$1,1,100000000),"")</f>
        <v>6.7472682354034766E-2</v>
      </c>
      <c r="S31" s="22"/>
      <c r="T31" s="22"/>
      <c r="U31" s="22"/>
      <c r="V31" s="22"/>
      <c r="W31" s="22"/>
      <c r="X31" s="22"/>
      <c r="Y31" s="22"/>
      <c r="Z31" s="25">
        <f>[1]!b_stm07_bs(A31,74,$A$1,1,100000000)</f>
        <v>680.16894955889995</v>
      </c>
      <c r="AA31" s="25">
        <f>[1]!b_stm07_bs(A31,109,$A$1,1,100000000)</f>
        <v>531.1034322905</v>
      </c>
      <c r="AB31" s="10">
        <f>[1]!s_stmnote_bank_5n(A31,$A$1,1)</f>
        <v>1.25</v>
      </c>
      <c r="AC31" s="25">
        <f>IF([1]!s_stmnote_bank_23n(A31,$A$1,1)=0,"",IFERROR([1]!s_stmnote_bank_23n(A31,$A$1,1),""))</f>
        <v>218.3</v>
      </c>
      <c r="AD31" s="27" t="str">
        <f t="shared" si="2"/>
        <v>75 167</v>
      </c>
      <c r="AE31" s="25">
        <f>[1]!s_stmnote_bank_capadequacyratio(A31,$A$1,1)</f>
        <v>15.89</v>
      </c>
      <c r="AF31" s="25">
        <f>IF([1]!s_stmnote_bank_capadequacyratio_ct1(A31,$A$1,1)=0,"",IFERROR([1]!s_stmnote_bank_capadequacyratio_ct1(A31,$A$1,1),""))</f>
        <v>11.89</v>
      </c>
      <c r="AG31" s="27" t="str">
        <f>RANK(AF31,AF$5:AF$192,1)&amp;" "&amp;COUNTIF(AF$5:AF$192,"&gt;0")</f>
        <v>123 167</v>
      </c>
      <c r="AH31" s="6">
        <f>IF(OR([1]!s_fa_roe(A31,20201231)=0,[1]!s_fa_roe(A31,20211231)="0",[1]!s_fa_roe(A31,20221231)="0"),"",IFERROR(([1]!s_fa_roe(A31,20221231)+[1]!s_fa_roe(A31,20201231)+[1]!s_fa_roe(A31,20211231))/3,""))</f>
        <v>8.877600000000001</v>
      </c>
      <c r="AI31" s="27" t="str">
        <f t="shared" si="3"/>
        <v>96 173</v>
      </c>
      <c r="AJ31" s="28">
        <f>IFERROR(([1]!s_stmnote_bank_65(A31,$A$1,1,2,4,100000000)+[1]!s_stmnote_bank_65(A31,$A$1,1,2,6,100000000))/[1]!s_stmnote_bank_1n(A31,$A$1,1,100000000),"")</f>
        <v>0.13804992158075458</v>
      </c>
      <c r="AK31" s="28">
        <f>IFERROR([1]!s_stmnote_bank_614(A31,$A$1,1,2,100000000)/[1]!s_stmnote_bank_647(A31,$A$1,1,2,100000000),"")</f>
        <v>0.18976278222030751</v>
      </c>
      <c r="AL31" s="28">
        <f>IFERROR(([1]!b_stm07_bs(A31,104,$A$1,1,100000000)+[1]!b_stm07_bs(A31,106,$A$1,1,100000000)+[1]!b_stm07_bs(A31,76,$A$1,1,100000000)+[1]!b_stm07_bs(A31,108,$A$1,1,100000000)+[1]!b_stm07_bs(A31,95,$A$1,1,100000000))/[1]!b_stm07_bs(A31,128,$A$1,1,100000000),"")</f>
        <v>8.9394421231644178E-2</v>
      </c>
      <c r="AM31" s="28">
        <f>IFERROR(([1]!s_stmnote_bank_614(A31,$A$1,1,2,100000000)+[1]!b_stm07_bs(A31,104,$A$1,1,100000000)+[1]!b_stm07_bs(A31,106,$A$1,1,100000000)+[1]!b_stm07_bs(A31,76,$A$1,1,100000000)+[1]!b_stm07_bs(A31,108,$A$1,1,100000000)+[1]!b_stm07_bs(A31,95,$A$1,1,100000000))/[1]!b_stm07_bs(A31,128,$A$1,1,100000000),"")</f>
        <v>0.25131242523086655</v>
      </c>
      <c r="AN31" s="31" t="e">
        <f>IF(Z31&gt;#REF!,#REF!,IF(Z31&gt;#REF!,#REF!,IF(Z31&gt;#REF!,#REF!,IF(Z31&gt;#REF!,#REF!,IF(Z31&gt;#REF!,#REF!,IF(Z31&gt;#REF!,#REF!,IF(Z31&gt;#REF!,#REF!,#REF!)))))))</f>
        <v>#REF!</v>
      </c>
      <c r="AO31" s="31" t="e">
        <f>IF(AA31&gt;#REF!,#REF!,IF(AA31&gt;#REF!,#REF!,IF(AA31&gt;#REF!,#REF!,IF(AA31&gt;#REF!,#REF!,IF(AA31&gt;#REF!,#REF!,IF(AA31&gt;#REF!,#REF!,IF(AA31&gt;#REF!,#REF!,#REF!)))))))</f>
        <v>#REF!</v>
      </c>
      <c r="AP31" s="31" t="e">
        <f>IF(AB31&lt;#REF!,#REF!,IF(AB31&lt;#REF!,#REF!,IF(AB31&lt;#REF!,#REF!,IF(AB31&lt;#REF!,#REF!,IF(AB31&lt;#REF!,#REF!,IF(AB31&lt;#REF!,#REF!,#REF!))))))</f>
        <v>#REF!</v>
      </c>
      <c r="AQ31" s="31" t="e">
        <f>IF(AC31&gt;#REF!,#REF!,IF(AC31&gt;#REF!,#REF!,IF(AC31&gt;#REF!,#REF!,IF(AC31&gt;#REF!,#REF!,#REF!))))</f>
        <v>#REF!</v>
      </c>
      <c r="AR31" s="31" t="e">
        <f>IF(AE31&gt;#REF!,#REF!,IF(AE31&gt;#REF!,#REF!,IF(AE31&gt;#REF!,#REF!,IF(AE31&gt;#REF!,#REF!,#REF!))))</f>
        <v>#REF!</v>
      </c>
      <c r="AS31" s="31" t="e">
        <f>IF(AF31&gt;#REF!,#REF!,IF(AF31&gt;#REF!,#REF!,IF(AF31&gt;#REF!,#REF!,IF(AF31&gt;#REF!,#REF!,#REF!))))</f>
        <v>#REF!</v>
      </c>
      <c r="AT31" s="31" t="e">
        <f>IF(AH31&gt;#REF!,#REF!,IF(AH31&gt;#REF!,#REF!,IF(AH31&gt;#REF!,#REF!,IF(AH31&gt;#REF!,#REF!,IF(AH31&gt;#REF!,#REF!,#REF!)))))</f>
        <v>#REF!</v>
      </c>
      <c r="AU31" s="10" t="e">
        <f t="shared" si="4"/>
        <v>#REF!</v>
      </c>
      <c r="AV31" s="10"/>
      <c r="AW31" s="10"/>
      <c r="AX31" s="10"/>
      <c r="AY31" s="31" t="str">
        <f>IFERROR(VLOOKUP(AV31,#REF!,3,0),"")</f>
        <v/>
      </c>
      <c r="AZ31" s="31" t="str">
        <f>IFERROR(VLOOKUP(AW31,#REF!,3,0),"")</f>
        <v/>
      </c>
      <c r="BA31" s="31" t="str">
        <f>IFERROR(VLOOKUP(AX31,#REF!,3,0),"")</f>
        <v/>
      </c>
      <c r="BB31" s="31" t="str">
        <f>IFERROR(AY31*#REF!+AZ31*#REF!+BA31*#REF!,"")</f>
        <v/>
      </c>
      <c r="BC31" s="32" t="str">
        <f t="shared" si="5"/>
        <v/>
      </c>
      <c r="BD31" s="32" t="str">
        <f>IFERROR(VLOOKUP(BC31*10,#REF!,2,1),"")</f>
        <v/>
      </c>
      <c r="BE31" s="10"/>
      <c r="BF31" s="10"/>
      <c r="BG31" s="10"/>
      <c r="BH31" s="11" t="s">
        <v>279</v>
      </c>
      <c r="BI31" s="10">
        <v>9.8999996185302699</v>
      </c>
      <c r="BJ31" s="11" t="s">
        <v>280</v>
      </c>
      <c r="BK31" s="33" t="s">
        <v>281</v>
      </c>
      <c r="BL31" s="10">
        <f>IF([1]!s_stmnote_bank_17n(A31,$A$1,1)="0","",[1]!s_stmnote_bank_17n(A31,$A$1,1))</f>
        <v>5.7</v>
      </c>
      <c r="BM31" s="10">
        <f>IF([1]!s_stmnote_bank_18n(A31,$A$1,1)="0","",[1]!s_stmnote_bank_18n(A31,$A$1,1))</f>
        <v>38.68</v>
      </c>
      <c r="BN31" s="41" t="s">
        <v>67</v>
      </c>
      <c r="BO31" s="42" t="s">
        <v>67</v>
      </c>
      <c r="BP31" s="52">
        <f>[1]!s_stmnote_bank_5444(A31,$A$1,1)</f>
        <v>2.11</v>
      </c>
      <c r="BQ31" s="52">
        <f>[1]!s_stmnote_bank_129n($A31,$A$1,1)</f>
        <v>40.51</v>
      </c>
      <c r="BR31" s="52">
        <f t="shared" si="13"/>
        <v>3.9470458472626424</v>
      </c>
      <c r="BS31" s="52">
        <f>[1]!b_stm07_is(A31,19,$A$1,1,100000000)</f>
        <v>24.938025433299998</v>
      </c>
      <c r="BT31" s="52">
        <f xml:space="preserve"> [1]!s_stm07_bs(A31,"W15273164",$A$1,1,100000000)-[1]!s_stm07_bs(A31,"W17642530",$A$1,1,100000000)-[1]!s_stm07_bs(A31,"W15910877",$A$1,1,100000000)-[1]!s_stm07_bs_39(A31,$A$1,1,100000000)-[1]!s_stm07_bs(A31,"W17700468",$A$1,1,100000000)-[1]!s_stm07_bs(A31,"W16504296",$A$1,1,100000000)-[1]!s_stm07_bs(A31,"W13769069",$A$1,1,100000000)</f>
        <v>664.72646930099995</v>
      </c>
      <c r="BU31" s="52">
        <f xml:space="preserve"> [1]!s_stm07_bs(A31,"W15273164",$B$1,1,100000000)-[1]!s_stm07_bs(A31,"W17642530",$B$1,1,100000000)-[1]!s_stm07_bs(A31,"W15910877",$B$1,1,100000000)-[1]!s_stm07_bs_39(A31,$B$1,1,100000000)-[1]!s_stm07_bs(A31,"W17700468",$B$1,1,100000000)-[1]!s_stm07_bs(A31,"W16504296",$B$1,1,100000000)-[1]!s_stm07_bs(A31,"W13769069",$B$1,1,100000000)</f>
        <v>629.79168487660013</v>
      </c>
      <c r="BV31" s="52">
        <f xml:space="preserve"> [1]!s_stm07_bs(A31,"W15273164",$E$1,1,100000000)-[1]!s_stm07_bs(A31,"W17642530",$E$1,1,100000000)-[1]!s_stm07_bs(A31,"W15910877",$E$1,1,100000000)-[1]!s_stm07_bs_39(A31,$E$1,1,100000000)-[1]!s_stm07_bs(A31,"W17700468",$E$1,1,100000000)-[1]!s_stm07_bs(A31,"W16504296",$E$1,1,100000000)-[1]!s_stm07_bs(A31,"W13769069",$E$1,1,100000000)</f>
        <v>647.81277310520011</v>
      </c>
      <c r="BW31" s="52">
        <f xml:space="preserve"> [1]!s_stm07_bs(A31,"W15273164",$F$1,1,100000000)-[1]!s_stm07_bs(A31,"W17642530",$F$1,1,100000000)-[1]!s_stm07_bs(A31,"W15910877",$F$1,1,100000000)-[1]!s_stm07_bs_39(A31,$F$1,1,100000000)-[1]!s_stm07_bs(A31,"W17700468",$F$1,1,100000000)-[1]!s_stm07_bs(A31,"W16504296",$F$1,1,100000000)-[1]!s_stm07_bs(A31,"W13769069",$F$1,1,100000000)</f>
        <v>616.82213760399998</v>
      </c>
      <c r="BX31" s="52">
        <f xml:space="preserve"> [1]!s_stm07_bs(A31,"W15273164",$G$1,1,100000000)-[1]!s_stm07_bs(A31,"W17642530",$G$1,1,100000000)-[1]!s_stm07_bs(A31,"W15910877",$G$1,1,100000000)-[1]!s_stm07_bs_39(A31,$G$1,1,100000000)-[1]!s_stm07_bs(A31,"W17700468",$G$1,1,100000000)-[1]!s_stm07_bs(A31,"W16504296",$G$1,1,100000000)-[1]!s_stm07_bs(A31,"W13769069",$G$1,1,100000000)</f>
        <v>608.30526618260001</v>
      </c>
      <c r="BY31" s="52">
        <f>IFERROR([1]!b_stm07_is(A31,20,$A$1,1,100000000)/AVERAGEIF(CA31:CE31,"&gt;0")*100,0)</f>
        <v>2.0657231012024866</v>
      </c>
      <c r="BZ31" s="52">
        <f>[1]!b_stm07_is(A31,20,$A$1,1,100000000)</f>
        <v>11.9818784254</v>
      </c>
      <c r="CA31" s="52">
        <f>[1]!s_stmnote_bank_38(A31,$A$1,1,100000000)</f>
        <v>618.13210507379995</v>
      </c>
      <c r="CB31" s="52">
        <f>[1]!s_stmnote_bank_38(A31,$B$1,1,100000000)</f>
        <v>569.4796938787</v>
      </c>
      <c r="CC31" s="52">
        <f>[1]!s_stmnote_bank_38(A31,$E$1,1,100000000)</f>
        <v>593.87555961539999</v>
      </c>
      <c r="CD31" s="52">
        <f>[1]!s_stmnote_bank_38(A31,$F$1,1,100000000)</f>
        <v>564.07278135980005</v>
      </c>
      <c r="CE31" s="52">
        <f>[1]!s_stmnote_bank_38(A31,$G$1,1,100000000)</f>
        <v>554.60552565089995</v>
      </c>
      <c r="CF31" s="52">
        <f>IF(BP31&lt;&gt;0,BP31,IFERROR(IF(([1]!b_stm07_is(A31,19,$A$1,1,100000000)-[1]!b_stm07_is(A31,20,$A$1,1,100000000))/AVERAGE([1]!s_stmnote_bank_35(A31,$A$1,1,100000000),[1]!s_stmnote_bank_35(A31,$B$1,1,100000000))*100=0,"",([1]!b_stm07_is(A31,19,$A$1,1,100000000)-[1]!b_stm07_is(A31,20,$A$1,1,100000000))/AVERAGE([1]!s_stmnote_bank_35(A31,$A$1,1,100000000),[1]!s_stmnote_bank_35(A31,$B$1,1,100000000))*100),""))</f>
        <v>2.11</v>
      </c>
      <c r="CG31" s="27" t="str">
        <f t="shared" si="6"/>
        <v>80 171</v>
      </c>
      <c r="CH31" s="80">
        <f t="shared" si="14"/>
        <v>0.26384009362836464</v>
      </c>
      <c r="CI31" s="27" t="str">
        <f t="shared" si="7"/>
        <v>149 169</v>
      </c>
      <c r="CJ31" s="55">
        <f>[1]!s_stmnote_bank_30(A31,$A$1,1)</f>
        <v>17.542200000000001</v>
      </c>
      <c r="CK31" s="46"/>
      <c r="CL31" s="46"/>
      <c r="CM31" s="46"/>
      <c r="CN31" s="46"/>
      <c r="CO31" s="46"/>
      <c r="CP31" s="69">
        <f>[1]!b_stm07_bs($A31,141,$A$1,1,100000000)</f>
        <v>57.732515876800001</v>
      </c>
      <c r="CQ31" s="69">
        <f>[1]!b_stm07_bs($A31,141,$D$1,1,100000000)</f>
        <v>58.511883889499998</v>
      </c>
      <c r="CR31" s="68">
        <f>IF([1]!s_fa_roic_yearly($A31,$A$1)=0,"",[1]!s_fa_roic_yearly($A31,$A$1))</f>
        <v>9.5889000000000006</v>
      </c>
      <c r="CS31" s="27">
        <f>RANK(CR31,CR$5:CR$192,0)/COUNTIF(CR$5:CR$192,"&gt;0")</f>
        <v>0.39053254437869822</v>
      </c>
      <c r="CT31" s="68">
        <f>IF([1]!s_fa_roic_yearly($A31,$D$1)=0,"",[1]!s_fa_roic_yearly($A31,$D$1))</f>
        <v>10.3344</v>
      </c>
      <c r="CU31" s="27">
        <f>RANK(CT31,CT$5:CT$192,0)/COUNTIF(CT$5:CT$192,"&gt;0")</f>
        <v>0.4859154929577465</v>
      </c>
      <c r="CV31" s="78">
        <f>[1]!s_stm07_bs(A31,"W14578191",$A$1,1,100000000)</f>
        <v>366.51304460429998</v>
      </c>
      <c r="CW31" s="78">
        <f>[1]!s_stmnote_bank_682($A31,$A$1,1,2,100000000)</f>
        <v>160.12170693030001</v>
      </c>
      <c r="CX31" s="79">
        <f t="shared" si="11"/>
        <v>0.43687860306083481</v>
      </c>
    </row>
    <row r="32" spans="1:102" ht="13.5">
      <c r="A32" s="8" t="s">
        <v>886</v>
      </c>
      <c r="B32" s="8" t="s">
        <v>887</v>
      </c>
      <c r="C32" s="9" t="s">
        <v>888</v>
      </c>
      <c r="D32" s="9" t="s">
        <v>1064</v>
      </c>
      <c r="E32" s="10" t="s">
        <v>888</v>
      </c>
      <c r="F32" s="11" t="s">
        <v>178</v>
      </c>
      <c r="G32" s="11" t="s">
        <v>259</v>
      </c>
      <c r="H32" s="11" t="s">
        <v>66</v>
      </c>
      <c r="I32" s="11"/>
      <c r="J32" s="11">
        <f>VLOOKUP(B32,[3]额度信息!$B:$T,19,0)</f>
        <v>0</v>
      </c>
      <c r="K32" s="11" t="s">
        <v>889</v>
      </c>
      <c r="L32" s="27">
        <f>IFERROR(([1]!b_stm07_bs($A32,47,$A$1,1,100000000))/[1]!b_stm07_bs($A32,109,$A$1,1,100000000),"")</f>
        <v>9.659589415305686E-2</v>
      </c>
      <c r="M32" s="20">
        <v>351.77</v>
      </c>
      <c r="N32" s="18">
        <f>IFERROR(([1]!s_stmnote_bank_26($A32,$A$1,1,100000000)-[1]!s_stmnote_bank_26($A32,$B$1,1,100000000)+M32)/[1]!s_stmnote_bank_1n($A32,$B$1,1,100000000),"")</f>
        <v>1.7199677760902952E-2</v>
      </c>
      <c r="O32" s="27" t="str">
        <f t="shared" si="0"/>
        <v>39 50</v>
      </c>
      <c r="P32" s="21">
        <f t="shared" si="12"/>
        <v>4.5538870061369002E-2</v>
      </c>
      <c r="Q32" s="27" t="str">
        <f t="shared" si="1"/>
        <v>126 169</v>
      </c>
      <c r="R32" s="18">
        <v>2.7838870061368998E-2</v>
      </c>
      <c r="S32" s="22">
        <v>3.64729365461006E-2</v>
      </c>
      <c r="T32" s="22">
        <v>1.80248511530933E-2</v>
      </c>
      <c r="U32" s="22">
        <v>8.1403180940713596E-2</v>
      </c>
      <c r="V32" s="22"/>
      <c r="W32" s="22">
        <v>1.9193300646907101E-2</v>
      </c>
      <c r="X32" s="22">
        <v>1.55382796457881E-2</v>
      </c>
      <c r="Y32" s="22">
        <v>0.63555489289796696</v>
      </c>
      <c r="Z32" s="25">
        <f>[1]!b_stm07_bs(A32,74,$A$1,1,100000000)</f>
        <v>36762.870000000003</v>
      </c>
      <c r="AA32" s="25">
        <f>[1]!b_stm07_bs(A32,109,$A$1,1,100000000)</f>
        <v>19273.490000000002</v>
      </c>
      <c r="AB32" s="10">
        <f>[1]!s_stmnote_bank_5n(A32,$A$1,1)</f>
        <v>1.77</v>
      </c>
      <c r="AC32" s="25">
        <f>IF([1]!s_stmnote_bank_23n(A32,$A$1,1)=0,"",IFERROR([1]!s_stmnote_bank_23n(A32,$A$1,1),""))</f>
        <v>150.99</v>
      </c>
      <c r="AD32" s="27" t="str">
        <f t="shared" si="2"/>
        <v>19 167</v>
      </c>
      <c r="AE32" s="25">
        <f>[1]!s_stmnote_bank_capadequacyratio(A32,$A$1,1)</f>
        <v>12.82</v>
      </c>
      <c r="AF32" s="25">
        <f>IF([1]!s_stmnote_bank_capadequacyratio_ct1(A32,$A$1,1)=0,"",IFERROR([1]!s_stmnote_bank_capadequacyratio_ct1(A32,$A$1,1),""))</f>
        <v>8.7799999999999994</v>
      </c>
      <c r="AG32" s="27" t="str">
        <f>RANK(AF32,AF$5:AF$192,0)&amp;" "&amp;COUNTIF(AF$5:AF$192,"&gt;0")</f>
        <v>131 167</v>
      </c>
      <c r="AH32" s="6">
        <f>IF(OR([1]!s_fa_roe(A32,20201231)=0,[1]!s_fa_roe(A32,20211231)="0",[1]!s_fa_roe(A32,20221231)="0"),"",IFERROR(([1]!s_fa_roe(A32,20221231)+[1]!s_fa_roe(A32,20201231)+[1]!s_fa_roe(A32,20211231))/3,""))</f>
        <v>7.994933333333333</v>
      </c>
      <c r="AI32" s="27" t="str">
        <f t="shared" si="3"/>
        <v>80 173</v>
      </c>
      <c r="AJ32" s="28">
        <f>IFERROR(([1]!s_stmnote_bank_65(A32,$A$1,1,2,4,100000000)+[1]!s_stmnote_bank_65(A32,$A$1,1,2,6,100000000))/[1]!s_stmnote_bank_1n(A32,$A$1,1,100000000),"")</f>
        <v>0.10211612316802715</v>
      </c>
      <c r="AK32" s="28">
        <f>IFERROR([1]!s_stmnote_bank_614(A32,$A$1,1,2,100000000)/[1]!s_stmnote_bank_647(A32,$A$1,1,2,100000000),"")</f>
        <v>0.34542679100570639</v>
      </c>
      <c r="AL32" s="28">
        <f>IFERROR(([1]!b_stm07_bs(A32,104,$A$1,1,100000000)+[1]!b_stm07_bs(A32,106,$A$1,1,100000000)+[1]!b_stm07_bs(A32,76,$A$1,1,100000000)+[1]!b_stm07_bs(A32,108,$A$1,1,100000000)+[1]!b_stm07_bs(A32,95,$A$1,1,100000000))/[1]!b_stm07_bs(A32,128,$A$1,1,100000000),"")</f>
        <v>0.37027922567495708</v>
      </c>
      <c r="AM32" s="28">
        <f>IFERROR(([1]!s_stmnote_bank_614(A32,$A$1,1,2,100000000)+[1]!b_stm07_bs(A32,104,$A$1,1,100000000)+[1]!b_stm07_bs(A32,106,$A$1,1,100000000)+[1]!b_stm07_bs(A32,76,$A$1,1,100000000)+[1]!b_stm07_bs(A32,108,$A$1,1,100000000)+[1]!b_stm07_bs(A32,95,$A$1,1,100000000))/[1]!b_stm07_bs(A32,128,$A$1,1,100000000),"")</f>
        <v>0.56515448433382653</v>
      </c>
      <c r="AN32" s="31" t="e">
        <f>IF(Z32&gt;#REF!,#REF!,IF(Z32&gt;#REF!,#REF!,IF(Z32&gt;#REF!,#REF!,IF(Z32&gt;#REF!,#REF!,IF(Z32&gt;#REF!,#REF!,IF(Z32&gt;#REF!,#REF!,IF(Z32&gt;#REF!,#REF!,#REF!)))))))</f>
        <v>#REF!</v>
      </c>
      <c r="AO32" s="31" t="e">
        <f>IF(AA32&gt;#REF!,#REF!,IF(AA32&gt;#REF!,#REF!,IF(AA32&gt;#REF!,#REF!,IF(AA32&gt;#REF!,#REF!,IF(AA32&gt;#REF!,#REF!,IF(AA32&gt;#REF!,#REF!,IF(AA32&gt;#REF!,#REF!,#REF!)))))))</f>
        <v>#REF!</v>
      </c>
      <c r="AP32" s="31" t="e">
        <f>IF(AB32&lt;#REF!,#REF!,IF(AB32&lt;#REF!,#REF!,IF(AB32&lt;#REF!,#REF!,IF(AB32&lt;#REF!,#REF!,IF(AB32&lt;#REF!,#REF!,IF(AB32&lt;#REF!,#REF!,#REF!))))))</f>
        <v>#REF!</v>
      </c>
      <c r="AQ32" s="31" t="e">
        <f>IF(AC32&gt;#REF!,#REF!,IF(AC32&gt;#REF!,#REF!,IF(AC32&gt;#REF!,#REF!,IF(AC32&gt;#REF!,#REF!,#REF!))))</f>
        <v>#REF!</v>
      </c>
      <c r="AR32" s="31" t="e">
        <f>IF(AE32&gt;#REF!,#REF!,IF(AE32&gt;#REF!,#REF!,IF(AE32&gt;#REF!,#REF!,IF(AE32&gt;#REF!,#REF!,#REF!))))</f>
        <v>#REF!</v>
      </c>
      <c r="AS32" s="31" t="e">
        <f>IF(AF32&gt;#REF!,#REF!,IF(AF32&gt;#REF!,#REF!,IF(AF32&gt;#REF!,#REF!,IF(AF32&gt;#REF!,#REF!,#REF!))))</f>
        <v>#REF!</v>
      </c>
      <c r="AT32" s="31" t="e">
        <f>IF(AH32&gt;#REF!,#REF!,IF(AH32&gt;#REF!,#REF!,IF(AH32&gt;#REF!,#REF!,IF(AH32&gt;#REF!,#REF!,IF(AH32&gt;#REF!,#REF!,#REF!)))))</f>
        <v>#REF!</v>
      </c>
      <c r="AU32" s="10" t="e">
        <f t="shared" si="4"/>
        <v>#REF!</v>
      </c>
      <c r="AV32" s="10" t="s">
        <v>395</v>
      </c>
      <c r="AW32" s="10" t="s">
        <v>141</v>
      </c>
      <c r="AX32" s="10" t="s">
        <v>141</v>
      </c>
      <c r="AY32" s="31" t="str">
        <f>IFERROR(VLOOKUP(AV32,#REF!,3,0),"")</f>
        <v/>
      </c>
      <c r="AZ32" s="31" t="str">
        <f>IFERROR(VLOOKUP(AW32,#REF!,3,0),"")</f>
        <v/>
      </c>
      <c r="BA32" s="31" t="str">
        <f>IFERROR(VLOOKUP(AX32,#REF!,3,0),"")</f>
        <v/>
      </c>
      <c r="BB32" s="31" t="str">
        <f>IFERROR(AY32*#REF!+AZ32*#REF!+BA32*#REF!,"")</f>
        <v/>
      </c>
      <c r="BC32" s="32" t="str">
        <f t="shared" si="5"/>
        <v/>
      </c>
      <c r="BD32" s="32" t="str">
        <f>IFERROR(VLOOKUP(BC32*10,#REF!,2,1),"")</f>
        <v/>
      </c>
      <c r="BE32" s="11">
        <v>1</v>
      </c>
      <c r="BF32" s="11">
        <v>0</v>
      </c>
      <c r="BG32" s="10" t="s">
        <v>532</v>
      </c>
      <c r="BH32" s="11" t="s">
        <v>890</v>
      </c>
      <c r="BI32" s="10">
        <v>21.680000305175799</v>
      </c>
      <c r="BJ32" s="33" t="s">
        <v>71</v>
      </c>
      <c r="BK32" s="33" t="s">
        <v>72</v>
      </c>
      <c r="BL32" s="10">
        <f>IF([1]!s_stmnote_bank_17n(A32,$A$1,1)="0","",[1]!s_stmnote_bank_17n(A32,$A$1,1))</f>
        <v>0</v>
      </c>
      <c r="BM32" s="10">
        <f>IF([1]!s_stmnote_bank_18n(A32,$A$1,1)="0","",[1]!s_stmnote_bank_18n(A32,$A$1,1))</f>
        <v>0</v>
      </c>
      <c r="BN32" s="41">
        <v>4.28</v>
      </c>
      <c r="BO32" s="52">
        <v>2.21</v>
      </c>
      <c r="BP32" s="52">
        <f>[1]!s_stmnote_bank_5444(A32,$A$1,1)</f>
        <v>2.35</v>
      </c>
      <c r="BQ32" s="52">
        <f>[1]!s_stmnote_bank_129n($A32,$A$1,1)</f>
        <v>29.06</v>
      </c>
      <c r="BR32" s="52">
        <f t="shared" si="13"/>
        <v>4.4805693440155485</v>
      </c>
      <c r="BS32" s="52">
        <f>[1]!b_stm07_is(A32,19,$A$1,1,100000000)</f>
        <v>1528.41</v>
      </c>
      <c r="BT32" s="52">
        <f xml:space="preserve"> [1]!s_stm07_bs(A32,"W15273164",$A$1,1,100000000)-[1]!s_stm07_bs(A32,"W17642530",$A$1,1,100000000)-[1]!s_stm07_bs(A32,"W15910877",$A$1,1,100000000)-[1]!s_stm07_bs_39(A32,$A$1,1,100000000)-[1]!s_stm07_bs(A32,"W17700468",$A$1,1,100000000)-[1]!s_stm07_bs(A32,"W16504296",$A$1,1,100000000)-[1]!s_stm07_bs(A32,"W13769069",$A$1,1,100000000)</f>
        <v>36392.659999999996</v>
      </c>
      <c r="BU32" s="52">
        <f xml:space="preserve"> [1]!s_stm07_bs(A32,"W15273164",$B$1,1,100000000)-[1]!s_stm07_bs(A32,"W17642530",$B$1,1,100000000)-[1]!s_stm07_bs(A32,"W15910877",$B$1,1,100000000)-[1]!s_stm07_bs_39(A32,$B$1,1,100000000)-[1]!s_stm07_bs(A32,"W17700468",$B$1,1,100000000)-[1]!s_stm07_bs(A32,"W16504296",$B$1,1,100000000)-[1]!s_stm07_bs(A32,"W13769069",$B$1,1,100000000)</f>
        <v>33611.86</v>
      </c>
      <c r="BV32" s="52">
        <f xml:space="preserve"> [1]!s_stm07_bs(A32,"W15273164",$E$1,1,100000000)-[1]!s_stm07_bs(A32,"W17642530",$E$1,1,100000000)-[1]!s_stm07_bs(A32,"W15910877",$E$1,1,100000000)-[1]!s_stm07_bs_39(A32,$E$1,1,100000000)-[1]!s_stm07_bs(A32,"W17700468",$E$1,1,100000000)-[1]!s_stm07_bs(A32,"W16504296",$E$1,1,100000000)-[1]!s_stm07_bs(A32,"W13769069",$E$1,1,100000000)</f>
        <v>35108.169999999991</v>
      </c>
      <c r="BW32" s="52">
        <f xml:space="preserve"> [1]!s_stm07_bs(A32,"W15273164",$F$1,1,100000000)-[1]!s_stm07_bs(A32,"W17642530",$F$1,1,100000000)-[1]!s_stm07_bs(A32,"W15910877",$F$1,1,100000000)-[1]!s_stm07_bs_39(A32,$F$1,1,100000000)-[1]!s_stm07_bs(A32,"W17700468",$F$1,1,100000000)-[1]!s_stm07_bs(A32,"W16504296",$F$1,1,100000000)-[1]!s_stm07_bs(A32,"W13769069",$F$1,1,100000000)</f>
        <v>34752.76</v>
      </c>
      <c r="BX32" s="52">
        <f xml:space="preserve"> [1]!s_stm07_bs(A32,"W15273164",$G$1,1,100000000)-[1]!s_stm07_bs(A32,"W17642530",$G$1,1,100000000)-[1]!s_stm07_bs(A32,"W15910877",$G$1,1,100000000)-[1]!s_stm07_bs_39(A32,$G$1,1,100000000)-[1]!s_stm07_bs(A32,"W17700468",$G$1,1,100000000)-[1]!s_stm07_bs(A32,"W16504296",$G$1,1,100000000)-[1]!s_stm07_bs(A32,"W13769069",$G$1,1,100000000)</f>
        <v>34274.14</v>
      </c>
      <c r="BY32" s="52">
        <f>IFERROR([1]!b_stm07_is(A32,20,$A$1,1,100000000)/AVERAGEIF(CA32:CE32,"&gt;0")*100,0)</f>
        <v>2.3011406161687651</v>
      </c>
      <c r="BZ32" s="52">
        <f>[1]!b_stm07_is(A32,20,$A$1,1,100000000)</f>
        <v>732.36</v>
      </c>
      <c r="CA32" s="52">
        <f>[1]!s_stmnote_bank_38(A32,$A$1,1,100000000)</f>
        <v>33269.72</v>
      </c>
      <c r="CB32" s="52">
        <f>[1]!s_stmnote_bank_38(A32,$B$1,1,100000000)</f>
        <v>30730.34</v>
      </c>
      <c r="CC32" s="52">
        <f>[1]!s_stmnote_bank_38(A32,$E$1,1,100000000)</f>
        <v>32079.17</v>
      </c>
      <c r="CD32" s="52">
        <f>[1]!s_stmnote_bank_38(A32,$F$1,1,100000000)</f>
        <v>31753.200000000001</v>
      </c>
      <c r="CE32" s="52">
        <f>[1]!s_stmnote_bank_38(A32,$G$1,1,100000000)</f>
        <v>31297.35</v>
      </c>
      <c r="CF32" s="52">
        <f>IF(BP32&lt;&gt;0,BP32,IFERROR(IF(([1]!b_stm07_is(A32,19,$A$1,1,100000000)-[1]!b_stm07_is(A32,20,$A$1,1,100000000))/AVERAGE([1]!s_stmnote_bank_35(A32,$A$1,1,100000000),[1]!s_stmnote_bank_35(A32,$B$1,1,100000000))*100=0,"",([1]!b_stm07_is(A32,19,$A$1,1,100000000)-[1]!b_stm07_is(A32,20,$A$1,1,100000000))/AVERAGE([1]!s_stmnote_bank_35(A32,$A$1,1,100000000),[1]!s_stmnote_bank_35(A32,$B$1,1,100000000))*100),""))</f>
        <v>2.35</v>
      </c>
      <c r="CG32" s="27" t="str">
        <f t="shared" si="6"/>
        <v>44 171</v>
      </c>
      <c r="CH32" s="80">
        <f t="shared" si="14"/>
        <v>0.51604266790833797</v>
      </c>
      <c r="CI32" s="27" t="str">
        <f t="shared" si="7"/>
        <v>115 169</v>
      </c>
      <c r="CJ32" s="55">
        <f>[1]!s_stmnote_bank_30(A32,$A$1,1)</f>
        <v>16.965699999999998</v>
      </c>
      <c r="CK32" s="65">
        <v>1078.94</v>
      </c>
      <c r="CL32" s="48">
        <f>293.58+66.77</f>
        <v>360.34999999999997</v>
      </c>
      <c r="CM32" s="64">
        <f>CK32/(5/8*[1]!s_stmnote_bank_1n($A32,$A$1,1,100000000)+[1]!s_stmnote_bank_1n($A32,$B$1,1,100000000)*3/8)</f>
        <v>4.9621768196886573E-2</v>
      </c>
      <c r="CP32" s="69">
        <f>[1]!b_stm07_bs($A32,141,$A$1,1,100000000)</f>
        <v>3007.02</v>
      </c>
      <c r="CQ32" s="69">
        <f>[1]!b_stm07_bs($A32,141,$D$1,1,100000000)</f>
        <v>3035.13</v>
      </c>
      <c r="CR32" s="68">
        <f>IF([1]!s_fa_roic_yearly($A32,$A$1)=0,"",[1]!s_fa_roic_yearly($A32,$A$1))</f>
        <v>8.1309000000000005</v>
      </c>
      <c r="CS32" s="27" t="str">
        <f>RANK(CR32,CR$5:CR$192,1)&amp;" "&amp;COUNTIF(CR$5:CR$192,"&gt;0")</f>
        <v>72 169</v>
      </c>
      <c r="CT32" s="68">
        <f>IF([1]!s_fa_roic_yearly($A32,$D$1)=0,"",[1]!s_fa_roic_yearly($A32,$D$1))</f>
        <v>7.6974</v>
      </c>
      <c r="CU32" s="27" t="str">
        <f>RANK(CT32,CT$5:CT$192,1)&amp;" "&amp;COUNTIF(CT$5:CT$192,"&gt;0")</f>
        <v>41 142</v>
      </c>
      <c r="CV32" s="78">
        <f>[1]!s_stm07_bs(A32,"W14578191",$A$1,1,100000000)</f>
        <v>21629.66</v>
      </c>
      <c r="CW32" s="78">
        <f>[1]!s_stmnote_bank_682($A32,$A$1,1,2,100000000)</f>
        <v>6503</v>
      </c>
      <c r="CX32" s="79">
        <f t="shared" si="11"/>
        <v>0.30065197511195274</v>
      </c>
    </row>
    <row r="33" spans="1:102" ht="13.5">
      <c r="A33" s="8" t="s">
        <v>292</v>
      </c>
      <c r="B33" s="8" t="s">
        <v>293</v>
      </c>
      <c r="C33" s="9" t="s">
        <v>294</v>
      </c>
      <c r="D33" s="9" t="s">
        <v>1061</v>
      </c>
      <c r="E33" s="10"/>
      <c r="F33" s="11" t="s">
        <v>66</v>
      </c>
      <c r="G33" s="11" t="s">
        <v>67</v>
      </c>
      <c r="H33" s="11" t="s">
        <v>103</v>
      </c>
      <c r="I33" s="11"/>
      <c r="J33" s="11" t="e">
        <f>VLOOKUP(B33,[3]额度信息!$B:$T,19,0)</f>
        <v>#N/A</v>
      </c>
      <c r="K33" s="11"/>
      <c r="L33" s="27">
        <f>IFERROR(([1]!b_stm07_bs($A33,47,$A$1,1,100000000))/[1]!b_stm07_bs($A33,109,$A$1,1,100000000),"")</f>
        <v>0.12091316046716684</v>
      </c>
      <c r="M33" s="20"/>
      <c r="N33" s="18"/>
      <c r="O33" s="27" t="e">
        <f t="shared" si="0"/>
        <v>#N/A</v>
      </c>
      <c r="P33" s="21">
        <f t="shared" si="12"/>
        <v>4.2387627021933813E-2</v>
      </c>
      <c r="Q33" s="27" t="str">
        <f t="shared" si="1"/>
        <v>120 169</v>
      </c>
      <c r="R33" s="18">
        <f>IFERROR([1]!s_stmnote_bank($A33,"34",$A$1,100000000)/[1]!s_stmnote_bank_1n(A33,$A$1,1,100000000),"")</f>
        <v>2.9587627021933814E-2</v>
      </c>
      <c r="S33" s="22"/>
      <c r="T33" s="22"/>
      <c r="U33" s="22"/>
      <c r="V33" s="22"/>
      <c r="W33" s="22"/>
      <c r="X33" s="22"/>
      <c r="Y33" s="22"/>
      <c r="Z33" s="25">
        <f>[1]!b_stm07_bs(A33,74,$A$1,1,100000000)</f>
        <v>2042.87994</v>
      </c>
      <c r="AA33" s="25">
        <f>[1]!b_stm07_bs(A33,109,$A$1,1,100000000)</f>
        <v>1519.2782099999999</v>
      </c>
      <c r="AB33" s="10">
        <f>[1]!s_stmnote_bank_5n(A33,$A$1,1)</f>
        <v>1.28</v>
      </c>
      <c r="AC33" s="25">
        <f>IF([1]!s_stmnote_bank_23n(A33,$A$1,1)=0,"",IFERROR([1]!s_stmnote_bank_23n(A33,$A$1,1),""))</f>
        <v>145.66</v>
      </c>
      <c r="AD33" s="27" t="str">
        <f t="shared" si="2"/>
        <v>17 167</v>
      </c>
      <c r="AE33" s="25">
        <f>[1]!s_stmnote_bank_capadequacyratio(A33,$A$1,1)</f>
        <v>11.75</v>
      </c>
      <c r="AF33" s="25">
        <f>IF([1]!s_stmnote_bank_capadequacyratio_ct1(A33,$A$1,1)=0,"",IFERROR([1]!s_stmnote_bank_capadequacyratio_ct1(A33,$A$1,1),""))</f>
        <v>8.06</v>
      </c>
      <c r="AG33" s="27" t="str">
        <f t="shared" ref="AG33:AG38" si="18">RANK(AF33,AF$5:AF$192,1)&amp;" "&amp;COUNTIF(AF$5:AF$192,"&gt;0")</f>
        <v>11 167</v>
      </c>
      <c r="AH33" s="6">
        <f>IF(OR([1]!s_fa_roe(A33,20201231)=0,[1]!s_fa_roe(A33,20211231)="0",[1]!s_fa_roe(A33,20221231)="0"),"",IFERROR(([1]!s_fa_roe(A33,20221231)+[1]!s_fa_roe(A33,20201231)+[1]!s_fa_roe(A33,20211231))/3,""))</f>
        <v>7.7810666666666677</v>
      </c>
      <c r="AI33" s="27" t="str">
        <f t="shared" si="3"/>
        <v>75 173</v>
      </c>
      <c r="AJ33" s="28">
        <f>IFERROR(([1]!s_stmnote_bank_65(A33,$A$1,1,2,4,100000000)+[1]!s_stmnote_bank_65(A33,$A$1,1,2,6,100000000))/[1]!s_stmnote_bank_1n(A33,$A$1,1,100000000),"")</f>
        <v>0.17705940310687621</v>
      </c>
      <c r="AK33" s="28">
        <f>IFERROR([1]!s_stmnote_bank_614(A33,$A$1,1,2,100000000)/[1]!s_stmnote_bank_647(A33,$A$1,1,2,100000000),"")</f>
        <v>0.25301792487368069</v>
      </c>
      <c r="AL33" s="28">
        <f>IFERROR(([1]!b_stm07_bs(A33,104,$A$1,1,100000000)+[1]!b_stm07_bs(A33,106,$A$1,1,100000000)+[1]!b_stm07_bs(A33,76,$A$1,1,100000000)+[1]!b_stm07_bs(A33,108,$A$1,1,100000000)+[1]!b_stm07_bs(A33,95,$A$1,1,100000000))/[1]!b_stm07_bs(A33,128,$A$1,1,100000000),"")</f>
        <v>0.1543236937785073</v>
      </c>
      <c r="AM33" s="28">
        <f>IFERROR(([1]!s_stmnote_bank_614(A33,$A$1,1,2,100000000)+[1]!b_stm07_bs(A33,104,$A$1,1,100000000)+[1]!b_stm07_bs(A33,106,$A$1,1,100000000)+[1]!b_stm07_bs(A33,76,$A$1,1,100000000)+[1]!b_stm07_bs(A33,108,$A$1,1,100000000)+[1]!b_stm07_bs(A33,95,$A$1,1,100000000))/[1]!b_stm07_bs(A33,128,$A$1,1,100000000),"")</f>
        <v>0.35586883645895656</v>
      </c>
      <c r="AN33" s="31" t="e">
        <f>IF(Z33&gt;#REF!,#REF!,IF(Z33&gt;#REF!,#REF!,IF(Z33&gt;#REF!,#REF!,IF(Z33&gt;#REF!,#REF!,IF(Z33&gt;#REF!,#REF!,IF(Z33&gt;#REF!,#REF!,IF(Z33&gt;#REF!,#REF!,#REF!)))))))</f>
        <v>#REF!</v>
      </c>
      <c r="AO33" s="31" t="e">
        <f>IF(AA33&gt;#REF!,#REF!,IF(AA33&gt;#REF!,#REF!,IF(AA33&gt;#REF!,#REF!,IF(AA33&gt;#REF!,#REF!,IF(AA33&gt;#REF!,#REF!,IF(AA33&gt;#REF!,#REF!,IF(AA33&gt;#REF!,#REF!,#REF!)))))))</f>
        <v>#REF!</v>
      </c>
      <c r="AP33" s="31" t="e">
        <f>IF(AB33&lt;#REF!,#REF!,IF(AB33&lt;#REF!,#REF!,IF(AB33&lt;#REF!,#REF!,IF(AB33&lt;#REF!,#REF!,IF(AB33&lt;#REF!,#REF!,IF(AB33&lt;#REF!,#REF!,#REF!))))))</f>
        <v>#REF!</v>
      </c>
      <c r="AQ33" s="31" t="e">
        <f>IF(AC33&gt;#REF!,#REF!,IF(AC33&gt;#REF!,#REF!,IF(AC33&gt;#REF!,#REF!,IF(AC33&gt;#REF!,#REF!,#REF!))))</f>
        <v>#REF!</v>
      </c>
      <c r="AR33" s="31" t="e">
        <f>IF(AE33&gt;#REF!,#REF!,IF(AE33&gt;#REF!,#REF!,IF(AE33&gt;#REF!,#REF!,IF(AE33&gt;#REF!,#REF!,#REF!))))</f>
        <v>#REF!</v>
      </c>
      <c r="AS33" s="31" t="e">
        <f>IF(AF33&gt;#REF!,#REF!,IF(AF33&gt;#REF!,#REF!,IF(AF33&gt;#REF!,#REF!,IF(AF33&gt;#REF!,#REF!,#REF!))))</f>
        <v>#REF!</v>
      </c>
      <c r="AT33" s="31" t="e">
        <f>IF(AH33&gt;#REF!,#REF!,IF(AH33&gt;#REF!,#REF!,IF(AH33&gt;#REF!,#REF!,IF(AH33&gt;#REF!,#REF!,IF(AH33&gt;#REF!,#REF!,#REF!)))))</f>
        <v>#REF!</v>
      </c>
      <c r="AU33" s="10" t="e">
        <f t="shared" si="4"/>
        <v>#REF!</v>
      </c>
      <c r="AV33" s="10"/>
      <c r="AW33" s="10"/>
      <c r="AX33" s="10"/>
      <c r="AY33" s="31" t="str">
        <f>IFERROR(VLOOKUP(AV33,#REF!,3,0),"")</f>
        <v/>
      </c>
      <c r="AZ33" s="31" t="str">
        <f>IFERROR(VLOOKUP(AW33,#REF!,3,0),"")</f>
        <v/>
      </c>
      <c r="BA33" s="31" t="str">
        <f>IFERROR(VLOOKUP(AX33,#REF!,3,0),"")</f>
        <v/>
      </c>
      <c r="BB33" s="31" t="str">
        <f>IFERROR(AY33*#REF!+AZ33*#REF!+BA33*#REF!,"")</f>
        <v/>
      </c>
      <c r="BC33" s="32" t="str">
        <f t="shared" si="5"/>
        <v/>
      </c>
      <c r="BD33" s="32" t="str">
        <f>IFERROR(VLOOKUP(BC33*10,#REF!,2,1),"")</f>
        <v/>
      </c>
      <c r="BE33" s="10"/>
      <c r="BF33" s="10"/>
      <c r="BG33" s="10"/>
      <c r="BH33" s="11" t="s">
        <v>295</v>
      </c>
      <c r="BI33" s="10">
        <v>13.5783996582031</v>
      </c>
      <c r="BJ33" s="11" t="s">
        <v>105</v>
      </c>
      <c r="BK33" s="33" t="s">
        <v>296</v>
      </c>
      <c r="BL33" s="10">
        <f>IF([1]!s_stmnote_bank_17n(A33,$A$1,1)="0","",[1]!s_stmnote_bank_17n(A33,$A$1,1))</f>
        <v>4.67</v>
      </c>
      <c r="BM33" s="10">
        <f>IF([1]!s_stmnote_bank_18n(A33,$A$1,1)="0","",[1]!s_stmnote_bank_18n(A33,$A$1,1))</f>
        <v>35.200000000000003</v>
      </c>
      <c r="BN33" s="41" t="s">
        <v>67</v>
      </c>
      <c r="BO33" s="42" t="s">
        <v>67</v>
      </c>
      <c r="BP33" s="52">
        <f>[1]!s_stmnote_bank_5444(A33,$A$1,1)</f>
        <v>2.3199999999999998</v>
      </c>
      <c r="BQ33" s="52">
        <f>[1]!s_stmnote_bank_129n($A33,$A$1,1)</f>
        <v>37.57</v>
      </c>
      <c r="BR33" s="52">
        <f t="shared" si="13"/>
        <v>4.9596526866564243</v>
      </c>
      <c r="BS33" s="52">
        <f>[1]!b_stm07_is(A33,19,$A$1,1,100000000)</f>
        <v>87.932540000000003</v>
      </c>
      <c r="BT33" s="52">
        <f xml:space="preserve"> [1]!s_stm07_bs(A33,"W15273164",$A$1,1,100000000)-[1]!s_stm07_bs(A33,"W17642530",$A$1,1,100000000)-[1]!s_stm07_bs(A33,"W15910877",$A$1,1,100000000)-[1]!s_stm07_bs_39(A33,$A$1,1,100000000)-[1]!s_stm07_bs(A33,"W17700468",$A$1,1,100000000)-[1]!s_stm07_bs(A33,"W16504296",$A$1,1,100000000)-[1]!s_stm07_bs(A33,"W13769069",$A$1,1,100000000)</f>
        <v>1992.9081799999999</v>
      </c>
      <c r="BU33" s="52">
        <f xml:space="preserve"> [1]!s_stm07_bs(A33,"W15273164",$B$1,1,100000000)-[1]!s_stm07_bs(A33,"W17642530",$B$1,1,100000000)-[1]!s_stm07_bs(A33,"W15910877",$B$1,1,100000000)-[1]!s_stm07_bs_39(A33,$B$1,1,100000000)-[1]!s_stm07_bs(A33,"W17700468",$B$1,1,100000000)-[1]!s_stm07_bs(A33,"W16504296",$B$1,1,100000000)-[1]!s_stm07_bs(A33,"W13769069",$B$1,1,100000000)</f>
        <v>1712.5044190108001</v>
      </c>
      <c r="BV33" s="52">
        <f xml:space="preserve"> [1]!s_stm07_bs(A33,"W15273164",$E$1,1,100000000)-[1]!s_stm07_bs(A33,"W17642530",$E$1,1,100000000)-[1]!s_stm07_bs(A33,"W15910877",$E$1,1,100000000)-[1]!s_stm07_bs_39(A33,$E$1,1,100000000)-[1]!s_stm07_bs(A33,"W17700468",$E$1,1,100000000)-[1]!s_stm07_bs(A33,"W16504296",$E$1,1,100000000)-[1]!s_stm07_bs(A33,"W13769069",$E$1,1,100000000)</f>
        <v>1933.8048389999999</v>
      </c>
      <c r="BW33" s="52">
        <f xml:space="preserve"> [1]!s_stm07_bs(A33,"W15273164",$F$1,1,100000000)-[1]!s_stm07_bs(A33,"W17642530",$F$1,1,100000000)-[1]!s_stm07_bs(A33,"W15910877",$F$1,1,100000000)-[1]!s_stm07_bs_39(A33,$F$1,1,100000000)-[1]!s_stm07_bs(A33,"W17700468",$F$1,1,100000000)-[1]!s_stm07_bs(A33,"W16504296",$F$1,1,100000000)-[1]!s_stm07_bs(A33,"W13769069",$F$1,1,100000000)</f>
        <v>1895.6212014675002</v>
      </c>
      <c r="BX33" s="52">
        <f xml:space="preserve"> [1]!s_stm07_bs(A33,"W15273164",$G$1,1,100000000)-[1]!s_stm07_bs(A33,"W17642530",$G$1,1,100000000)-[1]!s_stm07_bs(A33,"W15910877",$G$1,1,100000000)-[1]!s_stm07_bs_39(A33,$G$1,1,100000000)-[1]!s_stm07_bs(A33,"W17700468",$G$1,1,100000000)-[1]!s_stm07_bs(A33,"W16504296",$G$1,1,100000000)-[1]!s_stm07_bs(A33,"W13769069",$G$1,1,100000000)</f>
        <v>1773.2268377097002</v>
      </c>
      <c r="BY33" s="52">
        <f>IFERROR([1]!b_stm07_is(A33,20,$A$1,1,100000000)/AVERAGEIF(CA33:CE33,"&gt;0")*100,0)</f>
        <v>2.7007173517598471</v>
      </c>
      <c r="BZ33" s="52">
        <f>[1]!b_stm07_is(A33,20,$A$1,1,100000000)</f>
        <v>46.432549999999999</v>
      </c>
      <c r="CA33" s="52">
        <f>[1]!s_stmnote_bank_38(A33,$A$1,1,100000000)</f>
        <v>1863.6942200000001</v>
      </c>
      <c r="CB33" s="52">
        <f>[1]!s_stmnote_bank_38(A33,$B$1,1,100000000)</f>
        <v>1584.2737543170999</v>
      </c>
      <c r="CC33" s="52">
        <f>[1]!s_stmnote_bank_38(A33,$E$1,1,100000000)</f>
        <v>0</v>
      </c>
      <c r="CD33" s="52">
        <f>[1]!s_stmnote_bank_38(A33,$F$1,1,100000000)</f>
        <v>1776.3402818320999</v>
      </c>
      <c r="CE33" s="52">
        <f>[1]!s_stmnote_bank_38(A33,$G$1,1,100000000)</f>
        <v>1652.7609002723002</v>
      </c>
      <c r="CF33" s="52">
        <f>IF(BP33&lt;&gt;0,BP33,IFERROR(IF(([1]!b_stm07_is(A33,19,$A$1,1,100000000)-[1]!b_stm07_is(A33,20,$A$1,1,100000000))/AVERAGE([1]!s_stmnote_bank_35(A33,$A$1,1,100000000),[1]!s_stmnote_bank_35(A33,$B$1,1,100000000))*100=0,"",([1]!b_stm07_is(A33,19,$A$1,1,100000000)-[1]!b_stm07_is(A33,20,$A$1,1,100000000))/AVERAGE([1]!s_stmnote_bank_35(A33,$A$1,1,100000000),[1]!s_stmnote_bank_35(A33,$B$1,1,100000000))*100),""))</f>
        <v>2.3199999999999998</v>
      </c>
      <c r="CG33" s="27" t="str">
        <f t="shared" si="6"/>
        <v>49 171</v>
      </c>
      <c r="CH33" s="80">
        <f t="shared" si="14"/>
        <v>0.54732953057256484</v>
      </c>
      <c r="CI33" s="27" t="str">
        <f t="shared" si="7"/>
        <v>105 169</v>
      </c>
      <c r="CJ33" s="55">
        <f>[1]!s_stmnote_bank_30(A33,$A$1,1)</f>
        <v>4.5198</v>
      </c>
      <c r="CK33" s="46"/>
      <c r="CL33" s="46"/>
      <c r="CM33" s="46"/>
      <c r="CN33" s="46"/>
      <c r="CO33" s="46"/>
      <c r="CP33" s="69">
        <f>[1]!b_stm07_bs($A33,141,$A$1,1,100000000)</f>
        <v>135.59200000000001</v>
      </c>
      <c r="CQ33" s="69">
        <f>[1]!b_stm07_bs($A33,141,$D$1,1,100000000)</f>
        <v>145.94674000000001</v>
      </c>
      <c r="CR33" s="68">
        <f>IF([1]!s_fa_roic_yearly($A33,$A$1)=0,"",[1]!s_fa_roic_yearly($A33,$A$1))</f>
        <v>8.6484000000000005</v>
      </c>
      <c r="CS33" s="27">
        <f t="shared" ref="CS33:CS38" si="19">RANK(CR33,CR$5:CR$192,0)/COUNTIF(CR$5:CR$192,"&gt;0")</f>
        <v>0.51479289940828399</v>
      </c>
      <c r="CT33" s="68">
        <f>IF([1]!s_fa_roic_yearly($A33,$D$1)=0,"",[1]!s_fa_roic_yearly($A33,$D$1))</f>
        <v>10.7622</v>
      </c>
      <c r="CU33" s="27">
        <f t="shared" ref="CU33:CU38" si="20">RANK(CT33,CT$5:CT$192,0)/COUNTIF(CT$5:CT$192,"&gt;0")</f>
        <v>0.40140845070422537</v>
      </c>
      <c r="CV33" s="78">
        <f>[1]!s_stm07_bs(A33,"W14578191",$A$1,1,100000000)</f>
        <v>1024.4422099999999</v>
      </c>
      <c r="CW33" s="78">
        <f>[1]!s_stmnote_bank_682($A33,$A$1,1,2,100000000)</f>
        <v>205.45750000000001</v>
      </c>
      <c r="CX33" s="79">
        <f t="shared" si="11"/>
        <v>0.20055548082111926</v>
      </c>
    </row>
    <row r="34" spans="1:102" ht="13.5">
      <c r="A34" s="8" t="s">
        <v>609</v>
      </c>
      <c r="B34" s="8" t="s">
        <v>610</v>
      </c>
      <c r="C34" s="9" t="s">
        <v>611</v>
      </c>
      <c r="D34" s="9" t="s">
        <v>1061</v>
      </c>
      <c r="E34" s="10"/>
      <c r="F34" s="11" t="s">
        <v>66</v>
      </c>
      <c r="G34" s="11" t="s">
        <v>67</v>
      </c>
      <c r="H34" s="11" t="s">
        <v>83</v>
      </c>
      <c r="I34" s="11"/>
      <c r="J34" s="11" t="e">
        <f>VLOOKUP(B34,[3]额度信息!$B:$T,19,0)</f>
        <v>#N/A</v>
      </c>
      <c r="K34" s="11"/>
      <c r="L34" s="27">
        <f>IFERROR(([1]!b_stm07_bs($A34,47,$A$1,1,100000000))/[1]!b_stm07_bs($A34,109,$A$1,1,100000000),"")</f>
        <v>0.18936373914808821</v>
      </c>
      <c r="M34" s="20"/>
      <c r="N34" s="18"/>
      <c r="O34" s="27" t="e">
        <f t="shared" si="0"/>
        <v>#N/A</v>
      </c>
      <c r="P34" s="21">
        <f t="shared" si="12"/>
        <v>1.4499999999999999E-2</v>
      </c>
      <c r="Q34" s="27" t="str">
        <f t="shared" si="1"/>
        <v>21 169</v>
      </c>
      <c r="R34" s="18">
        <f>IFERROR([1]!s_stmnote_bank($A34,"34",$A$1,100000000)/[1]!s_stmnote_bank_1n(A34,$A$1,1,100000000),"")</f>
        <v>0</v>
      </c>
      <c r="S34" s="22"/>
      <c r="T34" s="22"/>
      <c r="U34" s="22"/>
      <c r="V34" s="22"/>
      <c r="W34" s="22"/>
      <c r="X34" s="22"/>
      <c r="Y34" s="22"/>
      <c r="Z34" s="25">
        <f>[1]!b_stm07_bs(A34,74,$A$1,1,100000000)</f>
        <v>541.55458611699999</v>
      </c>
      <c r="AA34" s="25">
        <f>[1]!b_stm07_bs(A34,109,$A$1,1,100000000)</f>
        <v>285.71878616099997</v>
      </c>
      <c r="AB34" s="10">
        <f>[1]!s_stmnote_bank_5n(A34,$A$1,1)</f>
        <v>1.45</v>
      </c>
      <c r="AC34" s="25">
        <f>IF([1]!s_stmnote_bank_23n(A34,$A$1,1)=0,"",IFERROR([1]!s_stmnote_bank_23n(A34,$A$1,1),""))</f>
        <v>206.43</v>
      </c>
      <c r="AD34" s="27" t="str">
        <f t="shared" si="2"/>
        <v>71 167</v>
      </c>
      <c r="AE34" s="25">
        <f>[1]!s_stmnote_bank_capadequacyratio(A34,$A$1,1)</f>
        <v>11.27</v>
      </c>
      <c r="AF34" s="25">
        <f>IF([1]!s_stmnote_bank_capadequacyratio_ct1(A34,$A$1,1)=0,"",IFERROR([1]!s_stmnote_bank_capadequacyratio_ct1(A34,$A$1,1),""))</f>
        <v>10.15</v>
      </c>
      <c r="AG34" s="27" t="str">
        <f t="shared" si="18"/>
        <v>86 167</v>
      </c>
      <c r="AH34" s="6">
        <f>IF(OR([1]!s_fa_roe(A34,20201231)=0,[1]!s_fa_roe(A34,20211231)="0",[1]!s_fa_roe(A34,20221231)="0"),"",IFERROR(([1]!s_fa_roe(A34,20221231)+[1]!s_fa_roe(A34,20201231)+[1]!s_fa_roe(A34,20211231))/3,""))</f>
        <v>7.8037666666666672</v>
      </c>
      <c r="AI34" s="27" t="str">
        <f t="shared" si="3"/>
        <v>76 173</v>
      </c>
      <c r="AJ34" s="28">
        <f>IFERROR(([1]!s_stmnote_bank_65(A34,$A$1,1,2,4,100000000)+[1]!s_stmnote_bank_65(A34,$A$1,1,2,6,100000000))/[1]!s_stmnote_bank_1n(A34,$A$1,1,100000000),"")</f>
        <v>0</v>
      </c>
      <c r="AK34" s="28">
        <f>IFERROR([1]!s_stmnote_bank_614(A34,$A$1,1,2,100000000)/[1]!s_stmnote_bank_647(A34,$A$1,1,2,100000000),"")</f>
        <v>0</v>
      </c>
      <c r="AL34" s="28">
        <f>IFERROR(([1]!b_stm07_bs(A34,104,$A$1,1,100000000)+[1]!b_stm07_bs(A34,106,$A$1,1,100000000)+[1]!b_stm07_bs(A34,76,$A$1,1,100000000)+[1]!b_stm07_bs(A34,108,$A$1,1,100000000)+[1]!b_stm07_bs(A34,95,$A$1,1,100000000))/[1]!b_stm07_bs(A34,128,$A$1,1,100000000),"")</f>
        <v>0.33451350820259967</v>
      </c>
      <c r="AM34" s="28">
        <f>IFERROR(([1]!s_stmnote_bank_614(A34,$A$1,1,2,100000000)+[1]!b_stm07_bs(A34,104,$A$1,1,100000000)+[1]!b_stm07_bs(A34,106,$A$1,1,100000000)+[1]!b_stm07_bs(A34,76,$A$1,1,100000000)+[1]!b_stm07_bs(A34,108,$A$1,1,100000000)+[1]!b_stm07_bs(A34,95,$A$1,1,100000000))/[1]!b_stm07_bs(A34,128,$A$1,1,100000000),"")</f>
        <v>0.33451350820259967</v>
      </c>
      <c r="AN34" s="31" t="e">
        <f>IF(Z34&gt;#REF!,#REF!,IF(Z34&gt;#REF!,#REF!,IF(Z34&gt;#REF!,#REF!,IF(Z34&gt;#REF!,#REF!,IF(Z34&gt;#REF!,#REF!,IF(Z34&gt;#REF!,#REF!,IF(Z34&gt;#REF!,#REF!,#REF!)))))))</f>
        <v>#REF!</v>
      </c>
      <c r="AO34" s="31" t="e">
        <f>IF(AA34&gt;#REF!,#REF!,IF(AA34&gt;#REF!,#REF!,IF(AA34&gt;#REF!,#REF!,IF(AA34&gt;#REF!,#REF!,IF(AA34&gt;#REF!,#REF!,IF(AA34&gt;#REF!,#REF!,IF(AA34&gt;#REF!,#REF!,#REF!)))))))</f>
        <v>#REF!</v>
      </c>
      <c r="AP34" s="31" t="e">
        <f>IF(AB34&lt;#REF!,#REF!,IF(AB34&lt;#REF!,#REF!,IF(AB34&lt;#REF!,#REF!,IF(AB34&lt;#REF!,#REF!,IF(AB34&lt;#REF!,#REF!,IF(AB34&lt;#REF!,#REF!,#REF!))))))</f>
        <v>#REF!</v>
      </c>
      <c r="AQ34" s="31" t="e">
        <f>IF(AC34&gt;#REF!,#REF!,IF(AC34&gt;#REF!,#REF!,IF(AC34&gt;#REF!,#REF!,IF(AC34&gt;#REF!,#REF!,#REF!))))</f>
        <v>#REF!</v>
      </c>
      <c r="AR34" s="31" t="e">
        <f>IF(AE34&gt;#REF!,#REF!,IF(AE34&gt;#REF!,#REF!,IF(AE34&gt;#REF!,#REF!,IF(AE34&gt;#REF!,#REF!,#REF!))))</f>
        <v>#REF!</v>
      </c>
      <c r="AS34" s="31" t="e">
        <f>IF(AF34&gt;#REF!,#REF!,IF(AF34&gt;#REF!,#REF!,IF(AF34&gt;#REF!,#REF!,IF(AF34&gt;#REF!,#REF!,#REF!))))</f>
        <v>#REF!</v>
      </c>
      <c r="AT34" s="31" t="e">
        <f>IF(AH34&gt;#REF!,#REF!,IF(AH34&gt;#REF!,#REF!,IF(AH34&gt;#REF!,#REF!,IF(AH34&gt;#REF!,#REF!,IF(AH34&gt;#REF!,#REF!,#REF!)))))</f>
        <v>#REF!</v>
      </c>
      <c r="AU34" s="10" t="e">
        <f t="shared" si="4"/>
        <v>#REF!</v>
      </c>
      <c r="AV34" s="10"/>
      <c r="AW34" s="10"/>
      <c r="AX34" s="10"/>
      <c r="AY34" s="31" t="str">
        <f>IFERROR(VLOOKUP(AV34,#REF!,3,0),"")</f>
        <v/>
      </c>
      <c r="AZ34" s="31" t="str">
        <f>IFERROR(VLOOKUP(AW34,#REF!,3,0),"")</f>
        <v/>
      </c>
      <c r="BA34" s="31" t="str">
        <f>IFERROR(VLOOKUP(AX34,#REF!,3,0),"")</f>
        <v/>
      </c>
      <c r="BB34" s="31" t="str">
        <f>IFERROR(AY34*#REF!+AZ34*#REF!+BA34*#REF!,"")</f>
        <v/>
      </c>
      <c r="BC34" s="32" t="str">
        <f t="shared" si="5"/>
        <v/>
      </c>
      <c r="BD34" s="32" t="str">
        <f>IFERROR(VLOOKUP(BC34*10,#REF!,2,1),"")</f>
        <v/>
      </c>
      <c r="BE34" s="10"/>
      <c r="BF34" s="10"/>
      <c r="BG34" s="10"/>
      <c r="BH34" s="11" t="s">
        <v>612</v>
      </c>
      <c r="BI34" s="10">
        <v>30</v>
      </c>
      <c r="BJ34" s="11"/>
      <c r="BK34" s="33" t="s">
        <v>613</v>
      </c>
      <c r="BL34" s="10">
        <f>IF([1]!s_stmnote_bank_17n(A34,$A$1,1)="0","",[1]!s_stmnote_bank_17n(A34,$A$1,1))</f>
        <v>0</v>
      </c>
      <c r="BM34" s="10">
        <f>IF([1]!s_stmnote_bank_18n(A34,$A$1,1)="0","",[1]!s_stmnote_bank_18n(A34,$A$1,1))</f>
        <v>0</v>
      </c>
      <c r="BN34" s="41" t="s">
        <v>67</v>
      </c>
      <c r="BO34" s="42" t="s">
        <v>67</v>
      </c>
      <c r="BP34" s="52">
        <f>[1]!s_stmnote_bank_5444(A34,$A$1,1)</f>
        <v>0</v>
      </c>
      <c r="BQ34" s="52">
        <f>[1]!s_stmnote_bank_129n($A34,$A$1,1)</f>
        <v>20.9468</v>
      </c>
      <c r="BR34" s="52">
        <f t="shared" si="13"/>
        <v>7.126574178231845</v>
      </c>
      <c r="BS34" s="52">
        <f>[1]!b_stm07_is(A34,19,$A$1,1,100000000)</f>
        <v>37.473908423200001</v>
      </c>
      <c r="BT34" s="52">
        <f xml:space="preserve"> [1]!s_stm07_bs(A34,"W15273164",$A$1,1,100000000)-[1]!s_stm07_bs(A34,"W17642530",$A$1,1,100000000)-[1]!s_stm07_bs(A34,"W15910877",$A$1,1,100000000)-[1]!s_stm07_bs_39(A34,$A$1,1,100000000)-[1]!s_stm07_bs(A34,"W17700468",$A$1,1,100000000)-[1]!s_stm07_bs(A34,"W16504296",$A$1,1,100000000)-[1]!s_stm07_bs(A34,"W13769069",$A$1,1,100000000)</f>
        <v>532.44591288699996</v>
      </c>
      <c r="BU34" s="52">
        <f xml:space="preserve"> [1]!s_stm07_bs(A34,"W15273164",$B$1,1,100000000)-[1]!s_stm07_bs(A34,"W17642530",$B$1,1,100000000)-[1]!s_stm07_bs(A34,"W15910877",$B$1,1,100000000)-[1]!s_stm07_bs_39(A34,$B$1,1,100000000)-[1]!s_stm07_bs(A34,"W17700468",$B$1,1,100000000)-[1]!s_stm07_bs(A34,"W16504296",$B$1,1,100000000)-[1]!s_stm07_bs(A34,"W13769069",$B$1,1,100000000)</f>
        <v>524.51730619119996</v>
      </c>
      <c r="BV34" s="52">
        <f xml:space="preserve"> [1]!s_stm07_bs(A34,"W15273164",$E$1,1,100000000)-[1]!s_stm07_bs(A34,"W17642530",$E$1,1,100000000)-[1]!s_stm07_bs(A34,"W15910877",$E$1,1,100000000)-[1]!s_stm07_bs_39(A34,$E$1,1,100000000)-[1]!s_stm07_bs(A34,"W17700468",$E$1,1,100000000)-[1]!s_stm07_bs(A34,"W16504296",$E$1,1,100000000)-[1]!s_stm07_bs(A34,"W13769069",$E$1,1,100000000)</f>
        <v>0</v>
      </c>
      <c r="BW34" s="52">
        <f xml:space="preserve"> [1]!s_stm07_bs(A34,"W15273164",$F$1,1,100000000)-[1]!s_stm07_bs(A34,"W17642530",$F$1,1,100000000)-[1]!s_stm07_bs(A34,"W15910877",$F$1,1,100000000)-[1]!s_stm07_bs_39(A34,$F$1,1,100000000)-[1]!s_stm07_bs(A34,"W17700468",$F$1,1,100000000)-[1]!s_stm07_bs(A34,"W16504296",$F$1,1,100000000)-[1]!s_stm07_bs(A34,"W13769069",$F$1,1,100000000)</f>
        <v>528.43368499999997</v>
      </c>
      <c r="BX34" s="52">
        <f xml:space="preserve"> [1]!s_stm07_bs(A34,"W15273164",$G$1,1,100000000)-[1]!s_stm07_bs(A34,"W17642530",$G$1,1,100000000)-[1]!s_stm07_bs(A34,"W15910877",$G$1,1,100000000)-[1]!s_stm07_bs_39(A34,$G$1,1,100000000)-[1]!s_stm07_bs(A34,"W17700468",$G$1,1,100000000)-[1]!s_stm07_bs(A34,"W16504296",$G$1,1,100000000)-[1]!s_stm07_bs(A34,"W13769069",$G$1,1,100000000)</f>
        <v>0</v>
      </c>
      <c r="BY34" s="52">
        <f>IFERROR([1]!b_stm07_is(A34,20,$A$1,1,100000000)/AVERAGEIF(CA34:CE34,"&gt;0")*100,0)</f>
        <v>3.9177569047301533</v>
      </c>
      <c r="BZ34" s="52">
        <f>[1]!b_stm07_is(A34,20,$A$1,1,100000000)</f>
        <v>17.838952169100001</v>
      </c>
      <c r="CA34" s="52">
        <f>[1]!s_stmnote_bank_38(A34,$A$1,1,100000000)</f>
        <v>458.96199915969999</v>
      </c>
      <c r="CB34" s="52">
        <f>[1]!s_stmnote_bank_38(A34,$B$1,1,100000000)</f>
        <v>451.70972463010003</v>
      </c>
      <c r="CC34" s="52">
        <f>[1]!s_stmnote_bank_38(A34,$E$1,1,100000000)</f>
        <v>0</v>
      </c>
      <c r="CD34" s="52">
        <f>[1]!s_stmnote_bank_38(A34,$F$1,1,100000000)</f>
        <v>0</v>
      </c>
      <c r="CE34" s="52">
        <f>[1]!s_stmnote_bank_38(A34,$G$1,1,100000000)</f>
        <v>0</v>
      </c>
      <c r="CF34" s="52">
        <f>IF(BP34&lt;&gt;0,BP34,IFERROR(IF(([1]!b_stm07_is(A34,19,$A$1,1,100000000)-[1]!b_stm07_is(A34,20,$A$1,1,100000000))/AVERAGE([1]!s_stmnote_bank_35(A34,$A$1,1,100000000),[1]!s_stmnote_bank_35(A34,$B$1,1,100000000))*100=0,"",([1]!b_stm07_is(A34,19,$A$1,1,100000000)-[1]!b_stm07_is(A34,20,$A$1,1,100000000))/AVERAGE([1]!s_stmnote_bank_35(A34,$A$1,1,100000000),[1]!s_stmnote_bank_35(A34,$B$1,1,100000000))*100),""))</f>
        <v>3.7804754191271557</v>
      </c>
      <c r="CG34" s="27" t="str">
        <f t="shared" si="6"/>
        <v>3 171</v>
      </c>
      <c r="CH34" s="80">
        <f t="shared" si="14"/>
        <v>2.6072244269842453</v>
      </c>
      <c r="CI34" s="27" t="str">
        <f t="shared" si="7"/>
        <v>5 169</v>
      </c>
      <c r="CJ34" s="55">
        <f>[1]!s_stmnote_bank_30(A34,$A$1,1)</f>
        <v>0.64939999999999998</v>
      </c>
      <c r="CK34" s="46"/>
      <c r="CL34" s="46"/>
      <c r="CM34" s="46"/>
      <c r="CN34" s="46"/>
      <c r="CO34" s="46"/>
      <c r="CP34" s="69">
        <f>[1]!b_stm07_bs($A34,141,$A$1,1,100000000)</f>
        <v>38.836433112399995</v>
      </c>
      <c r="CQ34" s="69">
        <f>[1]!b_stm07_bs($A34,141,$D$1,1,100000000)</f>
        <v>0</v>
      </c>
      <c r="CR34" s="68">
        <f>IF([1]!s_fa_roic_yearly($A34,$A$1)=0,"",[1]!s_fa_roic_yearly($A34,$A$1))</f>
        <v>8.8283000000000005</v>
      </c>
      <c r="CS34" s="27">
        <f t="shared" si="19"/>
        <v>0.47928994082840237</v>
      </c>
      <c r="CT34" s="68">
        <f>IF([1]!s_fa_roic_yearly($A34,$D$1)=0,"",[1]!s_fa_roic_yearly($A34,$D$1))</f>
        <v>6.8474000000000004</v>
      </c>
      <c r="CU34" s="27">
        <f t="shared" si="20"/>
        <v>0.79577464788732399</v>
      </c>
      <c r="CV34" s="78">
        <f>[1]!s_stm07_bs(A34,"W14578191",$A$1,1,100000000)</f>
        <v>365.79061243489997</v>
      </c>
      <c r="CW34" s="78">
        <f>[1]!s_stmnote_bank_682($A34,$A$1,1,2,100000000)</f>
        <v>0</v>
      </c>
      <c r="CX34" s="79" t="str">
        <f t="shared" si="11"/>
        <v/>
      </c>
    </row>
    <row r="35" spans="1:102" ht="13.5">
      <c r="A35" s="8" t="s">
        <v>107</v>
      </c>
      <c r="B35" s="8" t="s">
        <v>108</v>
      </c>
      <c r="C35" s="9" t="s">
        <v>109</v>
      </c>
      <c r="D35" s="9" t="s">
        <v>1066</v>
      </c>
      <c r="E35" s="10"/>
      <c r="F35" s="11" t="s">
        <v>90</v>
      </c>
      <c r="G35" s="11" t="s">
        <v>67</v>
      </c>
      <c r="H35" s="11" t="s">
        <v>103</v>
      </c>
      <c r="I35" s="11"/>
      <c r="J35" s="11" t="e">
        <f>VLOOKUP(B35,[3]额度信息!$B:$T,19,0)</f>
        <v>#N/A</v>
      </c>
      <c r="K35" s="11"/>
      <c r="L35" s="27">
        <f>IFERROR(([1]!b_stm07_bs($A35,47,$A$1,1,100000000))/[1]!b_stm07_bs($A35,109,$A$1,1,100000000),"")</f>
        <v>6.4148751387764338E-2</v>
      </c>
      <c r="M35" s="20"/>
      <c r="N35" s="18"/>
      <c r="O35" s="27" t="e">
        <f t="shared" si="0"/>
        <v>#N/A</v>
      </c>
      <c r="P35" s="21">
        <f t="shared" si="12"/>
        <v>1.4924152193769935E-2</v>
      </c>
      <c r="Q35" s="27" t="str">
        <f t="shared" si="1"/>
        <v>23 169</v>
      </c>
      <c r="R35" s="18">
        <f>IFERROR([1]!s_stmnote_bank($A35,"34",$A$1,100000000)/[1]!s_stmnote_bank_1n(A35,$A$1,1,100000000),"")</f>
        <v>6.224152193769936E-3</v>
      </c>
      <c r="S35" s="22"/>
      <c r="T35" s="22"/>
      <c r="U35" s="22"/>
      <c r="V35" s="22"/>
      <c r="W35" s="22"/>
      <c r="X35" s="22"/>
      <c r="Y35" s="22"/>
      <c r="Z35" s="25">
        <f>[1]!b_stm07_bs(A35,74,$A$1,1,100000000)</f>
        <v>536.97993114040003</v>
      </c>
      <c r="AA35" s="25">
        <f>[1]!b_stm07_bs(A35,109,$A$1,1,100000000)</f>
        <v>458.49165379250002</v>
      </c>
      <c r="AB35" s="10">
        <f>[1]!s_stmnote_bank_5n(A35,$A$1,1)</f>
        <v>0.87</v>
      </c>
      <c r="AC35" s="25" t="str">
        <f>IF([1]!s_stmnote_bank_23n(A35,$A$1,1)=0,"",IFERROR([1]!s_stmnote_bank_23n(A35,$A$1,1),""))</f>
        <v/>
      </c>
      <c r="AD35" s="27" t="e">
        <f t="shared" si="2"/>
        <v>#VALUE!</v>
      </c>
      <c r="AE35" s="25">
        <f>[1]!s_stmnote_bank_capadequacyratio(A35,$A$1,1)</f>
        <v>13.81</v>
      </c>
      <c r="AF35" s="25">
        <f>IF([1]!s_stmnote_bank_capadequacyratio_ct1(A35,$A$1,1)=0,"",IFERROR([1]!s_stmnote_bank_capadequacyratio_ct1(A35,$A$1,1),""))</f>
        <v>12.68</v>
      </c>
      <c r="AG35" s="27" t="str">
        <f t="shared" si="18"/>
        <v>133 167</v>
      </c>
      <c r="AH35" s="6">
        <f>IF(OR([1]!s_fa_roe(A35,20201231)=0,[1]!s_fa_roe(A35,20211231)="0",[1]!s_fa_roe(A35,20221231)="0"),"",IFERROR(([1]!s_fa_roe(A35,20221231)+[1]!s_fa_roe(A35,20201231)+[1]!s_fa_roe(A35,20211231))/3,""))</f>
        <v>13.984466666666668</v>
      </c>
      <c r="AI35" s="27" t="str">
        <f t="shared" si="3"/>
        <v>164 173</v>
      </c>
      <c r="AJ35" s="28">
        <f>IFERROR(([1]!s_stmnote_bank_65(A35,$A$1,1,2,4,100000000)+[1]!s_stmnote_bank_65(A35,$A$1,1,2,6,100000000))/[1]!s_stmnote_bank_1n(A35,$A$1,1,100000000),"")</f>
        <v>0</v>
      </c>
      <c r="AK35" s="28">
        <f>IFERROR([1]!s_stmnote_bank_614(A35,$A$1,1,2,100000000)/[1]!s_stmnote_bank_647(A35,$A$1,1,2,100000000),"")</f>
        <v>0</v>
      </c>
      <c r="AL35" s="28">
        <f>IFERROR(([1]!b_stm07_bs(A35,104,$A$1,1,100000000)+[1]!b_stm07_bs(A35,106,$A$1,1,100000000)+[1]!b_stm07_bs(A35,76,$A$1,1,100000000)+[1]!b_stm07_bs(A35,108,$A$1,1,100000000)+[1]!b_stm07_bs(A35,95,$A$1,1,100000000))/[1]!b_stm07_bs(A35,128,$A$1,1,100000000),"")</f>
        <v>3.0693358119931732E-2</v>
      </c>
      <c r="AM35" s="28">
        <f>IFERROR(([1]!s_stmnote_bank_614(A35,$A$1,1,2,100000000)+[1]!b_stm07_bs(A35,104,$A$1,1,100000000)+[1]!b_stm07_bs(A35,106,$A$1,1,100000000)+[1]!b_stm07_bs(A35,76,$A$1,1,100000000)+[1]!b_stm07_bs(A35,108,$A$1,1,100000000)+[1]!b_stm07_bs(A35,95,$A$1,1,100000000))/[1]!b_stm07_bs(A35,128,$A$1,1,100000000),"")</f>
        <v>3.0693358119931732E-2</v>
      </c>
      <c r="AN35" s="31" t="e">
        <f>IF(Z35&gt;#REF!,#REF!,IF(Z35&gt;#REF!,#REF!,IF(Z35&gt;#REF!,#REF!,IF(Z35&gt;#REF!,#REF!,IF(Z35&gt;#REF!,#REF!,IF(Z35&gt;#REF!,#REF!,IF(Z35&gt;#REF!,#REF!,#REF!)))))))</f>
        <v>#REF!</v>
      </c>
      <c r="AO35" s="31" t="e">
        <f>IF(AA35&gt;#REF!,#REF!,IF(AA35&gt;#REF!,#REF!,IF(AA35&gt;#REF!,#REF!,IF(AA35&gt;#REF!,#REF!,IF(AA35&gt;#REF!,#REF!,IF(AA35&gt;#REF!,#REF!,IF(AA35&gt;#REF!,#REF!,#REF!)))))))</f>
        <v>#REF!</v>
      </c>
      <c r="AP35" s="31" t="e">
        <f>IF(AB35&lt;#REF!,#REF!,IF(AB35&lt;#REF!,#REF!,IF(AB35&lt;#REF!,#REF!,IF(AB35&lt;#REF!,#REF!,IF(AB35&lt;#REF!,#REF!,IF(AB35&lt;#REF!,#REF!,#REF!))))))</f>
        <v>#REF!</v>
      </c>
      <c r="AQ35" s="31" t="e">
        <f>IF(AC35&gt;#REF!,#REF!,IF(AC35&gt;#REF!,#REF!,IF(AC35&gt;#REF!,#REF!,IF(AC35&gt;#REF!,#REF!,#REF!))))</f>
        <v>#REF!</v>
      </c>
      <c r="AR35" s="31" t="e">
        <f>IF(AE35&gt;#REF!,#REF!,IF(AE35&gt;#REF!,#REF!,IF(AE35&gt;#REF!,#REF!,IF(AE35&gt;#REF!,#REF!,#REF!))))</f>
        <v>#REF!</v>
      </c>
      <c r="AS35" s="31" t="e">
        <f>IF(AF35&gt;#REF!,#REF!,IF(AF35&gt;#REF!,#REF!,IF(AF35&gt;#REF!,#REF!,IF(AF35&gt;#REF!,#REF!,#REF!))))</f>
        <v>#REF!</v>
      </c>
      <c r="AT35" s="31" t="e">
        <f>IF(AH35&gt;#REF!,#REF!,IF(AH35&gt;#REF!,#REF!,IF(AH35&gt;#REF!,#REF!,IF(AH35&gt;#REF!,#REF!,IF(AH35&gt;#REF!,#REF!,#REF!)))))</f>
        <v>#REF!</v>
      </c>
      <c r="AU35" s="10" t="e">
        <f t="shared" si="4"/>
        <v>#REF!</v>
      </c>
      <c r="AV35" s="10"/>
      <c r="AW35" s="10"/>
      <c r="AX35" s="10"/>
      <c r="AY35" s="31" t="str">
        <f>IFERROR(VLOOKUP(AV35,#REF!,3,0),"")</f>
        <v/>
      </c>
      <c r="AZ35" s="31" t="str">
        <f>IFERROR(VLOOKUP(AW35,#REF!,3,0),"")</f>
        <v/>
      </c>
      <c r="BA35" s="31" t="str">
        <f>IFERROR(VLOOKUP(AX35,#REF!,3,0),"")</f>
        <v/>
      </c>
      <c r="BB35" s="31" t="str">
        <f>IFERROR(AY35*#REF!+AZ35*#REF!+BA35*#REF!,"")</f>
        <v/>
      </c>
      <c r="BC35" s="32" t="str">
        <f t="shared" si="5"/>
        <v/>
      </c>
      <c r="BD35" s="32" t="str">
        <f>IFERROR(VLOOKUP(BC35*10,#REF!,2,1),"")</f>
        <v/>
      </c>
      <c r="BE35" s="10"/>
      <c r="BF35" s="10"/>
      <c r="BG35" s="10"/>
      <c r="BH35" s="11" t="s">
        <v>110</v>
      </c>
      <c r="BI35" s="10">
        <v>8.3100004196166992</v>
      </c>
      <c r="BJ35" s="11" t="s">
        <v>111</v>
      </c>
      <c r="BK35" s="33" t="s">
        <v>112</v>
      </c>
      <c r="BL35" s="10">
        <f>IF([1]!s_stmnote_bank_17n(A35,$A$1,1)="0","",[1]!s_stmnote_bank_17n(A35,$A$1,1))</f>
        <v>1.3555999999999999</v>
      </c>
      <c r="BM35" s="10">
        <f>IF([1]!s_stmnote_bank_18n(A35,$A$1,1)="0","",[1]!s_stmnote_bank_18n(A35,$A$1,1))</f>
        <v>11.686</v>
      </c>
      <c r="BN35" s="41" t="s">
        <v>67</v>
      </c>
      <c r="BO35" s="68" t="s">
        <v>67</v>
      </c>
      <c r="BP35" s="52">
        <f>[1]!s_stmnote_bank_5444(A35,$A$1,1)</f>
        <v>0</v>
      </c>
      <c r="BQ35" s="52">
        <f>[1]!s_stmnote_bank_129n($A35,$A$1,1)</f>
        <v>29.213000000000001</v>
      </c>
      <c r="BR35" s="52">
        <f t="shared" si="13"/>
        <v>5.3031099944606366</v>
      </c>
      <c r="BS35" s="52">
        <f>[1]!b_stm07_is(A35,19,$A$1,1,100000000)</f>
        <v>25.73716752</v>
      </c>
      <c r="BT35" s="52">
        <f xml:space="preserve"> [1]!s_stm07_bs(A35,"W15273164",$A$1,1,100000000)-[1]!s_stm07_bs(A35,"W17642530",$A$1,1,100000000)-[1]!s_stm07_bs(A35,"W15910877",$A$1,1,100000000)-[1]!s_stm07_bs_39(A35,$A$1,1,100000000)-[1]!s_stm07_bs(A35,"W17700468",$A$1,1,100000000)-[1]!s_stm07_bs(A35,"W16504296",$A$1,1,100000000)-[1]!s_stm07_bs(A35,"W13769069",$A$1,1,100000000)</f>
        <v>528.6580783938</v>
      </c>
      <c r="BU35" s="52">
        <f xml:space="preserve"> [1]!s_stm07_bs(A35,"W15273164",$B$1,1,100000000)-[1]!s_stm07_bs(A35,"W17642530",$B$1,1,100000000)-[1]!s_stm07_bs(A35,"W15910877",$B$1,1,100000000)-[1]!s_stm07_bs_39(A35,$B$1,1,100000000)-[1]!s_stm07_bs(A35,"W17700468",$B$1,1,100000000)-[1]!s_stm07_bs(A35,"W16504296",$B$1,1,100000000)-[1]!s_stm07_bs(A35,"W13769069",$B$1,1,100000000)</f>
        <v>471.99512640669991</v>
      </c>
      <c r="BV35" s="52">
        <f xml:space="preserve"> [1]!s_stm07_bs(A35,"W15273164",$E$1,1,100000000)-[1]!s_stm07_bs(A35,"W17642530",$E$1,1,100000000)-[1]!s_stm07_bs(A35,"W15910877",$E$1,1,100000000)-[1]!s_stm07_bs_39(A35,$E$1,1,100000000)-[1]!s_stm07_bs(A35,"W17700468",$E$1,1,100000000)-[1]!s_stm07_bs(A35,"W16504296",$E$1,1,100000000)-[1]!s_stm07_bs(A35,"W13769069",$E$1,1,100000000)</f>
        <v>0</v>
      </c>
      <c r="BW35" s="52">
        <f xml:space="preserve"> [1]!s_stm07_bs(A35,"W15273164",$F$1,1,100000000)-[1]!s_stm07_bs(A35,"W17642530",$F$1,1,100000000)-[1]!s_stm07_bs(A35,"W15910877",$F$1,1,100000000)-[1]!s_stm07_bs_39(A35,$F$1,1,100000000)-[1]!s_stm07_bs(A35,"W17700468",$F$1,1,100000000)-[1]!s_stm07_bs(A35,"W16504296",$F$1,1,100000000)-[1]!s_stm07_bs(A35,"W13769069",$F$1,1,100000000)</f>
        <v>535.27539999999999</v>
      </c>
      <c r="BX35" s="52">
        <f xml:space="preserve"> [1]!s_stm07_bs(A35,"W15273164",$G$1,1,100000000)-[1]!s_stm07_bs(A35,"W17642530",$G$1,1,100000000)-[1]!s_stm07_bs(A35,"W15910877",$G$1,1,100000000)-[1]!s_stm07_bs_39(A35,$G$1,1,100000000)-[1]!s_stm07_bs(A35,"W17700468",$G$1,1,100000000)-[1]!s_stm07_bs(A35,"W16504296",$G$1,1,100000000)-[1]!s_stm07_bs(A35,"W13769069",$G$1,1,100000000)</f>
        <v>0</v>
      </c>
      <c r="BY35" s="52">
        <f>IFERROR([1]!b_stm07_is(A35,20,$A$1,1,100000000)/AVERAGEIF(CA35:CE35,"&gt;0")*100,0)</f>
        <v>2.2795454171376051</v>
      </c>
      <c r="BZ35" s="52">
        <f>[1]!b_stm07_is(A35,20,$A$1,1,100000000)</f>
        <v>10.3535940976</v>
      </c>
      <c r="CA35" s="52">
        <f>[1]!s_stmnote_bank_38(A35,$A$1,1,100000000)</f>
        <v>482.13377033449996</v>
      </c>
      <c r="CB35" s="52">
        <f>[1]!s_stmnote_bank_38(A35,$B$1,1,100000000)</f>
        <v>426.25735183940003</v>
      </c>
      <c r="CC35" s="52">
        <f>[1]!s_stmnote_bank_38(A35,$E$1,1,100000000)</f>
        <v>0</v>
      </c>
      <c r="CD35" s="52">
        <f>[1]!s_stmnote_bank_38(A35,$F$1,1,100000000)</f>
        <v>0</v>
      </c>
      <c r="CE35" s="52">
        <f>[1]!s_stmnote_bank_38(A35,$G$1,1,100000000)</f>
        <v>0</v>
      </c>
      <c r="CF35" s="52">
        <f>IF(BP35&lt;&gt;0,BP35,IFERROR(IF(([1]!b_stm07_is(A35,19,$A$1,1,100000000)-[1]!b_stm07_is(A35,20,$A$1,1,100000000))/AVERAGE([1]!s_stmnote_bank_35(A35,$A$1,1,100000000),[1]!s_stmnote_bank_35(A35,$B$1,1,100000000))*100=0,"",([1]!b_stm07_is(A35,19,$A$1,1,100000000)-[1]!b_stm07_is(A35,20,$A$1,1,100000000))/AVERAGE([1]!s_stmnote_bank_35(A35,$A$1,1,100000000),[1]!s_stmnote_bank_35(A35,$B$1,1,100000000))*100),""))</f>
        <v>3.0973705408703771</v>
      </c>
      <c r="CG35" s="27" t="str">
        <f t="shared" si="6"/>
        <v>10 171</v>
      </c>
      <c r="CH35" s="80">
        <f t="shared" si="14"/>
        <v>2.0754080370229468</v>
      </c>
      <c r="CI35" s="27" t="str">
        <f t="shared" si="7"/>
        <v>9 169</v>
      </c>
      <c r="CJ35" s="55">
        <f>[1]!s_stmnote_bank_30(A35,$A$1,1)</f>
        <v>10.242699999999999</v>
      </c>
      <c r="CK35" s="46"/>
      <c r="CL35" s="46"/>
      <c r="CM35" s="46"/>
      <c r="CN35" s="46"/>
      <c r="CO35" s="46"/>
      <c r="CP35" s="69">
        <f>[1]!b_stm07_bs($A35,141,$A$1,1,100000000)</f>
        <v>51.577582880400001</v>
      </c>
      <c r="CQ35" s="69">
        <f>[1]!b_stm07_bs($A35,141,$D$1,1,100000000)</f>
        <v>0</v>
      </c>
      <c r="CR35" s="68">
        <f>IF([1]!s_fa_roic_yearly($A35,$A$1)=0,"",[1]!s_fa_roic_yearly($A35,$A$1))</f>
        <v>14.0723</v>
      </c>
      <c r="CS35" s="27">
        <f t="shared" si="19"/>
        <v>8.2840236686390539E-2</v>
      </c>
      <c r="CT35" s="68">
        <f>IF([1]!s_fa_roic_yearly($A35,$D$1)=0,"",[1]!s_fa_roic_yearly($A35,$D$1))</f>
        <v>14.414199999999999</v>
      </c>
      <c r="CU35" s="27">
        <f t="shared" si="20"/>
        <v>0.11971830985915492</v>
      </c>
      <c r="CV35" s="78">
        <f>[1]!s_stm07_bs(A35,"W14578191",$A$1,1,100000000)</f>
        <v>336.66606533380002</v>
      </c>
      <c r="CW35" s="78">
        <f>[1]!s_stmnote_bank_682($A35,$A$1,1,2,100000000)</f>
        <v>252.49</v>
      </c>
      <c r="CX35" s="79">
        <f t="shared" si="11"/>
        <v>0.74997163658196275</v>
      </c>
    </row>
    <row r="36" spans="1:102" ht="13.5">
      <c r="A36" s="8" t="s">
        <v>213</v>
      </c>
      <c r="B36" s="8" t="s">
        <v>214</v>
      </c>
      <c r="C36" s="9" t="s">
        <v>215</v>
      </c>
      <c r="D36" s="9" t="s">
        <v>1066</v>
      </c>
      <c r="E36" s="10"/>
      <c r="F36" s="11" t="s">
        <v>66</v>
      </c>
      <c r="G36" s="11" t="s">
        <v>67</v>
      </c>
      <c r="H36" s="11" t="s">
        <v>116</v>
      </c>
      <c r="I36" s="11"/>
      <c r="J36" s="11" t="e">
        <f>VLOOKUP(B36,[3]额度信息!$B:$T,19,0)</f>
        <v>#N/A</v>
      </c>
      <c r="K36" s="11"/>
      <c r="L36" s="27">
        <f>IFERROR(([1]!b_stm07_bs($A36,47,$A$1,1,100000000))/[1]!b_stm07_bs($A36,109,$A$1,1,100000000),"")</f>
        <v>7.6268486927036999E-2</v>
      </c>
      <c r="M36" s="20"/>
      <c r="N36" s="18"/>
      <c r="O36" s="27" t="e">
        <f t="shared" si="0"/>
        <v>#N/A</v>
      </c>
      <c r="P36" s="21">
        <f t="shared" si="12"/>
        <v>1.40847669806166E-2</v>
      </c>
      <c r="Q36" s="27" t="str">
        <f t="shared" si="1"/>
        <v>18 169</v>
      </c>
      <c r="R36" s="18">
        <v>6.0847669806166002E-3</v>
      </c>
      <c r="S36" s="22"/>
      <c r="T36" s="22"/>
      <c r="U36" s="22"/>
      <c r="V36" s="22"/>
      <c r="W36" s="22"/>
      <c r="X36" s="22"/>
      <c r="Y36" s="22"/>
      <c r="Z36" s="25">
        <f>[1]!b_stm07_bs(A36,74,$A$1,1,100000000)</f>
        <v>1614.2201175235</v>
      </c>
      <c r="AA36" s="25">
        <f>[1]!b_stm07_bs(A36,109,$A$1,1,100000000)</f>
        <v>1424.4959106679999</v>
      </c>
      <c r="AB36" s="10">
        <f>[1]!s_stmnote_bank_5n(A36,$A$1,1)</f>
        <v>0.8</v>
      </c>
      <c r="AC36" s="25">
        <f>IF([1]!s_stmnote_bank_23n(A36,$A$1,1)=0,"",IFERROR([1]!s_stmnote_bank_23n(A36,$A$1,1),""))</f>
        <v>403.09</v>
      </c>
      <c r="AD36" s="27" t="str">
        <f t="shared" si="2"/>
        <v>132 167</v>
      </c>
      <c r="AE36" s="25">
        <f>[1]!s_stmnote_bank_capadequacyratio(A36,$A$1,1)</f>
        <v>14.79</v>
      </c>
      <c r="AF36" s="25">
        <f>IF([1]!s_stmnote_bank_capadequacyratio_ct1(A36,$A$1,1)=0,"",IFERROR([1]!s_stmnote_bank_capadequacyratio_ct1(A36,$A$1,1),""))</f>
        <v>10.98</v>
      </c>
      <c r="AG36" s="27" t="str">
        <f t="shared" si="18"/>
        <v>104 167</v>
      </c>
      <c r="AH36" s="6">
        <f>IF(OR([1]!s_fa_roe(A36,20201231)=0,[1]!s_fa_roe(A36,20211231)="0",[1]!s_fa_roe(A36,20221231)="0"),"",IFERROR(([1]!s_fa_roe(A36,20221231)+[1]!s_fa_roe(A36,20201231)+[1]!s_fa_roe(A36,20211231))/3,""))</f>
        <v>10.817366666666667</v>
      </c>
      <c r="AI36" s="27" t="str">
        <f t="shared" si="3"/>
        <v>134 173</v>
      </c>
      <c r="AJ36" s="28">
        <f>IFERROR(([1]!s_stmnote_bank_65(A36,$A$1,1,2,4,100000000)+[1]!s_stmnote_bank_65(A36,$A$1,1,2,6,100000000))/[1]!s_stmnote_bank_1n(A36,$A$1,1,100000000),"")</f>
        <v>8.6727089015632433E-2</v>
      </c>
      <c r="AK36" s="28">
        <f>IFERROR([1]!s_stmnote_bank_614(A36,$A$1,1,2,100000000)/[1]!s_stmnote_bank_647(A36,$A$1,1,2,100000000),"")</f>
        <v>0.29248146615368126</v>
      </c>
      <c r="AL36" s="28">
        <f>IFERROR(([1]!b_stm07_bs(A36,104,$A$1,1,100000000)+[1]!b_stm07_bs(A36,106,$A$1,1,100000000)+[1]!b_stm07_bs(A36,76,$A$1,1,100000000)+[1]!b_stm07_bs(A36,108,$A$1,1,100000000)+[1]!b_stm07_bs(A36,95,$A$1,1,100000000))/[1]!b_stm07_bs(A36,128,$A$1,1,100000000),"")</f>
        <v>1.1136502666699096E-2</v>
      </c>
      <c r="AM36" s="28">
        <f>IFERROR(([1]!s_stmnote_bank_614(A36,$A$1,1,2,100000000)+[1]!b_stm07_bs(A36,104,$A$1,1,100000000)+[1]!b_stm07_bs(A36,106,$A$1,1,100000000)+[1]!b_stm07_bs(A36,76,$A$1,1,100000000)+[1]!b_stm07_bs(A36,108,$A$1,1,100000000)+[1]!b_stm07_bs(A36,95,$A$1,1,100000000))/[1]!b_stm07_bs(A36,128,$A$1,1,100000000),"")</f>
        <v>0.28974445589152575</v>
      </c>
      <c r="AN36" s="31" t="e">
        <f>IF(Z36&gt;#REF!,#REF!,IF(Z36&gt;#REF!,#REF!,IF(Z36&gt;#REF!,#REF!,IF(Z36&gt;#REF!,#REF!,IF(Z36&gt;#REF!,#REF!,IF(Z36&gt;#REF!,#REF!,IF(Z36&gt;#REF!,#REF!,#REF!)))))))</f>
        <v>#REF!</v>
      </c>
      <c r="AO36" s="31" t="e">
        <f>IF(AA36&gt;#REF!,#REF!,IF(AA36&gt;#REF!,#REF!,IF(AA36&gt;#REF!,#REF!,IF(AA36&gt;#REF!,#REF!,IF(AA36&gt;#REF!,#REF!,IF(AA36&gt;#REF!,#REF!,IF(AA36&gt;#REF!,#REF!,#REF!)))))))</f>
        <v>#REF!</v>
      </c>
      <c r="AP36" s="31" t="e">
        <f>IF(AB36&lt;#REF!,#REF!,IF(AB36&lt;#REF!,#REF!,IF(AB36&lt;#REF!,#REF!,IF(AB36&lt;#REF!,#REF!,IF(AB36&lt;#REF!,#REF!,IF(AB36&lt;#REF!,#REF!,#REF!))))))</f>
        <v>#REF!</v>
      </c>
      <c r="AQ36" s="31" t="e">
        <f>IF(AC36&gt;#REF!,#REF!,IF(AC36&gt;#REF!,#REF!,IF(AC36&gt;#REF!,#REF!,IF(AC36&gt;#REF!,#REF!,#REF!))))</f>
        <v>#REF!</v>
      </c>
      <c r="AR36" s="31" t="e">
        <f>IF(AE36&gt;#REF!,#REF!,IF(AE36&gt;#REF!,#REF!,IF(AE36&gt;#REF!,#REF!,IF(AE36&gt;#REF!,#REF!,#REF!))))</f>
        <v>#REF!</v>
      </c>
      <c r="AS36" s="31" t="e">
        <f>IF(AF36&gt;#REF!,#REF!,IF(AF36&gt;#REF!,#REF!,IF(AF36&gt;#REF!,#REF!,IF(AF36&gt;#REF!,#REF!,#REF!))))</f>
        <v>#REF!</v>
      </c>
      <c r="AT36" s="31" t="e">
        <f>IF(AH36&gt;#REF!,#REF!,IF(AH36&gt;#REF!,#REF!,IF(AH36&gt;#REF!,#REF!,IF(AH36&gt;#REF!,#REF!,IF(AH36&gt;#REF!,#REF!,#REF!)))))</f>
        <v>#REF!</v>
      </c>
      <c r="AU36" s="10" t="e">
        <f t="shared" si="4"/>
        <v>#REF!</v>
      </c>
      <c r="AV36" s="10"/>
      <c r="AW36" s="10"/>
      <c r="AX36" s="10"/>
      <c r="AY36" s="31" t="str">
        <f>IFERROR(VLOOKUP(AV36,#REF!,3,0),"")</f>
        <v/>
      </c>
      <c r="AZ36" s="31" t="str">
        <f>IFERROR(VLOOKUP(AW36,#REF!,3,0),"")</f>
        <v/>
      </c>
      <c r="BA36" s="31" t="str">
        <f>IFERROR(VLOOKUP(AX36,#REF!,3,0),"")</f>
        <v/>
      </c>
      <c r="BB36" s="31" t="str">
        <f>IFERROR(AY36*#REF!+AZ36*#REF!+BA36*#REF!,"")</f>
        <v/>
      </c>
      <c r="BC36" s="32" t="str">
        <f t="shared" si="5"/>
        <v/>
      </c>
      <c r="BD36" s="32" t="str">
        <f>IFERROR(VLOOKUP(BC36*10,#REF!,2,1),"")</f>
        <v/>
      </c>
      <c r="BE36" s="10"/>
      <c r="BF36" s="10"/>
      <c r="BG36" s="10"/>
      <c r="BH36" s="11" t="s">
        <v>216</v>
      </c>
      <c r="BI36" s="10">
        <v>5</v>
      </c>
      <c r="BJ36" s="11" t="s">
        <v>111</v>
      </c>
      <c r="BK36" s="33" t="s">
        <v>217</v>
      </c>
      <c r="BL36" s="10">
        <f>IF([1]!s_stmnote_bank_17n(A36,$A$1,1)="0","",[1]!s_stmnote_bank_17n(A36,$A$1,1))</f>
        <v>2.08</v>
      </c>
      <c r="BM36" s="10">
        <f>IF([1]!s_stmnote_bank_18n(A36,$A$1,1)="0","",[1]!s_stmnote_bank_18n(A36,$A$1,1))</f>
        <v>15.89</v>
      </c>
      <c r="BN36" s="41" t="s">
        <v>67</v>
      </c>
      <c r="BO36" s="68" t="s">
        <v>67</v>
      </c>
      <c r="BP36" s="52">
        <f>[1]!s_stmnote_bank_5444(A36,$A$1,1)</f>
        <v>2.44</v>
      </c>
      <c r="BQ36" s="52">
        <f>[1]!s_stmnote_bank_129n($A36,$A$1,1)</f>
        <v>27.13</v>
      </c>
      <c r="BR36" s="52">
        <f t="shared" si="13"/>
        <v>4.5948407789643344</v>
      </c>
      <c r="BS36" s="52">
        <f>[1]!b_stm07_is(A36,19,$A$1,1,100000000)</f>
        <v>63.248908836600002</v>
      </c>
      <c r="BT36" s="52">
        <f xml:space="preserve"> [1]!s_stm07_bs(A36,"W15273164",$A$1,1,100000000)-[1]!s_stm07_bs(A36,"W17642530",$A$1,1,100000000)-[1]!s_stm07_bs(A36,"W15910877",$A$1,1,100000000)-[1]!s_stm07_bs_39(A36,$A$1,1,100000000)-[1]!s_stm07_bs(A36,"W17700468",$A$1,1,100000000)-[1]!s_stm07_bs(A36,"W16504296",$A$1,1,100000000)-[1]!s_stm07_bs(A36,"W13769069",$A$1,1,100000000)</f>
        <v>1595.7615123211001</v>
      </c>
      <c r="BU36" s="52">
        <f xml:space="preserve"> [1]!s_stm07_bs(A36,"W15273164",$B$1,1,100000000)-[1]!s_stm07_bs(A36,"W17642530",$B$1,1,100000000)-[1]!s_stm07_bs(A36,"W15910877",$B$1,1,100000000)-[1]!s_stm07_bs_39(A36,$B$1,1,100000000)-[1]!s_stm07_bs(A36,"W17700468",$B$1,1,100000000)-[1]!s_stm07_bs(A36,"W16504296",$B$1,1,100000000)-[1]!s_stm07_bs(A36,"W13769069",$B$1,1,100000000)</f>
        <v>1327.1036254223995</v>
      </c>
      <c r="BV36" s="52">
        <f xml:space="preserve"> [1]!s_stm07_bs(A36,"W15273164",$E$1,1,100000000)-[1]!s_stm07_bs(A36,"W17642530",$E$1,1,100000000)-[1]!s_stm07_bs(A36,"W15910877",$E$1,1,100000000)-[1]!s_stm07_bs_39(A36,$E$1,1,100000000)-[1]!s_stm07_bs(A36,"W17700468",$E$1,1,100000000)-[1]!s_stm07_bs(A36,"W16504296",$E$1,1,100000000)-[1]!s_stm07_bs(A36,"W13769069",$E$1,1,100000000)</f>
        <v>1487.8966689797001</v>
      </c>
      <c r="BW36" s="52">
        <f xml:space="preserve"> [1]!s_stm07_bs(A36,"W15273164",$F$1,1,100000000)-[1]!s_stm07_bs(A36,"W17642530",$F$1,1,100000000)-[1]!s_stm07_bs(A36,"W15910877",$F$1,1,100000000)-[1]!s_stm07_bs_39(A36,$F$1,1,100000000)-[1]!s_stm07_bs(A36,"W17700468",$F$1,1,100000000)-[1]!s_stm07_bs(A36,"W16504296",$F$1,1,100000000)-[1]!s_stm07_bs(A36,"W13769069",$F$1,1,100000000)</f>
        <v>1425.1713327159</v>
      </c>
      <c r="BX36" s="52">
        <f xml:space="preserve"> [1]!s_stm07_bs(A36,"W15273164",$G$1,1,100000000)-[1]!s_stm07_bs(A36,"W17642530",$G$1,1,100000000)-[1]!s_stm07_bs(A36,"W15910877",$G$1,1,100000000)-[1]!s_stm07_bs_39(A36,$G$1,1,100000000)-[1]!s_stm07_bs(A36,"W17700468",$G$1,1,100000000)-[1]!s_stm07_bs(A36,"W16504296",$G$1,1,100000000)-[1]!s_stm07_bs(A36,"W13769069",$G$1,1,100000000)</f>
        <v>1421.1897343153998</v>
      </c>
      <c r="BY36" s="52">
        <f>IFERROR([1]!b_stm07_is(A36,20,$A$1,1,100000000)/AVERAGEIF(CA36:CE36,"&gt;0")*100,0)</f>
        <v>2.0437572215165343</v>
      </c>
      <c r="BZ36" s="52">
        <f>[1]!b_stm07_is(A36,20,$A$1,1,100000000)</f>
        <v>27.526686235700002</v>
      </c>
      <c r="CA36" s="52">
        <f>[1]!s_stmnote_bank_38(A36,$A$1,1,100000000)</f>
        <v>1483.4251472916001</v>
      </c>
      <c r="CB36" s="52">
        <f>[1]!s_stmnote_bank_38(A36,$B$1,1,100000000)</f>
        <v>1217.5005690034</v>
      </c>
      <c r="CC36" s="52">
        <f>[1]!s_stmnote_bank_38(A36,$E$1,1,100000000)</f>
        <v>1382.7670720297001</v>
      </c>
      <c r="CD36" s="52">
        <f>[1]!s_stmnote_bank_38(A36,$F$1,1,100000000)</f>
        <v>1326.9905487313999</v>
      </c>
      <c r="CE36" s="52">
        <f>[1]!s_stmnote_bank_38(A36,$G$1,1,100000000)</f>
        <v>1323.6503562762</v>
      </c>
      <c r="CF36" s="52">
        <f>IF(BP36&lt;&gt;0,BP36,IFERROR(IF(([1]!b_stm07_is(A36,19,$A$1,1,100000000)-[1]!b_stm07_is(A36,20,$A$1,1,100000000))/AVERAGE([1]!s_stmnote_bank_35(A36,$A$1,1,100000000),[1]!s_stmnote_bank_35(A36,$B$1,1,100000000))*100=0,"",([1]!b_stm07_is(A36,19,$A$1,1,100000000)-[1]!b_stm07_is(A36,20,$A$1,1,100000000))/AVERAGE([1]!s_stmnote_bank_35(A36,$A$1,1,100000000),[1]!s_stmnote_bank_35(A36,$B$1,1,100000000))*100),""))</f>
        <v>2.44</v>
      </c>
      <c r="CG36" s="27" t="str">
        <f t="shared" si="6"/>
        <v>30 171</v>
      </c>
      <c r="CH36" s="80">
        <f t="shared" si="14"/>
        <v>1.7323680280674276</v>
      </c>
      <c r="CI36" s="27" t="str">
        <f t="shared" si="7"/>
        <v>16 169</v>
      </c>
      <c r="CJ36" s="55">
        <f>[1]!s_stmnote_bank_30(A36,$A$1,1)</f>
        <v>8.8009000000000004</v>
      </c>
      <c r="CK36" s="46"/>
      <c r="CL36" s="46"/>
      <c r="CM36" s="46"/>
      <c r="CN36" s="46"/>
      <c r="CO36" s="46"/>
      <c r="CP36" s="69">
        <f>[1]!b_stm07_bs($A36,141,$A$1,1,100000000)</f>
        <v>118.79025753709999</v>
      </c>
      <c r="CQ36" s="69">
        <f>[1]!b_stm07_bs($A36,141,$D$1,1,100000000)</f>
        <v>131.4468902065</v>
      </c>
      <c r="CR36" s="68">
        <f>IF([1]!s_fa_roic_yearly($A36,$A$1)=0,"",[1]!s_fa_roic_yearly($A36,$A$1))</f>
        <v>10.7585</v>
      </c>
      <c r="CS36" s="27">
        <f t="shared" si="19"/>
        <v>0.24852071005917159</v>
      </c>
      <c r="CT36" s="68">
        <f>IF([1]!s_fa_roic_yearly($A36,$D$1)=0,"",[1]!s_fa_roic_yearly($A36,$D$1))</f>
        <v>11.323600000000001</v>
      </c>
      <c r="CU36" s="27">
        <f t="shared" si="20"/>
        <v>0.33098591549295775</v>
      </c>
      <c r="CV36" s="78">
        <f>[1]!s_stm07_bs(A36,"W14578191",$A$1,1,100000000)</f>
        <v>878.28463708380002</v>
      </c>
      <c r="CW36" s="78">
        <f>[1]!s_stmnote_bank_682($A36,$A$1,1,2,100000000)</f>
        <v>214.44822486939998</v>
      </c>
      <c r="CX36" s="79">
        <f t="shared" si="11"/>
        <v>0.24416711372914379</v>
      </c>
    </row>
    <row r="37" spans="1:102" ht="13.5">
      <c r="A37" s="8" t="s">
        <v>468</v>
      </c>
      <c r="B37" s="8" t="s">
        <v>469</v>
      </c>
      <c r="C37" s="9" t="s">
        <v>470</v>
      </c>
      <c r="D37" s="9" t="s">
        <v>1066</v>
      </c>
      <c r="E37" s="10" t="s">
        <v>138</v>
      </c>
      <c r="F37" s="11" t="s">
        <v>66</v>
      </c>
      <c r="G37" s="11" t="s">
        <v>206</v>
      </c>
      <c r="H37" s="11" t="s">
        <v>116</v>
      </c>
      <c r="I37" s="11"/>
      <c r="J37" s="11">
        <f>VLOOKUP(B37,[3]额度信息!$B:$T,19,0)</f>
        <v>0</v>
      </c>
      <c r="K37" s="11" t="s">
        <v>471</v>
      </c>
      <c r="L37" s="27">
        <f>IFERROR(([1]!b_stm07_bs($A37,47,$A$1,1,100000000))/[1]!b_stm07_bs($A37,109,$A$1,1,100000000),"")</f>
        <v>7.7074128879654022E-2</v>
      </c>
      <c r="M37" s="20">
        <v>1.97</v>
      </c>
      <c r="N37" s="18">
        <f>IFERROR((7.99-7.71+M37)/[1]!s_stmnote_bank_1n($A37,$B$1,1,100000000),"")</f>
        <v>3.3668036667132968E-3</v>
      </c>
      <c r="O37" s="27" t="str">
        <f t="shared" si="0"/>
        <v>4 50</v>
      </c>
      <c r="P37" s="21">
        <f t="shared" si="12"/>
        <v>1.5694244604316548E-2</v>
      </c>
      <c r="Q37" s="27" t="str">
        <f t="shared" si="1"/>
        <v>25 169</v>
      </c>
      <c r="R37" s="18">
        <f>6.7/931.3</f>
        <v>7.1942446043165471E-3</v>
      </c>
      <c r="S37" s="22">
        <f>7.3/(843.4+97.2)</f>
        <v>7.7610036147140122E-3</v>
      </c>
      <c r="T37" s="22">
        <f>8/(843.4+97.2)</f>
        <v>8.5052094407824796E-3</v>
      </c>
      <c r="U37" s="22">
        <f>2.3/Z37</f>
        <v>1.7056157352424561E-3</v>
      </c>
      <c r="V37" s="22"/>
      <c r="W37" s="22">
        <v>0</v>
      </c>
      <c r="X37" s="22">
        <v>0</v>
      </c>
      <c r="Y37" s="22"/>
      <c r="Z37" s="25">
        <f>[1]!b_stm07_bs(A37,74,$A$1,1,100000000)</f>
        <v>1348.4866212688</v>
      </c>
      <c r="AA37" s="25">
        <f>[1]!b_stm07_bs(A37,109,$A$1,1,100000000)</f>
        <v>1053.3814433396999</v>
      </c>
      <c r="AB37" s="10">
        <v>0.85</v>
      </c>
      <c r="AC37" s="25">
        <f>IF([1]!s_stmnote_bank_23n(A37,$A$1,1)=0,"",IFERROR([1]!s_stmnote_bank_23n(A37,$A$1,1),""))</f>
        <v>648.79999999999995</v>
      </c>
      <c r="AD37" s="27" t="str">
        <f t="shared" si="2"/>
        <v>160 167</v>
      </c>
      <c r="AE37" s="25">
        <v>14.83</v>
      </c>
      <c r="AF37" s="25">
        <f>IF([1]!s_stmnote_bank_capadequacyratio_ct1(A37,$A$1,1)=0,"",IFERROR([1]!s_stmnote_bank_capadequacyratio_ct1(A37,$A$1,1),""))</f>
        <v>12.49</v>
      </c>
      <c r="AG37" s="27" t="str">
        <f t="shared" si="18"/>
        <v>130 167</v>
      </c>
      <c r="AH37" s="6">
        <f>IF(OR([1]!s_fa_roe(A37,20201231)=0,[1]!s_fa_roe(A37,20211231)="0",[1]!s_fa_roe(A37,20221231)="0"),"",IFERROR(([1]!s_fa_roe(A37,20221231)+[1]!s_fa_roe(A37,20201231)+[1]!s_fa_roe(A37,20211231))/3,""))</f>
        <v>12.622300000000001</v>
      </c>
      <c r="AI37" s="27" t="str">
        <f t="shared" si="3"/>
        <v>152 173</v>
      </c>
      <c r="AJ37" s="28">
        <f>4.53%+1.53%</f>
        <v>6.0600000000000001E-2</v>
      </c>
      <c r="AK37" s="28">
        <f>298.49/1152.85</f>
        <v>0.25891486316519929</v>
      </c>
      <c r="AL37" s="28">
        <f>IFERROR(([1]!b_stm07_bs(A37,104,$A$1,1,100000000)+[1]!b_stm07_bs(A37,106,$A$1,1,100000000)+[1]!b_stm07_bs(A37,76,$A$1,1,100000000)+[1]!b_stm07_bs(A37,108,$A$1,1,100000000)+[1]!b_stm07_bs(A37,95,$A$1,1,100000000))/[1]!b_stm07_bs(A37,128,$A$1,1,100000000),"")</f>
        <v>9.6505077851615745E-2</v>
      </c>
      <c r="AM37" s="28">
        <f>IFERROR(([1]!s_stmnote_bank_614(A37,$A$1,1,2,100000000)+[1]!b_stm07_bs(A37,104,$A$1,1,100000000)+[1]!b_stm07_bs(A37,106,$A$1,1,100000000)+[1]!b_stm07_bs(A37,76,$A$1,1,100000000)+[1]!b_stm07_bs(A37,108,$A$1,1,100000000)+[1]!b_stm07_bs(A37,95,$A$1,1,100000000))/[1]!b_stm07_bs(A37,128,$A$1,1,100000000),"")</f>
        <v>0.3370085308785512</v>
      </c>
      <c r="AN37" s="31" t="e">
        <f>IF(Z37&gt;#REF!,#REF!,IF(Z37&gt;#REF!,#REF!,IF(Z37&gt;#REF!,#REF!,IF(Z37&gt;#REF!,#REF!,IF(Z37&gt;#REF!,#REF!,IF(Z37&gt;#REF!,#REF!,IF(Z37&gt;#REF!,#REF!,#REF!)))))))</f>
        <v>#REF!</v>
      </c>
      <c r="AO37" s="31" t="e">
        <f>IF(AA37&gt;#REF!,#REF!,IF(AA37&gt;#REF!,#REF!,IF(AA37&gt;#REF!,#REF!,IF(AA37&gt;#REF!,#REF!,IF(AA37&gt;#REF!,#REF!,IF(AA37&gt;#REF!,#REF!,IF(AA37&gt;#REF!,#REF!,#REF!)))))))</f>
        <v>#REF!</v>
      </c>
      <c r="AP37" s="31" t="e">
        <f>IF(AB37&lt;#REF!,#REF!,IF(AB37&lt;#REF!,#REF!,IF(AB37&lt;#REF!,#REF!,IF(AB37&lt;#REF!,#REF!,IF(AB37&lt;#REF!,#REF!,IF(AB37&lt;#REF!,#REF!,#REF!))))))</f>
        <v>#REF!</v>
      </c>
      <c r="AQ37" s="31" t="e">
        <f>IF(AC37&gt;#REF!,#REF!,IF(AC37&gt;#REF!,#REF!,IF(AC37&gt;#REF!,#REF!,IF(AC37&gt;#REF!,#REF!,#REF!))))</f>
        <v>#REF!</v>
      </c>
      <c r="AR37" s="31" t="e">
        <f>IF(AE37&gt;#REF!,#REF!,IF(AE37&gt;#REF!,#REF!,IF(AE37&gt;#REF!,#REF!,IF(AE37&gt;#REF!,#REF!,#REF!))))</f>
        <v>#REF!</v>
      </c>
      <c r="AS37" s="31" t="e">
        <f>IF(AF37&gt;#REF!,#REF!,IF(AF37&gt;#REF!,#REF!,IF(AF37&gt;#REF!,#REF!,IF(AF37&gt;#REF!,#REF!,#REF!))))</f>
        <v>#REF!</v>
      </c>
      <c r="AT37" s="31" t="e">
        <f>IF(AH37&gt;#REF!,#REF!,IF(AH37&gt;#REF!,#REF!,IF(AH37&gt;#REF!,#REF!,IF(AH37&gt;#REF!,#REF!,IF(AH37&gt;#REF!,#REF!,#REF!)))))</f>
        <v>#REF!</v>
      </c>
      <c r="AU37" s="10" t="e">
        <f t="shared" si="4"/>
        <v>#REF!</v>
      </c>
      <c r="AV37" s="10" t="s">
        <v>141</v>
      </c>
      <c r="AW37" s="10" t="s">
        <v>61</v>
      </c>
      <c r="AX37" s="10" t="s">
        <v>62</v>
      </c>
      <c r="AY37" s="31" t="str">
        <f>IFERROR(VLOOKUP(AV37,#REF!,3,0),"")</f>
        <v/>
      </c>
      <c r="AZ37" s="31" t="str">
        <f>IFERROR(VLOOKUP(AW37,#REF!,3,0),"")</f>
        <v/>
      </c>
      <c r="BA37" s="31" t="str">
        <f>IFERROR(VLOOKUP(AX37,#REF!,3,0),"")</f>
        <v/>
      </c>
      <c r="BB37" s="31" t="str">
        <f>IFERROR(AY37*#REF!+AZ37*#REF!+BA37*#REF!,"")</f>
        <v/>
      </c>
      <c r="BC37" s="32" t="str">
        <f t="shared" si="5"/>
        <v/>
      </c>
      <c r="BD37" s="32" t="str">
        <f>IFERROR(VLOOKUP(BC37*10,#REF!,2,1),"")</f>
        <v/>
      </c>
      <c r="BE37" s="11">
        <v>0</v>
      </c>
      <c r="BF37" s="11">
        <v>-1</v>
      </c>
      <c r="BG37" s="10"/>
      <c r="BH37" s="11" t="s">
        <v>472</v>
      </c>
      <c r="BI37" s="10">
        <v>8.0200004577636701</v>
      </c>
      <c r="BJ37" s="33" t="s">
        <v>92</v>
      </c>
      <c r="BK37" s="33" t="s">
        <v>473</v>
      </c>
      <c r="BL37" s="10">
        <v>2.89</v>
      </c>
      <c r="BM37" s="10">
        <v>17.36</v>
      </c>
      <c r="BN37" s="41">
        <v>4.3600000000000003</v>
      </c>
      <c r="BO37" s="52">
        <v>2.0099999999999998</v>
      </c>
      <c r="BP37" s="52">
        <f>[1]!s_stmnote_bank_5444(A37,$A$1,1)</f>
        <v>2.4</v>
      </c>
      <c r="BQ37" s="52">
        <f>[1]!s_stmnote_bank_129n($A37,$A$1,1)</f>
        <v>34.799999999999997</v>
      </c>
      <c r="BR37" s="52">
        <f t="shared" si="13"/>
        <v>4.1563864415656369</v>
      </c>
      <c r="BS37" s="52">
        <f>[1]!b_stm07_is(A37,19,$A$1,1,100000000)</f>
        <v>50.842919739399996</v>
      </c>
      <c r="BT37" s="52">
        <f xml:space="preserve"> [1]!s_stm07_bs(A37,"W15273164",$A$1,1,100000000)-[1]!s_stm07_bs(A37,"W17642530",$A$1,1,100000000)-[1]!s_stm07_bs(A37,"W15910877",$A$1,1,100000000)-[1]!s_stm07_bs_39(A37,$A$1,1,100000000)-[1]!s_stm07_bs(A37,"W17700468",$A$1,1,100000000)-[1]!s_stm07_bs(A37,"W16504296",$A$1,1,100000000)-[1]!s_stm07_bs(A37,"W13769069",$A$1,1,100000000)</f>
        <v>1322.2682094928</v>
      </c>
      <c r="BU37" s="52">
        <f xml:space="preserve"> [1]!s_stm07_bs(A37,"W15273164",$B$1,1,100000000)-[1]!s_stm07_bs(A37,"W17642530",$B$1,1,100000000)-[1]!s_stm07_bs(A37,"W15910877",$B$1,1,100000000)-[1]!s_stm07_bs_39(A37,$B$1,1,100000000)-[1]!s_stm07_bs(A37,"W17700468",$B$1,1,100000000)-[1]!s_stm07_bs(A37,"W16504296",$B$1,1,100000000)-[1]!s_stm07_bs(A37,"W13769069",$B$1,1,100000000)</f>
        <v>1190.4089837311999</v>
      </c>
      <c r="BV37" s="52">
        <f xml:space="preserve"> [1]!s_stm07_bs(A37,"W15273164",$E$1,1,100000000)-[1]!s_stm07_bs(A37,"W17642530",$E$1,1,100000000)-[1]!s_stm07_bs(A37,"W15910877",$E$1,1,100000000)-[1]!s_stm07_bs_39(A37,$E$1,1,100000000)-[1]!s_stm07_bs(A37,"W17700468",$E$1,1,100000000)-[1]!s_stm07_bs(A37,"W16504296",$E$1,1,100000000)-[1]!s_stm07_bs(A37,"W13769069",$E$1,1,100000000)</f>
        <v>1315.2312405384</v>
      </c>
      <c r="BW37" s="52">
        <f xml:space="preserve"> [1]!s_stm07_bs(A37,"W15273164",$F$1,1,100000000)-[1]!s_stm07_bs(A37,"W17642530",$F$1,1,100000000)-[1]!s_stm07_bs(A37,"W15910877",$F$1,1,100000000)-[1]!s_stm07_bs_39(A37,$F$1,1,100000000)-[1]!s_stm07_bs(A37,"W17700468",$F$1,1,100000000)-[1]!s_stm07_bs(A37,"W16504296",$F$1,1,100000000)-[1]!s_stm07_bs(A37,"W13769069",$F$1,1,100000000)</f>
        <v>1295.2600534973999</v>
      </c>
      <c r="BX37" s="52">
        <f xml:space="preserve"> [1]!s_stm07_bs(A37,"W15273164",$G$1,1,100000000)-[1]!s_stm07_bs(A37,"W17642530",$G$1,1,100000000)-[1]!s_stm07_bs(A37,"W15910877",$G$1,1,100000000)-[1]!s_stm07_bs_39(A37,$G$1,1,100000000)-[1]!s_stm07_bs(A37,"W17700468",$G$1,1,100000000)-[1]!s_stm07_bs(A37,"W16504296",$G$1,1,100000000)-[1]!s_stm07_bs(A37,"W13769069",$G$1,1,100000000)</f>
        <v>1248.9492139611</v>
      </c>
      <c r="BY37" s="52">
        <f>IFERROR([1]!b_stm07_is(A37,20,$A$1,1,100000000)/AVERAGEIF(CA37:CE37,"&gt;0")*100,0)</f>
        <v>1.9895984921484997</v>
      </c>
      <c r="BZ37" s="52">
        <f>[1]!b_stm07_is(A37,20,$A$1,1,100000000)</f>
        <v>23.361984245999999</v>
      </c>
      <c r="CA37" s="52">
        <f>[1]!s_stmnote_bank_38(A37,$A$1,1,100000000)</f>
        <v>1217.3442322111</v>
      </c>
      <c r="CB37" s="52">
        <f>[1]!s_stmnote_bank_38(A37,$B$1,1,100000000)</f>
        <v>1098.1883153662</v>
      </c>
      <c r="CC37" s="52">
        <f>[1]!s_stmnote_bank_38(A37,$E$1,1,100000000)</f>
        <v>1209.1556303121999</v>
      </c>
      <c r="CD37" s="52">
        <f>[1]!s_stmnote_bank_38(A37,$F$1,1,100000000)</f>
        <v>1194.2595777700001</v>
      </c>
      <c r="CE37" s="52">
        <f>[1]!s_stmnote_bank_38(A37,$G$1,1,100000000)</f>
        <v>1152.0820873447001</v>
      </c>
      <c r="CF37" s="52">
        <f>IF(BP37&lt;&gt;0,BP37,IFERROR(IF(([1]!b_stm07_is(A37,19,$A$1,1,100000000)-[1]!b_stm07_is(A37,20,$A$1,1,100000000))/AVERAGE([1]!s_stmnote_bank_35(A37,$A$1,1,100000000),[1]!s_stmnote_bank_35(A37,$B$1,1,100000000))*100=0,"",([1]!b_stm07_is(A37,19,$A$1,1,100000000)-[1]!b_stm07_is(A37,20,$A$1,1,100000000))/AVERAGE([1]!s_stmnote_bank_35(A37,$A$1,1,100000000),[1]!s_stmnote_bank_35(A37,$B$1,1,100000000))*100),""))</f>
        <v>2.4</v>
      </c>
      <c r="CG37" s="27" t="str">
        <f t="shared" si="6"/>
        <v>35 171</v>
      </c>
      <c r="CH37" s="80">
        <f t="shared" si="14"/>
        <v>1.5292230116892047</v>
      </c>
      <c r="CI37" s="27" t="str">
        <f t="shared" si="7"/>
        <v>24 169</v>
      </c>
      <c r="CJ37" s="55">
        <f>[1]!s_stmnote_bank_30(A37,$A$1,1)</f>
        <v>28.716100000000001</v>
      </c>
      <c r="CK37" s="46"/>
      <c r="CL37" s="46"/>
      <c r="CM37" s="46"/>
      <c r="CN37" s="46"/>
      <c r="CO37" s="46"/>
      <c r="CP37" s="69">
        <f>[1]!b_stm07_bs($A37,141,$A$1,1,100000000)</f>
        <v>116.77773728690001</v>
      </c>
      <c r="CQ37" s="69">
        <f>[1]!b_stm07_bs($A37,141,$D$1,1,100000000)</f>
        <v>124.09963752420001</v>
      </c>
      <c r="CR37" s="68">
        <f>IF([1]!s_fa_roic_yearly($A37,$A$1)=0,"",[1]!s_fa_roic_yearly($A37,$A$1))</f>
        <v>12.1739</v>
      </c>
      <c r="CS37" s="27">
        <f t="shared" si="19"/>
        <v>0.16568047337278108</v>
      </c>
      <c r="CT37" s="68">
        <f>IF([1]!s_fa_roic_yearly($A37,$D$1)=0,"",[1]!s_fa_roic_yearly($A37,$D$1))</f>
        <v>14.666399999999999</v>
      </c>
      <c r="CU37" s="27">
        <f t="shared" si="20"/>
        <v>9.8591549295774641E-2</v>
      </c>
      <c r="CV37" s="78">
        <f>[1]!s_stm07_bs(A37,"W14578191",$A$1,1,100000000)</f>
        <v>755.61777336609998</v>
      </c>
      <c r="CW37" s="78">
        <f>[1]!s_stmnote_bank_682($A37,$A$1,1,2,100000000)</f>
        <v>377.10801144019996</v>
      </c>
      <c r="CX37" s="79">
        <f t="shared" si="11"/>
        <v>0.49907244738338036</v>
      </c>
    </row>
    <row r="38" spans="1:102" ht="13.5">
      <c r="A38" s="8" t="s">
        <v>422</v>
      </c>
      <c r="B38" s="8" t="s">
        <v>423</v>
      </c>
      <c r="C38" s="9" t="s">
        <v>424</v>
      </c>
      <c r="D38" s="9" t="s">
        <v>1061</v>
      </c>
      <c r="E38" s="10"/>
      <c r="F38" s="11" t="s">
        <v>66</v>
      </c>
      <c r="G38" s="11" t="s">
        <v>67</v>
      </c>
      <c r="H38" s="11" t="s">
        <v>116</v>
      </c>
      <c r="I38" s="11"/>
      <c r="J38" s="11" t="e">
        <f>VLOOKUP(B38,[3]额度信息!$B:$T,19,0)</f>
        <v>#N/A</v>
      </c>
      <c r="K38" s="11"/>
      <c r="L38" s="27">
        <f>IFERROR(([1]!b_stm07_bs($A38,47,$A$1,1,100000000))/[1]!b_stm07_bs($A38,109,$A$1,1,100000000),"")</f>
        <v>8.8361041235576809E-2</v>
      </c>
      <c r="M38" s="20"/>
      <c r="N38" s="18"/>
      <c r="O38" s="27" t="e">
        <f t="shared" si="0"/>
        <v>#N/A</v>
      </c>
      <c r="P38" s="21">
        <f t="shared" si="12"/>
        <v>1.67E-2</v>
      </c>
      <c r="Q38" s="27" t="str">
        <f t="shared" si="1"/>
        <v>29 169</v>
      </c>
      <c r="R38" s="18">
        <f>IFERROR([1]!s_stmnote_bank($A38,"34",$A$1,100000000)/[1]!s_stmnote_bank_1n(A38,$A$1,1,100000000),"")</f>
        <v>0</v>
      </c>
      <c r="S38" s="22"/>
      <c r="T38" s="22"/>
      <c r="U38" s="22"/>
      <c r="V38" s="22"/>
      <c r="W38" s="22"/>
      <c r="X38" s="22"/>
      <c r="Y38" s="22"/>
      <c r="Z38" s="25">
        <f>[1]!b_stm07_bs(A38,74,$A$1,1,100000000)</f>
        <v>1814.20663509</v>
      </c>
      <c r="AA38" s="25">
        <f>[1]!b_stm07_bs(A38,109,$A$1,1,100000000)</f>
        <v>1169.2395613702001</v>
      </c>
      <c r="AB38" s="10">
        <f>[1]!s_stmnote_bank_5n(A38,$A$1,1)</f>
        <v>1.67</v>
      </c>
      <c r="AC38" s="25">
        <f>IF([1]!s_stmnote_bank_23n(A38,$A$1,1)=0,"",IFERROR([1]!s_stmnote_bank_23n(A38,$A$1,1),""))</f>
        <v>196.74</v>
      </c>
      <c r="AD38" s="27" t="str">
        <f t="shared" si="2"/>
        <v>63 167</v>
      </c>
      <c r="AE38" s="25">
        <f>[1]!s_stmnote_bank_capadequacyratio(A38,$A$1,1)</f>
        <v>19.12</v>
      </c>
      <c r="AF38" s="25">
        <f>IF([1]!s_stmnote_bank_capadequacyratio_ct1(A38,$A$1,1)=0,"",IFERROR([1]!s_stmnote_bank_capadequacyratio_ct1(A38,$A$1,1),""))</f>
        <v>16.920000000000002</v>
      </c>
      <c r="AG38" s="27" t="str">
        <f t="shared" si="18"/>
        <v>163 167</v>
      </c>
      <c r="AH38" s="6">
        <f>IF(OR([1]!s_fa_roe(A38,20201231)=0,[1]!s_fa_roe(A38,20211231)="0",[1]!s_fa_roe(A38,20221231)="0"),"",IFERROR(([1]!s_fa_roe(A38,20221231)+[1]!s_fa_roe(A38,20201231)+[1]!s_fa_roe(A38,20211231))/3,""))</f>
        <v>6.5963999999999992</v>
      </c>
      <c r="AI38" s="27" t="str">
        <f t="shared" si="3"/>
        <v>62 173</v>
      </c>
      <c r="AJ38" s="28">
        <f>IFERROR(([1]!s_stmnote_bank_65(A38,$A$1,1,2,4,100000000)+[1]!s_stmnote_bank_65(A38,$A$1,1,2,6,100000000))/[1]!s_stmnote_bank_1n(A38,$A$1,1,100000000),"")</f>
        <v>8.360369622625112E-2</v>
      </c>
      <c r="AK38" s="28">
        <f>IFERROR([1]!s_stmnote_bank_614(A38,$A$1,1,2,100000000)/[1]!s_stmnote_bank_647(A38,$A$1,1,2,100000000),"")</f>
        <v>0.29243740974185151</v>
      </c>
      <c r="AL38" s="28">
        <f>IFERROR(([1]!b_stm07_bs(A38,104,$A$1,1,100000000)+[1]!b_stm07_bs(A38,106,$A$1,1,100000000)+[1]!b_stm07_bs(A38,76,$A$1,1,100000000)+[1]!b_stm07_bs(A38,108,$A$1,1,100000000)+[1]!b_stm07_bs(A38,95,$A$1,1,100000000))/[1]!b_stm07_bs(A38,128,$A$1,1,100000000),"")</f>
        <v>0.27864026041453588</v>
      </c>
      <c r="AM38" s="28">
        <f>IFERROR(([1]!s_stmnote_bank_614(A38,$A$1,1,2,100000000)+[1]!b_stm07_bs(A38,104,$A$1,1,100000000)+[1]!b_stm07_bs(A38,106,$A$1,1,100000000)+[1]!b_stm07_bs(A38,76,$A$1,1,100000000)+[1]!b_stm07_bs(A38,108,$A$1,1,100000000)+[1]!b_stm07_bs(A38,95,$A$1,1,100000000))/[1]!b_stm07_bs(A38,128,$A$1,1,100000000),"")</f>
        <v>0.48482101551307749</v>
      </c>
      <c r="AN38" s="31" t="e">
        <f>IF(Z38&gt;#REF!,#REF!,IF(Z38&gt;#REF!,#REF!,IF(Z38&gt;#REF!,#REF!,IF(Z38&gt;#REF!,#REF!,IF(Z38&gt;#REF!,#REF!,IF(Z38&gt;#REF!,#REF!,IF(Z38&gt;#REF!,#REF!,#REF!)))))))</f>
        <v>#REF!</v>
      </c>
      <c r="AO38" s="31" t="e">
        <f>IF(AA38&gt;#REF!,#REF!,IF(AA38&gt;#REF!,#REF!,IF(AA38&gt;#REF!,#REF!,IF(AA38&gt;#REF!,#REF!,IF(AA38&gt;#REF!,#REF!,IF(AA38&gt;#REF!,#REF!,IF(AA38&gt;#REF!,#REF!,#REF!)))))))</f>
        <v>#REF!</v>
      </c>
      <c r="AP38" s="31" t="e">
        <f>IF(AB38&lt;#REF!,#REF!,IF(AB38&lt;#REF!,#REF!,IF(AB38&lt;#REF!,#REF!,IF(AB38&lt;#REF!,#REF!,IF(AB38&lt;#REF!,#REF!,IF(AB38&lt;#REF!,#REF!,#REF!))))))</f>
        <v>#REF!</v>
      </c>
      <c r="AQ38" s="31" t="e">
        <f>IF(AC38&gt;#REF!,#REF!,IF(AC38&gt;#REF!,#REF!,IF(AC38&gt;#REF!,#REF!,IF(AC38&gt;#REF!,#REF!,#REF!))))</f>
        <v>#REF!</v>
      </c>
      <c r="AR38" s="31" t="e">
        <f>IF(AE38&gt;#REF!,#REF!,IF(AE38&gt;#REF!,#REF!,IF(AE38&gt;#REF!,#REF!,IF(AE38&gt;#REF!,#REF!,#REF!))))</f>
        <v>#REF!</v>
      </c>
      <c r="AS38" s="31" t="e">
        <f>IF(AF38&gt;#REF!,#REF!,IF(AF38&gt;#REF!,#REF!,IF(AF38&gt;#REF!,#REF!,IF(AF38&gt;#REF!,#REF!,#REF!))))</f>
        <v>#REF!</v>
      </c>
      <c r="AT38" s="31" t="e">
        <f>IF(AH38&gt;#REF!,#REF!,IF(AH38&gt;#REF!,#REF!,IF(AH38&gt;#REF!,#REF!,IF(AH38&gt;#REF!,#REF!,IF(AH38&gt;#REF!,#REF!,#REF!)))))</f>
        <v>#REF!</v>
      </c>
      <c r="AU38" s="10" t="e">
        <f t="shared" si="4"/>
        <v>#REF!</v>
      </c>
      <c r="AV38" s="10"/>
      <c r="AW38" s="10"/>
      <c r="AX38" s="10"/>
      <c r="AY38" s="31" t="str">
        <f>IFERROR(VLOOKUP(AV38,#REF!,3,0),"")</f>
        <v/>
      </c>
      <c r="AZ38" s="31" t="str">
        <f>IFERROR(VLOOKUP(AW38,#REF!,3,0),"")</f>
        <v/>
      </c>
      <c r="BA38" s="31" t="str">
        <f>IFERROR(VLOOKUP(AX38,#REF!,3,0),"")</f>
        <v/>
      </c>
      <c r="BB38" s="31" t="str">
        <f>IFERROR(AY38*#REF!+AZ38*#REF!+BA38*#REF!,"")</f>
        <v/>
      </c>
      <c r="BC38" s="32" t="str">
        <f t="shared" si="5"/>
        <v/>
      </c>
      <c r="BD38" s="32" t="str">
        <f>IFERROR(VLOOKUP(BC38*10,#REF!,2,1),"")</f>
        <v/>
      </c>
      <c r="BE38" s="10"/>
      <c r="BF38" s="10"/>
      <c r="BG38" s="10"/>
      <c r="BH38" s="11" t="s">
        <v>425</v>
      </c>
      <c r="BI38" s="10">
        <v>19.600000381469702</v>
      </c>
      <c r="BJ38" s="33" t="s">
        <v>426</v>
      </c>
      <c r="BK38" s="33" t="s">
        <v>427</v>
      </c>
      <c r="BL38" s="10">
        <f>IF([1]!s_stmnote_bank_17n(A38,$A$1,1)="0","",[1]!s_stmnote_bank_17n(A38,$A$1,1))</f>
        <v>3.82</v>
      </c>
      <c r="BM38" s="10">
        <f>IF([1]!s_stmnote_bank_18n(A38,$A$1,1)="0","",[1]!s_stmnote_bank_18n(A38,$A$1,1))</f>
        <v>32.78</v>
      </c>
      <c r="BN38" s="41" t="s">
        <v>67</v>
      </c>
      <c r="BO38" s="42" t="s">
        <v>67</v>
      </c>
      <c r="BP38" s="52">
        <f>[1]!s_stmnote_bank_5444(A38,$A$1,1)</f>
        <v>1.66</v>
      </c>
      <c r="BQ38" s="52">
        <f>[1]!s_stmnote_bank_129n($A38,$A$1,1)</f>
        <v>35.729999999999997</v>
      </c>
      <c r="BR38" s="52">
        <f t="shared" si="13"/>
        <v>4.0396253857120037</v>
      </c>
      <c r="BS38" s="52">
        <f>[1]!b_stm07_is(A38,19,$A$1,1,100000000)</f>
        <v>69.401480757499996</v>
      </c>
      <c r="BT38" s="52">
        <f xml:space="preserve"> [1]!s_stm07_bs(A38,"W15273164",$A$1,1,100000000)-[1]!s_stm07_bs(A38,"W17642530",$A$1,1,100000000)-[1]!s_stm07_bs(A38,"W15910877",$A$1,1,100000000)-[1]!s_stm07_bs_39(A38,$A$1,1,100000000)-[1]!s_stm07_bs(A38,"W17700468",$A$1,1,100000000)-[1]!s_stm07_bs(A38,"W16504296",$A$1,1,100000000)-[1]!s_stm07_bs(A38,"W13769069",$A$1,1,100000000)</f>
        <v>1788.6640421102998</v>
      </c>
      <c r="BU38" s="52">
        <f xml:space="preserve"> [1]!s_stm07_bs(A38,"W15273164",$B$1,1,100000000)-[1]!s_stm07_bs(A38,"W17642530",$B$1,1,100000000)-[1]!s_stm07_bs(A38,"W15910877",$B$1,1,100000000)-[1]!s_stm07_bs_39(A38,$B$1,1,100000000)-[1]!s_stm07_bs(A38,"W17700468",$B$1,1,100000000)-[1]!s_stm07_bs(A38,"W16504296",$B$1,1,100000000)-[1]!s_stm07_bs(A38,"W13769069",$B$1,1,100000000)</f>
        <v>1694.1634405575996</v>
      </c>
      <c r="BV38" s="52">
        <f xml:space="preserve"> [1]!s_stm07_bs(A38,"W15273164",$E$1,1,100000000)-[1]!s_stm07_bs(A38,"W17642530",$E$1,1,100000000)-[1]!s_stm07_bs(A38,"W15910877",$E$1,1,100000000)-[1]!s_stm07_bs_39(A38,$E$1,1,100000000)-[1]!s_stm07_bs(A38,"W17700468",$E$1,1,100000000)-[1]!s_stm07_bs(A38,"W16504296",$E$1,1,100000000)-[1]!s_stm07_bs(A38,"W13769069",$E$1,1,100000000)</f>
        <v>1787.4047954027999</v>
      </c>
      <c r="BW38" s="52">
        <f xml:space="preserve"> [1]!s_stm07_bs(A38,"W15273164",$F$1,1,100000000)-[1]!s_stm07_bs(A38,"W17642530",$F$1,1,100000000)-[1]!s_stm07_bs(A38,"W15910877",$F$1,1,100000000)-[1]!s_stm07_bs_39(A38,$F$1,1,100000000)-[1]!s_stm07_bs(A38,"W17700468",$F$1,1,100000000)-[1]!s_stm07_bs(A38,"W16504296",$F$1,1,100000000)-[1]!s_stm07_bs(A38,"W13769069",$F$1,1,100000000)</f>
        <v>1781.0400274658</v>
      </c>
      <c r="BX38" s="52">
        <f xml:space="preserve"> [1]!s_stm07_bs(A38,"W15273164",$G$1,1,100000000)-[1]!s_stm07_bs(A38,"W17642530",$G$1,1,100000000)-[1]!s_stm07_bs(A38,"W15910877",$G$1,1,100000000)-[1]!s_stm07_bs_39(A38,$G$1,1,100000000)-[1]!s_stm07_bs(A38,"W17700468",$G$1,1,100000000)-[1]!s_stm07_bs(A38,"W16504296",$G$1,1,100000000)-[1]!s_stm07_bs(A38,"W13769069",$G$1,1,100000000)</f>
        <v>1715.2536983437999</v>
      </c>
      <c r="BY38" s="52">
        <f>IFERROR([1]!b_stm07_is(A38,20,$A$1,1,100000000)/AVERAGEIF(CA38:CE38,"&gt;0")*100,0)</f>
        <v>2.5786728615960977</v>
      </c>
      <c r="BZ38" s="52">
        <f>[1]!b_stm07_is(A38,20,$A$1,1,100000000)</f>
        <v>41.384502986299999</v>
      </c>
      <c r="CA38" s="52">
        <f>[1]!s_stmnote_bank_38(A38,$A$1,1,100000000)</f>
        <v>1644.4204741204999</v>
      </c>
      <c r="CB38" s="52">
        <f>[1]!s_stmnote_bank_38(A38,$B$1,1,100000000)</f>
        <v>1522.8679485929999</v>
      </c>
      <c r="CC38" s="52">
        <f>[1]!s_stmnote_bank_38(A38,$E$1,1,100000000)</f>
        <v>1644.1164868720998</v>
      </c>
      <c r="CD38" s="52">
        <f>[1]!s_stmnote_bank_38(A38,$F$1,1,100000000)</f>
        <v>1641.2485367507002</v>
      </c>
      <c r="CE38" s="52">
        <f>[1]!s_stmnote_bank_38(A38,$G$1,1,100000000)</f>
        <v>1571.7267692845001</v>
      </c>
      <c r="CF38" s="52">
        <f>IF(BP38&lt;&gt;0,BP38,IFERROR(IF(([1]!b_stm07_is(A38,19,$A$1,1,100000000)-[1]!b_stm07_is(A38,20,$A$1,1,100000000))/AVERAGE([1]!s_stmnote_bank_35(A38,$A$1,1,100000000),[1]!s_stmnote_bank_35(A38,$B$1,1,100000000))*100=0,"",([1]!b_stm07_is(A38,19,$A$1,1,100000000)-[1]!b_stm07_is(A38,20,$A$1,1,100000000))/AVERAGE([1]!s_stmnote_bank_35(A38,$A$1,1,100000000),[1]!s_stmnote_bank_35(A38,$B$1,1,100000000))*100),""))</f>
        <v>1.66</v>
      </c>
      <c r="CG38" s="27" t="str">
        <f t="shared" si="6"/>
        <v>142 171</v>
      </c>
      <c r="CH38" s="80">
        <f t="shared" si="14"/>
        <v>0.99401197604790426</v>
      </c>
      <c r="CI38" s="27" t="str">
        <f t="shared" si="7"/>
        <v>42 169</v>
      </c>
      <c r="CJ38" s="55">
        <f>[1]!s_stmnote_bank_30(A38,$A$1,1)</f>
        <v>16.163599999999999</v>
      </c>
      <c r="CK38" s="46"/>
      <c r="CL38" s="46"/>
      <c r="CM38" s="46"/>
      <c r="CN38" s="46"/>
      <c r="CO38" s="46"/>
      <c r="CP38" s="69">
        <f>[1]!b_stm07_bs($A38,141,$A$1,1,100000000)</f>
        <v>155.8103966468</v>
      </c>
      <c r="CQ38" s="69">
        <f>[1]!b_stm07_bs($A38,141,$D$1,1,100000000)</f>
        <v>159.09856004759999</v>
      </c>
      <c r="CR38" s="68">
        <f>IF([1]!s_fa_roic_yearly($A38,$A$1)=0,"",[1]!s_fa_roic_yearly($A38,$A$1))</f>
        <v>6.2580999999999998</v>
      </c>
      <c r="CS38" s="27">
        <f t="shared" si="19"/>
        <v>0.70414201183431957</v>
      </c>
      <c r="CT38" s="68">
        <f>IF([1]!s_fa_roic_yearly($A38,$D$1)=0,"",[1]!s_fa_roic_yearly($A38,$D$1))</f>
        <v>8.8306000000000004</v>
      </c>
      <c r="CU38" s="27">
        <f t="shared" si="20"/>
        <v>0.59859154929577463</v>
      </c>
      <c r="CV38" s="78">
        <f>[1]!s_stm07_bs(A38,"W14578191",$A$1,1,100000000)</f>
        <v>942.16097753289989</v>
      </c>
      <c r="CW38" s="78">
        <f>[1]!s_stmnote_bank_682($A38,$A$1,1,2,100000000)</f>
        <v>246.4199412227</v>
      </c>
      <c r="CX38" s="79">
        <f t="shared" si="11"/>
        <v>0.26154759865767752</v>
      </c>
    </row>
    <row r="39" spans="1:102" ht="13.5">
      <c r="A39" s="8" t="s">
        <v>724</v>
      </c>
      <c r="B39" s="8" t="s">
        <v>725</v>
      </c>
      <c r="C39" s="16" t="s">
        <v>726</v>
      </c>
      <c r="D39" s="9" t="s">
        <v>1064</v>
      </c>
      <c r="E39" s="10" t="s">
        <v>456</v>
      </c>
      <c r="F39" s="11" t="s">
        <v>178</v>
      </c>
      <c r="G39" s="11" t="s">
        <v>580</v>
      </c>
      <c r="H39" s="11" t="s">
        <v>66</v>
      </c>
      <c r="I39" s="11"/>
      <c r="J39" s="11">
        <f>VLOOKUP(B39,[3]额度信息!$B:$T,19,0)</f>
        <v>67.271000000000001</v>
      </c>
      <c r="K39" s="11" t="s">
        <v>727</v>
      </c>
      <c r="L39" s="27">
        <f>IFERROR(([1]!b_stm07_bs($A39,47,$A$1,1,100000000))/[1]!b_stm07_bs($A39,109,$A$1,1,100000000),"")</f>
        <v>9.4317422139220106E-2</v>
      </c>
      <c r="M39" s="20">
        <v>651.52</v>
      </c>
      <c r="N39" s="18">
        <f>IFERROR(([1]!s_stmnote_bank_26($A39,$A$1,1,100000000)-[1]!s_stmnote_bank_26($A39,$B$1,1,100000000)+M39)/[1]!s_stmnote_bank_1n($A39,$B$1,1,100000000),"")</f>
        <v>1.4009787883606715E-2</v>
      </c>
      <c r="O39" s="27" t="str">
        <f t="shared" si="0"/>
        <v>34 50</v>
      </c>
      <c r="P39" s="21">
        <f t="shared" si="12"/>
        <v>3.8023568693372395E-2</v>
      </c>
      <c r="Q39" s="27" t="str">
        <f t="shared" si="1"/>
        <v>107 169</v>
      </c>
      <c r="R39" s="18">
        <v>2.1923568693372399E-2</v>
      </c>
      <c r="S39" s="22">
        <v>2.3389289038909401E-2</v>
      </c>
      <c r="T39" s="22">
        <v>6.2887422148273E-3</v>
      </c>
      <c r="U39" s="22">
        <v>1.40729364106614E-2</v>
      </c>
      <c r="V39" s="22"/>
      <c r="W39" s="22">
        <v>1.37227578720568E-2</v>
      </c>
      <c r="X39" s="22">
        <v>2.1182854144239201E-2</v>
      </c>
      <c r="Y39" s="22">
        <v>0.35398655139289098</v>
      </c>
      <c r="Z39" s="25">
        <f>[1]!b_stm07_bs(A39,74,$A$1,1,100000000)</f>
        <v>81367.570000000007</v>
      </c>
      <c r="AA39" s="25">
        <f>[1]!b_stm07_bs(A39,109,$A$1,1,100000000)</f>
        <v>44636.08</v>
      </c>
      <c r="AB39" s="10">
        <f>[1]!s_stmnote_bank_5n(A39,$A$1,1)</f>
        <v>1.61</v>
      </c>
      <c r="AC39" s="25">
        <f>IF([1]!s_stmnote_bank_23n(A39,$A$1,1)=0,"",IFERROR([1]!s_stmnote_bank_23n(A39,$A$1,1),""))</f>
        <v>143.96</v>
      </c>
      <c r="AD39" s="27" t="str">
        <f t="shared" si="2"/>
        <v>13 167</v>
      </c>
      <c r="AE39" s="25">
        <f>[1]!s_stmnote_bank_capadequacyratio(A39,$A$1,1)</f>
        <v>14.01</v>
      </c>
      <c r="AF39" s="25">
        <f>IF([1]!s_stmnote_bank_capadequacyratio_ct1(A39,$A$1,1)=0,"",IFERROR([1]!s_stmnote_bank_capadequacyratio_ct1(A39,$A$1,1),""))</f>
        <v>9.4</v>
      </c>
      <c r="AG39" s="27" t="str">
        <f>RANK(AF39,AF$5:AF$192,0)&amp;" "&amp;COUNTIF(AF$5:AF$192,"&gt;0")</f>
        <v>110 167</v>
      </c>
      <c r="AH39" s="6">
        <f>IF(OR([1]!s_fa_roe(A39,20201231)=0,[1]!s_fa_roe(A39,20211231)="0",[1]!s_fa_roe(A39,20221231)="0"),"",IFERROR(([1]!s_fa_roe(A39,20221231)+[1]!s_fa_roe(A39,20201231)+[1]!s_fa_roe(A39,20211231))/3,""))</f>
        <v>8.4568666666666683</v>
      </c>
      <c r="AI39" s="27" t="str">
        <f t="shared" si="3"/>
        <v>84 173</v>
      </c>
      <c r="AJ39" s="28">
        <f>IFERROR(([1]!s_stmnote_bank_65(A39,$A$1,1,2,4,100000000)+[1]!s_stmnote_bank_65(A39,$A$1,1,2,6,100000000))/[1]!s_stmnote_bank_1n(A39,$A$1,1,100000000),"")</f>
        <v>0.10377263875772037</v>
      </c>
      <c r="AK39" s="28">
        <f>IFERROR([1]!s_stmnote_bank_614(A39,$A$1,1,2,100000000)/[1]!s_stmnote_bank_647(A39,$A$1,1,2,100000000),"")</f>
        <v>0.39640853988684227</v>
      </c>
      <c r="AL39" s="28">
        <f>IFERROR(([1]!b_stm07_bs(A39,104,$A$1,1,100000000)+[1]!b_stm07_bs(A39,106,$A$1,1,100000000)+[1]!b_stm07_bs(A39,76,$A$1,1,100000000)+[1]!b_stm07_bs(A39,108,$A$1,1,100000000)+[1]!b_stm07_bs(A39,95,$A$1,1,100000000))/[1]!b_stm07_bs(A39,128,$A$1,1,100000000),"")</f>
        <v>0.35253485970911996</v>
      </c>
      <c r="AM39" s="28">
        <f>IFERROR(([1]!s_stmnote_bank_614(A39,$A$1,1,2,100000000)+[1]!b_stm07_bs(A39,104,$A$1,1,100000000)+[1]!b_stm07_bs(A39,106,$A$1,1,100000000)+[1]!b_stm07_bs(A39,76,$A$1,1,100000000)+[1]!b_stm07_bs(A39,108,$A$1,1,100000000)+[1]!b_stm07_bs(A39,95,$A$1,1,100000000))/[1]!b_stm07_bs(A39,128,$A$1,1,100000000),"")</f>
        <v>0.5865497250869105</v>
      </c>
      <c r="AN39" s="31" t="e">
        <f>IF(Z39&gt;#REF!,#REF!,IF(Z39&gt;#REF!,#REF!,IF(Z39&gt;#REF!,#REF!,IF(Z39&gt;#REF!,#REF!,IF(Z39&gt;#REF!,#REF!,IF(Z39&gt;#REF!,#REF!,IF(Z39&gt;#REF!,#REF!,#REF!)))))))</f>
        <v>#REF!</v>
      </c>
      <c r="AO39" s="31" t="e">
        <f>IF(AA39&gt;#REF!,#REF!,IF(AA39&gt;#REF!,#REF!,IF(AA39&gt;#REF!,#REF!,IF(AA39&gt;#REF!,#REF!,IF(AA39&gt;#REF!,#REF!,IF(AA39&gt;#REF!,#REF!,IF(AA39&gt;#REF!,#REF!,#REF!)))))))</f>
        <v>#REF!</v>
      </c>
      <c r="AP39" s="31" t="e">
        <f>IF(AB39&lt;#REF!,#REF!,IF(AB39&lt;#REF!,#REF!,IF(AB39&lt;#REF!,#REF!,IF(AB39&lt;#REF!,#REF!,IF(AB39&lt;#REF!,#REF!,IF(AB39&lt;#REF!,#REF!,#REF!))))))</f>
        <v>#REF!</v>
      </c>
      <c r="AQ39" s="31" t="e">
        <f>IF(AC39&gt;#REF!,#REF!,IF(AC39&gt;#REF!,#REF!,IF(AC39&gt;#REF!,#REF!,IF(AC39&gt;#REF!,#REF!,#REF!))))</f>
        <v>#REF!</v>
      </c>
      <c r="AR39" s="31" t="e">
        <f>IF(AE39&gt;#REF!,#REF!,IF(AE39&gt;#REF!,#REF!,IF(AE39&gt;#REF!,#REF!,IF(AE39&gt;#REF!,#REF!,#REF!))))</f>
        <v>#REF!</v>
      </c>
      <c r="AS39" s="31" t="e">
        <f>IF(AF39&gt;#REF!,#REF!,IF(AF39&gt;#REF!,#REF!,IF(AF39&gt;#REF!,#REF!,IF(AF39&gt;#REF!,#REF!,#REF!))))</f>
        <v>#REF!</v>
      </c>
      <c r="AT39" s="31" t="e">
        <f>IF(AH39&gt;#REF!,#REF!,IF(AH39&gt;#REF!,#REF!,IF(AH39&gt;#REF!,#REF!,IF(AH39&gt;#REF!,#REF!,IF(AH39&gt;#REF!,#REF!,#REF!)))))</f>
        <v>#REF!</v>
      </c>
      <c r="AU39" s="10" t="e">
        <f t="shared" si="4"/>
        <v>#REF!</v>
      </c>
      <c r="AV39" s="10" t="s">
        <v>395</v>
      </c>
      <c r="AW39" s="10" t="s">
        <v>141</v>
      </c>
      <c r="AX39" s="10" t="s">
        <v>141</v>
      </c>
      <c r="AY39" s="31" t="str">
        <f>IFERROR(VLOOKUP(AV39,#REF!,3,0),"")</f>
        <v/>
      </c>
      <c r="AZ39" s="31" t="str">
        <f>IFERROR(VLOOKUP(AW39,#REF!,3,0),"")</f>
        <v/>
      </c>
      <c r="BA39" s="31" t="str">
        <f>IFERROR(VLOOKUP(AX39,#REF!,3,0),"")</f>
        <v/>
      </c>
      <c r="BB39" s="31" t="str">
        <f>IFERROR(AY39*#REF!+AZ39*#REF!+BA39*#REF!,"")</f>
        <v/>
      </c>
      <c r="BC39" s="32" t="str">
        <f t="shared" si="5"/>
        <v/>
      </c>
      <c r="BD39" s="32" t="str">
        <f>IFERROR(VLOOKUP(BC39*10,#REF!,2,1),"")</f>
        <v/>
      </c>
      <c r="BE39" s="11">
        <v>2</v>
      </c>
      <c r="BF39" s="11">
        <v>0</v>
      </c>
      <c r="BG39" s="10" t="s">
        <v>532</v>
      </c>
      <c r="BH39" s="11" t="s">
        <v>728</v>
      </c>
      <c r="BI39" s="10">
        <v>21.569999694824201</v>
      </c>
      <c r="BJ39" s="33" t="s">
        <v>71</v>
      </c>
      <c r="BK39" s="33" t="s">
        <v>72</v>
      </c>
      <c r="BL39" s="10">
        <f>IF([1]!s_stmnote_bank_17n(A39,$A$1,1)="0","",[1]!s_stmnote_bank_17n(A39,$A$1,1))</f>
        <v>0</v>
      </c>
      <c r="BM39" s="10">
        <f>IF([1]!s_stmnote_bank_18n(A39,$A$1,1)="0","",[1]!s_stmnote_bank_18n(A39,$A$1,1))</f>
        <v>0</v>
      </c>
      <c r="BN39" s="41">
        <v>3.96</v>
      </c>
      <c r="BO39" s="52">
        <v>2.2400000000000002</v>
      </c>
      <c r="BP39" s="52">
        <f>[1]!s_stmnote_bank_5444(A39,$A$1,1)</f>
        <v>1.83</v>
      </c>
      <c r="BQ39" s="52">
        <f>[1]!s_stmnote_bank_129n($A39,$A$1,1)</f>
        <v>26.17</v>
      </c>
      <c r="BR39" s="52">
        <f t="shared" si="13"/>
        <v>3.8573521805014983</v>
      </c>
      <c r="BS39" s="52">
        <f>[1]!b_stm07_is(A39,19,$A$1,1,100000000)</f>
        <v>3006.93</v>
      </c>
      <c r="BT39" s="52">
        <f xml:space="preserve"> [1]!s_stm07_bs(A39,"W15273164",$A$1,1,100000000)-[1]!s_stm07_bs(A39,"W17642530",$A$1,1,100000000)-[1]!s_stm07_bs(A39,"W15910877",$A$1,1,100000000)-[1]!s_stm07_bs_39(A39,$A$1,1,100000000)-[1]!s_stm07_bs(A39,"W17700468",$A$1,1,100000000)-[1]!s_stm07_bs(A39,"W16504296",$A$1,1,100000000)-[1]!s_stm07_bs(A39,"W13769069",$A$1,1,100000000)</f>
        <v>79230.740000000005</v>
      </c>
      <c r="BU39" s="52">
        <f xml:space="preserve"> [1]!s_stm07_bs(A39,"W15273164",$B$1,1,100000000)-[1]!s_stm07_bs(A39,"W17642530",$B$1,1,100000000)-[1]!s_stm07_bs(A39,"W15910877",$B$1,1,100000000)-[1]!s_stm07_bs_39(A39,$B$1,1,100000000)-[1]!s_stm07_bs(A39,"W17700468",$B$1,1,100000000)-[1]!s_stm07_bs(A39,"W16504296",$B$1,1,100000000)-[1]!s_stm07_bs(A39,"W13769069",$B$1,1,100000000)</f>
        <v>77552.75</v>
      </c>
      <c r="BV39" s="52">
        <f xml:space="preserve"> [1]!s_stm07_bs(A39,"W15273164",$E$1,1,100000000)-[1]!s_stm07_bs(A39,"W17642530",$E$1,1,100000000)-[1]!s_stm07_bs(A39,"W15910877",$E$1,1,100000000)-[1]!s_stm07_bs_39(A39,$E$1,1,100000000)-[1]!s_stm07_bs(A39,"W17700468",$E$1,1,100000000)-[1]!s_stm07_bs(A39,"W16504296",$E$1,1,100000000)-[1]!s_stm07_bs(A39,"W13769069",$E$1,1,100000000)</f>
        <v>78277.570000000007</v>
      </c>
      <c r="BW39" s="52">
        <f xml:space="preserve"> [1]!s_stm07_bs(A39,"W15273164",$F$1,1,100000000)-[1]!s_stm07_bs(A39,"W17642530",$F$1,1,100000000)-[1]!s_stm07_bs(A39,"W15910877",$F$1,1,100000000)-[1]!s_stm07_bs_39(A39,$F$1,1,100000000)-[1]!s_stm07_bs(A39,"W17700468",$F$1,1,100000000)-[1]!s_stm07_bs(A39,"W16504296",$F$1,1,100000000)-[1]!s_stm07_bs(A39,"W13769069",$F$1,1,100000000)</f>
        <v>78985.39</v>
      </c>
      <c r="BX39" s="52">
        <f xml:space="preserve"> [1]!s_stm07_bs(A39,"W15273164",$G$1,1,100000000)-[1]!s_stm07_bs(A39,"W17642530",$G$1,1,100000000)-[1]!s_stm07_bs(A39,"W15910877",$G$1,1,100000000)-[1]!s_stm07_bs_39(A39,$G$1,1,100000000)-[1]!s_stm07_bs(A39,"W17700468",$G$1,1,100000000)-[1]!s_stm07_bs(A39,"W16504296",$G$1,1,100000000)-[1]!s_stm07_bs(A39,"W13769069",$G$1,1,100000000)</f>
        <v>78615.949999999983</v>
      </c>
      <c r="BY39" s="52">
        <f>IFERROR([1]!b_stm07_is(A39,20,$A$1,1,100000000)/AVERAGEIF(CA39:CE39,"&gt;0")*100,0)</f>
        <v>2.2676528865520518</v>
      </c>
      <c r="BZ39" s="52">
        <f>[1]!b_stm07_is(A39,20,$A$1,1,100000000)</f>
        <v>1647.35</v>
      </c>
      <c r="CA39" s="52">
        <f>[1]!s_stmnote_bank_38(A39,$A$1,1,100000000)</f>
        <v>73293.2</v>
      </c>
      <c r="CB39" s="52">
        <f>[1]!s_stmnote_bank_38(A39,$B$1,1,100000000)</f>
        <v>71513.81</v>
      </c>
      <c r="CC39" s="52">
        <f>[1]!s_stmnote_bank_38(A39,$E$1,1,100000000)</f>
        <v>72744.899999999994</v>
      </c>
      <c r="CD39" s="52">
        <f>[1]!s_stmnote_bank_38(A39,$F$1,1,100000000)</f>
        <v>73167.87</v>
      </c>
      <c r="CE39" s="52">
        <f>[1]!s_stmnote_bank_38(A39,$G$1,1,100000000)</f>
        <v>72508.210000000006</v>
      </c>
      <c r="CF39" s="52">
        <f>IF(BP39&lt;&gt;0,BP39,IFERROR(IF(([1]!b_stm07_is(A39,19,$A$1,1,100000000)-[1]!b_stm07_is(A39,20,$A$1,1,100000000))/AVERAGE([1]!s_stmnote_bank_35(A39,$A$1,1,100000000),[1]!s_stmnote_bank_35(A39,$B$1,1,100000000))*100=0,"",([1]!b_stm07_is(A39,19,$A$1,1,100000000)-[1]!b_stm07_is(A39,20,$A$1,1,100000000))/AVERAGE([1]!s_stmnote_bank_35(A39,$A$1,1,100000000),[1]!s_stmnote_bank_35(A39,$B$1,1,100000000))*100),""))</f>
        <v>1.83</v>
      </c>
      <c r="CG39" s="27" t="str">
        <f t="shared" si="6"/>
        <v>120 171</v>
      </c>
      <c r="CH39" s="80">
        <f t="shared" si="14"/>
        <v>0.48128044338956899</v>
      </c>
      <c r="CI39" s="27" t="str">
        <f t="shared" si="7"/>
        <v>118 169</v>
      </c>
      <c r="CJ39" s="55">
        <f>[1]!s_stmnote_bank_30(A39,$A$1,1)</f>
        <v>28.8111</v>
      </c>
      <c r="CK39" s="65">
        <v>2169.21</v>
      </c>
      <c r="CL39" s="48">
        <f>454.3+165.34</f>
        <v>619.64</v>
      </c>
      <c r="CM39" s="64">
        <f>CK39/(5/8*[1]!s_stmnote_bank_1n($A39,$A$1,1,100000000)+[1]!s_stmnote_bank_1n($A39,$B$1,1,100000000)*3/8)</f>
        <v>4.623687780591338E-2</v>
      </c>
      <c r="CP39" s="69">
        <f>[1]!b_stm07_bs($A39,141,$A$1,1,100000000)</f>
        <v>6782.18</v>
      </c>
      <c r="CQ39" s="69">
        <f>[1]!b_stm07_bs($A39,141,$D$1,1,100000000)</f>
        <v>6938.66</v>
      </c>
      <c r="CR39" s="68">
        <f>IF([1]!s_fa_roic_yearly($A39,$A$1)=0,"",[1]!s_fa_roic_yearly($A39,$A$1))</f>
        <v>8.1031999999999993</v>
      </c>
      <c r="CS39" s="27" t="str">
        <f>RANK(CR39,CR$5:CR$192,1)&amp;" "&amp;COUNTIF(CR$5:CR$192,"&gt;0")</f>
        <v>71 169</v>
      </c>
      <c r="CT39" s="68">
        <f>IF([1]!s_fa_roic_yearly($A39,$D$1)=0,"",[1]!s_fa_roic_yearly($A39,$D$1))</f>
        <v>8.9054000000000002</v>
      </c>
      <c r="CU39" s="27" t="str">
        <f>RANK(CT39,CT$5:CT$192,1)&amp;" "&amp;COUNTIF(CT$5:CT$192,"&gt;0")</f>
        <v>59 142</v>
      </c>
      <c r="CV39" s="78">
        <f>[1]!s_stm07_bs(A39,"W14578191",$A$1,1,100000000)</f>
        <v>46909.54</v>
      </c>
      <c r="CW39" s="78">
        <f>[1]!s_stmnote_bank_682($A39,$A$1,1,2,100000000)</f>
        <v>18906.2</v>
      </c>
      <c r="CX39" s="79">
        <f t="shared" si="11"/>
        <v>0.40303528877068501</v>
      </c>
    </row>
    <row r="40" spans="1:102" s="46" customFormat="1" ht="13.5">
      <c r="A40" s="8" t="s">
        <v>270</v>
      </c>
      <c r="B40" s="8" t="s">
        <v>271</v>
      </c>
      <c r="C40" s="9" t="s">
        <v>272</v>
      </c>
      <c r="D40" s="9" t="s">
        <v>1066</v>
      </c>
      <c r="E40" s="10" t="s">
        <v>167</v>
      </c>
      <c r="F40" s="11" t="s">
        <v>178</v>
      </c>
      <c r="G40" s="11" t="s">
        <v>245</v>
      </c>
      <c r="H40" s="11" t="s">
        <v>245</v>
      </c>
      <c r="I40" s="11"/>
      <c r="J40" s="11">
        <f>VLOOKUP(B40,[3]额度信息!$B:$T,19,0)</f>
        <v>0</v>
      </c>
      <c r="K40" s="11" t="s">
        <v>273</v>
      </c>
      <c r="L40" s="27">
        <f>IFERROR(([1]!b_stm07_bs($A40,47,$A$1,1,100000000))/[1]!b_stm07_bs($A40,109,$A$1,1,100000000),"")</f>
        <v>7.7541989948841664E-2</v>
      </c>
      <c r="M40" s="20"/>
      <c r="N40" s="18"/>
      <c r="O40" s="27" t="e">
        <f t="shared" si="0"/>
        <v>#N/A</v>
      </c>
      <c r="P40" s="21">
        <f t="shared" si="12"/>
        <v>1.6461849153178318E-2</v>
      </c>
      <c r="Q40" s="27" t="str">
        <f t="shared" si="1"/>
        <v>27 169</v>
      </c>
      <c r="R40" s="18">
        <f>IFERROR([1]!s_stmnote_bank($A40,"34",$A$1,100000000)/[1]!s_stmnote_bank_1n(A40,$A$1,1,100000000),"")</f>
        <v>7.6618491531783165E-3</v>
      </c>
      <c r="S40" s="22"/>
      <c r="T40" s="22"/>
      <c r="U40" s="22"/>
      <c r="V40" s="22"/>
      <c r="W40" s="22"/>
      <c r="X40" s="22"/>
      <c r="Y40" s="22"/>
      <c r="Z40" s="25">
        <f>[1]!b_stm07_bs(A40,74,$A$1,1,100000000)</f>
        <v>3468.6926199999998</v>
      </c>
      <c r="AA40" s="25">
        <f>[1]!b_stm07_bs(A40,109,$A$1,1,100000000)</f>
        <v>2628.1349</v>
      </c>
      <c r="AB40" s="10">
        <f>[1]!s_stmnote_bank_5n(A40,$A$1,1)</f>
        <v>0.88</v>
      </c>
      <c r="AC40" s="25">
        <f>IF([1]!s_stmnote_bank_23n(A40,$A$1,1)=0,"",IFERROR([1]!s_stmnote_bank_23n(A40,$A$1,1),""))</f>
        <v>508.07</v>
      </c>
      <c r="AD40" s="27" t="str">
        <f t="shared" si="2"/>
        <v>147 167</v>
      </c>
      <c r="AE40" s="25">
        <f>[1]!s_stmnote_bank_capadequacyratio(A40,$A$1,1)</f>
        <v>13.69</v>
      </c>
      <c r="AF40" s="25">
        <f>IF([1]!s_stmnote_bank_capadequacyratio_ct1(A40,$A$1,1)=0,"",IFERROR([1]!s_stmnote_bank_capadequacyratio_ct1(A40,$A$1,1),""))</f>
        <v>9.41</v>
      </c>
      <c r="AG40" s="27" t="str">
        <f>RANK(AF40,AF$5:AF$192,1)&amp;" "&amp;COUNTIF(AF$5:AF$192,"&gt;0")</f>
        <v>59 167</v>
      </c>
      <c r="AH40" s="6">
        <f>IF(OR([1]!s_fa_roe(A40,20201231)=0,[1]!s_fa_roe(A40,20211231)="0",[1]!s_fa_roe(A40,20221231)="0"),"",IFERROR(([1]!s_fa_roe(A40,20221231)+[1]!s_fa_roe(A40,20201231)+[1]!s_fa_roe(A40,20211231))/3,""))</f>
        <v>11.209400000000002</v>
      </c>
      <c r="AI40" s="27" t="str">
        <f t="shared" si="3"/>
        <v>143 173</v>
      </c>
      <c r="AJ40" s="28">
        <f>IFERROR(([1]!s_stmnote_bank_65(A40,$A$1,1,2,4,100000000)+[1]!s_stmnote_bank_65(A40,$A$1,1,2,6,100000000))/[1]!s_stmnote_bank_1n(A40,$A$1,1,100000000),"")</f>
        <v>7.7265915634230353E-2</v>
      </c>
      <c r="AK40" s="28">
        <f>IFERROR([1]!s_stmnote_bank_614(A40,$A$1,1,2,100000000)/[1]!s_stmnote_bank_647(A40,$A$1,1,2,100000000),"")</f>
        <v>0.25836389144255878</v>
      </c>
      <c r="AL40" s="28">
        <f>IFERROR(([1]!b_stm07_bs(A40,104,$A$1,1,100000000)+[1]!b_stm07_bs(A40,106,$A$1,1,100000000)+[1]!b_stm07_bs(A40,76,$A$1,1,100000000)+[1]!b_stm07_bs(A40,108,$A$1,1,100000000)+[1]!b_stm07_bs(A40,95,$A$1,1,100000000))/[1]!b_stm07_bs(A40,128,$A$1,1,100000000),"")</f>
        <v>0.1084035572838928</v>
      </c>
      <c r="AM40" s="28">
        <f>IFERROR(([1]!s_stmnote_bank_614(A40,$A$1,1,2,100000000)+[1]!b_stm07_bs(A40,104,$A$1,1,100000000)+[1]!b_stm07_bs(A40,106,$A$1,1,100000000)+[1]!b_stm07_bs(A40,76,$A$1,1,100000000)+[1]!b_stm07_bs(A40,108,$A$1,1,100000000)+[1]!b_stm07_bs(A40,95,$A$1,1,100000000))/[1]!b_stm07_bs(A40,128,$A$1,1,100000000),"")</f>
        <v>0.32255815358074108</v>
      </c>
      <c r="AN40" s="31" t="e">
        <f>IF(Z40&gt;#REF!,#REF!,IF(Z40&gt;#REF!,#REF!,IF(Z40&gt;#REF!,#REF!,IF(Z40&gt;#REF!,#REF!,IF(Z40&gt;#REF!,#REF!,IF(Z40&gt;#REF!,#REF!,IF(Z40&gt;#REF!,#REF!,#REF!)))))))</f>
        <v>#REF!</v>
      </c>
      <c r="AO40" s="31" t="e">
        <f>IF(AA40&gt;#REF!,#REF!,IF(AA40&gt;#REF!,#REF!,IF(AA40&gt;#REF!,#REF!,IF(AA40&gt;#REF!,#REF!,IF(AA40&gt;#REF!,#REF!,IF(AA40&gt;#REF!,#REF!,IF(AA40&gt;#REF!,#REF!,#REF!)))))))</f>
        <v>#REF!</v>
      </c>
      <c r="AP40" s="31" t="e">
        <f>IF(AB40&lt;#REF!,#REF!,IF(AB40&lt;#REF!,#REF!,IF(AB40&lt;#REF!,#REF!,IF(AB40&lt;#REF!,#REF!,IF(AB40&lt;#REF!,#REF!,IF(AB40&lt;#REF!,#REF!,#REF!))))))</f>
        <v>#REF!</v>
      </c>
      <c r="AQ40" s="31" t="e">
        <f>IF(AC40&gt;#REF!,#REF!,IF(AC40&gt;#REF!,#REF!,IF(AC40&gt;#REF!,#REF!,IF(AC40&gt;#REF!,#REF!,#REF!))))</f>
        <v>#REF!</v>
      </c>
      <c r="AR40" s="31" t="e">
        <f>IF(AE40&gt;#REF!,#REF!,IF(AE40&gt;#REF!,#REF!,IF(AE40&gt;#REF!,#REF!,IF(AE40&gt;#REF!,#REF!,#REF!))))</f>
        <v>#REF!</v>
      </c>
      <c r="AS40" s="31" t="e">
        <f>IF(AF40&gt;#REF!,#REF!,IF(AF40&gt;#REF!,#REF!,IF(AF40&gt;#REF!,#REF!,IF(AF40&gt;#REF!,#REF!,#REF!))))</f>
        <v>#REF!</v>
      </c>
      <c r="AT40" s="31" t="e">
        <f>IF(AH40&gt;#REF!,#REF!,IF(AH40&gt;#REF!,#REF!,IF(AH40&gt;#REF!,#REF!,IF(AH40&gt;#REF!,#REF!,IF(AH40&gt;#REF!,#REF!,#REF!)))))</f>
        <v>#REF!</v>
      </c>
      <c r="AU40" s="10" t="e">
        <f t="shared" si="4"/>
        <v>#REF!</v>
      </c>
      <c r="AV40" s="10" t="s">
        <v>60</v>
      </c>
      <c r="AW40" s="10" t="s">
        <v>61</v>
      </c>
      <c r="AX40" s="10" t="s">
        <v>261</v>
      </c>
      <c r="AY40" s="31" t="str">
        <f>IFERROR(VLOOKUP(AV40,#REF!,3,0),"")</f>
        <v/>
      </c>
      <c r="AZ40" s="31" t="str">
        <f>IFERROR(VLOOKUP(AW40,#REF!,3,0),"")</f>
        <v/>
      </c>
      <c r="BA40" s="31" t="str">
        <f>IFERROR(VLOOKUP(AX40,#REF!,3,0),"")</f>
        <v/>
      </c>
      <c r="BB40" s="31" t="str">
        <f>IFERROR(AY40*#REF!+AZ40*#REF!+BA40*#REF!,"")</f>
        <v/>
      </c>
      <c r="BC40" s="32" t="str">
        <f t="shared" si="5"/>
        <v/>
      </c>
      <c r="BD40" s="32" t="str">
        <f>IFERROR(VLOOKUP(BC40*10,#REF!,2,1),"")</f>
        <v/>
      </c>
      <c r="BE40" s="11">
        <v>0</v>
      </c>
      <c r="BF40" s="11">
        <v>0</v>
      </c>
      <c r="BG40" s="10" t="s">
        <v>274</v>
      </c>
      <c r="BH40" s="11" t="s">
        <v>275</v>
      </c>
      <c r="BI40" s="10">
        <v>10</v>
      </c>
      <c r="BJ40" s="33" t="s">
        <v>111</v>
      </c>
      <c r="BK40" s="33" t="s">
        <v>217</v>
      </c>
      <c r="BL40" s="10">
        <f>IF([1]!s_stmnote_bank_17n(A40,$A$1,1)="0","",[1]!s_stmnote_bank_17n(A40,$A$1,1))</f>
        <v>0</v>
      </c>
      <c r="BM40" s="10">
        <f>IF([1]!s_stmnote_bank_18n(A40,$A$1,1)="0","",[1]!s_stmnote_bank_18n(A40,$A$1,1))</f>
        <v>0</v>
      </c>
      <c r="BN40" s="41" t="s">
        <v>67</v>
      </c>
      <c r="BO40" s="68" t="s">
        <v>67</v>
      </c>
      <c r="BP40" s="52">
        <f>[1]!s_stmnote_bank_5444(A40,$A$1,1)</f>
        <v>2.64</v>
      </c>
      <c r="BQ40" s="52">
        <f>[1]!s_stmnote_bank_129n($A40,$A$1,1)</f>
        <v>29.33</v>
      </c>
      <c r="BR40" s="52">
        <f t="shared" si="13"/>
        <v>4.8607367323463047</v>
      </c>
      <c r="BS40" s="52">
        <f>[1]!b_stm07_is(A40,19,$A$1,1,100000000)</f>
        <v>149.51048</v>
      </c>
      <c r="BT40" s="52">
        <f xml:space="preserve"> [1]!s_stm07_bs(A40,"W15273164",$A$1,1,100000000)-[1]!s_stm07_bs(A40,"W17642530",$A$1,1,100000000)-[1]!s_stm07_bs(A40,"W15910877",$A$1,1,100000000)-[1]!s_stm07_bs_39(A40,$A$1,1,100000000)-[1]!s_stm07_bs(A40,"W17700468",$A$1,1,100000000)-[1]!s_stm07_bs(A40,"W16504296",$A$1,1,100000000)-[1]!s_stm07_bs(A40,"W13769069",$A$1,1,100000000)</f>
        <v>3407.5583099999999</v>
      </c>
      <c r="BU40" s="52">
        <f xml:space="preserve"> [1]!s_stm07_bs(A40,"W15273164",$B$1,1,100000000)-[1]!s_stm07_bs(A40,"W17642530",$B$1,1,100000000)-[1]!s_stm07_bs(A40,"W15910877",$B$1,1,100000000)-[1]!s_stm07_bs_39(A40,$B$1,1,100000000)-[1]!s_stm07_bs(A40,"W17700468",$B$1,1,100000000)-[1]!s_stm07_bs(A40,"W16504296",$B$1,1,100000000)-[1]!s_stm07_bs(A40,"W13769069",$B$1,1,100000000)</f>
        <v>2982.2479799999996</v>
      </c>
      <c r="BV40" s="52">
        <f xml:space="preserve"> [1]!s_stm07_bs(A40,"W15273164",$E$1,1,100000000)-[1]!s_stm07_bs(A40,"W17642530",$E$1,1,100000000)-[1]!s_stm07_bs(A40,"W15910877",$E$1,1,100000000)-[1]!s_stm07_bs_39(A40,$E$1,1,100000000)-[1]!s_stm07_bs(A40,"W17700468",$E$1,1,100000000)-[1]!s_stm07_bs(A40,"W16504296",$E$1,1,100000000)-[1]!s_stm07_bs(A40,"W13769069",$E$1,1,100000000)</f>
        <v>3324.7370977359001</v>
      </c>
      <c r="BW40" s="52">
        <f xml:space="preserve"> [1]!s_stm07_bs(A40,"W15273164",$F$1,1,100000000)-[1]!s_stm07_bs(A40,"W17642530",$F$1,1,100000000)-[1]!s_stm07_bs(A40,"W15910877",$F$1,1,100000000)-[1]!s_stm07_bs_39(A40,$F$1,1,100000000)-[1]!s_stm07_bs(A40,"W17700468",$F$1,1,100000000)-[1]!s_stm07_bs(A40,"W16504296",$F$1,1,100000000)-[1]!s_stm07_bs(A40,"W13769069",$F$1,1,100000000)</f>
        <v>3255.7312640702003</v>
      </c>
      <c r="BX40" s="52">
        <f xml:space="preserve"> [1]!s_stm07_bs(A40,"W15273164",$G$1,1,100000000)-[1]!s_stm07_bs(A40,"W17642530",$G$1,1,100000000)-[1]!s_stm07_bs(A40,"W15910877",$G$1,1,100000000)-[1]!s_stm07_bs_39(A40,$G$1,1,100000000)-[1]!s_stm07_bs(A40,"W17700468",$G$1,1,100000000)-[1]!s_stm07_bs(A40,"W16504296",$G$1,1,100000000)-[1]!s_stm07_bs(A40,"W13769069",$G$1,1,100000000)</f>
        <v>3114.8330174063994</v>
      </c>
      <c r="BY40" s="52">
        <f>IFERROR([1]!b_stm07_is(A40,20,$A$1,1,100000000)/AVERAGEIF(CA40:CE40,"&gt;0")*100,0)</f>
        <v>2.3148165681751278</v>
      </c>
      <c r="BZ40" s="52">
        <f>[1]!b_stm07_is(A40,20,$A$1,1,100000000)</f>
        <v>68.164490000000001</v>
      </c>
      <c r="CA40" s="52">
        <f>[1]!s_stmnote_bank_38(A40,$A$1,1,100000000)</f>
        <v>3106.7118799999998</v>
      </c>
      <c r="CB40" s="52">
        <f>[1]!s_stmnote_bank_38(A40,$B$1,1,100000000)</f>
        <v>2735.3013999999998</v>
      </c>
      <c r="CC40" s="52">
        <f>[1]!s_stmnote_bank_38(A40,$E$1,1,100000000)</f>
        <v>3040.1457024795</v>
      </c>
      <c r="CD40" s="52">
        <f>[1]!s_stmnote_bank_38(A40,$F$1,1,100000000)</f>
        <v>2983.3872343705998</v>
      </c>
      <c r="CE40" s="52">
        <f>[1]!s_stmnote_bank_38(A40,$G$1,1,100000000)</f>
        <v>2857.9724707963001</v>
      </c>
      <c r="CF40" s="52">
        <f>IF(BP40&lt;&gt;0,BP40,IFERROR(IF(([1]!b_stm07_is(A40,19,$A$1,1,100000000)-[1]!b_stm07_is(A40,20,$A$1,1,100000000))/AVERAGE([1]!s_stmnote_bank_35(A40,$A$1,1,100000000),[1]!s_stmnote_bank_35(A40,$B$1,1,100000000))*100=0,"",([1]!b_stm07_is(A40,19,$A$1,1,100000000)-[1]!b_stm07_is(A40,20,$A$1,1,100000000))/AVERAGE([1]!s_stmnote_bank_35(A40,$A$1,1,100000000),[1]!s_stmnote_bank_35(A40,$B$1,1,100000000))*100),""))</f>
        <v>2.64</v>
      </c>
      <c r="CG40" s="27" t="str">
        <f t="shared" si="6"/>
        <v>19 171</v>
      </c>
      <c r="CH40" s="80">
        <f t="shared" si="14"/>
        <v>1.6037080497061234</v>
      </c>
      <c r="CI40" s="27" t="str">
        <f t="shared" si="7"/>
        <v>20 169</v>
      </c>
      <c r="CJ40" s="55">
        <f>[1]!s_stmnote_bank_30(A40,$A$1,1)</f>
        <v>15.829700000000001</v>
      </c>
      <c r="CP40" s="69">
        <f>[1]!b_stm07_bs($A40,141,$A$1,1,100000000)</f>
        <v>298.01512000000002</v>
      </c>
      <c r="CQ40" s="69">
        <f>[1]!b_stm07_bs($A40,141,$D$1,1,100000000)</f>
        <v>315.60139572759999</v>
      </c>
      <c r="CR40" s="68">
        <f>IF([1]!s_fa_roic_yearly($A40,$A$1)=0,"",[1]!s_fa_roic_yearly($A40,$A$1))</f>
        <v>10.702400000000001</v>
      </c>
      <c r="CS40" s="27">
        <f>RANK(CR40,CR$5:CR$192,0)/COUNTIF(CR$5:CR$192,"&gt;0")</f>
        <v>0.25443786982248523</v>
      </c>
      <c r="CT40" s="68">
        <f>IF([1]!s_fa_roic_yearly($A40,$D$1)=0,"",[1]!s_fa_roic_yearly($A40,$D$1))</f>
        <v>10.660600000000001</v>
      </c>
      <c r="CU40" s="27">
        <f>RANK(CT40,CT$5:CT$192,0)/COUNTIF(CT$5:CT$192,"&gt;0")</f>
        <v>0.41549295774647887</v>
      </c>
      <c r="CV40" s="78">
        <f>[1]!s_stm07_bs(A40,"W14578191",$A$1,1,100000000)</f>
        <v>2225.1219999999998</v>
      </c>
      <c r="CW40" s="78">
        <f>[1]!s_stmnote_bank_682($A40,$A$1,1,2,100000000)</f>
        <v>1267.34528</v>
      </c>
      <c r="CX40" s="79">
        <f t="shared" si="11"/>
        <v>0.56956215434479551</v>
      </c>
    </row>
    <row r="41" spans="1:102" s="46" customFormat="1" ht="13.5">
      <c r="A41" s="8" t="s">
        <v>63</v>
      </c>
      <c r="B41" s="13" t="s">
        <v>64</v>
      </c>
      <c r="C41" s="15" t="s">
        <v>65</v>
      </c>
      <c r="D41" s="15" t="s">
        <v>1062</v>
      </c>
      <c r="E41" s="10"/>
      <c r="F41" s="11" t="s">
        <v>66</v>
      </c>
      <c r="G41" s="11" t="s">
        <v>67</v>
      </c>
      <c r="H41" s="11">
        <v>0</v>
      </c>
      <c r="I41" s="11"/>
      <c r="J41" s="11" t="e">
        <f>VLOOKUP(B41,[3]额度信息!$B:$T,19,0)</f>
        <v>#N/A</v>
      </c>
      <c r="K41" s="11"/>
      <c r="L41" s="27">
        <f>IFERROR(([1]!b_stm07_bs($A41,47,$A$1,1,100000000))/[1]!b_stm07_bs($A41,109,$A$1,1,100000000),"")</f>
        <v>0.25527448355125676</v>
      </c>
      <c r="M41" s="20"/>
      <c r="N41" s="18"/>
      <c r="O41" s="27" t="e">
        <f t="shared" si="0"/>
        <v>#N/A</v>
      </c>
      <c r="P41" s="21">
        <f t="shared" si="12"/>
        <v>1.1399999999999999E-2</v>
      </c>
      <c r="Q41" s="27" t="str">
        <f t="shared" si="1"/>
        <v>8 169</v>
      </c>
      <c r="R41" s="18">
        <f>IFERROR([1]!s_stmnote_bank($A41,"34",$A$1,100000000)/[1]!s_stmnote_bank_1n(A41,$A$1,1,100000000),"")</f>
        <v>0</v>
      </c>
      <c r="S41" s="22"/>
      <c r="T41" s="22"/>
      <c r="U41" s="22"/>
      <c r="V41" s="22"/>
      <c r="W41" s="22"/>
      <c r="X41" s="22"/>
      <c r="Y41" s="22"/>
      <c r="Z41" s="25">
        <f>[1]!b_stm07_bs(A41,74,$A$1,1,100000000)</f>
        <v>514.59739447250001</v>
      </c>
      <c r="AA41" s="25">
        <f>[1]!b_stm07_bs(A41,109,$A$1,1,100000000)</f>
        <v>341.93942079319999</v>
      </c>
      <c r="AB41" s="10">
        <f>[1]!s_stmnote_bank_5n(A41,$A$1,1)</f>
        <v>1.1399999999999999</v>
      </c>
      <c r="AC41" s="25">
        <f>IF([1]!s_stmnote_bank_23n(A41,$A$1,1)=0,"",IFERROR([1]!s_stmnote_bank_23n(A41,$A$1,1),""))</f>
        <v>554.63</v>
      </c>
      <c r="AD41" s="27" t="str">
        <f t="shared" si="2"/>
        <v>152 167</v>
      </c>
      <c r="AE41" s="25">
        <f>[1]!s_stmnote_bank_capadequacyratio(A41,$A$1,1)</f>
        <v>26.02</v>
      </c>
      <c r="AF41" s="25">
        <f>IF([1]!s_stmnote_bank_capadequacyratio_ct1(A41,$A$1,1)=0,"",IFERROR([1]!s_stmnote_bank_capadequacyratio_ct1(A41,$A$1,1),""))</f>
        <v>24.86</v>
      </c>
      <c r="AG41" s="27" t="str">
        <f>RANK(AF41,AF$5:AF$192,1)&amp;" "&amp;COUNTIF(AF$5:AF$192,"&gt;0")</f>
        <v>167 167</v>
      </c>
      <c r="AH41" s="6">
        <f>IF(OR([1]!s_fa_roe(A41,20201231)=0,[1]!s_fa_roe(A41,20211231)="0",[1]!s_fa_roe(A41,20221231)="0"),"",IFERROR(([1]!s_fa_roe(A41,20221231)+[1]!s_fa_roe(A41,20201231)+[1]!s_fa_roe(A41,20211231))/3,""))</f>
        <v>4.0400333333333336</v>
      </c>
      <c r="AI41" s="27" t="str">
        <f t="shared" si="3"/>
        <v>21 173</v>
      </c>
      <c r="AJ41" s="28">
        <f>IFERROR(([1]!s_stmnote_bank_65(A41,$A$1,1,2,4,100000000)+[1]!s_stmnote_bank_65(A41,$A$1,1,2,6,100000000))/[1]!s_stmnote_bank_1n(A41,$A$1,1,100000000),"")</f>
        <v>9.0107163346620819E-2</v>
      </c>
      <c r="AK41" s="28">
        <f>IFERROR([1]!s_stmnote_bank_614(A41,$A$1,1,2,100000000)/[1]!s_stmnote_bank_647(A41,$A$1,1,2,100000000),"")</f>
        <v>0.63624244013525122</v>
      </c>
      <c r="AL41" s="28">
        <f>IFERROR(([1]!b_stm07_bs(A41,104,$A$1,1,100000000)+[1]!b_stm07_bs(A41,106,$A$1,1,100000000)+[1]!b_stm07_bs(A41,76,$A$1,1,100000000)+[1]!b_stm07_bs(A41,108,$A$1,1,100000000)+[1]!b_stm07_bs(A41,95,$A$1,1,100000000))/[1]!b_stm07_bs(A41,128,$A$1,1,100000000),"")</f>
        <v>0.15739741436170082</v>
      </c>
      <c r="AM41" s="28">
        <f>IFERROR(([1]!s_stmnote_bank_614(A41,$A$1,1,2,100000000)+[1]!b_stm07_bs(A41,104,$A$1,1,100000000)+[1]!b_stm07_bs(A41,106,$A$1,1,100000000)+[1]!b_stm07_bs(A41,76,$A$1,1,100000000)+[1]!b_stm07_bs(A41,108,$A$1,1,100000000)+[1]!b_stm07_bs(A41,95,$A$1,1,100000000))/[1]!b_stm07_bs(A41,128,$A$1,1,100000000),"")</f>
        <v>0.66610061553349231</v>
      </c>
      <c r="AN41" s="31" t="e">
        <f>IF(Z41&gt;#REF!,#REF!,IF(Z41&gt;#REF!,#REF!,IF(Z41&gt;#REF!,#REF!,IF(Z41&gt;#REF!,#REF!,IF(Z41&gt;#REF!,#REF!,IF(Z41&gt;#REF!,#REF!,IF(Z41&gt;#REF!,#REF!,#REF!)))))))</f>
        <v>#REF!</v>
      </c>
      <c r="AO41" s="31" t="e">
        <f>IF(AA41&gt;#REF!,#REF!,IF(AA41&gt;#REF!,#REF!,IF(AA41&gt;#REF!,#REF!,IF(AA41&gt;#REF!,#REF!,IF(AA41&gt;#REF!,#REF!,IF(AA41&gt;#REF!,#REF!,IF(AA41&gt;#REF!,#REF!,#REF!)))))))</f>
        <v>#REF!</v>
      </c>
      <c r="AP41" s="31" t="e">
        <f>IF(AB41&lt;#REF!,#REF!,IF(AB41&lt;#REF!,#REF!,IF(AB41&lt;#REF!,#REF!,IF(AB41&lt;#REF!,#REF!,IF(AB41&lt;#REF!,#REF!,IF(AB41&lt;#REF!,#REF!,#REF!))))))</f>
        <v>#REF!</v>
      </c>
      <c r="AQ41" s="31" t="e">
        <f>IF(AC41&gt;#REF!,#REF!,IF(AC41&gt;#REF!,#REF!,IF(AC41&gt;#REF!,#REF!,IF(AC41&gt;#REF!,#REF!,#REF!))))</f>
        <v>#REF!</v>
      </c>
      <c r="AR41" s="31" t="e">
        <f>IF(AE41&gt;#REF!,#REF!,IF(AE41&gt;#REF!,#REF!,IF(AE41&gt;#REF!,#REF!,IF(AE41&gt;#REF!,#REF!,#REF!))))</f>
        <v>#REF!</v>
      </c>
      <c r="AS41" s="31" t="e">
        <f>IF(AF41&gt;#REF!,#REF!,IF(AF41&gt;#REF!,#REF!,IF(AF41&gt;#REF!,#REF!,IF(AF41&gt;#REF!,#REF!,#REF!))))</f>
        <v>#REF!</v>
      </c>
      <c r="AT41" s="31" t="e">
        <f>IF(AH41&gt;#REF!,#REF!,IF(AH41&gt;#REF!,#REF!,IF(AH41&gt;#REF!,#REF!,IF(AH41&gt;#REF!,#REF!,IF(AH41&gt;#REF!,#REF!,#REF!)))))</f>
        <v>#REF!</v>
      </c>
      <c r="AU41" s="10" t="e">
        <f t="shared" si="4"/>
        <v>#REF!</v>
      </c>
      <c r="AV41" s="10" t="s">
        <v>68</v>
      </c>
      <c r="AW41" s="10" t="s">
        <v>69</v>
      </c>
      <c r="AX41" s="10" t="s">
        <v>62</v>
      </c>
      <c r="AY41" s="31" t="str">
        <f>IFERROR(VLOOKUP(AV41,#REF!,3,0),"")</f>
        <v/>
      </c>
      <c r="AZ41" s="31" t="str">
        <f>IFERROR(VLOOKUP(AW41,#REF!,3,0),"")</f>
        <v/>
      </c>
      <c r="BA41" s="31" t="str">
        <f>IFERROR(VLOOKUP(AX41,#REF!,3,0),"")</f>
        <v/>
      </c>
      <c r="BB41" s="31" t="str">
        <f>IFERROR(AY41*#REF!+AZ41*#REF!+BA41*#REF!,"")</f>
        <v/>
      </c>
      <c r="BC41" s="32" t="str">
        <f t="shared" si="5"/>
        <v/>
      </c>
      <c r="BD41" s="32" t="str">
        <f>IFERROR(VLOOKUP(BC41*10,#REF!,2,1),"")</f>
        <v/>
      </c>
      <c r="BE41" s="10"/>
      <c r="BF41" s="10"/>
      <c r="BG41" s="10"/>
      <c r="BH41" s="11" t="s">
        <v>70</v>
      </c>
      <c r="BI41" s="34">
        <v>10.603599548339799</v>
      </c>
      <c r="BJ41" s="11" t="s">
        <v>71</v>
      </c>
      <c r="BK41" s="11" t="s">
        <v>72</v>
      </c>
      <c r="BL41" s="10">
        <f>IF([1]!s_stmnote_bank_17n(A41,$A$1,1)="0","",[1]!s_stmnote_bank_17n(A41,$A$1,1))</f>
        <v>0</v>
      </c>
      <c r="BM41" s="10">
        <f>IF([1]!s_stmnote_bank_18n(A41,$A$1,1)="0","",[1]!s_stmnote_bank_18n(A41,$A$1,1))</f>
        <v>0</v>
      </c>
      <c r="BN41" s="39"/>
      <c r="BO41" s="71"/>
      <c r="BP41" s="52">
        <f>[1]!s_stmnote_bank_5444(A41,$A$1,1)</f>
        <v>2.19</v>
      </c>
      <c r="BQ41" s="52">
        <f>[1]!s_stmnote_bank_129n($A41,$A$1,1)</f>
        <v>44.48</v>
      </c>
      <c r="BR41" s="52">
        <f t="shared" si="13"/>
        <v>3.1115266368542134</v>
      </c>
      <c r="BS41" s="52">
        <f>[1]!b_stm07_is(A41,19,$A$1,1,100000000)</f>
        <v>15.242187693800002</v>
      </c>
      <c r="BT41" s="52">
        <f xml:space="preserve"> [1]!s_stm07_bs(A41,"W15273164",$A$1,1,100000000)-[1]!s_stm07_bs(A41,"W17642530",$A$1,1,100000000)-[1]!s_stm07_bs(A41,"W15910877",$A$1,1,100000000)-[1]!s_stm07_bs_39(A41,$A$1,1,100000000)-[1]!s_stm07_bs(A41,"W17700468",$A$1,1,100000000)-[1]!s_stm07_bs(A41,"W16504296",$A$1,1,100000000)-[1]!s_stm07_bs(A41,"W13769069",$A$1,1,100000000)</f>
        <v>486.6181200808</v>
      </c>
      <c r="BU41" s="52">
        <f xml:space="preserve"> [1]!s_stm07_bs(A41,"W15273164",$B$1,1,100000000)-[1]!s_stm07_bs(A41,"W17642530",$B$1,1,100000000)-[1]!s_stm07_bs(A41,"W15910877",$B$1,1,100000000)-[1]!s_stm07_bs_39(A41,$B$1,1,100000000)-[1]!s_stm07_bs(A41,"W17700468",$B$1,1,100000000)-[1]!s_stm07_bs(A41,"W16504296",$B$1,1,100000000)-[1]!s_stm07_bs(A41,"W13769069",$B$1,1,100000000)</f>
        <v>492.18697875690003</v>
      </c>
      <c r="BV41" s="52">
        <f xml:space="preserve"> [1]!s_stm07_bs(A41,"W15273164",$E$1,1,100000000)-[1]!s_stm07_bs(A41,"W17642530",$E$1,1,100000000)-[1]!s_stm07_bs(A41,"W15910877",$E$1,1,100000000)-[1]!s_stm07_bs_39(A41,$E$1,1,100000000)-[1]!s_stm07_bs(A41,"W17700468",$E$1,1,100000000)-[1]!s_stm07_bs(A41,"W16504296",$E$1,1,100000000)-[1]!s_stm07_bs(A41,"W13769069",$E$1,1,100000000)</f>
        <v>0</v>
      </c>
      <c r="BW41" s="52">
        <f xml:space="preserve"> [1]!s_stm07_bs(A41,"W15273164",$F$1,1,100000000)-[1]!s_stm07_bs(A41,"W17642530",$F$1,1,100000000)-[1]!s_stm07_bs(A41,"W15910877",$F$1,1,100000000)-[1]!s_stm07_bs_39(A41,$F$1,1,100000000)-[1]!s_stm07_bs(A41,"W17700468",$F$1,1,100000000)-[1]!s_stm07_bs(A41,"W16504296",$F$1,1,100000000)-[1]!s_stm07_bs(A41,"W13769069",$F$1,1,100000000)</f>
        <v>476.83134100000001</v>
      </c>
      <c r="BX41" s="52">
        <f xml:space="preserve"> [1]!s_stm07_bs(A41,"W15273164",$G$1,1,100000000)-[1]!s_stm07_bs(A41,"W17642530",$G$1,1,100000000)-[1]!s_stm07_bs(A41,"W15910877",$G$1,1,100000000)-[1]!s_stm07_bs_39(A41,$G$1,1,100000000)-[1]!s_stm07_bs(A41,"W17700468",$G$1,1,100000000)-[1]!s_stm07_bs(A41,"W16504296",$G$1,1,100000000)-[1]!s_stm07_bs(A41,"W13769069",$G$1,1,100000000)</f>
        <v>0</v>
      </c>
      <c r="BY41" s="52">
        <f>IFERROR([1]!b_stm07_is(A41,20,$A$1,1,100000000)/AVERAGEIF(CA41:CE41,"&gt;0")*100,0)</f>
        <v>1.2445681445120824</v>
      </c>
      <c r="BZ41" s="52">
        <f>[1]!b_stm07_is(A41,20,$A$1,1,100000000)</f>
        <v>5.2949356661999998</v>
      </c>
      <c r="CA41" s="52">
        <f>[1]!s_stmnote_bank_38(A41,$A$1,1,100000000)</f>
        <v>424.19819277580001</v>
      </c>
      <c r="CB41" s="52">
        <f>[1]!s_stmnote_bank_38(A41,$B$1,1,100000000)</f>
        <v>426.68903096489998</v>
      </c>
      <c r="CC41" s="52">
        <f>[1]!s_stmnote_bank_38(A41,$E$1,1,100000000)</f>
        <v>0</v>
      </c>
      <c r="CD41" s="52">
        <f>[1]!s_stmnote_bank_38(A41,$F$1,1,100000000)</f>
        <v>0</v>
      </c>
      <c r="CE41" s="52">
        <f>[1]!s_stmnote_bank_38(A41,$G$1,1,100000000)</f>
        <v>0</v>
      </c>
      <c r="CF41" s="52">
        <f>IF(BP41&lt;&gt;0,BP41,IFERROR(IF(([1]!b_stm07_is(A41,19,$A$1,1,100000000)-[1]!b_stm07_is(A41,20,$A$1,1,100000000))/AVERAGE([1]!s_stmnote_bank_35(A41,$A$1,1,100000000),[1]!s_stmnote_bank_35(A41,$B$1,1,100000000))*100=0,"",([1]!b_stm07_is(A41,19,$A$1,1,100000000)-[1]!b_stm07_is(A41,20,$A$1,1,100000000))/AVERAGE([1]!s_stmnote_bank_35(A41,$A$1,1,100000000),[1]!s_stmnote_bank_35(A41,$B$1,1,100000000))*100),""))</f>
        <v>2.19</v>
      </c>
      <c r="CG41" s="27" t="str">
        <f t="shared" si="6"/>
        <v>67 171</v>
      </c>
      <c r="CH41" s="80">
        <f t="shared" si="14"/>
        <v>1.9210526315789476</v>
      </c>
      <c r="CI41" s="27" t="str">
        <f t="shared" si="7"/>
        <v>11 169</v>
      </c>
      <c r="CJ41" s="55">
        <f>[1]!s_stmnote_bank_30(A41,$A$1,1)</f>
        <v>15.451499999999999</v>
      </c>
      <c r="CP41" s="69">
        <f>[1]!b_stm07_bs($A41,141,$A$1,1,100000000)</f>
        <v>86.9288227734</v>
      </c>
      <c r="CQ41" s="69">
        <f>[1]!b_stm07_bs($A41,141,$D$1,1,100000000)</f>
        <v>0</v>
      </c>
      <c r="CR41" s="68">
        <f>IF([1]!s_fa_roic_yearly($A41,$A$1)=0,"",[1]!s_fa_roic_yearly($A41,$A$1))</f>
        <v>4.5515999999999996</v>
      </c>
      <c r="CS41" s="27">
        <f>RANK(CR41,CR$5:CR$192,0)/COUNTIF(CR$5:CR$192,"&gt;0")</f>
        <v>0.85207100591715978</v>
      </c>
      <c r="CT41" s="68">
        <f>IF([1]!s_fa_roic_yearly($A41,$D$1)=0,"",[1]!s_fa_roic_yearly($A41,$D$1))</f>
        <v>14.646800000000001</v>
      </c>
      <c r="CU41" s="27">
        <f>RANK(CT41,CT$5:CT$192,0)/COUNTIF(CT$5:CT$192,"&gt;0")</f>
        <v>0.10563380281690141</v>
      </c>
      <c r="CV41" s="78">
        <f>[1]!s_stm07_bs(A41,"W14578191",$A$1,1,100000000)</f>
        <v>228.3208826005</v>
      </c>
      <c r="CW41" s="78">
        <f>[1]!s_stmnote_bank_682($A41,$A$1,1,2,100000000)</f>
        <v>40.230687761399999</v>
      </c>
      <c r="CX41" s="79">
        <f t="shared" si="11"/>
        <v>0.17620240121352745</v>
      </c>
    </row>
    <row r="42" spans="1:102" s="46" customFormat="1" ht="13.5">
      <c r="A42" s="8" t="s">
        <v>453</v>
      </c>
      <c r="B42" s="8" t="s">
        <v>454</v>
      </c>
      <c r="C42" s="9" t="s">
        <v>455</v>
      </c>
      <c r="D42" s="9" t="s">
        <v>1066</v>
      </c>
      <c r="E42" s="10" t="s">
        <v>456</v>
      </c>
      <c r="F42" s="11" t="s">
        <v>178</v>
      </c>
      <c r="G42" s="11" t="s">
        <v>346</v>
      </c>
      <c r="H42" s="11" t="s">
        <v>245</v>
      </c>
      <c r="I42" s="11"/>
      <c r="J42" s="11">
        <f>VLOOKUP(B42,[3]额度信息!$B:$T,19,0)</f>
        <v>5.5</v>
      </c>
      <c r="K42" s="11" t="s">
        <v>457</v>
      </c>
      <c r="L42" s="27">
        <f>IFERROR(([1]!b_stm07_bs($A42,47,$A$1,1,100000000))/[1]!b_stm07_bs($A42,109,$A$1,1,100000000),"")</f>
        <v>7.7863207593183215E-2</v>
      </c>
      <c r="M42" s="20"/>
      <c r="N42" s="18"/>
      <c r="O42" s="27" t="e">
        <f t="shared" si="0"/>
        <v>#N/A</v>
      </c>
      <c r="P42" s="21">
        <f t="shared" si="12"/>
        <v>2.2173930416181015E-2</v>
      </c>
      <c r="Q42" s="27" t="str">
        <f t="shared" si="1"/>
        <v>49 169</v>
      </c>
      <c r="R42" s="18">
        <f>IFERROR([1]!s_stmnote_bank($A42,"34",$A$1,100000000)/[1]!s_stmnote_bank_1n(A42,$A$1,1,100000000),"")</f>
        <v>1.0473930416181016E-2</v>
      </c>
      <c r="S42" s="22"/>
      <c r="T42" s="22"/>
      <c r="U42" s="22"/>
      <c r="V42" s="22"/>
      <c r="W42" s="22"/>
      <c r="X42" s="22"/>
      <c r="Y42" s="22"/>
      <c r="Z42" s="25">
        <f>[1]!b_stm07_bs(A42,74,$A$1,1,100000000)</f>
        <v>10752.020259999999</v>
      </c>
      <c r="AA42" s="25">
        <f>[1]!b_stm07_bs(A42,109,$A$1,1,100000000)</f>
        <v>7238.45777</v>
      </c>
      <c r="AB42" s="10">
        <f>[1]!s_stmnote_bank_5n(A42,$A$1,1)</f>
        <v>1.17</v>
      </c>
      <c r="AC42" s="25">
        <f>IF([1]!s_stmnote_bank_23n(A42,$A$1,1)=0,"",IFERROR([1]!s_stmnote_bank_23n(A42,$A$1,1),""))</f>
        <v>322.76</v>
      </c>
      <c r="AD42" s="27" t="str">
        <f t="shared" si="2"/>
        <v>116 167</v>
      </c>
      <c r="AE42" s="25">
        <f>[1]!s_stmnote_bank_capadequacyratio(A42,$A$1,1)</f>
        <v>16.05</v>
      </c>
      <c r="AF42" s="25">
        <f>IF([1]!s_stmnote_bank_capadequacyratio_ct1(A42,$A$1,1)=0,"",IFERROR([1]!s_stmnote_bank_capadequacyratio_ct1(A42,$A$1,1),""))</f>
        <v>13.03</v>
      </c>
      <c r="AG42" s="27" t="str">
        <f>RANK(AF42,AF$5:AF$192,1)&amp;" "&amp;COUNTIF(AF$5:AF$192,"&gt;0")</f>
        <v>139 167</v>
      </c>
      <c r="AH42" s="6">
        <f>IF(OR([1]!s_fa_roe(A42,20201231)=0,[1]!s_fa_roe(A42,20211231)="0",[1]!s_fa_roe(A42,20221231)="0"),"",IFERROR(([1]!s_fa_roe(A42,20221231)+[1]!s_fa_roe(A42,20201231)+[1]!s_fa_roe(A42,20211231))/3,""))</f>
        <v>11.296466666666666</v>
      </c>
      <c r="AI42" s="27" t="str">
        <f t="shared" si="3"/>
        <v>144 173</v>
      </c>
      <c r="AJ42" s="28">
        <f>IFERROR(([1]!s_stmnote_bank_65(A42,$A$1,1,2,4,100000000)+[1]!s_stmnote_bank_65(A42,$A$1,1,2,6,100000000))/[1]!s_stmnote_bank_1n(A42,$A$1,1,100000000),"")</f>
        <v>0.10557622475879737</v>
      </c>
      <c r="AK42" s="28">
        <f>IFERROR([1]!s_stmnote_bank_614(A42,$A$1,1,2,100000000)/[1]!s_stmnote_bank_647(A42,$A$1,1,2,100000000),"")</f>
        <v>0.28920204365577173</v>
      </c>
      <c r="AL42" s="28">
        <f>IFERROR(([1]!b_stm07_bs(A42,104,$A$1,1,100000000)+[1]!b_stm07_bs(A42,106,$A$1,1,100000000)+[1]!b_stm07_bs(A42,76,$A$1,1,100000000)+[1]!b_stm07_bs(A42,108,$A$1,1,100000000)+[1]!b_stm07_bs(A42,95,$A$1,1,100000000))/[1]!b_stm07_bs(A42,128,$A$1,1,100000000),"")</f>
        <v>0.22809614264670852</v>
      </c>
      <c r="AM42" s="28">
        <f>IFERROR(([1]!s_stmnote_bank_614(A42,$A$1,1,2,100000000)+[1]!b_stm07_bs(A42,104,$A$1,1,100000000)+[1]!b_stm07_bs(A42,106,$A$1,1,100000000)+[1]!b_stm07_bs(A42,76,$A$1,1,100000000)+[1]!b_stm07_bs(A42,108,$A$1,1,100000000)+[1]!b_stm07_bs(A42,95,$A$1,1,100000000))/[1]!b_stm07_bs(A42,128,$A$1,1,100000000),"")</f>
        <v>0.43644787794165713</v>
      </c>
      <c r="AN42" s="31" t="e">
        <f>IF(Z42&gt;#REF!,#REF!,IF(Z42&gt;#REF!,#REF!,IF(Z42&gt;#REF!,#REF!,IF(Z42&gt;#REF!,#REF!,IF(Z42&gt;#REF!,#REF!,IF(Z42&gt;#REF!,#REF!,IF(Z42&gt;#REF!,#REF!,#REF!)))))))</f>
        <v>#REF!</v>
      </c>
      <c r="AO42" s="31" t="e">
        <f>IF(AA42&gt;#REF!,#REF!,IF(AA42&gt;#REF!,#REF!,IF(AA42&gt;#REF!,#REF!,IF(AA42&gt;#REF!,#REF!,IF(AA42&gt;#REF!,#REF!,IF(AA42&gt;#REF!,#REF!,IF(AA42&gt;#REF!,#REF!,#REF!)))))))</f>
        <v>#REF!</v>
      </c>
      <c r="AP42" s="31" t="e">
        <f>IF(AB42&lt;#REF!,#REF!,IF(AB42&lt;#REF!,#REF!,IF(AB42&lt;#REF!,#REF!,IF(AB42&lt;#REF!,#REF!,IF(AB42&lt;#REF!,#REF!,IF(AB42&lt;#REF!,#REF!,#REF!))))))</f>
        <v>#REF!</v>
      </c>
      <c r="AQ42" s="31" t="e">
        <f>IF(AC42&gt;#REF!,#REF!,IF(AC42&gt;#REF!,#REF!,IF(AC42&gt;#REF!,#REF!,IF(AC42&gt;#REF!,#REF!,#REF!))))</f>
        <v>#REF!</v>
      </c>
      <c r="AR42" s="31" t="e">
        <f>IF(AE42&gt;#REF!,#REF!,IF(AE42&gt;#REF!,#REF!,IF(AE42&gt;#REF!,#REF!,IF(AE42&gt;#REF!,#REF!,#REF!))))</f>
        <v>#REF!</v>
      </c>
      <c r="AS42" s="31" t="e">
        <f>IF(AF42&gt;#REF!,#REF!,IF(AF42&gt;#REF!,#REF!,IF(AF42&gt;#REF!,#REF!,IF(AF42&gt;#REF!,#REF!,#REF!))))</f>
        <v>#REF!</v>
      </c>
      <c r="AT42" s="31" t="e">
        <f>IF(AH42&gt;#REF!,#REF!,IF(AH42&gt;#REF!,#REF!,IF(AH42&gt;#REF!,#REF!,IF(AH42&gt;#REF!,#REF!,IF(AH42&gt;#REF!,#REF!,#REF!)))))</f>
        <v>#REF!</v>
      </c>
      <c r="AU42" s="10" t="e">
        <f t="shared" si="4"/>
        <v>#REF!</v>
      </c>
      <c r="AV42" s="10" t="s">
        <v>60</v>
      </c>
      <c r="AW42" s="10" t="s">
        <v>141</v>
      </c>
      <c r="AX42" s="10" t="s">
        <v>261</v>
      </c>
      <c r="AY42" s="31" t="str">
        <f>IFERROR(VLOOKUP(AV42,#REF!,3,0),"")</f>
        <v/>
      </c>
      <c r="AZ42" s="31" t="str">
        <f>IFERROR(VLOOKUP(AW42,#REF!,3,0),"")</f>
        <v/>
      </c>
      <c r="BA42" s="31" t="str">
        <f>IFERROR(VLOOKUP(AX42,#REF!,3,0),"")</f>
        <v/>
      </c>
      <c r="BB42" s="31" t="str">
        <f>IFERROR(AY42*#REF!+AZ42*#REF!+BA42*#REF!,"")</f>
        <v/>
      </c>
      <c r="BC42" s="32" t="str">
        <f t="shared" si="5"/>
        <v/>
      </c>
      <c r="BD42" s="32" t="str">
        <f>IFERROR(VLOOKUP(BC42*10,#REF!,2,1),"")</f>
        <v/>
      </c>
      <c r="BE42" s="11">
        <v>1</v>
      </c>
      <c r="BF42" s="11">
        <v>-2</v>
      </c>
      <c r="BG42" s="10" t="s">
        <v>458</v>
      </c>
      <c r="BH42" s="11" t="s">
        <v>459</v>
      </c>
      <c r="BI42" s="10">
        <v>9.9996004104614293</v>
      </c>
      <c r="BJ42" s="33" t="s">
        <v>460</v>
      </c>
      <c r="BK42" s="33" t="s">
        <v>461</v>
      </c>
      <c r="BL42" s="10">
        <f>IF([1]!s_stmnote_bank_17n(A42,$A$1,1)="0","",[1]!s_stmnote_bank_17n(A42,$A$1,1))</f>
        <v>0</v>
      </c>
      <c r="BM42" s="10">
        <f>IF([1]!s_stmnote_bank_18n(A42,$A$1,1)="0","",[1]!s_stmnote_bank_18n(A42,$A$1,1))</f>
        <v>0</v>
      </c>
      <c r="BN42" s="41" t="s">
        <v>67</v>
      </c>
      <c r="BO42" s="68" t="s">
        <v>67</v>
      </c>
      <c r="BP42" s="52">
        <f>[1]!s_stmnote_bank_5444(A42,$A$1,1)</f>
        <v>0</v>
      </c>
      <c r="BQ42" s="52">
        <f>[1]!s_stmnote_bank_129n($A42,$A$1,1)</f>
        <v>36.81</v>
      </c>
      <c r="BR42" s="52">
        <f t="shared" si="13"/>
        <v>3.1639196035387749</v>
      </c>
      <c r="BS42" s="52">
        <f>[1]!b_stm07_is(A42,19,$A$1,1,100000000)</f>
        <v>323.89157</v>
      </c>
      <c r="BT42" s="52">
        <f xml:space="preserve"> [1]!s_stm07_bs(A42,"W15273164",$A$1,1,100000000)-[1]!s_stm07_bs(A42,"W17642530",$A$1,1,100000000)-[1]!s_stm07_bs(A42,"W15910877",$A$1,1,100000000)-[1]!s_stm07_bs_39(A42,$A$1,1,100000000)-[1]!s_stm07_bs(A42,"W17700468",$A$1,1,100000000)-[1]!s_stm07_bs(A42,"W16504296",$A$1,1,100000000)-[1]!s_stm07_bs(A42,"W13769069",$A$1,1,100000000)</f>
        <v>10633.970159999997</v>
      </c>
      <c r="BU42" s="52">
        <f xml:space="preserve"> [1]!s_stm07_bs(A42,"W15273164",$B$1,1,100000000)-[1]!s_stm07_bs(A42,"W17642530",$B$1,1,100000000)-[1]!s_stm07_bs(A42,"W15910877",$B$1,1,100000000)-[1]!s_stm07_bs_39(A42,$B$1,1,100000000)-[1]!s_stm07_bs(A42,"W17700468",$B$1,1,100000000)-[1]!s_stm07_bs(A42,"W16504296",$B$1,1,100000000)-[1]!s_stm07_bs(A42,"W13769069",$B$1,1,100000000)</f>
        <v>10180.33044</v>
      </c>
      <c r="BV42" s="52">
        <f xml:space="preserve"> [1]!s_stm07_bs(A42,"W15273164",$E$1,1,100000000)-[1]!s_stm07_bs(A42,"W17642530",$E$1,1,100000000)-[1]!s_stm07_bs(A42,"W15910877",$E$1,1,100000000)-[1]!s_stm07_bs_39(A42,$E$1,1,100000000)-[1]!s_stm07_bs(A42,"W17700468",$E$1,1,100000000)-[1]!s_stm07_bs(A42,"W16504296",$E$1,1,100000000)-[1]!s_stm07_bs(A42,"W13769069",$E$1,1,100000000)</f>
        <v>0</v>
      </c>
      <c r="BW42" s="52">
        <f xml:space="preserve"> [1]!s_stm07_bs(A42,"W15273164",$F$1,1,100000000)-[1]!s_stm07_bs(A42,"W17642530",$F$1,1,100000000)-[1]!s_stm07_bs(A42,"W15910877",$F$1,1,100000000)-[1]!s_stm07_bs_39(A42,$F$1,1,100000000)-[1]!s_stm07_bs(A42,"W17700468",$F$1,1,100000000)-[1]!s_stm07_bs(A42,"W16504296",$F$1,1,100000000)-[1]!s_stm07_bs(A42,"W13769069",$F$1,1,100000000)</f>
        <v>0</v>
      </c>
      <c r="BX42" s="52">
        <f xml:space="preserve"> [1]!s_stm07_bs(A42,"W15273164",$G$1,1,100000000)-[1]!s_stm07_bs(A42,"W17642530",$G$1,1,100000000)-[1]!s_stm07_bs(A42,"W15910877",$G$1,1,100000000)-[1]!s_stm07_bs_39(A42,$G$1,1,100000000)-[1]!s_stm07_bs(A42,"W17700468",$G$1,1,100000000)-[1]!s_stm07_bs(A42,"W16504296",$G$1,1,100000000)-[1]!s_stm07_bs(A42,"W13769069",$G$1,1,100000000)</f>
        <v>0</v>
      </c>
      <c r="BY42" s="52">
        <f>IFERROR([1]!b_stm07_is(A42,20,$A$1,1,100000000)/AVERAGEIF(CA42:CE42,"&gt;0")*100,0)</f>
        <v>1.9435435992838497</v>
      </c>
      <c r="BZ42" s="52">
        <f>[1]!b_stm07_is(A42,20,$A$1,1,100000000)</f>
        <v>189.56372999999999</v>
      </c>
      <c r="CA42" s="52">
        <f>[1]!s_stmnote_bank_38(A42,$A$1,1,100000000)</f>
        <v>9941.9412499999999</v>
      </c>
      <c r="CB42" s="52">
        <f>[1]!s_stmnote_bank_38(A42,$B$1,1,100000000)</f>
        <v>9565.0798500000001</v>
      </c>
      <c r="CC42" s="52">
        <f>[1]!s_stmnote_bank_38(A42,$E$1,1,100000000)</f>
        <v>0</v>
      </c>
      <c r="CD42" s="52">
        <f>[1]!s_stmnote_bank_38(A42,$F$1,1,100000000)</f>
        <v>0</v>
      </c>
      <c r="CE42" s="52">
        <f>[1]!s_stmnote_bank_38(A42,$G$1,1,100000000)</f>
        <v>0</v>
      </c>
      <c r="CF42" s="52">
        <f>IF(BP42&lt;&gt;0,BP42,IFERROR(IF(([1]!b_stm07_is(A42,19,$A$1,1,100000000)-[1]!b_stm07_is(A42,20,$A$1,1,100000000))/AVERAGE([1]!s_stmnote_bank_35(A42,$A$1,1,100000000),[1]!s_stmnote_bank_35(A42,$B$1,1,100000000))*100=0,"",([1]!b_stm07_is(A42,19,$A$1,1,100000000)-[1]!b_stm07_is(A42,20,$A$1,1,100000000))/AVERAGE([1]!s_stmnote_bank_35(A42,$A$1,1,100000000),[1]!s_stmnote_bank_35(A42,$B$1,1,100000000))*100),""))</f>
        <v>1.3350809648261601</v>
      </c>
      <c r="CG42" s="27" t="str">
        <f t="shared" si="6"/>
        <v>161 171</v>
      </c>
      <c r="CH42" s="80">
        <f t="shared" si="14"/>
        <v>0.60209486535229206</v>
      </c>
      <c r="CI42" s="27" t="str">
        <f t="shared" si="7"/>
        <v>96 169</v>
      </c>
      <c r="CJ42" s="55">
        <f>[1]!s_stmnote_bank_30(A42,$A$1,1)</f>
        <v>19.010400000000001</v>
      </c>
      <c r="CP42" s="69">
        <f>[1]!b_stm07_bs($A42,141,$A$1,1,100000000)</f>
        <v>704.69919000000004</v>
      </c>
      <c r="CQ42" s="69">
        <f>[1]!b_stm07_bs($A42,141,$D$1,1,100000000)</f>
        <v>0</v>
      </c>
      <c r="CR42" s="68">
        <f>IF([1]!s_fa_roic_yearly($A42,$A$1)=0,"",[1]!s_fa_roic_yearly($A42,$A$1))</f>
        <v>11.221399999999999</v>
      </c>
      <c r="CS42" s="27">
        <f>RANK(CR42,CR$5:CR$192,0)/COUNTIF(CR$5:CR$192,"&gt;0")</f>
        <v>0.22485207100591717</v>
      </c>
      <c r="CT42" s="68" t="str">
        <f>IF([1]!s_fa_roic_yearly($A42,$D$1)=0,"",[1]!s_fa_roic_yearly($A42,$D$1))</f>
        <v/>
      </c>
      <c r="CU42" s="27" t="e">
        <f>RANK(CT42,CT$5:CT$192,0)/COUNTIF(CT$5:CT$192,"&gt;0")</f>
        <v>#VALUE!</v>
      </c>
      <c r="CV42" s="78">
        <f>[1]!s_stm07_bs(A42,"W14578191",$A$1,1,100000000)</f>
        <v>3499.6731300000001</v>
      </c>
      <c r="CW42" s="78">
        <f>[1]!s_stmnote_bank_682($A42,$A$1,1,2,100000000)</f>
        <v>330.16626000000002</v>
      </c>
      <c r="CX42" s="79">
        <f t="shared" si="11"/>
        <v>9.4342027879615153E-2</v>
      </c>
    </row>
    <row r="43" spans="1:102" ht="13.5">
      <c r="A43" s="8" t="s">
        <v>432</v>
      </c>
      <c r="B43" s="8" t="s">
        <v>433</v>
      </c>
      <c r="C43" s="9" t="s">
        <v>434</v>
      </c>
      <c r="D43" s="9" t="s">
        <v>1061</v>
      </c>
      <c r="E43" s="10" t="s">
        <v>138</v>
      </c>
      <c r="F43" s="11" t="s">
        <v>178</v>
      </c>
      <c r="G43" s="11" t="s">
        <v>139</v>
      </c>
      <c r="H43" s="11" t="s">
        <v>206</v>
      </c>
      <c r="I43" s="11"/>
      <c r="J43" s="11">
        <f>VLOOKUP(B43,[3]额度信息!$B:$T,19,0)</f>
        <v>0</v>
      </c>
      <c r="K43" s="11" t="s">
        <v>435</v>
      </c>
      <c r="L43" s="27">
        <f>IFERROR(([1]!b_stm07_bs($A43,47,$A$1,1,100000000))/[1]!b_stm07_bs($A43,109,$A$1,1,100000000),"")</f>
        <v>7.655170480369157E-2</v>
      </c>
      <c r="M43" s="20"/>
      <c r="N43" s="18"/>
      <c r="O43" s="27" t="e">
        <f t="shared" si="0"/>
        <v>#N/A</v>
      </c>
      <c r="P43" s="21">
        <f t="shared" si="12"/>
        <v>2.9391402128667199E-2</v>
      </c>
      <c r="Q43" s="27" t="str">
        <f t="shared" si="1"/>
        <v>82 169</v>
      </c>
      <c r="R43" s="18">
        <f>IFERROR([1]!s_stmnote_bank($A43,"34",$A$1,100000000)/[1]!s_stmnote_bank_1n(A43,$A$1,1,100000000),"")</f>
        <v>1.1591402128667201E-2</v>
      </c>
      <c r="S43" s="22"/>
      <c r="T43" s="22"/>
      <c r="U43" s="22"/>
      <c r="V43" s="22"/>
      <c r="W43" s="22"/>
      <c r="X43" s="22"/>
      <c r="Y43" s="22"/>
      <c r="Z43" s="25">
        <f>[1]!b_stm07_bs(A43,74,$A$1,1,100000000)</f>
        <v>2793.1672425893998</v>
      </c>
      <c r="AA43" s="25">
        <f>[1]!b_stm07_bs(A43,109,$A$1,1,100000000)</f>
        <v>1866.7084199320002</v>
      </c>
      <c r="AB43" s="10">
        <f>[1]!s_stmnote_bank_5n(A43,$A$1,1)</f>
        <v>1.78</v>
      </c>
      <c r="AC43" s="25">
        <f>IF([1]!s_stmnote_bank_23n(A43,$A$1,1)=0,"",IFERROR([1]!s_stmnote_bank_23n(A43,$A$1,1),""))</f>
        <v>224.48</v>
      </c>
      <c r="AD43" s="27" t="str">
        <f t="shared" si="2"/>
        <v>80 167</v>
      </c>
      <c r="AE43" s="25">
        <f>[1]!s_stmnote_bank_capadequacyratio(A43,$A$1,1)</f>
        <v>13.71</v>
      </c>
      <c r="AF43" s="25">
        <f>IF([1]!s_stmnote_bank_capadequacyratio_ct1(A43,$A$1,1)=0,"",IFERROR([1]!s_stmnote_bank_capadequacyratio_ct1(A43,$A$1,1),""))</f>
        <v>9.89</v>
      </c>
      <c r="AG43" s="27" t="str">
        <f>RANK(AF43,AF$5:AF$192,0)&amp;" "&amp;COUNTIF(AF$5:AF$192,"&gt;0")</f>
        <v>88 167</v>
      </c>
      <c r="AH43" s="6">
        <f>IF(OR([1]!s_fa_roe(A43,20201231)=0,[1]!s_fa_roe(A43,20211231)="0",[1]!s_fa_roe(A43,20221231)="0"),"",IFERROR(([1]!s_fa_roe(A43,20221231)+[1]!s_fa_roe(A43,20201231)+[1]!s_fa_roe(A43,20211231))/3,""))</f>
        <v>8.7491666666666674</v>
      </c>
      <c r="AI43" s="27" t="str">
        <f t="shared" si="3"/>
        <v>89 173</v>
      </c>
      <c r="AJ43" s="28">
        <f>IFERROR(([1]!s_stmnote_bank_65(A43,$A$1,1,2,4,100000000)+[1]!s_stmnote_bank_65(A43,$A$1,1,2,6,100000000))/[1]!s_stmnote_bank_1n(A43,$A$1,1,100000000),"")</f>
        <v>0.18892021283516724</v>
      </c>
      <c r="AK43" s="28">
        <f>IFERROR([1]!s_stmnote_bank_614(A43,$A$1,1,2,100000000)/[1]!s_stmnote_bank_647(A43,$A$1,1,2,100000000),"")</f>
        <v>0.22536312842946551</v>
      </c>
      <c r="AL43" s="28">
        <f>IFERROR(([1]!b_stm07_bs(A43,104,$A$1,1,100000000)+[1]!b_stm07_bs(A43,106,$A$1,1,100000000)+[1]!b_stm07_bs(A43,76,$A$1,1,100000000)+[1]!b_stm07_bs(A43,108,$A$1,1,100000000)+[1]!b_stm07_bs(A43,95,$A$1,1,100000000))/[1]!b_stm07_bs(A43,128,$A$1,1,100000000),"")</f>
        <v>0.24370467730832768</v>
      </c>
      <c r="AM43" s="28">
        <f>IFERROR(([1]!s_stmnote_bank_614(A43,$A$1,1,2,100000000)+[1]!b_stm07_bs(A43,104,$A$1,1,100000000)+[1]!b_stm07_bs(A43,106,$A$1,1,100000000)+[1]!b_stm07_bs(A43,76,$A$1,1,100000000)+[1]!b_stm07_bs(A43,108,$A$1,1,100000000)+[1]!b_stm07_bs(A43,95,$A$1,1,100000000))/[1]!b_stm07_bs(A43,128,$A$1,1,100000000),"")</f>
        <v>0.40675284506144471</v>
      </c>
      <c r="AN43" s="31" t="e">
        <f>IF(Z43&gt;#REF!,#REF!,IF(Z43&gt;#REF!,#REF!,IF(Z43&gt;#REF!,#REF!,IF(Z43&gt;#REF!,#REF!,IF(Z43&gt;#REF!,#REF!,IF(Z43&gt;#REF!,#REF!,IF(Z43&gt;#REF!,#REF!,#REF!)))))))</f>
        <v>#REF!</v>
      </c>
      <c r="AO43" s="31" t="e">
        <f>IF(AA43&gt;#REF!,#REF!,IF(AA43&gt;#REF!,#REF!,IF(AA43&gt;#REF!,#REF!,IF(AA43&gt;#REF!,#REF!,IF(AA43&gt;#REF!,#REF!,IF(AA43&gt;#REF!,#REF!,IF(AA43&gt;#REF!,#REF!,#REF!)))))))</f>
        <v>#REF!</v>
      </c>
      <c r="AP43" s="31" t="e">
        <f>IF(AB43&lt;#REF!,#REF!,IF(AB43&lt;#REF!,#REF!,IF(AB43&lt;#REF!,#REF!,IF(AB43&lt;#REF!,#REF!,IF(AB43&lt;#REF!,#REF!,IF(AB43&lt;#REF!,#REF!,#REF!))))))</f>
        <v>#REF!</v>
      </c>
      <c r="AQ43" s="31" t="e">
        <f>IF(AC43&gt;#REF!,#REF!,IF(AC43&gt;#REF!,#REF!,IF(AC43&gt;#REF!,#REF!,IF(AC43&gt;#REF!,#REF!,#REF!))))</f>
        <v>#REF!</v>
      </c>
      <c r="AR43" s="31" t="e">
        <f>IF(AE43&gt;#REF!,#REF!,IF(AE43&gt;#REF!,#REF!,IF(AE43&gt;#REF!,#REF!,IF(AE43&gt;#REF!,#REF!,#REF!))))</f>
        <v>#REF!</v>
      </c>
      <c r="AS43" s="31" t="e">
        <f>IF(AF43&gt;#REF!,#REF!,IF(AF43&gt;#REF!,#REF!,IF(AF43&gt;#REF!,#REF!,IF(AF43&gt;#REF!,#REF!,#REF!))))</f>
        <v>#REF!</v>
      </c>
      <c r="AT43" s="31" t="e">
        <f>IF(AH43&gt;#REF!,#REF!,IF(AH43&gt;#REF!,#REF!,IF(AH43&gt;#REF!,#REF!,IF(AH43&gt;#REF!,#REF!,IF(AH43&gt;#REF!,#REF!,#REF!)))))</f>
        <v>#REF!</v>
      </c>
      <c r="AU43" s="10" t="e">
        <f t="shared" si="4"/>
        <v>#REF!</v>
      </c>
      <c r="AV43" s="10" t="s">
        <v>60</v>
      </c>
      <c r="AW43" s="10" t="s">
        <v>227</v>
      </c>
      <c r="AX43" s="10" t="s">
        <v>261</v>
      </c>
      <c r="AY43" s="31" t="str">
        <f>IFERROR(VLOOKUP(AV43,#REF!,3,0),"")</f>
        <v/>
      </c>
      <c r="AZ43" s="31" t="str">
        <f>IFERROR(VLOOKUP(AW43,#REF!,3,0),"")</f>
        <v/>
      </c>
      <c r="BA43" s="31" t="str">
        <f>IFERROR(VLOOKUP(AX43,#REF!,3,0),"")</f>
        <v/>
      </c>
      <c r="BB43" s="31" t="str">
        <f>IFERROR(AY43*#REF!+AZ43*#REF!+BA43*#REF!,"")</f>
        <v/>
      </c>
      <c r="BC43" s="32" t="str">
        <f t="shared" si="5"/>
        <v/>
      </c>
      <c r="BD43" s="32" t="str">
        <f>IFERROR(VLOOKUP(BC43*10,#REF!,2,1),"")</f>
        <v/>
      </c>
      <c r="BE43" s="11">
        <v>2</v>
      </c>
      <c r="BF43" s="11">
        <v>0</v>
      </c>
      <c r="BG43" s="10" t="s">
        <v>262</v>
      </c>
      <c r="BH43" s="11" t="s">
        <v>436</v>
      </c>
      <c r="BI43" s="10">
        <v>70.279998779296903</v>
      </c>
      <c r="BJ43" s="33" t="s">
        <v>280</v>
      </c>
      <c r="BK43" s="33" t="s">
        <v>281</v>
      </c>
      <c r="BL43" s="10">
        <f>IF([1]!s_stmnote_bank_17n(A43,$A$1,1)="0","",[1]!s_stmnote_bank_17n(A43,$A$1,1))</f>
        <v>4.84</v>
      </c>
      <c r="BM43" s="10">
        <f>IF([1]!s_stmnote_bank_18n(A43,$A$1,1)="0","",[1]!s_stmnote_bank_18n(A43,$A$1,1))</f>
        <v>0</v>
      </c>
      <c r="BN43" s="41"/>
      <c r="BO43" s="52"/>
      <c r="BP43" s="52">
        <f>[1]!s_stmnote_bank_5444(A43,$A$1,1)</f>
        <v>0</v>
      </c>
      <c r="BQ43" s="52">
        <f>[1]!s_stmnote_bank_129n($A43,$A$1,1)</f>
        <v>32.92</v>
      </c>
      <c r="BR43" s="52">
        <f t="shared" si="13"/>
        <v>5.114194014881396</v>
      </c>
      <c r="BS43" s="52">
        <f>[1]!b_stm07_is(A43,19,$A$1,1,100000000)</f>
        <v>123.64589718879999</v>
      </c>
      <c r="BT43" s="52">
        <f xml:space="preserve"> [1]!s_stm07_bs(A43,"W15273164",$A$1,1,100000000)-[1]!s_stm07_bs(A43,"W17642530",$A$1,1,100000000)-[1]!s_stm07_bs(A43,"W15910877",$A$1,1,100000000)-[1]!s_stm07_bs_39(A43,$A$1,1,100000000)-[1]!s_stm07_bs(A43,"W17700468",$A$1,1,100000000)-[1]!s_stm07_bs(A43,"W16504296",$A$1,1,100000000)-[1]!s_stm07_bs(A43,"W13769069",$A$1,1,100000000)</f>
        <v>2758.5907531329999</v>
      </c>
      <c r="BU43" s="52">
        <f xml:space="preserve"> [1]!s_stm07_bs(A43,"W15273164",$B$1,1,100000000)-[1]!s_stm07_bs(A43,"W17642530",$B$1,1,100000000)-[1]!s_stm07_bs(A43,"W15910877",$B$1,1,100000000)-[1]!s_stm07_bs_39(A43,$B$1,1,100000000)-[1]!s_stm07_bs(A43,"W17700468",$B$1,1,100000000)-[1]!s_stm07_bs(A43,"W16504296",$B$1,1,100000000)-[1]!s_stm07_bs(A43,"W13769069",$B$1,1,100000000)</f>
        <v>2325.5322175936999</v>
      </c>
      <c r="BV43" s="52">
        <f xml:space="preserve"> [1]!s_stm07_bs(A43,"W15273164",$E$1,1,100000000)-[1]!s_stm07_bs(A43,"W17642530",$E$1,1,100000000)-[1]!s_stm07_bs(A43,"W15910877",$E$1,1,100000000)-[1]!s_stm07_bs_39(A43,$E$1,1,100000000)-[1]!s_stm07_bs(A43,"W17700468",$E$1,1,100000000)-[1]!s_stm07_bs(A43,"W16504296",$E$1,1,100000000)-[1]!s_stm07_bs(A43,"W13769069",$E$1,1,100000000)</f>
        <v>2640.8665900796</v>
      </c>
      <c r="BW43" s="52">
        <f xml:space="preserve"> [1]!s_stm07_bs(A43,"W15273164",$F$1,1,100000000)-[1]!s_stm07_bs(A43,"W17642530",$F$1,1,100000000)-[1]!s_stm07_bs(A43,"W15910877",$F$1,1,100000000)-[1]!s_stm07_bs_39(A43,$F$1,1,100000000)-[1]!s_stm07_bs(A43,"W17700468",$F$1,1,100000000)-[1]!s_stm07_bs(A43,"W16504296",$F$1,1,100000000)-[1]!s_stm07_bs(A43,"W13769069",$F$1,1,100000000)</f>
        <v>2569.8060909421001</v>
      </c>
      <c r="BX43" s="52">
        <f xml:space="preserve"> [1]!s_stm07_bs(A43,"W15273164",$G$1,1,100000000)-[1]!s_stm07_bs(A43,"W17642530",$G$1,1,100000000)-[1]!s_stm07_bs(A43,"W15910877",$G$1,1,100000000)-[1]!s_stm07_bs_39(A43,$G$1,1,100000000)-[1]!s_stm07_bs(A43,"W17700468",$G$1,1,100000000)-[1]!s_stm07_bs(A43,"W16504296",$G$1,1,100000000)-[1]!s_stm07_bs(A43,"W13769069",$G$1,1,100000000)</f>
        <v>2498.8998173948999</v>
      </c>
      <c r="BY43" s="52">
        <f>IFERROR([1]!b_stm07_is(A43,20,$A$1,1,100000000)/AVERAGEIF(CA43:CE43,"&gt;0")*100,0)</f>
        <v>2.7190142806862179</v>
      </c>
      <c r="BZ43" s="52">
        <f>[1]!b_stm07_is(A43,20,$A$1,1,100000000)</f>
        <v>64.028637001199996</v>
      </c>
      <c r="CA43" s="52">
        <f>[1]!s_stmnote_bank_38(A43,$A$1,1,100000000)</f>
        <v>2548.1391197039998</v>
      </c>
      <c r="CB43" s="52">
        <f>[1]!s_stmnote_bank_38(A43,$B$1,1,100000000)</f>
        <v>2135.3453552967999</v>
      </c>
      <c r="CC43" s="52">
        <f>[1]!s_stmnote_bank_38(A43,$E$1,1,100000000)</f>
        <v>2433.1719162804998</v>
      </c>
      <c r="CD43" s="52">
        <f>[1]!s_stmnote_bank_38(A43,$F$1,1,100000000)</f>
        <v>2365.7332559591</v>
      </c>
      <c r="CE43" s="52">
        <f>[1]!s_stmnote_bank_38(A43,$G$1,1,100000000)</f>
        <v>2291.8473356269001</v>
      </c>
      <c r="CF43" s="52">
        <f>IF(BP43&lt;&gt;0,BP43,IFERROR(IF(([1]!b_stm07_is(A43,19,$A$1,1,100000000)-[1]!b_stm07_is(A43,20,$A$1,1,100000000))/AVERAGE([1]!s_stmnote_bank_35(A43,$A$1,1,100000000),[1]!s_stmnote_bank_35(A43,$B$1,1,100000000))*100=0,"",([1]!b_stm07_is(A43,19,$A$1,1,100000000)-[1]!b_stm07_is(A43,20,$A$1,1,100000000))/AVERAGE([1]!s_stmnote_bank_35(A43,$A$1,1,100000000),[1]!s_stmnote_bank_35(A43,$B$1,1,100000000))*100),""))</f>
        <v>2.3511990003222696</v>
      </c>
      <c r="CG43" s="27" t="str">
        <f t="shared" si="6"/>
        <v>43 171</v>
      </c>
      <c r="CH43" s="80">
        <f t="shared" si="14"/>
        <v>0.79996149555213092</v>
      </c>
      <c r="CI43" s="27" t="str">
        <f t="shared" si="7"/>
        <v>68 169</v>
      </c>
      <c r="CJ43" s="55">
        <f>[1]!s_stmnote_bank_30(A43,$A$1,1)</f>
        <v>20.500900000000001</v>
      </c>
      <c r="CK43" s="46"/>
      <c r="CL43" s="46"/>
      <c r="CM43" s="46"/>
      <c r="CN43" s="46"/>
      <c r="CO43" s="46"/>
      <c r="CP43" s="69">
        <f>[1]!b_stm07_bs($A43,141,$A$1,1,100000000)</f>
        <v>213.026323628</v>
      </c>
      <c r="CQ43" s="69">
        <f>[1]!b_stm07_bs($A43,141,$D$1,1,100000000)</f>
        <v>225.07923862529998</v>
      </c>
      <c r="CR43" s="68">
        <f>IF([1]!s_fa_roic_yearly($A43,$A$1)=0,"",[1]!s_fa_roic_yearly($A43,$A$1))</f>
        <v>9.1460000000000008</v>
      </c>
      <c r="CS43" s="27" t="str">
        <f>RANK(CR43,CR$5:CR$192,1)&amp;" "&amp;COUNTIF(CR$5:CR$192,"&gt;0")</f>
        <v>93 169</v>
      </c>
      <c r="CT43" s="68">
        <f>IF([1]!s_fa_roic_yearly($A43,$D$1)=0,"",[1]!s_fa_roic_yearly($A43,$D$1))</f>
        <v>11.0024</v>
      </c>
      <c r="CU43" s="27" t="str">
        <f>RANK(CT43,CT$5:CT$192,1)&amp;" "&amp;COUNTIF(CT$5:CT$192,"&gt;0")</f>
        <v>91 142</v>
      </c>
      <c r="CV43" s="78">
        <f>[1]!s_stm07_bs(A43,"W14578191",$A$1,1,100000000)</f>
        <v>1463.020814903</v>
      </c>
      <c r="CW43" s="78">
        <f>[1]!s_stmnote_bank_682($A43,$A$1,1,2,100000000)</f>
        <v>720.64769163800008</v>
      </c>
      <c r="CX43" s="79">
        <f t="shared" si="11"/>
        <v>0.49257514609303754</v>
      </c>
    </row>
    <row r="44" spans="1:102" s="46" customFormat="1" ht="13.5">
      <c r="A44" s="8" t="s">
        <v>811</v>
      </c>
      <c r="B44" s="8" t="s">
        <v>812</v>
      </c>
      <c r="C44" s="9" t="s">
        <v>813</v>
      </c>
      <c r="D44" s="9" t="s">
        <v>1066</v>
      </c>
      <c r="E44" s="10" t="s">
        <v>167</v>
      </c>
      <c r="F44" s="11" t="s">
        <v>66</v>
      </c>
      <c r="G44" s="11" t="s">
        <v>245</v>
      </c>
      <c r="H44" s="11" t="s">
        <v>116</v>
      </c>
      <c r="I44" s="11"/>
      <c r="J44" s="11">
        <f>VLOOKUP(B44,[3]额度信息!$B:$T,19,0)</f>
        <v>0</v>
      </c>
      <c r="K44" s="11" t="s">
        <v>814</v>
      </c>
      <c r="L44" s="27">
        <f>IFERROR(([1]!b_stm07_bs($A44,47,$A$1,1,100000000))/[1]!b_stm07_bs($A44,109,$A$1,1,100000000),"")</f>
        <v>9.1036189157227138E-2</v>
      </c>
      <c r="M44" s="20">
        <v>7.13</v>
      </c>
      <c r="N44" s="18">
        <f>IFERROR(([1]!s_stmnote_bank_26($A44,$A$1,1,100000000)-[1]!s_stmnote_bank_26($A44,$B$1,1,100000000)+M44)/[1]!s_stmnote_bank_1n($A44,$B$1,1,100000000),"")</f>
        <v>5.8772153414680109E-3</v>
      </c>
      <c r="O44" s="27" t="str">
        <f t="shared" si="0"/>
        <v>16 50</v>
      </c>
      <c r="P44" s="21">
        <f t="shared" si="12"/>
        <v>1.6502695446319521E-2</v>
      </c>
      <c r="Q44" s="27" t="str">
        <f t="shared" si="1"/>
        <v>28 169</v>
      </c>
      <c r="R44" s="18">
        <v>8.4026954463195195E-3</v>
      </c>
      <c r="S44" s="22">
        <v>9.2590175735688292E-3</v>
      </c>
      <c r="T44" s="22">
        <v>8.1837101166719398E-3</v>
      </c>
      <c r="U44" s="22">
        <v>2.3905679983311501E-2</v>
      </c>
      <c r="V44" s="22"/>
      <c r="W44" s="22"/>
      <c r="X44" s="22"/>
      <c r="Y44" s="22"/>
      <c r="Z44" s="25">
        <f>[1]!b_stm07_bs(A44,74,$A$1,1,100000000)</f>
        <v>2465.8282100000001</v>
      </c>
      <c r="AA44" s="25">
        <f>[1]!b_stm07_bs(A44,109,$A$1,1,100000000)</f>
        <v>1875.58554</v>
      </c>
      <c r="AB44" s="10">
        <f>[1]!s_stmnote_bank_5n(A44,$A$1,1)</f>
        <v>0.81</v>
      </c>
      <c r="AC44" s="25">
        <f>IF([1]!s_stmnote_bank_23n(A44,$A$1,1)=0,"",IFERROR([1]!s_stmnote_bank_23n(A44,$A$1,1),""))</f>
        <v>531.82000000000005</v>
      </c>
      <c r="AD44" s="27" t="str">
        <f t="shared" si="2"/>
        <v>150 167</v>
      </c>
      <c r="AE44" s="25">
        <f>[1]!s_stmnote_bank_capadequacyratio(A44,$A$1,1)</f>
        <v>11.95</v>
      </c>
      <c r="AF44" s="25">
        <f>IF([1]!s_stmnote_bank_capadequacyratio_ct1(A44,$A$1,1)=0,"",IFERROR([1]!s_stmnote_bank_capadequacyratio_ct1(A44,$A$1,1),""))</f>
        <v>10.210000000000001</v>
      </c>
      <c r="AG44" s="27" t="str">
        <f>RANK(AF44,AF$5:AF$192,1)&amp;" "&amp;COUNTIF(AF$5:AF$192,"&gt;0")</f>
        <v>90 167</v>
      </c>
      <c r="AH44" s="6">
        <f>IF(OR([1]!s_fa_roe(A44,20201231)=0,[1]!s_fa_roe(A44,20211231)="0",[1]!s_fa_roe(A44,20221231)="0"),"",IFERROR(([1]!s_fa_roe(A44,20221231)+[1]!s_fa_roe(A44,20201231)+[1]!s_fa_roe(A44,20211231))/3,""))</f>
        <v>11.628033333333335</v>
      </c>
      <c r="AI44" s="27" t="str">
        <f t="shared" si="3"/>
        <v>146 173</v>
      </c>
      <c r="AJ44" s="28">
        <f>IFERROR(([1]!s_stmnote_bank_65(A44,$A$1,1,2,4,100000000)+[1]!s_stmnote_bank_65(A44,$A$1,1,2,6,100000000))/[1]!s_stmnote_bank_1n(A44,$A$1,1,100000000),"")</f>
        <v>8.3164079941164641E-3</v>
      </c>
      <c r="AK44" s="28">
        <f>IFERROR([1]!s_stmnote_bank_614(A44,$A$1,1,2,100000000)/[1]!s_stmnote_bank_647(A44,$A$1,1,2,100000000),"")</f>
        <v>0.15634275130307992</v>
      </c>
      <c r="AL44" s="28">
        <f>IFERROR(([1]!b_stm07_bs(A44,104,$A$1,1,100000000)+[1]!b_stm07_bs(A44,106,$A$1,1,100000000)+[1]!b_stm07_bs(A44,76,$A$1,1,100000000)+[1]!b_stm07_bs(A44,108,$A$1,1,100000000)+[1]!b_stm07_bs(A44,95,$A$1,1,100000000))/[1]!b_stm07_bs(A44,128,$A$1,1,100000000),"")</f>
        <v>0.12509105668029757</v>
      </c>
      <c r="AM44" s="28">
        <f>IFERROR(([1]!s_stmnote_bank_614(A44,$A$1,1,2,100000000)+[1]!b_stm07_bs(A44,104,$A$1,1,100000000)+[1]!b_stm07_bs(A44,106,$A$1,1,100000000)+[1]!b_stm07_bs(A44,76,$A$1,1,100000000)+[1]!b_stm07_bs(A44,108,$A$1,1,100000000)+[1]!b_stm07_bs(A44,95,$A$1,1,100000000))/[1]!b_stm07_bs(A44,128,$A$1,1,100000000),"")</f>
        <v>0.25181253842575607</v>
      </c>
      <c r="AN44" s="31" t="e">
        <f>IF(Z44&gt;#REF!,#REF!,IF(Z44&gt;#REF!,#REF!,IF(Z44&gt;#REF!,#REF!,IF(Z44&gt;#REF!,#REF!,IF(Z44&gt;#REF!,#REF!,IF(Z44&gt;#REF!,#REF!,IF(Z44&gt;#REF!,#REF!,#REF!)))))))</f>
        <v>#REF!</v>
      </c>
      <c r="AO44" s="31" t="e">
        <f>IF(AA44&gt;#REF!,#REF!,IF(AA44&gt;#REF!,#REF!,IF(AA44&gt;#REF!,#REF!,IF(AA44&gt;#REF!,#REF!,IF(AA44&gt;#REF!,#REF!,IF(AA44&gt;#REF!,#REF!,IF(AA44&gt;#REF!,#REF!,#REF!)))))))</f>
        <v>#REF!</v>
      </c>
      <c r="AP44" s="31" t="e">
        <f>IF(AB44&lt;#REF!,#REF!,IF(AB44&lt;#REF!,#REF!,IF(AB44&lt;#REF!,#REF!,IF(AB44&lt;#REF!,#REF!,IF(AB44&lt;#REF!,#REF!,IF(AB44&lt;#REF!,#REF!,#REF!))))))</f>
        <v>#REF!</v>
      </c>
      <c r="AQ44" s="31" t="e">
        <f>IF(AC44&gt;#REF!,#REF!,IF(AC44&gt;#REF!,#REF!,IF(AC44&gt;#REF!,#REF!,IF(AC44&gt;#REF!,#REF!,#REF!))))</f>
        <v>#REF!</v>
      </c>
      <c r="AR44" s="31" t="e">
        <f>IF(AE44&gt;#REF!,#REF!,IF(AE44&gt;#REF!,#REF!,IF(AE44&gt;#REF!,#REF!,IF(AE44&gt;#REF!,#REF!,#REF!))))</f>
        <v>#REF!</v>
      </c>
      <c r="AS44" s="31" t="e">
        <f>IF(AF44&gt;#REF!,#REF!,IF(AF44&gt;#REF!,#REF!,IF(AF44&gt;#REF!,#REF!,IF(AF44&gt;#REF!,#REF!,#REF!))))</f>
        <v>#REF!</v>
      </c>
      <c r="AT44" s="31" t="e">
        <f>IF(AH44&gt;#REF!,#REF!,IF(AH44&gt;#REF!,#REF!,IF(AH44&gt;#REF!,#REF!,IF(AH44&gt;#REF!,#REF!,IF(AH44&gt;#REF!,#REF!,#REF!)))))</f>
        <v>#REF!</v>
      </c>
      <c r="AU44" s="10" t="e">
        <f t="shared" si="4"/>
        <v>#REF!</v>
      </c>
      <c r="AV44" s="10" t="s">
        <v>141</v>
      </c>
      <c r="AW44" s="10" t="s">
        <v>61</v>
      </c>
      <c r="AX44" s="10" t="s">
        <v>62</v>
      </c>
      <c r="AY44" s="31" t="str">
        <f>IFERROR(VLOOKUP(AV44,#REF!,3,0),"")</f>
        <v/>
      </c>
      <c r="AZ44" s="31" t="str">
        <f>IFERROR(VLOOKUP(AW44,#REF!,3,0),"")</f>
        <v/>
      </c>
      <c r="BA44" s="31" t="str">
        <f>IFERROR(VLOOKUP(AX44,#REF!,3,0),"")</f>
        <v/>
      </c>
      <c r="BB44" s="31" t="str">
        <f>IFERROR(AY44*#REF!+AZ44*#REF!+BA44*#REF!,"")</f>
        <v/>
      </c>
      <c r="BC44" s="32" t="str">
        <f t="shared" si="5"/>
        <v/>
      </c>
      <c r="BD44" s="32" t="str">
        <f>IFERROR(VLOOKUP(BC44*10,#REF!,2,1),"")</f>
        <v/>
      </c>
      <c r="BE44" s="11">
        <v>0</v>
      </c>
      <c r="BF44" s="11">
        <v>0</v>
      </c>
      <c r="BG44" s="10"/>
      <c r="BH44" s="11" t="s">
        <v>70</v>
      </c>
      <c r="BI44" s="10">
        <v>9.0100002288818395</v>
      </c>
      <c r="BJ44" s="33" t="s">
        <v>92</v>
      </c>
      <c r="BK44" s="33" t="s">
        <v>815</v>
      </c>
      <c r="BL44" s="10">
        <f>IF([1]!s_stmnote_bank_17n(A44,$A$1,1)="0","",[1]!s_stmnote_bank_17n(A44,$A$1,1))</f>
        <v>0.7</v>
      </c>
      <c r="BM44" s="10">
        <f>IF([1]!s_stmnote_bank_18n(A44,$A$1,1)="0","",[1]!s_stmnote_bank_18n(A44,$A$1,1))</f>
        <v>5.91</v>
      </c>
      <c r="BN44" s="41">
        <v>5.18</v>
      </c>
      <c r="BO44" s="68">
        <v>2.2999999999999998</v>
      </c>
      <c r="BP44" s="52">
        <f>[1]!s_stmnote_bank_5444(A44,$A$1,1)</f>
        <v>3.06</v>
      </c>
      <c r="BQ44" s="52">
        <f>[1]!s_stmnote_bank_129n($A44,$A$1,1)</f>
        <v>41.4</v>
      </c>
      <c r="BR44" s="52">
        <f t="shared" si="13"/>
        <v>5.3820247447106118</v>
      </c>
      <c r="BS44" s="52">
        <f>[1]!b_stm07_is(A44,19,$A$1,1,100000000)</f>
        <v>114.84618</v>
      </c>
      <c r="BT44" s="52">
        <f xml:space="preserve"> [1]!s_stm07_bs(A44,"W15273164",$A$1,1,100000000)-[1]!s_stm07_bs(A44,"W17642530",$A$1,1,100000000)-[1]!s_stm07_bs(A44,"W15910877",$A$1,1,100000000)-[1]!s_stm07_bs_39(A44,$A$1,1,100000000)-[1]!s_stm07_bs(A44,"W17700468",$A$1,1,100000000)-[1]!s_stm07_bs(A44,"W16504296",$A$1,1,100000000)-[1]!s_stm07_bs(A44,"W13769069",$A$1,1,100000000)</f>
        <v>2424.1560200000004</v>
      </c>
      <c r="BU44" s="52">
        <f xml:space="preserve"> [1]!s_stm07_bs(A44,"W15273164",$B$1,1,100000000)-[1]!s_stm07_bs(A44,"W17642530",$B$1,1,100000000)-[1]!s_stm07_bs(A44,"W15910877",$B$1,1,100000000)-[1]!s_stm07_bs_39(A44,$B$1,1,100000000)-[1]!s_stm07_bs(A44,"W17700468",$B$1,1,100000000)-[1]!s_stm07_bs(A44,"W16504296",$B$1,1,100000000)-[1]!s_stm07_bs(A44,"W13769069",$B$1,1,100000000)</f>
        <v>2049.1431700000003</v>
      </c>
      <c r="BV44" s="52">
        <f xml:space="preserve"> [1]!s_stm07_bs(A44,"W15273164",$E$1,1,100000000)-[1]!s_stm07_bs(A44,"W17642530",$E$1,1,100000000)-[1]!s_stm07_bs(A44,"W15910877",$E$1,1,100000000)-[1]!s_stm07_bs_39(A44,$E$1,1,100000000)-[1]!s_stm07_bs(A44,"W17700468",$E$1,1,100000000)-[1]!s_stm07_bs(A44,"W16504296",$E$1,1,100000000)-[1]!s_stm07_bs(A44,"W13769069",$E$1,1,100000000)</f>
        <v>2374.9035000000003</v>
      </c>
      <c r="BW44" s="52">
        <f xml:space="preserve"> [1]!s_stm07_bs(A44,"W15273164",$F$1,1,100000000)-[1]!s_stm07_bs(A44,"W17642530",$F$1,1,100000000)-[1]!s_stm07_bs(A44,"W15910877",$F$1,1,100000000)-[1]!s_stm07_bs_39(A44,$F$1,1,100000000)-[1]!s_stm07_bs(A44,"W17700468",$F$1,1,100000000)-[1]!s_stm07_bs(A44,"W16504296",$F$1,1,100000000)-[1]!s_stm07_bs(A44,"W13769069",$F$1,1,100000000)</f>
        <v>2260.7865399999996</v>
      </c>
      <c r="BX44" s="52">
        <f xml:space="preserve"> [1]!s_stm07_bs(A44,"W15273164",$G$1,1,100000000)-[1]!s_stm07_bs(A44,"W17642530",$G$1,1,100000000)-[1]!s_stm07_bs(A44,"W15910877",$G$1,1,100000000)-[1]!s_stm07_bs_39(A44,$G$1,1,100000000)-[1]!s_stm07_bs(A44,"W17700468",$G$1,1,100000000)-[1]!s_stm07_bs(A44,"W16504296",$G$1,1,100000000)-[1]!s_stm07_bs(A44,"W13769069",$G$1,1,100000000)</f>
        <v>2244.8926099999999</v>
      </c>
      <c r="BY44" s="52">
        <f>IFERROR([1]!b_stm07_is(A44,20,$A$1,1,100000000)/AVERAGEIF(CA44:CE44,"&gt;0")*100,0)</f>
        <v>2.2904732374364674</v>
      </c>
      <c r="BZ44" s="52">
        <f>[1]!b_stm07_is(A44,20,$A$1,1,100000000)</f>
        <v>47.93253</v>
      </c>
      <c r="CA44" s="52">
        <f>[1]!s_stmnote_bank_38(A44,$A$1,1,100000000)</f>
        <v>2223.7141000000001</v>
      </c>
      <c r="CB44" s="52">
        <f>[1]!s_stmnote_bank_38(A44,$B$1,1,100000000)</f>
        <v>1875.35726</v>
      </c>
      <c r="CC44" s="52">
        <f>[1]!s_stmnote_bank_38(A44,$E$1,1,100000000)</f>
        <v>2187.55512</v>
      </c>
      <c r="CD44" s="52">
        <f>[1]!s_stmnote_bank_38(A44,$F$1,1,100000000)</f>
        <v>2100.0383000000002</v>
      </c>
      <c r="CE44" s="52">
        <f>[1]!s_stmnote_bank_38(A44,$G$1,1,100000000)</f>
        <v>2076.79081</v>
      </c>
      <c r="CF44" s="52">
        <f>IF(BP44&lt;&gt;0,BP44,IFERROR(IF(([1]!b_stm07_is(A44,19,$A$1,1,100000000)-[1]!b_stm07_is(A44,20,$A$1,1,100000000))/AVERAGE([1]!s_stmnote_bank_35(A44,$A$1,1,100000000),[1]!s_stmnote_bank_35(A44,$B$1,1,100000000))*100=0,"",([1]!b_stm07_is(A44,19,$A$1,1,100000000)-[1]!b_stm07_is(A44,20,$A$1,1,100000000))/AVERAGE([1]!s_stmnote_bank_35(A44,$A$1,1,100000000),[1]!s_stmnote_bank_35(A44,$B$1,1,100000000))*100),""))</f>
        <v>3.06</v>
      </c>
      <c r="CG44" s="27" t="str">
        <f t="shared" si="6"/>
        <v>11 171</v>
      </c>
      <c r="CH44" s="80">
        <f t="shared" si="14"/>
        <v>1.8542425447731634</v>
      </c>
      <c r="CI44" s="27" t="str">
        <f t="shared" si="7"/>
        <v>13 169</v>
      </c>
      <c r="CJ44" s="55">
        <f>[1]!s_stmnote_bank_30(A44,$A$1,1)</f>
        <v>12.593299999999999</v>
      </c>
      <c r="CK44" s="48"/>
      <c r="CL44" s="48"/>
      <c r="CM44" s="48"/>
      <c r="CN44" s="48"/>
      <c r="CO44" s="48"/>
      <c r="CP44" s="69">
        <f>[1]!b_stm07_bs($A44,141,$A$1,1,100000000)</f>
        <v>211.36704</v>
      </c>
      <c r="CQ44" s="69">
        <f>[1]!b_stm07_bs($A44,141,$D$1,1,100000000)</f>
        <v>220.93360999999999</v>
      </c>
      <c r="CR44" s="68">
        <f>IF([1]!s_fa_roic_yearly($A44,$A$1)=0,"",[1]!s_fa_roic_yearly($A44,$A$1))</f>
        <v>11.5931</v>
      </c>
      <c r="CS44" s="27">
        <f>RANK(CR44,CR$5:CR$192,0)/COUNTIF(CR$5:CR$192,"&gt;0")</f>
        <v>0.1893491124260355</v>
      </c>
      <c r="CT44" s="68">
        <f>IF([1]!s_fa_roic_yearly($A44,$D$1)=0,"",[1]!s_fa_roic_yearly($A44,$D$1))</f>
        <v>11.8752</v>
      </c>
      <c r="CU44" s="27">
        <f>RANK(CT44,CT$5:CT$192,0)/COUNTIF(CT$5:CT$192,"&gt;0")</f>
        <v>0.28873239436619719</v>
      </c>
      <c r="CV44" s="78">
        <f>[1]!s_stm07_bs(A44,"W14578191",$A$1,1,100000000)</f>
        <v>1562.46156</v>
      </c>
      <c r="CW44" s="78">
        <f>[1]!s_stmnote_bank_682($A44,$A$1,1,2,100000000)</f>
        <v>993.37226999999996</v>
      </c>
      <c r="CX44" s="79">
        <f t="shared" si="11"/>
        <v>0.63577389385502703</v>
      </c>
    </row>
    <row r="45" spans="1:102" s="46" customFormat="1" ht="13.5">
      <c r="A45" s="8" t="s">
        <v>100</v>
      </c>
      <c r="B45" s="8" t="s">
        <v>101</v>
      </c>
      <c r="C45" s="9" t="s">
        <v>102</v>
      </c>
      <c r="D45" s="9" t="s">
        <v>1061</v>
      </c>
      <c r="E45" s="10"/>
      <c r="F45" s="11" t="s">
        <v>90</v>
      </c>
      <c r="G45" s="11" t="s">
        <v>67</v>
      </c>
      <c r="H45" s="11" t="s">
        <v>103</v>
      </c>
      <c r="I45" s="11"/>
      <c r="J45" s="11" t="e">
        <f>VLOOKUP(B45,[3]额度信息!$B:$T,19,0)</f>
        <v>#N/A</v>
      </c>
      <c r="K45" s="11"/>
      <c r="L45" s="27">
        <f>IFERROR(([1]!b_stm07_bs($A45,47,$A$1,1,100000000))/[1]!b_stm07_bs($A45,109,$A$1,1,100000000),"")</f>
        <v>0.12566466722455022</v>
      </c>
      <c r="M45" s="20"/>
      <c r="N45" s="18"/>
      <c r="O45" s="27" t="e">
        <f t="shared" si="0"/>
        <v>#N/A</v>
      </c>
      <c r="P45" s="21">
        <f t="shared" si="12"/>
        <v>4.5184076739531287E-2</v>
      </c>
      <c r="Q45" s="27" t="str">
        <f t="shared" si="1"/>
        <v>125 169</v>
      </c>
      <c r="R45" s="18">
        <f>IFERROR([1]!s_stmnote_bank($A45,"34",$A$1,100000000)/[1]!s_stmnote_bank_1n(A45,$A$1,1,100000000),"")</f>
        <v>2.6384076739531286E-2</v>
      </c>
      <c r="S45" s="22"/>
      <c r="T45" s="22"/>
      <c r="U45" s="22"/>
      <c r="V45" s="22"/>
      <c r="W45" s="22"/>
      <c r="X45" s="22"/>
      <c r="Y45" s="22"/>
      <c r="Z45" s="25">
        <f>[1]!b_stm07_bs(A45,74,$A$1,1,100000000)</f>
        <v>1712.0598545276998</v>
      </c>
      <c r="AA45" s="25">
        <f>[1]!b_stm07_bs(A45,109,$A$1,1,100000000)</f>
        <v>1366.1633293479999</v>
      </c>
      <c r="AB45" s="10">
        <f>[1]!s_stmnote_bank_5n(A45,$A$1,1)</f>
        <v>1.88</v>
      </c>
      <c r="AC45" s="25">
        <f>IF([1]!s_stmnote_bank_23n(A45,$A$1,1)=0,"",IFERROR([1]!s_stmnote_bank_23n(A45,$A$1,1),""))</f>
        <v>164.32</v>
      </c>
      <c r="AD45" s="27" t="str">
        <f t="shared" si="2"/>
        <v>33 167</v>
      </c>
      <c r="AE45" s="25">
        <f>[1]!s_stmnote_bank_capadequacyratio(A45,$A$1,1)</f>
        <v>11.4</v>
      </c>
      <c r="AF45" s="25">
        <f>IF([1]!s_stmnote_bank_capadequacyratio_ct1(A45,$A$1,1)=0,"",IFERROR([1]!s_stmnote_bank_capadequacyratio_ct1(A45,$A$1,1),""))</f>
        <v>8.48</v>
      </c>
      <c r="AG45" s="27" t="str">
        <f>RANK(AF45,AF$5:AF$192,1)&amp;" "&amp;COUNTIF(AF$5:AF$192,"&gt;0")</f>
        <v>24 167</v>
      </c>
      <c r="AH45" s="6">
        <f>IF(OR([1]!s_fa_roe(A45,20201231)=0,[1]!s_fa_roe(A45,20211231)="0",[1]!s_fa_roe(A45,20221231)="0"),"",IFERROR(([1]!s_fa_roe(A45,20221231)+[1]!s_fa_roe(A45,20201231)+[1]!s_fa_roe(A45,20211231))/3,""))</f>
        <v>5.5779333333333341</v>
      </c>
      <c r="AI45" s="27" t="str">
        <f t="shared" si="3"/>
        <v>51 173</v>
      </c>
      <c r="AJ45" s="28">
        <f>IFERROR(([1]!s_stmnote_bank_65(A45,$A$1,1,2,4,100000000)+[1]!s_stmnote_bank_65(A45,$A$1,1,2,6,100000000))/[1]!s_stmnote_bank_1n(A45,$A$1,1,100000000),"")</f>
        <v>0.18028068206841782</v>
      </c>
      <c r="AK45" s="28">
        <f>IFERROR([1]!s_stmnote_bank_614(A45,$A$1,1,2,100000000)/[1]!s_stmnote_bank_647(A45,$A$1,1,2,100000000),"")</f>
        <v>0.26547520966595545</v>
      </c>
      <c r="AL45" s="28">
        <f>IFERROR(([1]!b_stm07_bs(A45,104,$A$1,1,100000000)+[1]!b_stm07_bs(A45,106,$A$1,1,100000000)+[1]!b_stm07_bs(A45,76,$A$1,1,100000000)+[1]!b_stm07_bs(A45,108,$A$1,1,100000000)+[1]!b_stm07_bs(A45,95,$A$1,1,100000000))/[1]!b_stm07_bs(A45,128,$A$1,1,100000000),"")</f>
        <v>8.7902550601462515E-2</v>
      </c>
      <c r="AM45" s="28">
        <f>IFERROR(([1]!s_stmnote_bank_614(A45,$A$1,1,2,100000000)+[1]!b_stm07_bs(A45,104,$A$1,1,100000000)+[1]!b_stm07_bs(A45,106,$A$1,1,100000000)+[1]!b_stm07_bs(A45,76,$A$1,1,100000000)+[1]!b_stm07_bs(A45,108,$A$1,1,100000000)+[1]!b_stm07_bs(A45,95,$A$1,1,100000000))/[1]!b_stm07_bs(A45,128,$A$1,1,100000000),"")</f>
        <v>0.3162865349016365</v>
      </c>
      <c r="AN45" s="31" t="e">
        <f>IF(Z45&gt;#REF!,#REF!,IF(Z45&gt;#REF!,#REF!,IF(Z45&gt;#REF!,#REF!,IF(Z45&gt;#REF!,#REF!,IF(Z45&gt;#REF!,#REF!,IF(Z45&gt;#REF!,#REF!,IF(Z45&gt;#REF!,#REF!,#REF!)))))))</f>
        <v>#REF!</v>
      </c>
      <c r="AO45" s="31" t="e">
        <f>IF(AA45&gt;#REF!,#REF!,IF(AA45&gt;#REF!,#REF!,IF(AA45&gt;#REF!,#REF!,IF(AA45&gt;#REF!,#REF!,IF(AA45&gt;#REF!,#REF!,IF(AA45&gt;#REF!,#REF!,IF(AA45&gt;#REF!,#REF!,#REF!)))))))</f>
        <v>#REF!</v>
      </c>
      <c r="AP45" s="31" t="e">
        <f>IF(AB45&lt;#REF!,#REF!,IF(AB45&lt;#REF!,#REF!,IF(AB45&lt;#REF!,#REF!,IF(AB45&lt;#REF!,#REF!,IF(AB45&lt;#REF!,#REF!,IF(AB45&lt;#REF!,#REF!,#REF!))))))</f>
        <v>#REF!</v>
      </c>
      <c r="AQ45" s="31" t="e">
        <f>IF(AC45&gt;#REF!,#REF!,IF(AC45&gt;#REF!,#REF!,IF(AC45&gt;#REF!,#REF!,IF(AC45&gt;#REF!,#REF!,#REF!))))</f>
        <v>#REF!</v>
      </c>
      <c r="AR45" s="31" t="e">
        <f>IF(AE45&gt;#REF!,#REF!,IF(AE45&gt;#REF!,#REF!,IF(AE45&gt;#REF!,#REF!,IF(AE45&gt;#REF!,#REF!,#REF!))))</f>
        <v>#REF!</v>
      </c>
      <c r="AS45" s="31" t="e">
        <f>IF(AF45&gt;#REF!,#REF!,IF(AF45&gt;#REF!,#REF!,IF(AF45&gt;#REF!,#REF!,IF(AF45&gt;#REF!,#REF!,#REF!))))</f>
        <v>#REF!</v>
      </c>
      <c r="AT45" s="31" t="e">
        <f>IF(AH45&gt;#REF!,#REF!,IF(AH45&gt;#REF!,#REF!,IF(AH45&gt;#REF!,#REF!,IF(AH45&gt;#REF!,#REF!,IF(AH45&gt;#REF!,#REF!,#REF!)))))</f>
        <v>#REF!</v>
      </c>
      <c r="AU45" s="10" t="e">
        <f t="shared" si="4"/>
        <v>#REF!</v>
      </c>
      <c r="AV45" s="10"/>
      <c r="AW45" s="10"/>
      <c r="AX45" s="10"/>
      <c r="AY45" s="31" t="str">
        <f>IFERROR(VLOOKUP(AV45,#REF!,3,0),"")</f>
        <v/>
      </c>
      <c r="AZ45" s="31" t="str">
        <f>IFERROR(VLOOKUP(AW45,#REF!,3,0),"")</f>
        <v/>
      </c>
      <c r="BA45" s="31" t="str">
        <f>IFERROR(VLOOKUP(AX45,#REF!,3,0),"")</f>
        <v/>
      </c>
      <c r="BB45" s="31" t="str">
        <f>IFERROR(AY45*#REF!+AZ45*#REF!+BA45*#REF!,"")</f>
        <v/>
      </c>
      <c r="BC45" s="32" t="str">
        <f t="shared" si="5"/>
        <v/>
      </c>
      <c r="BD45" s="32" t="str">
        <f>IFERROR(VLOOKUP(BC45*10,#REF!,2,1),"")</f>
        <v/>
      </c>
      <c r="BE45" s="10"/>
      <c r="BF45" s="10"/>
      <c r="BG45" s="10"/>
      <c r="BH45" s="11" t="s">
        <v>104</v>
      </c>
      <c r="BI45" s="10">
        <v>20</v>
      </c>
      <c r="BJ45" s="11" t="s">
        <v>105</v>
      </c>
      <c r="BK45" s="33" t="s">
        <v>106</v>
      </c>
      <c r="BL45" s="10">
        <f>IF([1]!s_stmnote_bank_17n(A45,$A$1,1)="0","",[1]!s_stmnote_bank_17n(A45,$A$1,1))</f>
        <v>7.3</v>
      </c>
      <c r="BM45" s="10">
        <f>IF([1]!s_stmnote_bank_18n(A45,$A$1,1)="0","",[1]!s_stmnote_bank_18n(A45,$A$1,1))</f>
        <v>51.73</v>
      </c>
      <c r="BN45" s="41" t="s">
        <v>67</v>
      </c>
      <c r="BO45" s="42" t="s">
        <v>67</v>
      </c>
      <c r="BP45" s="52">
        <f>[1]!s_stmnote_bank_5444(A45,$A$1,1)</f>
        <v>2.4300000000000002</v>
      </c>
      <c r="BQ45" s="52">
        <f>[1]!s_stmnote_bank_129n($A45,$A$1,1)</f>
        <v>33.630000000000003</v>
      </c>
      <c r="BR45" s="52">
        <f t="shared" si="13"/>
        <v>4.8100374393759786</v>
      </c>
      <c r="BS45" s="52">
        <f>[1]!b_stm07_is(A45,19,$A$1,1,100000000)</f>
        <v>74.616463357800001</v>
      </c>
      <c r="BT45" s="52">
        <f xml:space="preserve"> [1]!s_stm07_bs(A45,"W15273164",$A$1,1,100000000)-[1]!s_stm07_bs(A45,"W17642530",$A$1,1,100000000)-[1]!s_stm07_bs(A45,"W15910877",$A$1,1,100000000)-[1]!s_stm07_bs_39(A45,$A$1,1,100000000)-[1]!s_stm07_bs(A45,"W17700468",$A$1,1,100000000)-[1]!s_stm07_bs(A45,"W16504296",$A$1,1,100000000)-[1]!s_stm07_bs(A45,"W13769069",$A$1,1,100000000)</f>
        <v>1672.3081327089997</v>
      </c>
      <c r="BU45" s="52">
        <f xml:space="preserve"> [1]!s_stm07_bs(A45,"W15273164",$B$1,1,100000000)-[1]!s_stm07_bs(A45,"W17642530",$B$1,1,100000000)-[1]!s_stm07_bs(A45,"W15910877",$B$1,1,100000000)-[1]!s_stm07_bs_39(A45,$B$1,1,100000000)-[1]!s_stm07_bs(A45,"W17700468",$B$1,1,100000000)-[1]!s_stm07_bs(A45,"W16504296",$B$1,1,100000000)-[1]!s_stm07_bs(A45,"W13769069",$B$1,1,100000000)</f>
        <v>1506.4286844163996</v>
      </c>
      <c r="BV45" s="52">
        <f xml:space="preserve"> [1]!s_stm07_bs(A45,"W15273164",$E$1,1,100000000)-[1]!s_stm07_bs(A45,"W17642530",$E$1,1,100000000)-[1]!s_stm07_bs(A45,"W15910877",$E$1,1,100000000)-[1]!s_stm07_bs_39(A45,$E$1,1,100000000)-[1]!s_stm07_bs(A45,"W17700468",$E$1,1,100000000)-[1]!s_stm07_bs(A45,"W16504296",$E$1,1,100000000)-[1]!s_stm07_bs(A45,"W13769069",$E$1,1,100000000)</f>
        <v>1650.1186560000001</v>
      </c>
      <c r="BW45" s="52">
        <f xml:space="preserve"> [1]!s_stm07_bs(A45,"W15273164",$F$1,1,100000000)-[1]!s_stm07_bs(A45,"W17642530",$F$1,1,100000000)-[1]!s_stm07_bs(A45,"W15910877",$F$1,1,100000000)-[1]!s_stm07_bs_39(A45,$F$1,1,100000000)-[1]!s_stm07_bs(A45,"W17700468",$F$1,1,100000000)-[1]!s_stm07_bs(A45,"W16504296",$F$1,1,100000000)-[1]!s_stm07_bs(A45,"W13769069",$F$1,1,100000000)</f>
        <v>1667.3736715817001</v>
      </c>
      <c r="BX45" s="52">
        <f xml:space="preserve"> [1]!s_stm07_bs(A45,"W15273164",$G$1,1,100000000)-[1]!s_stm07_bs(A45,"W17642530",$G$1,1,100000000)-[1]!s_stm07_bs(A45,"W15910877",$G$1,1,100000000)-[1]!s_stm07_bs_39(A45,$G$1,1,100000000)-[1]!s_stm07_bs(A45,"W17700468",$G$1,1,100000000)-[1]!s_stm07_bs(A45,"W16504296",$G$1,1,100000000)-[1]!s_stm07_bs(A45,"W13769069",$G$1,1,100000000)</f>
        <v>1605.8311530000001</v>
      </c>
      <c r="BY45" s="52">
        <f>IFERROR([1]!b_stm07_is(A45,20,$A$1,1,100000000)/AVERAGEIF(CA45:CE45,"&gt;0")*100,0)</f>
        <v>2.4459118754348754</v>
      </c>
      <c r="BZ45" s="52">
        <f>[1]!b_stm07_is(A45,20,$A$1,1,100000000)</f>
        <v>36.396842572800004</v>
      </c>
      <c r="CA45" s="52">
        <f>[1]!s_stmnote_bank_38(A45,$A$1,1,100000000)</f>
        <v>1557.8602070145998</v>
      </c>
      <c r="CB45" s="52">
        <f>[1]!s_stmnote_bank_38(A45,$B$1,1,100000000)</f>
        <v>1384.0611014038</v>
      </c>
      <c r="CC45" s="52">
        <f>[1]!s_stmnote_bank_38(A45,$E$1,1,100000000)</f>
        <v>0</v>
      </c>
      <c r="CD45" s="52">
        <f>[1]!s_stmnote_bank_38(A45,$F$1,1,100000000)</f>
        <v>1522.2839973834</v>
      </c>
      <c r="CE45" s="52">
        <f>[1]!s_stmnote_bank_38(A45,$G$1,1,100000000)</f>
        <v>0</v>
      </c>
      <c r="CF45" s="52">
        <f>IF(BP45&lt;&gt;0,BP45,IFERROR(IF(([1]!b_stm07_is(A45,19,$A$1,1,100000000)-[1]!b_stm07_is(A45,20,$A$1,1,100000000))/AVERAGE([1]!s_stmnote_bank_35(A45,$A$1,1,100000000),[1]!s_stmnote_bank_35(A45,$B$1,1,100000000))*100=0,"",([1]!b_stm07_is(A45,19,$A$1,1,100000000)-[1]!b_stm07_is(A45,20,$A$1,1,100000000))/AVERAGE([1]!s_stmnote_bank_35(A45,$A$1,1,100000000),[1]!s_stmnote_bank_35(A45,$B$1,1,100000000))*100),""))</f>
        <v>2.4300000000000002</v>
      </c>
      <c r="CG45" s="27" t="str">
        <f t="shared" si="6"/>
        <v>31 171</v>
      </c>
      <c r="CH45" s="80">
        <f t="shared" si="14"/>
        <v>0.5378000781133605</v>
      </c>
      <c r="CI45" s="27" t="str">
        <f t="shared" si="7"/>
        <v>109 169</v>
      </c>
      <c r="CJ45" s="55">
        <f>[1]!s_stmnote_bank_30(A45,$A$1,1)</f>
        <v>-1.6187</v>
      </c>
      <c r="CP45" s="69">
        <f>[1]!b_stm07_bs($A45,141,$A$1,1,100000000)</f>
        <v>124.02163281110001</v>
      </c>
      <c r="CQ45" s="69">
        <f>[1]!b_stm07_bs($A45,141,$D$1,1,100000000)</f>
        <v>135.555826</v>
      </c>
      <c r="CR45" s="68">
        <f>IF([1]!s_fa_roic_yearly($A45,$A$1)=0,"",[1]!s_fa_roic_yearly($A45,$A$1))</f>
        <v>5.4938000000000002</v>
      </c>
      <c r="CS45" s="27">
        <f>RANK(CR45,CR$5:CR$192,0)/COUNTIF(CR$5:CR$192,"&gt;0")</f>
        <v>0.79289940828402372</v>
      </c>
      <c r="CT45" s="68" t="str">
        <f>IF([1]!s_fa_roic_yearly($A45,$D$1)=0,"",[1]!s_fa_roic_yearly($A45,$D$1))</f>
        <v/>
      </c>
      <c r="CU45" s="27" t="e">
        <f>RANK(CT45,CT$5:CT$192,0)/COUNTIF(CT$5:CT$192,"&gt;0")</f>
        <v>#VALUE!</v>
      </c>
      <c r="CV45" s="78">
        <f>[1]!s_stm07_bs(A45,"W14578191",$A$1,1,100000000)</f>
        <v>1012.5993707653</v>
      </c>
      <c r="CW45" s="78">
        <f>[1]!s_stmnote_bank_682($A45,$A$1,1,2,100000000)</f>
        <v>263.15742833709999</v>
      </c>
      <c r="CX45" s="79">
        <f t="shared" si="11"/>
        <v>0.25988306524248722</v>
      </c>
    </row>
    <row r="46" spans="1:102" ht="13.5">
      <c r="A46" s="8" t="s">
        <v>775</v>
      </c>
      <c r="B46" s="8" t="s">
        <v>776</v>
      </c>
      <c r="C46" s="9" t="s">
        <v>777</v>
      </c>
      <c r="D46" s="9" t="s">
        <v>1066</v>
      </c>
      <c r="E46" s="10" t="s">
        <v>456</v>
      </c>
      <c r="F46" s="11" t="s">
        <v>178</v>
      </c>
      <c r="G46" s="11" t="s">
        <v>580</v>
      </c>
      <c r="H46" s="11" t="s">
        <v>245</v>
      </c>
      <c r="I46" s="11"/>
      <c r="J46" s="11">
        <f>VLOOKUP(B46,[3]额度信息!$B:$T,19,0)</f>
        <v>0</v>
      </c>
      <c r="K46" s="11" t="s">
        <v>778</v>
      </c>
      <c r="L46" s="27">
        <f>IFERROR(([1]!b_stm07_bs($A46,47,$A$1,1,100000000))/[1]!b_stm07_bs($A46,109,$A$1,1,100000000),"")</f>
        <v>8.2158717726745656E-2</v>
      </c>
      <c r="M46" s="20">
        <v>50</v>
      </c>
      <c r="N46" s="18">
        <f>IFERROR(([1]!s_stmnote_bank_26($A46,$A$1,1,100000000)-[1]!s_stmnote_bank_26($A46,$B$1,1,100000000)+M46)/[1]!s_stmnote_bank_1n($A46,$B$1,1,100000000),"")</f>
        <v>1.0518733456078814E-2</v>
      </c>
      <c r="O46" s="27" t="str">
        <f t="shared" si="0"/>
        <v>27 50</v>
      </c>
      <c r="P46" s="21">
        <f t="shared" si="12"/>
        <v>1.6903376771870059E-2</v>
      </c>
      <c r="Q46" s="27" t="str">
        <f t="shared" si="1"/>
        <v>31 169</v>
      </c>
      <c r="R46" s="18">
        <v>7.4033767718700598E-3</v>
      </c>
      <c r="S46" s="22">
        <v>5.7767177651450598E-2</v>
      </c>
      <c r="T46" s="22">
        <v>1.13029222147134E-2</v>
      </c>
      <c r="U46" s="22">
        <v>1.95567482366019E-2</v>
      </c>
      <c r="V46" s="22"/>
      <c r="W46" s="22">
        <v>2.29148440581617E-3</v>
      </c>
      <c r="X46" s="22">
        <v>1.14574220290808E-3</v>
      </c>
      <c r="Y46" s="22">
        <v>0.04</v>
      </c>
      <c r="Z46" s="25">
        <f>[1]!b_stm07_bs(A46,74,$A$1,1,100000000)</f>
        <v>11583.76261</v>
      </c>
      <c r="AA46" s="25">
        <f>[1]!b_stm07_bs(A46,109,$A$1,1,100000000)</f>
        <v>8553.6663599999993</v>
      </c>
      <c r="AB46" s="10">
        <f>[1]!s_stmnote_bank_5n(A46,$A$1,1)</f>
        <v>0.95</v>
      </c>
      <c r="AC46" s="25">
        <f>IF([1]!s_stmnote_bank_23n(A46,$A$1,1)=0,"",IFERROR([1]!s_stmnote_bank_23n(A46,$A$1,1),""))</f>
        <v>442.5</v>
      </c>
      <c r="AD46" s="27" t="str">
        <f t="shared" si="2"/>
        <v>140 167</v>
      </c>
      <c r="AE46" s="25">
        <f>[1]!s_stmnote_bank_capadequacyratio(A46,$A$1,1)</f>
        <v>15.28</v>
      </c>
      <c r="AF46" s="25">
        <f>IF([1]!s_stmnote_bank_capadequacyratio_ct1(A46,$A$1,1)=0,"",IFERROR([1]!s_stmnote_bank_capadequacyratio_ct1(A46,$A$1,1),""))</f>
        <v>13.06</v>
      </c>
      <c r="AG46" s="27" t="str">
        <f>RANK(AF46,AF$5:AF$192,1)&amp;" "&amp;COUNTIF(AF$5:AF$192,"&gt;0")</f>
        <v>140 167</v>
      </c>
      <c r="AH46" s="6">
        <f>IF(OR([1]!s_fa_roe(A46,20201231)=0,[1]!s_fa_roe(A46,20211231)="0",[1]!s_fa_roe(A46,20221231)="0"),"",IFERROR(([1]!s_fa_roe(A46,20221231)+[1]!s_fa_roe(A46,20201231)+[1]!s_fa_roe(A46,20211231))/3,""))</f>
        <v>11.188699999999999</v>
      </c>
      <c r="AI46" s="27" t="str">
        <f t="shared" si="3"/>
        <v>142 173</v>
      </c>
      <c r="AJ46" s="28">
        <f>IFERROR(([1]!s_stmnote_bank_65(A46,$A$1,1,2,4,100000000)+[1]!s_stmnote_bank_65(A46,$A$1,1,2,6,100000000))/[1]!s_stmnote_bank_1n(A46,$A$1,1,100000000),"")</f>
        <v>0.19736615560379792</v>
      </c>
      <c r="AK46" s="28">
        <f>IFERROR([1]!s_stmnote_bank_614(A46,$A$1,1,2,100000000)/[1]!s_stmnote_bank_647(A46,$A$1,1,2,100000000),"")</f>
        <v>0.29550415130001167</v>
      </c>
      <c r="AL46" s="28">
        <f>IFERROR(([1]!b_stm07_bs(A46,104,$A$1,1,100000000)+[1]!b_stm07_bs(A46,106,$A$1,1,100000000)+[1]!b_stm07_bs(A46,76,$A$1,1,100000000)+[1]!b_stm07_bs(A46,108,$A$1,1,100000000)+[1]!b_stm07_bs(A46,95,$A$1,1,100000000))/[1]!b_stm07_bs(A46,128,$A$1,1,100000000),"")</f>
        <v>0.14548215825423036</v>
      </c>
      <c r="AM46" s="28">
        <f>IFERROR(([1]!s_stmnote_bank_614(A46,$A$1,1,2,100000000)+[1]!b_stm07_bs(A46,104,$A$1,1,100000000)+[1]!b_stm07_bs(A46,106,$A$1,1,100000000)+[1]!b_stm07_bs(A46,76,$A$1,1,100000000)+[1]!b_stm07_bs(A46,108,$A$1,1,100000000)+[1]!b_stm07_bs(A46,95,$A$1,1,100000000))/[1]!b_stm07_bs(A46,128,$A$1,1,100000000),"")</f>
        <v>0.37890597353312194</v>
      </c>
      <c r="AN46" s="31" t="e">
        <f>IF(Z46&gt;#REF!,#REF!,IF(Z46&gt;#REF!,#REF!,IF(Z46&gt;#REF!,#REF!,IF(Z46&gt;#REF!,#REF!,IF(Z46&gt;#REF!,#REF!,IF(Z46&gt;#REF!,#REF!,IF(Z46&gt;#REF!,#REF!,#REF!)))))))</f>
        <v>#REF!</v>
      </c>
      <c r="AO46" s="31" t="e">
        <f>IF(AA46&gt;#REF!,#REF!,IF(AA46&gt;#REF!,#REF!,IF(AA46&gt;#REF!,#REF!,IF(AA46&gt;#REF!,#REF!,IF(AA46&gt;#REF!,#REF!,IF(AA46&gt;#REF!,#REF!,IF(AA46&gt;#REF!,#REF!,#REF!)))))))</f>
        <v>#REF!</v>
      </c>
      <c r="AP46" s="31" t="e">
        <f>IF(AB46&lt;#REF!,#REF!,IF(AB46&lt;#REF!,#REF!,IF(AB46&lt;#REF!,#REF!,IF(AB46&lt;#REF!,#REF!,IF(AB46&lt;#REF!,#REF!,IF(AB46&lt;#REF!,#REF!,#REF!))))))</f>
        <v>#REF!</v>
      </c>
      <c r="AQ46" s="31" t="e">
        <f>IF(AC46&gt;#REF!,#REF!,IF(AC46&gt;#REF!,#REF!,IF(AC46&gt;#REF!,#REF!,IF(AC46&gt;#REF!,#REF!,#REF!))))</f>
        <v>#REF!</v>
      </c>
      <c r="AR46" s="31" t="e">
        <f>IF(AE46&gt;#REF!,#REF!,IF(AE46&gt;#REF!,#REF!,IF(AE46&gt;#REF!,#REF!,IF(AE46&gt;#REF!,#REF!,#REF!))))</f>
        <v>#REF!</v>
      </c>
      <c r="AS46" s="31" t="e">
        <f>IF(AF46&gt;#REF!,#REF!,IF(AF46&gt;#REF!,#REF!,IF(AF46&gt;#REF!,#REF!,IF(AF46&gt;#REF!,#REF!,#REF!))))</f>
        <v>#REF!</v>
      </c>
      <c r="AT46" s="31" t="e">
        <f>IF(AH46&gt;#REF!,#REF!,IF(AH46&gt;#REF!,#REF!,IF(AH46&gt;#REF!,#REF!,IF(AH46&gt;#REF!,#REF!,IF(AH46&gt;#REF!,#REF!,#REF!)))))</f>
        <v>#REF!</v>
      </c>
      <c r="AU46" s="10" t="e">
        <f t="shared" si="4"/>
        <v>#REF!</v>
      </c>
      <c r="AV46" s="10" t="s">
        <v>60</v>
      </c>
      <c r="AW46" s="10" t="s">
        <v>141</v>
      </c>
      <c r="AX46" s="10" t="s">
        <v>261</v>
      </c>
      <c r="AY46" s="31" t="str">
        <f>IFERROR(VLOOKUP(AV46,#REF!,3,0),"")</f>
        <v/>
      </c>
      <c r="AZ46" s="31" t="str">
        <f>IFERROR(VLOOKUP(AW46,#REF!,3,0),"")</f>
        <v/>
      </c>
      <c r="BA46" s="31" t="str">
        <f>IFERROR(VLOOKUP(AX46,#REF!,3,0),"")</f>
        <v/>
      </c>
      <c r="BB46" s="31" t="str">
        <f>IFERROR(AY46*#REF!+AZ46*#REF!+BA46*#REF!,"")</f>
        <v/>
      </c>
      <c r="BC46" s="32" t="str">
        <f t="shared" si="5"/>
        <v/>
      </c>
      <c r="BD46" s="32" t="str">
        <f>IFERROR(VLOOKUP(BC46*10,#REF!,2,1),"")</f>
        <v/>
      </c>
      <c r="BE46" s="11">
        <v>1</v>
      </c>
      <c r="BF46" s="11">
        <v>0</v>
      </c>
      <c r="BG46" s="10"/>
      <c r="BH46" s="11" t="s">
        <v>779</v>
      </c>
      <c r="BI46" s="10">
        <v>8.7053003311157209</v>
      </c>
      <c r="BJ46" s="33" t="s">
        <v>486</v>
      </c>
      <c r="BK46" s="33" t="s">
        <v>487</v>
      </c>
      <c r="BL46" s="10">
        <f>IF([1]!s_stmnote_bank_17n(A46,$A$1,1)="0","",[1]!s_stmnote_bank_17n(A46,$A$1,1))</f>
        <v>2.46</v>
      </c>
      <c r="BM46" s="10">
        <f>IF([1]!s_stmnote_bank_18n(A46,$A$1,1)="0","",[1]!s_stmnote_bank_18n(A46,$A$1,1))</f>
        <v>18.66</v>
      </c>
      <c r="BN46" s="41">
        <v>3.84</v>
      </c>
      <c r="BO46" s="68">
        <v>2.09</v>
      </c>
      <c r="BP46" s="52">
        <f>[1]!s_stmnote_bank_5444(A46,$A$1,1)</f>
        <v>1.86</v>
      </c>
      <c r="BQ46" s="52">
        <f>[1]!s_stmnote_bank_129n($A46,$A$1,1)</f>
        <v>29.95</v>
      </c>
      <c r="BR46" s="52">
        <f t="shared" si="13"/>
        <v>3.8764508987380473</v>
      </c>
      <c r="BS46" s="52">
        <f>[1]!b_stm07_is(A46,19,$A$1,1,100000000)</f>
        <v>410.75495999999998</v>
      </c>
      <c r="BT46" s="52">
        <f xml:space="preserve"> [1]!s_stm07_bs(A46,"W15273164",$A$1,1,100000000)-[1]!s_stm07_bs(A46,"W17642530",$A$1,1,100000000)-[1]!s_stm07_bs(A46,"W15910877",$A$1,1,100000000)-[1]!s_stm07_bs_39(A46,$A$1,1,100000000)-[1]!s_stm07_bs(A46,"W17700468",$A$1,1,100000000)-[1]!s_stm07_bs(A46,"W16504296",$A$1,1,100000000)-[1]!s_stm07_bs(A46,"W13769069",$A$1,1,100000000)</f>
        <v>11446.065239999998</v>
      </c>
      <c r="BU46" s="52">
        <f xml:space="preserve"> [1]!s_stm07_bs(A46,"W15273164",$B$1,1,100000000)-[1]!s_stm07_bs(A46,"W17642530",$B$1,1,100000000)-[1]!s_stm07_bs(A46,"W15910877",$B$1,1,100000000)-[1]!s_stm07_bs_39(A46,$B$1,1,100000000)-[1]!s_stm07_bs(A46,"W17700468",$B$1,1,100000000)-[1]!s_stm07_bs(A46,"W16504296",$B$1,1,100000000)-[1]!s_stm07_bs(A46,"W13769069",$B$1,1,100000000)</f>
        <v>10408.232259999999</v>
      </c>
      <c r="BV46" s="52">
        <f xml:space="preserve"> [1]!s_stm07_bs(A46,"W15273164",$E$1,1,100000000)-[1]!s_stm07_bs(A46,"W17642530",$E$1,1,100000000)-[1]!s_stm07_bs(A46,"W15910877",$E$1,1,100000000)-[1]!s_stm07_bs_39(A46,$E$1,1,100000000)-[1]!s_stm07_bs(A46,"W17700468",$E$1,1,100000000)-[1]!s_stm07_bs(A46,"W16504296",$E$1,1,100000000)-[1]!s_stm07_bs(A46,"W13769069",$E$1,1,100000000)</f>
        <v>11022.36836</v>
      </c>
      <c r="BW46" s="52">
        <f xml:space="preserve"> [1]!s_stm07_bs(A46,"W15273164",$F$1,1,100000000)-[1]!s_stm07_bs(A46,"W17642530",$F$1,1,100000000)-[1]!s_stm07_bs(A46,"W15910877",$F$1,1,100000000)-[1]!s_stm07_bs_39(A46,$F$1,1,100000000)-[1]!s_stm07_bs(A46,"W17700468",$F$1,1,100000000)-[1]!s_stm07_bs(A46,"W16504296",$F$1,1,100000000)-[1]!s_stm07_bs(A46,"W13769069",$F$1,1,100000000)</f>
        <v>10833.046059999999</v>
      </c>
      <c r="BX46" s="52">
        <f xml:space="preserve"> [1]!s_stm07_bs(A46,"W15273164",$G$1,1,100000000)-[1]!s_stm07_bs(A46,"W17642530",$G$1,1,100000000)-[1]!s_stm07_bs(A46,"W15910877",$G$1,1,100000000)-[1]!s_stm07_bs_39(A46,$G$1,1,100000000)-[1]!s_stm07_bs(A46,"W17700468",$G$1,1,100000000)-[1]!s_stm07_bs(A46,"W16504296",$G$1,1,100000000)-[1]!s_stm07_bs(A46,"W13769069",$G$1,1,100000000)</f>
        <v>10627.36795</v>
      </c>
      <c r="BY46" s="52">
        <f>IFERROR([1]!b_stm07_is(A46,20,$A$1,1,100000000)/AVERAGEIF(CA46:CE46,"&gt;0")*100,0)</f>
        <v>2.1699287953807764</v>
      </c>
      <c r="BZ46" s="52">
        <f>[1]!b_stm07_is(A46,20,$A$1,1,100000000)</f>
        <v>217.04773</v>
      </c>
      <c r="CA46" s="52">
        <f>[1]!s_stmnote_bank_38(A46,$A$1,1,100000000)</f>
        <v>10492.67842</v>
      </c>
      <c r="CB46" s="52">
        <f>[1]!s_stmnote_bank_38(A46,$B$1,1,100000000)</f>
        <v>9665.5788499999999</v>
      </c>
      <c r="CC46" s="52">
        <f>[1]!s_stmnote_bank_38(A46,$E$1,1,100000000)</f>
        <v>10046.962509999999</v>
      </c>
      <c r="CD46" s="52">
        <f>[1]!s_stmnote_bank_38(A46,$F$1,1,100000000)</f>
        <v>9994.4503399999994</v>
      </c>
      <c r="CE46" s="52">
        <f>[1]!s_stmnote_bank_38(A46,$G$1,1,100000000)</f>
        <v>9812.9686500000007</v>
      </c>
      <c r="CF46" s="52">
        <f>IF(BP46&lt;&gt;0,BP46,IFERROR(IF(([1]!b_stm07_is(A46,19,$A$1,1,100000000)-[1]!b_stm07_is(A46,20,$A$1,1,100000000))/AVERAGE([1]!s_stmnote_bank_35(A46,$A$1,1,100000000),[1]!s_stmnote_bank_35(A46,$B$1,1,100000000))*100=0,"",([1]!b_stm07_is(A46,19,$A$1,1,100000000)-[1]!b_stm07_is(A46,20,$A$1,1,100000000))/AVERAGE([1]!s_stmnote_bank_35(A46,$A$1,1,100000000),[1]!s_stmnote_bank_35(A46,$B$1,1,100000000))*100),""))</f>
        <v>1.86</v>
      </c>
      <c r="CG46" s="27" t="str">
        <f t="shared" si="6"/>
        <v>117 171</v>
      </c>
      <c r="CH46" s="80">
        <f t="shared" si="14"/>
        <v>1.1003718517919685</v>
      </c>
      <c r="CI46" s="27" t="str">
        <f t="shared" si="7"/>
        <v>36 169</v>
      </c>
      <c r="CJ46" s="55">
        <f>[1]!s_stmnote_bank_30(A46,$A$1,1)</f>
        <v>19.837499999999999</v>
      </c>
      <c r="CK46" s="46"/>
      <c r="CL46" s="46"/>
      <c r="CM46" s="46"/>
      <c r="CN46" s="46"/>
      <c r="CO46" s="46"/>
      <c r="CP46" s="69">
        <f>[1]!b_stm07_bs($A46,141,$A$1,1,100000000)</f>
        <v>973.31437000000005</v>
      </c>
      <c r="CQ46" s="69">
        <f>[1]!b_stm07_bs($A46,141,$D$1,1,100000000)</f>
        <v>1003.67815</v>
      </c>
      <c r="CR46" s="68">
        <f>IF([1]!s_fa_roic_yearly($A46,$A$1)=0,"",[1]!s_fa_roic_yearly($A46,$A$1))</f>
        <v>11.3439</v>
      </c>
      <c r="CS46" s="27">
        <f>RANK(CR46,CR$5:CR$192,0)/COUNTIF(CR$5:CR$192,"&gt;0")</f>
        <v>0.20118343195266272</v>
      </c>
      <c r="CT46" s="68">
        <f>IF([1]!s_fa_roic_yearly($A46,$D$1)=0,"",[1]!s_fa_roic_yearly($A46,$D$1))</f>
        <v>12.28</v>
      </c>
      <c r="CU46" s="27">
        <f>RANK(CT46,CT$5:CT$192,0)/COUNTIF(CT$5:CT$192,"&gt;0")</f>
        <v>0.26056338028169013</v>
      </c>
      <c r="CV46" s="78">
        <f>[1]!s_stm07_bs(A46,"W14578191",$A$1,1,100000000)</f>
        <v>5889.8444099999997</v>
      </c>
      <c r="CW46" s="78">
        <f>[1]!s_stmnote_bank_682($A46,$A$1,1,2,100000000)</f>
        <v>1989.3925999999999</v>
      </c>
      <c r="CX46" s="79">
        <f t="shared" si="11"/>
        <v>0.33776657947404082</v>
      </c>
    </row>
    <row r="47" spans="1:102" s="46" customFormat="1" ht="13.5">
      <c r="A47" s="8" t="s">
        <v>947</v>
      </c>
      <c r="B47" s="8" t="s">
        <v>948</v>
      </c>
      <c r="C47" s="9" t="s">
        <v>949</v>
      </c>
      <c r="D47" s="9" t="s">
        <v>1065</v>
      </c>
      <c r="E47" s="10" t="s">
        <v>456</v>
      </c>
      <c r="F47" s="11" t="s">
        <v>178</v>
      </c>
      <c r="G47" s="11" t="s">
        <v>245</v>
      </c>
      <c r="H47" s="11" t="s">
        <v>179</v>
      </c>
      <c r="I47" s="11"/>
      <c r="J47" s="11">
        <f>VLOOKUP(B47,[3]额度信息!$B:$T,19,0)</f>
        <v>0</v>
      </c>
      <c r="K47" s="11" t="s">
        <v>950</v>
      </c>
      <c r="L47" s="27">
        <f>IFERROR(([1]!b_stm07_bs($A47,47,$A$1,1,100000000))/[1]!b_stm07_bs($A47,109,$A$1,1,100000000),"")</f>
        <v>0.12144831686564218</v>
      </c>
      <c r="M47" s="20">
        <v>2.4300000000000002</v>
      </c>
      <c r="N47" s="18">
        <f>IFERROR(([1]!s_stmnote_bank_26($A47,$A$1,1,100000000)-[1]!s_stmnote_bank_26($A47,$B$1,1,100000000)+M47)/[1]!s_stmnote_bank_1n($A47,$B$1,1,100000000),"")</f>
        <v>1.1141214168410574E-3</v>
      </c>
      <c r="O47" s="27" t="str">
        <f t="shared" si="0"/>
        <v>2 50</v>
      </c>
      <c r="P47" s="21">
        <f t="shared" si="12"/>
        <v>1.6887392839780802E-2</v>
      </c>
      <c r="Q47" s="27" t="str">
        <f t="shared" si="1"/>
        <v>30 169</v>
      </c>
      <c r="R47" s="18">
        <v>1.51873928397808E-2</v>
      </c>
      <c r="S47" s="22">
        <v>0.33520719563122398</v>
      </c>
      <c r="T47" s="22">
        <v>2.0438483777706399E-3</v>
      </c>
      <c r="U47" s="22"/>
      <c r="V47" s="22"/>
      <c r="W47" s="22"/>
      <c r="X47" s="22"/>
      <c r="Y47" s="22"/>
      <c r="Z47" s="25">
        <f>[1]!b_stm07_bs(A47,74,$A$1,1,100000000)</f>
        <v>5742.1243400000003</v>
      </c>
      <c r="AA47" s="25">
        <f>[1]!b_stm07_bs(A47,109,$A$1,1,100000000)</f>
        <v>3087.9394600000001</v>
      </c>
      <c r="AB47" s="10">
        <f>[1]!s_stmnote_bank_5n(A47,$A$1,1)</f>
        <v>0.17</v>
      </c>
      <c r="AC47" s="25">
        <f>IF([1]!s_stmnote_bank_23n(A47,$A$1,1)=0,"",IFERROR([1]!s_stmnote_bank_23n(A47,$A$1,1),""))</f>
        <v>907.5</v>
      </c>
      <c r="AD47" s="27" t="str">
        <f t="shared" si="2"/>
        <v>165 167</v>
      </c>
      <c r="AE47" s="25">
        <f>[1]!s_stmnote_bank_capadequacyratio(A47,$A$1,1)</f>
        <v>15.7</v>
      </c>
      <c r="AF47" s="25">
        <f>IF([1]!s_stmnote_bank_capadequacyratio_ct1(A47,$A$1,1)=0,"",IFERROR([1]!s_stmnote_bank_capadequacyratio_ct1(A47,$A$1,1),""))</f>
        <v>14.8</v>
      </c>
      <c r="AG47" s="27" t="str">
        <f>RANK(AF47,AF$5:AF$192,1)&amp;" "&amp;COUNTIF(AF$5:AF$192,"&gt;0")</f>
        <v>153 167</v>
      </c>
      <c r="AH47" s="6">
        <f>IF(OR([1]!s_fa_roe(A47,20201231)=0,[1]!s_fa_roe(A47,20211231)="0",[1]!s_fa_roe(A47,20221231)="0"),"",IFERROR(([1]!s_fa_roe(A47,20221231)+[1]!s_fa_roe(A47,20201231)+[1]!s_fa_roe(A47,20211231))/3,""))</f>
        <v>8.4529333333333341</v>
      </c>
      <c r="AI47" s="27" t="str">
        <f t="shared" si="3"/>
        <v>83 173</v>
      </c>
      <c r="AJ47" s="28">
        <f>IFERROR(([1]!s_stmnote_bank_65(A47,$A$1,1,2,4,100000000)+[1]!s_stmnote_bank_65(A47,$A$1,1,2,6,100000000))/[1]!s_stmnote_bank_1n(A47,$A$1,1,100000000),"")</f>
        <v>0.15300470822565612</v>
      </c>
      <c r="AK47" s="28">
        <f>IFERROR([1]!s_stmnote_bank_614(A47,$A$1,1,2,100000000)/[1]!s_stmnote_bank_647(A47,$A$1,1,2,100000000),"")</f>
        <v>0.51793580175953313</v>
      </c>
      <c r="AL47" s="28">
        <f>IFERROR(([1]!b_stm07_bs(A47,104,$A$1,1,100000000)+[1]!b_stm07_bs(A47,106,$A$1,1,100000000)+[1]!b_stm07_bs(A47,76,$A$1,1,100000000)+[1]!b_stm07_bs(A47,108,$A$1,1,100000000)+[1]!b_stm07_bs(A47,95,$A$1,1,100000000))/[1]!b_stm07_bs(A47,128,$A$1,1,100000000),"")</f>
        <v>0.34175234778480479</v>
      </c>
      <c r="AM47" s="28">
        <f>IFERROR(([1]!s_stmnote_bank_614(A47,$A$1,1,2,100000000)+[1]!b_stm07_bs(A47,104,$A$1,1,100000000)+[1]!b_stm07_bs(A47,106,$A$1,1,100000000)+[1]!b_stm07_bs(A47,76,$A$1,1,100000000)+[1]!b_stm07_bs(A47,108,$A$1,1,100000000)+[1]!b_stm07_bs(A47,95,$A$1,1,100000000))/[1]!b_stm07_bs(A47,128,$A$1,1,100000000),"")</f>
        <v>0.64863886948577831</v>
      </c>
      <c r="AN47" s="31" t="e">
        <f>IF(Z47&gt;#REF!,#REF!,IF(Z47&gt;#REF!,#REF!,IF(Z47&gt;#REF!,#REF!,IF(Z47&gt;#REF!,#REF!,IF(Z47&gt;#REF!,#REF!,IF(Z47&gt;#REF!,#REF!,IF(Z47&gt;#REF!,#REF!,#REF!)))))))</f>
        <v>#REF!</v>
      </c>
      <c r="AO47" s="31" t="e">
        <f>IF(AA47&gt;#REF!,#REF!,IF(AA47&gt;#REF!,#REF!,IF(AA47&gt;#REF!,#REF!,IF(AA47&gt;#REF!,#REF!,IF(AA47&gt;#REF!,#REF!,IF(AA47&gt;#REF!,#REF!,IF(AA47&gt;#REF!,#REF!,#REF!)))))))</f>
        <v>#REF!</v>
      </c>
      <c r="AP47" s="31" t="e">
        <f>IF(AB47&lt;#REF!,#REF!,IF(AB47&lt;#REF!,#REF!,IF(AB47&lt;#REF!,#REF!,IF(AB47&lt;#REF!,#REF!,IF(AB47&lt;#REF!,#REF!,IF(AB47&lt;#REF!,#REF!,#REF!))))))</f>
        <v>#REF!</v>
      </c>
      <c r="AQ47" s="31" t="e">
        <f>IF(AC47&gt;#REF!,#REF!,IF(AC47&gt;#REF!,#REF!,IF(AC47&gt;#REF!,#REF!,IF(AC47&gt;#REF!,#REF!,#REF!))))</f>
        <v>#REF!</v>
      </c>
      <c r="AR47" s="31" t="e">
        <f>IF(AE47&gt;#REF!,#REF!,IF(AE47&gt;#REF!,#REF!,IF(AE47&gt;#REF!,#REF!,IF(AE47&gt;#REF!,#REF!,#REF!))))</f>
        <v>#REF!</v>
      </c>
      <c r="AS47" s="31" t="e">
        <f>IF(AF47&gt;#REF!,#REF!,IF(AF47&gt;#REF!,#REF!,IF(AF47&gt;#REF!,#REF!,IF(AF47&gt;#REF!,#REF!,#REF!))))</f>
        <v>#REF!</v>
      </c>
      <c r="AT47" s="31" t="e">
        <f>IF(AH47&gt;#REF!,#REF!,IF(AH47&gt;#REF!,#REF!,IF(AH47&gt;#REF!,#REF!,IF(AH47&gt;#REF!,#REF!,IF(AH47&gt;#REF!,#REF!,#REF!)))))</f>
        <v>#REF!</v>
      </c>
      <c r="AU47" s="10" t="e">
        <f t="shared" si="4"/>
        <v>#REF!</v>
      </c>
      <c r="AV47" s="10" t="s">
        <v>141</v>
      </c>
      <c r="AW47" s="10" t="s">
        <v>141</v>
      </c>
      <c r="AX47" s="10" t="s">
        <v>62</v>
      </c>
      <c r="AY47" s="31" t="str">
        <f>IFERROR(VLOOKUP(AV47,#REF!,3,0),"")</f>
        <v/>
      </c>
      <c r="AZ47" s="31" t="str">
        <f>IFERROR(VLOOKUP(AW47,#REF!,3,0),"")</f>
        <v/>
      </c>
      <c r="BA47" s="31" t="str">
        <f>IFERROR(VLOOKUP(AX47,#REF!,3,0),"")</f>
        <v/>
      </c>
      <c r="BB47" s="10" t="str">
        <f>IFERROR(AY47*#REF!+AZ47*#REF!+BA47*#REF!,"")</f>
        <v/>
      </c>
      <c r="BC47" s="32" t="str">
        <f t="shared" si="5"/>
        <v/>
      </c>
      <c r="BD47" s="32" t="str">
        <f>IFERROR(VLOOKUP(BC47*10,#REF!,2,1),"")</f>
        <v/>
      </c>
      <c r="BE47" s="11">
        <v>1</v>
      </c>
      <c r="BF47" s="11">
        <v>-2</v>
      </c>
      <c r="BG47" s="10" t="s">
        <v>951</v>
      </c>
      <c r="BH47" s="11" t="s">
        <v>952</v>
      </c>
      <c r="BI47" s="10">
        <v>100</v>
      </c>
      <c r="BJ47" s="11" t="s">
        <v>71</v>
      </c>
      <c r="BK47" s="33" t="s">
        <v>487</v>
      </c>
      <c r="BL47" s="10">
        <f>IF([1]!s_stmnote_bank_17n(A47,$A$1,1)="0","",[1]!s_stmnote_bank_17n(A47,$A$1,1))</f>
        <v>8.5</v>
      </c>
      <c r="BM47" s="10">
        <f>IF([1]!s_stmnote_bank_18n(A47,$A$1,1)="0","",[1]!s_stmnote_bank_18n(A47,$A$1,1))</f>
        <v>0</v>
      </c>
      <c r="BN47" s="41">
        <v>2.5499999999999998</v>
      </c>
      <c r="BO47" s="52">
        <v>1.1399999999999999</v>
      </c>
      <c r="BP47" s="52">
        <f>[1]!s_stmnote_bank_5444(A47,$A$1,1)</f>
        <v>0</v>
      </c>
      <c r="BQ47" s="53">
        <f>[1]!s_stmnote_bank_129n($A47,$A$1,1)</f>
        <v>62.521700000000003</v>
      </c>
      <c r="BR47" s="52">
        <f t="shared" si="13"/>
        <v>2.3513154401235585</v>
      </c>
      <c r="BS47" s="52">
        <f>[1]!b_stm07_is(A47,19,$A$1,1,100000000)</f>
        <v>131.36189999999999</v>
      </c>
      <c r="BT47" s="52">
        <f xml:space="preserve"> [1]!s_stm07_bs(A47,"W15273164",$A$1,1,100000000)-[1]!s_stm07_bs(A47,"W17642530",$A$1,1,100000000)-[1]!s_stm07_bs(A47,"W15910877",$A$1,1,100000000)-[1]!s_stm07_bs_39(A47,$A$1,1,100000000)-[1]!s_stm07_bs(A47,"W17700468",$A$1,1,100000000)-[1]!s_stm07_bs(A47,"W16504296",$A$1,1,100000000)-[1]!s_stm07_bs(A47,"W13769069",$A$1,1,100000000)</f>
        <v>5640.6368599999996</v>
      </c>
      <c r="BU47" s="52">
        <f xml:space="preserve"> [1]!s_stm07_bs(A47,"W15273164",$B$1,1,100000000)-[1]!s_stm07_bs(A47,"W17642530",$B$1,1,100000000)-[1]!s_stm07_bs(A47,"W15910877",$B$1,1,100000000)-[1]!s_stm07_bs_39(A47,$B$1,1,100000000)-[1]!s_stm07_bs(A47,"W17700468",$B$1,1,100000000)-[1]!s_stm07_bs(A47,"W16504296",$B$1,1,100000000)-[1]!s_stm07_bs(A47,"W13769069",$B$1,1,100000000)</f>
        <v>5579.0414099999989</v>
      </c>
      <c r="BV47" s="52">
        <f xml:space="preserve"> [1]!s_stm07_bs(A47,"W15273164",$E$1,1,100000000)-[1]!s_stm07_bs(A47,"W17642530",$E$1,1,100000000)-[1]!s_stm07_bs(A47,"W15910877",$E$1,1,100000000)-[1]!s_stm07_bs_39(A47,$E$1,1,100000000)-[1]!s_stm07_bs(A47,"W17700468",$E$1,1,100000000)-[1]!s_stm07_bs(A47,"W16504296",$E$1,1,100000000)-[1]!s_stm07_bs(A47,"W13769069",$E$1,1,100000000)</f>
        <v>0</v>
      </c>
      <c r="BW47" s="52">
        <f xml:space="preserve"> [1]!s_stm07_bs(A47,"W15273164",$F$1,1,100000000)-[1]!s_stm07_bs(A47,"W17642530",$F$1,1,100000000)-[1]!s_stm07_bs(A47,"W15910877",$F$1,1,100000000)-[1]!s_stm07_bs_39(A47,$F$1,1,100000000)-[1]!s_stm07_bs(A47,"W17700468",$F$1,1,100000000)-[1]!s_stm07_bs(A47,"W16504296",$F$1,1,100000000)-[1]!s_stm07_bs(A47,"W13769069",$F$1,1,100000000)</f>
        <v>0</v>
      </c>
      <c r="BX47" s="52">
        <f xml:space="preserve"> [1]!s_stm07_bs(A47,"W15273164",$G$1,1,100000000)-[1]!s_stm07_bs(A47,"W17642530",$G$1,1,100000000)-[1]!s_stm07_bs(A47,"W15910877",$G$1,1,100000000)-[1]!s_stm07_bs_39(A47,$G$1,1,100000000)-[1]!s_stm07_bs(A47,"W17700468",$G$1,1,100000000)-[1]!s_stm07_bs(A47,"W16504296",$G$1,1,100000000)-[1]!s_stm07_bs(A47,"W13769069",$G$1,1,100000000)</f>
        <v>0</v>
      </c>
      <c r="BY47" s="52">
        <f>IFERROR([1]!b_stm07_is(A47,20,$A$1,1,100000000)/AVERAGEIF(CA47:CE47,"&gt;0")*100,0)</f>
        <v>1.1469148265090898</v>
      </c>
      <c r="BZ47" s="52">
        <f>[1]!b_stm07_is(A47,20,$A$1,1,100000000)</f>
        <v>55.284910000000004</v>
      </c>
      <c r="CA47" s="52">
        <f>[1]!s_stmnote_bank_38(A47,$A$1,1,100000000)</f>
        <v>4868.9988499999999</v>
      </c>
      <c r="CB47" s="52">
        <f>[1]!s_stmnote_bank_38(A47,$B$1,1,100000000)</f>
        <v>4771.6315999999997</v>
      </c>
      <c r="CC47" s="52">
        <f>[1]!s_stmnote_bank_38(A47,$E$1,1,100000000)</f>
        <v>0</v>
      </c>
      <c r="CD47" s="52">
        <f>[1]!s_stmnote_bank_38(A47,$F$1,1,100000000)</f>
        <v>0</v>
      </c>
      <c r="CE47" s="52">
        <f>[1]!s_stmnote_bank_38(A47,$G$1,1,100000000)</f>
        <v>0</v>
      </c>
      <c r="CF47" s="52">
        <f>IF(BP47&lt;&gt;0,BP47,IFERROR(IF(([1]!b_stm07_is(A47,19,$A$1,1,100000000)-[1]!b_stm07_is(A47,20,$A$1,1,100000000))/AVERAGE([1]!s_stmnote_bank_35(A47,$A$1,1,100000000),[1]!s_stmnote_bank_35(A47,$B$1,1,100000000))*100=0,"",([1]!b_stm07_is(A47,19,$A$1,1,100000000)-[1]!b_stm07_is(A47,20,$A$1,1,100000000))/AVERAGE([1]!s_stmnote_bank_35(A47,$A$1,1,100000000),[1]!s_stmnote_bank_35(A47,$B$1,1,100000000))*100),""))</f>
        <v>1.5347029394380454</v>
      </c>
      <c r="CG47" s="27" t="str">
        <f t="shared" si="6"/>
        <v>152 171</v>
      </c>
      <c r="CH47" s="80">
        <f t="shared" si="14"/>
        <v>0.90878618979172499</v>
      </c>
      <c r="CI47" s="27" t="str">
        <f t="shared" si="7"/>
        <v>50 169</v>
      </c>
      <c r="CJ47" s="55">
        <f>[1]!s_stmnote_bank_30(A47,$A$1,1)</f>
        <v>38.951799999999999</v>
      </c>
      <c r="CP47" s="69">
        <f>[1]!b_stm07_bs($A47,141,$A$1,1,100000000)</f>
        <v>530.57451000000003</v>
      </c>
      <c r="CQ47" s="69">
        <f>[1]!b_stm07_bs($A47,141,$D$1,1,100000000)</f>
        <v>536.67510000000004</v>
      </c>
      <c r="CR47" s="68">
        <f>IF([1]!s_fa_roic_yearly($A47,$A$1)=0,"",[1]!s_fa_roic_yearly($A47,$A$1))</f>
        <v>7.4890999999999996</v>
      </c>
      <c r="CS47" s="27">
        <f>RANK(CR47,CR$5:CR$192,0)/COUNTIF(CR$5:CR$192,"&gt;0")</f>
        <v>0.63313609467455623</v>
      </c>
      <c r="CT47" s="68">
        <f>IF([1]!s_fa_roic_yearly($A47,$D$1)=0,"",[1]!s_fa_roic_yearly($A47,$D$1))</f>
        <v>11.1732</v>
      </c>
      <c r="CU47" s="27">
        <f>RANK(CT47,CT$5:CT$192,0)/COUNTIF(CT$5:CT$192,"&gt;0")</f>
        <v>0.34507042253521125</v>
      </c>
      <c r="CV47" s="78">
        <f>[1]!s_stm07_bs(A47,"W14578191",$A$1,1,100000000)</f>
        <v>2394.2458999999999</v>
      </c>
      <c r="CW47" s="78">
        <f>[1]!s_stmnote_bank_682($A47,$A$1,1,2,100000000)</f>
        <v>571.02387999999996</v>
      </c>
      <c r="CX47" s="79">
        <f t="shared" si="11"/>
        <v>0.23849842658183104</v>
      </c>
    </row>
    <row r="48" spans="1:102" s="46" customFormat="1" ht="13.5">
      <c r="A48" s="8" t="s">
        <v>830</v>
      </c>
      <c r="B48" s="8" t="s">
        <v>831</v>
      </c>
      <c r="C48" s="9" t="s">
        <v>832</v>
      </c>
      <c r="D48" s="9" t="s">
        <v>1061</v>
      </c>
      <c r="E48" s="10" t="s">
        <v>832</v>
      </c>
      <c r="F48" s="11" t="s">
        <v>178</v>
      </c>
      <c r="G48" s="11" t="s">
        <v>259</v>
      </c>
      <c r="H48" s="11" t="s">
        <v>259</v>
      </c>
      <c r="I48" s="11"/>
      <c r="J48" s="11">
        <f>VLOOKUP(B48,[3]额度信息!$B:$T,19,0)</f>
        <v>10</v>
      </c>
      <c r="K48" s="11" t="s">
        <v>833</v>
      </c>
      <c r="L48" s="27">
        <f>IFERROR(([1]!b_stm07_bs($A48,47,$A$1,1,100000000))/[1]!b_stm07_bs($A48,109,$A$1,1,100000000),"")</f>
        <v>8.9604455970330135E-2</v>
      </c>
      <c r="M48" s="20">
        <v>123.47</v>
      </c>
      <c r="N48" s="18">
        <f>IFERROR(([1]!s_stmnote_bank_26($A48,$A$1,1,100000000)-[1]!s_stmnote_bank_26($A48,$B$1,1,100000000)+M48)/[1]!s_stmnote_bank_1n($A48,$B$1,1,100000000),"")</f>
        <v>9.7002551067698062E-3</v>
      </c>
      <c r="O48" s="27" t="str">
        <f t="shared" si="0"/>
        <v>24 50</v>
      </c>
      <c r="P48" s="21">
        <f t="shared" si="12"/>
        <v>2.3886210935652501E-2</v>
      </c>
      <c r="Q48" s="27" t="str">
        <f t="shared" si="1"/>
        <v>56 169</v>
      </c>
      <c r="R48" s="18">
        <v>1.3086210935652501E-2</v>
      </c>
      <c r="S48" s="22">
        <v>3.3384461751308998E-2</v>
      </c>
      <c r="T48" s="22">
        <v>1.07163156001634E-2</v>
      </c>
      <c r="U48" s="22">
        <v>2.9718873183162402E-2</v>
      </c>
      <c r="V48" s="22"/>
      <c r="W48" s="22">
        <v>5.90921169925872E-2</v>
      </c>
      <c r="X48" s="22">
        <v>2.15710587312661E-2</v>
      </c>
      <c r="Y48" s="22">
        <v>0.72396832013338897</v>
      </c>
      <c r="Z48" s="25">
        <f>[1]!b_stm07_bs(A48,74,$A$1,1,100000000)</f>
        <v>26188.742600000001</v>
      </c>
      <c r="AA48" s="25">
        <f>[1]!b_stm07_bs(A48,109,$A$1,1,100000000)</f>
        <v>14788.123600000001</v>
      </c>
      <c r="AB48" s="10">
        <f>[1]!s_stmnote_bank_5n(A48,$A$1,1)</f>
        <v>1.08</v>
      </c>
      <c r="AC48" s="25">
        <f>IF([1]!s_stmnote_bank_23n(A48,$A$1,1)=0,"",IFERROR([1]!s_stmnote_bank_23n(A48,$A$1,1),""))</f>
        <v>307.72000000000003</v>
      </c>
      <c r="AD48" s="27" t="str">
        <f t="shared" si="2"/>
        <v>111 167</v>
      </c>
      <c r="AE48" s="25">
        <f>[1]!s_stmnote_bank_capadequacyratio(A48,$A$1,1)</f>
        <v>13.38</v>
      </c>
      <c r="AF48" s="25">
        <f>IF([1]!s_stmnote_bank_capadequacyratio_ct1(A48,$A$1,1)=0,"",IFERROR([1]!s_stmnote_bank_capadequacyratio_ct1(A48,$A$1,1),""))</f>
        <v>8.7799999999999994</v>
      </c>
      <c r="AG48" s="27" t="str">
        <f>RANK(AF48,AF$5:AF$192,0)&amp;" "&amp;COUNTIF(AF$5:AF$192,"&gt;0")</f>
        <v>131 167</v>
      </c>
      <c r="AH48" s="6">
        <f>IF(OR([1]!s_fa_roe(A48,20201231)=0,[1]!s_fa_roe(A48,20211231)="0",[1]!s_fa_roe(A48,20221231)="0"),"",IFERROR(([1]!s_fa_roe(A48,20221231)+[1]!s_fa_roe(A48,20201231)+[1]!s_fa_roe(A48,20211231))/3,""))</f>
        <v>10.999233333333335</v>
      </c>
      <c r="AI48" s="27" t="str">
        <f t="shared" si="3"/>
        <v>137 173</v>
      </c>
      <c r="AJ48" s="28">
        <f>IFERROR(([1]!s_stmnote_bank_65(A48,$A$1,1,2,4,100000000)+[1]!s_stmnote_bank_65(A48,$A$1,1,2,6,100000000))/[1]!s_stmnote_bank_1n(A48,$A$1,1,100000000),"")</f>
        <v>9.3677340387199395E-2</v>
      </c>
      <c r="AK48" s="28">
        <f>IFERROR([1]!s_stmnote_bank_614(A48,$A$1,1,2,100000000)/[1]!s_stmnote_bank_647(A48,$A$1,1,2,100000000),"")</f>
        <v>0.27213768969189378</v>
      </c>
      <c r="AL48" s="28">
        <f>IFERROR(([1]!b_stm07_bs(A48,104,$A$1,1,100000000)+[1]!b_stm07_bs(A48,106,$A$1,1,100000000)+[1]!b_stm07_bs(A48,76,$A$1,1,100000000)+[1]!b_stm07_bs(A48,108,$A$1,1,100000000)+[1]!b_stm07_bs(A48,95,$A$1,1,100000000))/[1]!b_stm07_bs(A48,128,$A$1,1,100000000),"")</f>
        <v>0.29798340826633601</v>
      </c>
      <c r="AM48" s="28">
        <f>IFERROR(([1]!s_stmnote_bank_614(A48,$A$1,1,2,100000000)+[1]!b_stm07_bs(A48,104,$A$1,1,100000000)+[1]!b_stm07_bs(A48,106,$A$1,1,100000000)+[1]!b_stm07_bs(A48,76,$A$1,1,100000000)+[1]!b_stm07_bs(A48,108,$A$1,1,100000000)+[1]!b_stm07_bs(A48,95,$A$1,1,100000000))/[1]!b_stm07_bs(A48,128,$A$1,1,100000000),"")</f>
        <v>0.46112270311323533</v>
      </c>
      <c r="AN48" s="31" t="e">
        <f>IF(Z48&gt;#REF!,#REF!,IF(Z48&gt;#REF!,#REF!,IF(Z48&gt;#REF!,#REF!,IF(Z48&gt;#REF!,#REF!,IF(Z48&gt;#REF!,#REF!,IF(Z48&gt;#REF!,#REF!,IF(Z48&gt;#REF!,#REF!,#REF!)))))))</f>
        <v>#REF!</v>
      </c>
      <c r="AO48" s="31" t="e">
        <f>IF(AA48&gt;#REF!,#REF!,IF(AA48&gt;#REF!,#REF!,IF(AA48&gt;#REF!,#REF!,IF(AA48&gt;#REF!,#REF!,IF(AA48&gt;#REF!,#REF!,IF(AA48&gt;#REF!,#REF!,IF(AA48&gt;#REF!,#REF!,#REF!)))))))</f>
        <v>#REF!</v>
      </c>
      <c r="AP48" s="31" t="e">
        <f>IF(AB48&lt;#REF!,#REF!,IF(AB48&lt;#REF!,#REF!,IF(AB48&lt;#REF!,#REF!,IF(AB48&lt;#REF!,#REF!,IF(AB48&lt;#REF!,#REF!,IF(AB48&lt;#REF!,#REF!,#REF!))))))</f>
        <v>#REF!</v>
      </c>
      <c r="AQ48" s="31" t="e">
        <f>IF(AC48&gt;#REF!,#REF!,IF(AC48&gt;#REF!,#REF!,IF(AC48&gt;#REF!,#REF!,IF(AC48&gt;#REF!,#REF!,#REF!))))</f>
        <v>#REF!</v>
      </c>
      <c r="AR48" s="31" t="e">
        <f>IF(AE48&gt;#REF!,#REF!,IF(AE48&gt;#REF!,#REF!,IF(AE48&gt;#REF!,#REF!,IF(AE48&gt;#REF!,#REF!,#REF!))))</f>
        <v>#REF!</v>
      </c>
      <c r="AS48" s="31" t="e">
        <f>IF(AF48&gt;#REF!,#REF!,IF(AF48&gt;#REF!,#REF!,IF(AF48&gt;#REF!,#REF!,IF(AF48&gt;#REF!,#REF!,#REF!))))</f>
        <v>#REF!</v>
      </c>
      <c r="AT48" s="31" t="e">
        <f>IF(AH48&gt;#REF!,#REF!,IF(AH48&gt;#REF!,#REF!,IF(AH48&gt;#REF!,#REF!,IF(AH48&gt;#REF!,#REF!,IF(AH48&gt;#REF!,#REF!,#REF!)))))</f>
        <v>#REF!</v>
      </c>
      <c r="AU48" s="10" t="e">
        <f t="shared" si="4"/>
        <v>#REF!</v>
      </c>
      <c r="AV48" s="10" t="s">
        <v>60</v>
      </c>
      <c r="AW48" s="10" t="s">
        <v>61</v>
      </c>
      <c r="AX48" s="10" t="s">
        <v>141</v>
      </c>
      <c r="AY48" s="31" t="str">
        <f>IFERROR(VLOOKUP(AV48,#REF!,3,0),"")</f>
        <v/>
      </c>
      <c r="AZ48" s="31" t="str">
        <f>IFERROR(VLOOKUP(AW48,#REF!,3,0),"")</f>
        <v/>
      </c>
      <c r="BA48" s="31" t="str">
        <f>IFERROR(VLOOKUP(AX48,#REF!,3,0),"")</f>
        <v/>
      </c>
      <c r="BB48" s="31" t="str">
        <f>IFERROR(AY48*#REF!+AZ48*#REF!+BA48*#REF!,"")</f>
        <v/>
      </c>
      <c r="BC48" s="32" t="str">
        <f t="shared" si="5"/>
        <v/>
      </c>
      <c r="BD48" s="32" t="str">
        <f>IFERROR(VLOOKUP(BC48*10,#REF!,2,1),"")</f>
        <v/>
      </c>
      <c r="BE48" s="11">
        <v>2</v>
      </c>
      <c r="BF48" s="11">
        <v>0</v>
      </c>
      <c r="BG48" s="10" t="s">
        <v>532</v>
      </c>
      <c r="BH48" s="11" t="s">
        <v>834</v>
      </c>
      <c r="BI48" s="10">
        <v>8.1700000762939506</v>
      </c>
      <c r="BJ48" s="33" t="s">
        <v>92</v>
      </c>
      <c r="BK48" s="33" t="s">
        <v>670</v>
      </c>
      <c r="BL48" s="10">
        <f>IF([1]!s_stmnote_bank_17n(A48,$A$1,1)="0","",[1]!s_stmnote_bank_17n(A48,$A$1,1))</f>
        <v>2.0499999999999998</v>
      </c>
      <c r="BM48" s="10">
        <f>IF([1]!s_stmnote_bank_18n(A48,$A$1,1)="0","",[1]!s_stmnote_bank_18n(A48,$A$1,1))</f>
        <v>12.51</v>
      </c>
      <c r="BN48" s="41">
        <v>4.53</v>
      </c>
      <c r="BO48" s="68">
        <v>2.42</v>
      </c>
      <c r="BP48" s="52">
        <f>[1]!s_stmnote_bank_5444(A48,$A$1,1)</f>
        <v>2.2799999999999998</v>
      </c>
      <c r="BQ48" s="52">
        <f>[1]!s_stmnote_bank_129n($A48,$A$1,1)</f>
        <v>22.44</v>
      </c>
      <c r="BR48" s="52">
        <f t="shared" si="13"/>
        <v>4.4037472611064024</v>
      </c>
      <c r="BS48" s="52">
        <f>[1]!b_stm07_is(A48,19,$A$1,1,100000000)</f>
        <v>1048.7148199999999</v>
      </c>
      <c r="BT48" s="52">
        <f xml:space="preserve"> [1]!s_stm07_bs(A48,"W15273164",$A$1,1,100000000)-[1]!s_stm07_bs(A48,"W17642530",$A$1,1,100000000)-[1]!s_stm07_bs(A48,"W15910877",$A$1,1,100000000)-[1]!s_stm07_bs_39(A48,$A$1,1,100000000)-[1]!s_stm07_bs(A48,"W17700468",$A$1,1,100000000)-[1]!s_stm07_bs(A48,"W16504296",$A$1,1,100000000)-[1]!s_stm07_bs(A48,"W13769069",$A$1,1,100000000)</f>
        <v>25892.324730000004</v>
      </c>
      <c r="BU48" s="52">
        <f xml:space="preserve"> [1]!s_stm07_bs(A48,"W15273164",$B$1,1,100000000)-[1]!s_stm07_bs(A48,"W17642530",$B$1,1,100000000)-[1]!s_stm07_bs(A48,"W15910877",$B$1,1,100000000)-[1]!s_stm07_bs_39(A48,$B$1,1,100000000)-[1]!s_stm07_bs(A48,"W17700468",$B$1,1,100000000)-[1]!s_stm07_bs(A48,"W16504296",$B$1,1,100000000)-[1]!s_stm07_bs(A48,"W13769069",$B$1,1,100000000)</f>
        <v>23119.037899999999</v>
      </c>
      <c r="BV48" s="52">
        <f xml:space="preserve"> [1]!s_stm07_bs(A48,"W15273164",$E$1,1,100000000)-[1]!s_stm07_bs(A48,"W17642530",$E$1,1,100000000)-[1]!s_stm07_bs(A48,"W15910877",$E$1,1,100000000)-[1]!s_stm07_bs_39(A48,$E$1,1,100000000)-[1]!s_stm07_bs(A48,"W17700468",$E$1,1,100000000)-[1]!s_stm07_bs(A48,"W16504296",$E$1,1,100000000)-[1]!s_stm07_bs(A48,"W13769069",$E$1,1,100000000)</f>
        <v>25522.897950000002</v>
      </c>
      <c r="BW48" s="52">
        <f xml:space="preserve"> [1]!s_stm07_bs(A48,"W15273164",$F$1,1,100000000)-[1]!s_stm07_bs(A48,"W17642530",$F$1,1,100000000)-[1]!s_stm07_bs(A48,"W15910877",$F$1,1,100000000)-[1]!s_stm07_bs_39(A48,$F$1,1,100000000)-[1]!s_stm07_bs(A48,"W17700468",$F$1,1,100000000)-[1]!s_stm07_bs(A48,"W16504296",$F$1,1,100000000)-[1]!s_stm07_bs(A48,"W13769069",$F$1,1,100000000)</f>
        <v>25261.207989999999</v>
      </c>
      <c r="BX48" s="52">
        <f xml:space="preserve"> [1]!s_stm07_bs(A48,"W15273164",$G$1,1,100000000)-[1]!s_stm07_bs(A48,"W17642530",$G$1,1,100000000)-[1]!s_stm07_bs(A48,"W15910877",$G$1,1,100000000)-[1]!s_stm07_bs_39(A48,$G$1,1,100000000)-[1]!s_stm07_bs(A48,"W17700468",$G$1,1,100000000)-[1]!s_stm07_bs(A48,"W16504296",$G$1,1,100000000)-[1]!s_stm07_bs(A48,"W13769069",$G$1,1,100000000)</f>
        <v>24786.434080000003</v>
      </c>
      <c r="BY48" s="52">
        <f>IFERROR([1]!b_stm07_is(A48,20,$A$1,1,100000000)/AVERAGEIF(CA48:CE48,"&gt;0")*100,0)</f>
        <v>2.5841401562856645</v>
      </c>
      <c r="BZ48" s="52">
        <f>[1]!b_stm07_is(A48,20,$A$1,1,100000000)</f>
        <v>593.91791000000001</v>
      </c>
      <c r="CA48" s="52">
        <f>[1]!s_stmnote_bank_38(A48,$A$1,1,100000000)</f>
        <v>23835.55876</v>
      </c>
      <c r="CB48" s="52">
        <f>[1]!s_stmnote_bank_38(A48,$B$1,1,100000000)</f>
        <v>21280.145229999998</v>
      </c>
      <c r="CC48" s="52">
        <f>[1]!s_stmnote_bank_38(A48,$E$1,1,100000000)</f>
        <v>23566.559379999999</v>
      </c>
      <c r="CD48" s="52">
        <f>[1]!s_stmnote_bank_38(A48,$F$1,1,100000000)</f>
        <v>23354.863689999998</v>
      </c>
      <c r="CE48" s="52">
        <f>[1]!s_stmnote_bank_38(A48,$G$1,1,100000000)</f>
        <v>22878.8361</v>
      </c>
      <c r="CF48" s="52">
        <f>IF(BP48&lt;&gt;0,BP48,IFERROR(IF(([1]!b_stm07_is(A48,19,$A$1,1,100000000)-[1]!b_stm07_is(A48,20,$A$1,1,100000000))/AVERAGE([1]!s_stmnote_bank_35(A48,$A$1,1,100000000),[1]!s_stmnote_bank_35(A48,$B$1,1,100000000))*100=0,"",([1]!b_stm07_is(A48,19,$A$1,1,100000000)-[1]!b_stm07_is(A48,20,$A$1,1,100000000))/AVERAGE([1]!s_stmnote_bank_35(A48,$A$1,1,100000000),[1]!s_stmnote_bank_35(A48,$B$1,1,100000000))*100),""))</f>
        <v>2.2799999999999998</v>
      </c>
      <c r="CG48" s="27" t="str">
        <f t="shared" si="6"/>
        <v>56 171</v>
      </c>
      <c r="CH48" s="80">
        <f t="shared" si="14"/>
        <v>0.95452560732304226</v>
      </c>
      <c r="CI48" s="27" t="str">
        <f t="shared" si="7"/>
        <v>46 169</v>
      </c>
      <c r="CJ48" s="55">
        <f>[1]!s_stmnote_bank_30(A48,$A$1,1)</f>
        <v>28.683199999999999</v>
      </c>
      <c r="CK48" s="46">
        <v>801.32</v>
      </c>
      <c r="CL48" s="46">
        <v>252.04</v>
      </c>
      <c r="CM48" s="59">
        <f>CK48/(5/8*[1]!s_stmnote_bank_1n($A48,$A$1,1,100000000)+[1]!s_stmnote_bank_1n($A48,$B$1,1,100000000)*3/8)</f>
        <v>6.0444551734806111E-2</v>
      </c>
      <c r="CP48" s="69">
        <f>[1]!b_stm07_bs($A48,141,$A$1,1,100000000)</f>
        <v>1980.5574799999999</v>
      </c>
      <c r="CQ48" s="69">
        <f>[1]!b_stm07_bs($A48,141,$D$1,1,100000000)</f>
        <v>2058.1398100000001</v>
      </c>
      <c r="CR48" s="68">
        <f>IF([1]!s_fa_roic_yearly($A48,$A$1)=0,"",[1]!s_fa_roic_yearly($A48,$A$1))</f>
        <v>10.638</v>
      </c>
      <c r="CS48" s="27" t="str">
        <f>RANK(CR48,CR$5:CR$192,1)&amp;" "&amp;COUNTIF(CR$5:CR$192,"&gt;0")</f>
        <v>125 169</v>
      </c>
      <c r="CT48" s="68">
        <f>IF([1]!s_fa_roic_yearly($A48,$D$1)=0,"",[1]!s_fa_roic_yearly($A48,$D$1))</f>
        <v>13.6624</v>
      </c>
      <c r="CU48" s="27" t="str">
        <f>RANK(CT48,CT$5:CT$192,1)&amp;" "&amp;COUNTIF(CT$5:CT$192,"&gt;0")</f>
        <v>122 142</v>
      </c>
      <c r="CV48" s="78">
        <f>[1]!s_stm07_bs(A48,"W14578191",$A$1,1,100000000)</f>
        <v>13591.27491</v>
      </c>
      <c r="CW48" s="78">
        <f>[1]!s_stmnote_bank_682($A48,$A$1,1,2,100000000)</f>
        <v>5614.4023299999999</v>
      </c>
      <c r="CX48" s="79">
        <f t="shared" si="11"/>
        <v>0.41308871810613679</v>
      </c>
    </row>
    <row r="49" spans="1:102" s="46" customFormat="1" ht="13.5">
      <c r="A49" s="8" t="s">
        <v>482</v>
      </c>
      <c r="B49" s="8" t="s">
        <v>483</v>
      </c>
      <c r="C49" s="9" t="s">
        <v>484</v>
      </c>
      <c r="D49" s="9" t="s">
        <v>1065</v>
      </c>
      <c r="E49" s="10"/>
      <c r="F49" s="11" t="s">
        <v>178</v>
      </c>
      <c r="G49" s="11" t="s">
        <v>67</v>
      </c>
      <c r="H49" s="11" t="s">
        <v>179</v>
      </c>
      <c r="I49" s="11"/>
      <c r="J49" s="11" t="e">
        <f>VLOOKUP(B49,[3]额度信息!$B:$T,19,0)</f>
        <v>#N/A</v>
      </c>
      <c r="K49" s="11"/>
      <c r="L49" s="27">
        <f>IFERROR(([1]!b_stm07_bs($A49,47,$A$1,1,100000000))/[1]!b_stm07_bs($A49,109,$A$1,1,100000000),"")</f>
        <v>0.12305001706029264</v>
      </c>
      <c r="M49" s="20"/>
      <c r="N49" s="18"/>
      <c r="O49" s="27" t="e">
        <f t="shared" si="0"/>
        <v>#N/A</v>
      </c>
      <c r="P49" s="21">
        <f t="shared" si="12"/>
        <v>1.77E-2</v>
      </c>
      <c r="Q49" s="27" t="str">
        <f t="shared" si="1"/>
        <v>35 169</v>
      </c>
      <c r="R49" s="18">
        <f>IFERROR([1]!s_stmnote_bank($A49,"34",$A$1,100000000)/[1]!s_stmnote_bank_1n(A49,$A$1,1,100000000),"")</f>
        <v>0</v>
      </c>
      <c r="S49" s="22"/>
      <c r="T49" s="22"/>
      <c r="U49" s="22"/>
      <c r="V49" s="22"/>
      <c r="W49" s="22"/>
      <c r="X49" s="22"/>
      <c r="Y49" s="22"/>
      <c r="Z49" s="25">
        <f>[1]!b_stm07_bs(A49,74,$A$1,1,100000000)</f>
        <v>1909.3594523199999</v>
      </c>
      <c r="AA49" s="25">
        <f>[1]!b_stm07_bs(A49,109,$A$1,1,100000000)</f>
        <v>1219.0360927500001</v>
      </c>
      <c r="AB49" s="10">
        <f>[1]!s_stmnote_bank_5n(A49,$A$1,1)</f>
        <v>1.77</v>
      </c>
      <c r="AC49" s="25">
        <f>IF([1]!s_stmnote_bank_23n(A49,$A$1,1)=0,"",IFERROR([1]!s_stmnote_bank_23n(A49,$A$1,1),""))</f>
        <v>130.05000000000001</v>
      </c>
      <c r="AD49" s="27" t="str">
        <f t="shared" si="2"/>
        <v>3 167</v>
      </c>
      <c r="AE49" s="25">
        <f>[1]!s_stmnote_bank_capadequacyratio(A49,$A$1,1)</f>
        <v>14.58</v>
      </c>
      <c r="AF49" s="25">
        <f>IF([1]!s_stmnote_bank_capadequacyratio_ct1(A49,$A$1,1)=0,"",IFERROR([1]!s_stmnote_bank_capadequacyratio_ct1(A49,$A$1,1),""))</f>
        <v>13.27</v>
      </c>
      <c r="AG49" s="27" t="str">
        <f t="shared" ref="AG49:AG65" si="21">RANK(AF49,AF$5:AF$192,1)&amp;" "&amp;COUNTIF(AF$5:AF$192,"&gt;0")</f>
        <v>145 167</v>
      </c>
      <c r="AH49" s="6">
        <f>IF(OR([1]!s_fa_roe(A49,20201231)=0,[1]!s_fa_roe(A49,20211231)="0",[1]!s_fa_roe(A49,20221231)="0"),"",IFERROR(([1]!s_fa_roe(A49,20221231)+[1]!s_fa_roe(A49,20201231)+[1]!s_fa_roe(A49,20211231))/3,""))</f>
        <v>-0.77683333333333326</v>
      </c>
      <c r="AI49" s="27" t="str">
        <f t="shared" si="3"/>
        <v>1 173</v>
      </c>
      <c r="AJ49" s="28">
        <f>IFERROR(([1]!s_stmnote_bank_65(A49,$A$1,1,2,4,100000000)+[1]!s_stmnote_bank_65(A49,$A$1,1,2,6,100000000))/[1]!s_stmnote_bank_1n(A49,$A$1,1,100000000),"")</f>
        <v>0.30372288911955997</v>
      </c>
      <c r="AK49" s="28">
        <f>IFERROR([1]!s_stmnote_bank_614(A49,$A$1,1,2,100000000)/[1]!s_stmnote_bank_647(A49,$A$1,1,2,100000000),"")</f>
        <v>0.20700166045186194</v>
      </c>
      <c r="AL49" s="28">
        <f>IFERROR(([1]!b_stm07_bs(A49,104,$A$1,1,100000000)+[1]!b_stm07_bs(A49,106,$A$1,1,100000000)+[1]!b_stm07_bs(A49,76,$A$1,1,100000000)+[1]!b_stm07_bs(A49,108,$A$1,1,100000000)+[1]!b_stm07_bs(A49,95,$A$1,1,100000000))/[1]!b_stm07_bs(A49,128,$A$1,1,100000000),"")</f>
        <v>0.2638503746543116</v>
      </c>
      <c r="AM49" s="28">
        <f>IFERROR(([1]!s_stmnote_bank_614(A49,$A$1,1,2,100000000)+[1]!b_stm07_bs(A49,104,$A$1,1,100000000)+[1]!b_stm07_bs(A49,106,$A$1,1,100000000)+[1]!b_stm07_bs(A49,76,$A$1,1,100000000)+[1]!b_stm07_bs(A49,108,$A$1,1,100000000)+[1]!b_stm07_bs(A49,95,$A$1,1,100000000))/[1]!b_stm07_bs(A49,128,$A$1,1,100000000),"")</f>
        <v>0.41254531176326426</v>
      </c>
      <c r="AN49" s="31" t="e">
        <f>IF(Z49&gt;#REF!,#REF!,IF(Z49&gt;#REF!,#REF!,IF(Z49&gt;#REF!,#REF!,IF(Z49&gt;#REF!,#REF!,IF(Z49&gt;#REF!,#REF!,IF(Z49&gt;#REF!,#REF!,IF(Z49&gt;#REF!,#REF!,#REF!)))))))</f>
        <v>#REF!</v>
      </c>
      <c r="AO49" s="31" t="e">
        <f>IF(AA49&gt;#REF!,#REF!,IF(AA49&gt;#REF!,#REF!,IF(AA49&gt;#REF!,#REF!,IF(AA49&gt;#REF!,#REF!,IF(AA49&gt;#REF!,#REF!,IF(AA49&gt;#REF!,#REF!,IF(AA49&gt;#REF!,#REF!,#REF!)))))))</f>
        <v>#REF!</v>
      </c>
      <c r="AP49" s="31" t="e">
        <f>IF(AB49&lt;#REF!,#REF!,IF(AB49&lt;#REF!,#REF!,IF(AB49&lt;#REF!,#REF!,IF(AB49&lt;#REF!,#REF!,IF(AB49&lt;#REF!,#REF!,IF(AB49&lt;#REF!,#REF!,#REF!))))))</f>
        <v>#REF!</v>
      </c>
      <c r="AQ49" s="31" t="e">
        <f>IF(AC49&gt;#REF!,#REF!,IF(AC49&gt;#REF!,#REF!,IF(AC49&gt;#REF!,#REF!,IF(AC49&gt;#REF!,#REF!,#REF!))))</f>
        <v>#REF!</v>
      </c>
      <c r="AR49" s="31" t="e">
        <f>IF(AE49&gt;#REF!,#REF!,IF(AE49&gt;#REF!,#REF!,IF(AE49&gt;#REF!,#REF!,IF(AE49&gt;#REF!,#REF!,#REF!))))</f>
        <v>#REF!</v>
      </c>
      <c r="AS49" s="31" t="e">
        <f>IF(AF49&gt;#REF!,#REF!,IF(AF49&gt;#REF!,#REF!,IF(AF49&gt;#REF!,#REF!,IF(AF49&gt;#REF!,#REF!,#REF!))))</f>
        <v>#REF!</v>
      </c>
      <c r="AT49" s="31" t="e">
        <f>IF(AH49&gt;#REF!,#REF!,IF(AH49&gt;#REF!,#REF!,IF(AH49&gt;#REF!,#REF!,IF(AH49&gt;#REF!,#REF!,IF(AH49&gt;#REF!,#REF!,#REF!)))))</f>
        <v>#REF!</v>
      </c>
      <c r="AU49" s="10" t="e">
        <f t="shared" si="4"/>
        <v>#REF!</v>
      </c>
      <c r="AV49" s="10"/>
      <c r="AW49" s="10"/>
      <c r="AX49" s="10"/>
      <c r="AY49" s="31" t="str">
        <f>IFERROR(VLOOKUP(AV49,#REF!,3,0),"")</f>
        <v/>
      </c>
      <c r="AZ49" s="31" t="str">
        <f>IFERROR(VLOOKUP(AW49,#REF!,3,0),"")</f>
        <v/>
      </c>
      <c r="BA49" s="31" t="str">
        <f>IFERROR(VLOOKUP(AX49,#REF!,3,0),"")</f>
        <v/>
      </c>
      <c r="BB49" s="31" t="str">
        <f>IFERROR(AY49*#REF!+AZ49*#REF!+BA49*#REF!,"")</f>
        <v/>
      </c>
      <c r="BC49" s="32" t="str">
        <f t="shared" si="5"/>
        <v/>
      </c>
      <c r="BD49" s="32" t="str">
        <f>IFERROR(VLOOKUP(BC49*10,#REF!,2,1),"")</f>
        <v/>
      </c>
      <c r="BE49" s="10"/>
      <c r="BF49" s="10"/>
      <c r="BG49" s="10"/>
      <c r="BH49" s="11" t="s">
        <v>485</v>
      </c>
      <c r="BI49" s="10">
        <v>100</v>
      </c>
      <c r="BJ49" s="33" t="s">
        <v>486</v>
      </c>
      <c r="BK49" s="33" t="s">
        <v>487</v>
      </c>
      <c r="BL49" s="10">
        <f>IF([1]!s_stmnote_bank_17n(A49,$A$1,1)="0","",[1]!s_stmnote_bank_17n(A49,$A$1,1))</f>
        <v>0</v>
      </c>
      <c r="BM49" s="10">
        <f>IF([1]!s_stmnote_bank_18n(A49,$A$1,1)="0","",[1]!s_stmnote_bank_18n(A49,$A$1,1))</f>
        <v>0</v>
      </c>
      <c r="BN49" s="41" t="s">
        <v>67</v>
      </c>
      <c r="BO49" s="42" t="s">
        <v>67</v>
      </c>
      <c r="BP49" s="52">
        <f>[1]!s_stmnote_bank_5444(A49,$A$1,1)</f>
        <v>0</v>
      </c>
      <c r="BQ49" s="53">
        <f>[1]!s_stmnote_bank_129n($A49,$A$1,1)</f>
        <v>68.924199999999999</v>
      </c>
      <c r="BR49" s="52">
        <f t="shared" si="13"/>
        <v>4.0527439873869087</v>
      </c>
      <c r="BS49" s="52">
        <f>[1]!b_stm07_is(A49,19,$A$1,1,100000000)</f>
        <v>73.010436659999996</v>
      </c>
      <c r="BT49" s="52">
        <f xml:space="preserve"> [1]!s_stm07_bs(A49,"W15273164",$A$1,1,100000000)-[1]!s_stm07_bs(A49,"W17642530",$A$1,1,100000000)-[1]!s_stm07_bs(A49,"W15910877",$A$1,1,100000000)-[1]!s_stm07_bs_39(A49,$A$1,1,100000000)-[1]!s_stm07_bs(A49,"W17700468",$A$1,1,100000000)-[1]!s_stm07_bs(A49,"W16504296",$A$1,1,100000000)-[1]!s_stm07_bs(A49,"W13769069",$A$1,1,100000000)</f>
        <v>1859.2259129399999</v>
      </c>
      <c r="BU49" s="52">
        <f xml:space="preserve"> [1]!s_stm07_bs(A49,"W15273164",$B$1,1,100000000)-[1]!s_stm07_bs(A49,"W17642530",$B$1,1,100000000)-[1]!s_stm07_bs(A49,"W15910877",$B$1,1,100000000)-[1]!s_stm07_bs_39(A49,$B$1,1,100000000)-[1]!s_stm07_bs(A49,"W17700468",$B$1,1,100000000)-[1]!s_stm07_bs(A49,"W16504296",$B$1,1,100000000)-[1]!s_stm07_bs(A49,"W13769069",$B$1,1,100000000)</f>
        <v>1778.4745276199999</v>
      </c>
      <c r="BV49" s="52">
        <f xml:space="preserve"> [1]!s_stm07_bs(A49,"W15273164",$E$1,1,100000000)-[1]!s_stm07_bs(A49,"W17642530",$E$1,1,100000000)-[1]!s_stm07_bs(A49,"W15910877",$E$1,1,100000000)-[1]!s_stm07_bs_39(A49,$E$1,1,100000000)-[1]!s_stm07_bs(A49,"W17700468",$E$1,1,100000000)-[1]!s_stm07_bs(A49,"W16504296",$E$1,1,100000000)-[1]!s_stm07_bs(A49,"W13769069",$E$1,1,100000000)</f>
        <v>1874.06</v>
      </c>
      <c r="BW49" s="52">
        <f xml:space="preserve"> [1]!s_stm07_bs(A49,"W15273164",$F$1,1,100000000)-[1]!s_stm07_bs(A49,"W17642530",$F$1,1,100000000)-[1]!s_stm07_bs(A49,"W15910877",$F$1,1,100000000)-[1]!s_stm07_bs_39(A49,$F$1,1,100000000)-[1]!s_stm07_bs(A49,"W17700468",$F$1,1,100000000)-[1]!s_stm07_bs(A49,"W16504296",$F$1,1,100000000)-[1]!s_stm07_bs(A49,"W13769069",$F$1,1,100000000)</f>
        <v>1855.86</v>
      </c>
      <c r="BX49" s="52">
        <f xml:space="preserve"> [1]!s_stm07_bs(A49,"W15273164",$G$1,1,100000000)-[1]!s_stm07_bs(A49,"W17642530",$G$1,1,100000000)-[1]!s_stm07_bs(A49,"W15910877",$G$1,1,100000000)-[1]!s_stm07_bs_39(A49,$G$1,1,100000000)-[1]!s_stm07_bs(A49,"W17700468",$G$1,1,100000000)-[1]!s_stm07_bs(A49,"W16504296",$G$1,1,100000000)-[1]!s_stm07_bs(A49,"W13769069",$G$1,1,100000000)</f>
        <v>1827.25</v>
      </c>
      <c r="BY49" s="52">
        <f>IFERROR([1]!b_stm07_is(A49,20,$A$1,1,100000000)/AVERAGEIF(CA49:CE49,"&gt;0")*100,0)</f>
        <v>2.5438551877484219</v>
      </c>
      <c r="BZ49" s="52">
        <f>[1]!b_stm07_is(A49,20,$A$1,1,100000000)</f>
        <v>40.616004250000003</v>
      </c>
      <c r="CA49" s="52">
        <f>[1]!s_stmnote_bank_38(A49,$A$1,1,100000000)</f>
        <v>1666.8029315799999</v>
      </c>
      <c r="CB49" s="52">
        <f>[1]!s_stmnote_bank_38(A49,$B$1,1,100000000)</f>
        <v>1526.4609338800001</v>
      </c>
      <c r="CC49" s="52">
        <f>[1]!s_stmnote_bank_38(A49,$E$1,1,100000000)</f>
        <v>0</v>
      </c>
      <c r="CD49" s="52">
        <f>[1]!s_stmnote_bank_38(A49,$F$1,1,100000000)</f>
        <v>0</v>
      </c>
      <c r="CE49" s="52">
        <f>[1]!s_stmnote_bank_38(A49,$G$1,1,100000000)</f>
        <v>0</v>
      </c>
      <c r="CF49" s="52">
        <f>IF(BP49&lt;&gt;0,BP49,IFERROR(IF(([1]!b_stm07_is(A49,19,$A$1,1,100000000)-[1]!b_stm07_is(A49,20,$A$1,1,100000000))/AVERAGE([1]!s_stmnote_bank_35(A49,$A$1,1,100000000),[1]!s_stmnote_bank_35(A49,$B$1,1,100000000))*100=0,"",([1]!b_stm07_is(A49,19,$A$1,1,100000000)-[1]!b_stm07_is(A49,20,$A$1,1,100000000))/AVERAGE([1]!s_stmnote_bank_35(A49,$A$1,1,100000000),[1]!s_stmnote_bank_35(A49,$B$1,1,100000000))*100),""))</f>
        <v>1.8267723322791356</v>
      </c>
      <c r="CG49" s="27" t="str">
        <f t="shared" si="6"/>
        <v>124 171</v>
      </c>
      <c r="CH49" s="80">
        <f t="shared" si="14"/>
        <v>1.0320747639995116</v>
      </c>
      <c r="CI49" s="27" t="str">
        <f t="shared" si="7"/>
        <v>38 169</v>
      </c>
      <c r="CJ49" s="55">
        <f>[1]!s_stmnote_bank_30(A49,$A$1,1)</f>
        <v>17.9359</v>
      </c>
      <c r="CP49" s="69">
        <f>[1]!b_stm07_bs($A49,141,$A$1,1,100000000)</f>
        <v>212.31111795000001</v>
      </c>
      <c r="CQ49" s="69">
        <f>[1]!b_stm07_bs($A49,141,$D$1,1,100000000)</f>
        <v>214.52</v>
      </c>
      <c r="CR49" s="68">
        <f>IF([1]!s_fa_roic_yearly($A49,$A$1)=0,"",[1]!s_fa_roic_yearly($A49,$A$1))</f>
        <v>0.1464</v>
      </c>
      <c r="CS49" s="27">
        <f t="shared" ref="CS49:CS65" si="22">RANK(CR49,CR$5:CR$192,0)/COUNTIF(CR$5:CR$192,"&gt;0")</f>
        <v>1</v>
      </c>
      <c r="CT49" s="68" t="str">
        <f>IF([1]!s_fa_roic_yearly($A49,$D$1)=0,"",[1]!s_fa_roic_yearly($A49,$D$1))</f>
        <v/>
      </c>
      <c r="CU49" s="27" t="e">
        <f t="shared" ref="CU49:CU65" si="23">RANK(CT49,CT$5:CT$192,0)/COUNTIF(CT$5:CT$192,"&gt;0")</f>
        <v>#VALUE!</v>
      </c>
      <c r="CV49" s="78">
        <f>[1]!s_stm07_bs(A49,"W14578191",$A$1,1,100000000)</f>
        <v>1046.25049418</v>
      </c>
      <c r="CW49" s="78">
        <f>[1]!s_stmnote_bank_682($A49,$A$1,1,2,100000000)</f>
        <v>292.45058233999998</v>
      </c>
      <c r="CX49" s="79">
        <f t="shared" si="11"/>
        <v>0.27952252731713972</v>
      </c>
    </row>
    <row r="50" spans="1:102" ht="13.5">
      <c r="A50" s="8" t="s">
        <v>976</v>
      </c>
      <c r="B50" s="8" t="s">
        <v>977</v>
      </c>
      <c r="C50" s="9" t="s">
        <v>978</v>
      </c>
      <c r="D50" s="9" t="s">
        <v>1066</v>
      </c>
      <c r="E50" s="10"/>
      <c r="F50" s="11" t="s">
        <v>90</v>
      </c>
      <c r="G50" s="11" t="s">
        <v>67</v>
      </c>
      <c r="H50" s="11" t="s">
        <v>83</v>
      </c>
      <c r="I50" s="11"/>
      <c r="J50" s="11" t="e">
        <f>VLOOKUP(B50,[3]额度信息!$B:$T,19,0)</f>
        <v>#N/A</v>
      </c>
      <c r="K50" s="11"/>
      <c r="L50" s="27">
        <f>IFERROR(([1]!b_stm07_bs($A50,47,$A$1,1,100000000))/[1]!b_stm07_bs($A50,109,$A$1,1,100000000),"")</f>
        <v>7.7384653715367152E-2</v>
      </c>
      <c r="M50" s="20"/>
      <c r="N50" s="18"/>
      <c r="O50" s="27" t="e">
        <f t="shared" si="0"/>
        <v>#N/A</v>
      </c>
      <c r="P50" s="21">
        <f t="shared" si="12"/>
        <v>1.706386825621705E-2</v>
      </c>
      <c r="Q50" s="27" t="str">
        <f t="shared" si="1"/>
        <v>32 169</v>
      </c>
      <c r="R50" s="18">
        <f>IFERROR([1]!s_stmnote_bank($A50,"34",$A$1,100000000)/[1]!s_stmnote_bank_1n(A50,$A$1,1,100000000),"")</f>
        <v>9.8638682562170506E-3</v>
      </c>
      <c r="S50" s="22"/>
      <c r="T50" s="22"/>
      <c r="U50" s="22"/>
      <c r="V50" s="22"/>
      <c r="W50" s="22"/>
      <c r="X50" s="22"/>
      <c r="Y50" s="22"/>
      <c r="Z50" s="25">
        <f>[1]!b_stm07_bs(A50,74,$A$1,1,100000000)</f>
        <v>466.26375111210001</v>
      </c>
      <c r="AA50" s="25">
        <f>[1]!b_stm07_bs(A50,109,$A$1,1,100000000)</f>
        <v>330.138713559</v>
      </c>
      <c r="AB50" s="10">
        <f>[1]!s_stmnote_bank_5n(A50,$A$1,1)</f>
        <v>0.72</v>
      </c>
      <c r="AC50" s="25">
        <f>IF([1]!s_stmnote_bank_23n(A50,$A$1,1)=0,"",IFERROR([1]!s_stmnote_bank_23n(A50,$A$1,1),""))</f>
        <v>639.37</v>
      </c>
      <c r="AD50" s="27" t="str">
        <f t="shared" si="2"/>
        <v>159 167</v>
      </c>
      <c r="AE50" s="25">
        <f>[1]!s_stmnote_bank_capadequacyratio(A50,$A$1,1)</f>
        <v>16.54</v>
      </c>
      <c r="AF50" s="25">
        <f>IF([1]!s_stmnote_bank_capadequacyratio_ct1(A50,$A$1,1)=0,"",IFERROR([1]!s_stmnote_bank_capadequacyratio_ct1(A50,$A$1,1),""))</f>
        <v>15.37</v>
      </c>
      <c r="AG50" s="27" t="str">
        <f t="shared" si="21"/>
        <v>157 167</v>
      </c>
      <c r="AH50" s="6">
        <f>IF(OR([1]!s_fa_roe(A50,20201231)=0,[1]!s_fa_roe(A50,20211231)="0",[1]!s_fa_roe(A50,20221231)="0"),"",IFERROR(([1]!s_fa_roe(A50,20221231)+[1]!s_fa_roe(A50,20201231)+[1]!s_fa_roe(A50,20211231))/3,""))</f>
        <v>14.329299999999998</v>
      </c>
      <c r="AI50" s="27" t="str">
        <f t="shared" si="3"/>
        <v>166 173</v>
      </c>
      <c r="AJ50" s="28">
        <f>IFERROR(([1]!s_stmnote_bank_65(A50,$A$1,1,2,4,100000000)+[1]!s_stmnote_bank_65(A50,$A$1,1,2,6,100000000))/[1]!s_stmnote_bank_1n(A50,$A$1,1,100000000),"")</f>
        <v>0</v>
      </c>
      <c r="AK50" s="28">
        <f>IFERROR([1]!s_stmnote_bank_614(A50,$A$1,1,2,100000000)/[1]!s_stmnote_bank_647(A50,$A$1,1,2,100000000),"")</f>
        <v>0.1978931475424324</v>
      </c>
      <c r="AL50" s="28">
        <f>IFERROR(([1]!b_stm07_bs(A50,104,$A$1,1,100000000)+[1]!b_stm07_bs(A50,106,$A$1,1,100000000)+[1]!b_stm07_bs(A50,76,$A$1,1,100000000)+[1]!b_stm07_bs(A50,108,$A$1,1,100000000)+[1]!b_stm07_bs(A50,95,$A$1,1,100000000))/[1]!b_stm07_bs(A50,128,$A$1,1,100000000),"")</f>
        <v>0.10889729242614644</v>
      </c>
      <c r="AM50" s="28">
        <f>IFERROR(([1]!s_stmnote_bank_614(A50,$A$1,1,2,100000000)+[1]!b_stm07_bs(A50,104,$A$1,1,100000000)+[1]!b_stm07_bs(A50,106,$A$1,1,100000000)+[1]!b_stm07_bs(A50,76,$A$1,1,100000000)+[1]!b_stm07_bs(A50,108,$A$1,1,100000000)+[1]!b_stm07_bs(A50,95,$A$1,1,100000000))/[1]!b_stm07_bs(A50,128,$A$1,1,100000000),"")</f>
        <v>0.26680986115178706</v>
      </c>
      <c r="AN50" s="31" t="e">
        <f>IF(Z50&gt;#REF!,#REF!,IF(Z50&gt;#REF!,#REF!,IF(Z50&gt;#REF!,#REF!,IF(Z50&gt;#REF!,#REF!,IF(Z50&gt;#REF!,#REF!,IF(Z50&gt;#REF!,#REF!,IF(Z50&gt;#REF!,#REF!,#REF!)))))))</f>
        <v>#REF!</v>
      </c>
      <c r="AO50" s="31" t="e">
        <f>IF(AA50&gt;#REF!,#REF!,IF(AA50&gt;#REF!,#REF!,IF(AA50&gt;#REF!,#REF!,IF(AA50&gt;#REF!,#REF!,IF(AA50&gt;#REF!,#REF!,IF(AA50&gt;#REF!,#REF!,IF(AA50&gt;#REF!,#REF!,#REF!)))))))</f>
        <v>#REF!</v>
      </c>
      <c r="AP50" s="31" t="e">
        <f>IF(AB50&lt;#REF!,#REF!,IF(AB50&lt;#REF!,#REF!,IF(AB50&lt;#REF!,#REF!,IF(AB50&lt;#REF!,#REF!,IF(AB50&lt;#REF!,#REF!,IF(AB50&lt;#REF!,#REF!,#REF!))))))</f>
        <v>#REF!</v>
      </c>
      <c r="AQ50" s="31" t="e">
        <f>IF(AC50&gt;#REF!,#REF!,IF(AC50&gt;#REF!,#REF!,IF(AC50&gt;#REF!,#REF!,IF(AC50&gt;#REF!,#REF!,#REF!))))</f>
        <v>#REF!</v>
      </c>
      <c r="AR50" s="31" t="e">
        <f>IF(AE50&gt;#REF!,#REF!,IF(AE50&gt;#REF!,#REF!,IF(AE50&gt;#REF!,#REF!,IF(AE50&gt;#REF!,#REF!,#REF!))))</f>
        <v>#REF!</v>
      </c>
      <c r="AS50" s="31" t="e">
        <f>IF(AF50&gt;#REF!,#REF!,IF(AF50&gt;#REF!,#REF!,IF(AF50&gt;#REF!,#REF!,IF(AF50&gt;#REF!,#REF!,#REF!))))</f>
        <v>#REF!</v>
      </c>
      <c r="AT50" s="31" t="e">
        <f>IF(AH50&gt;#REF!,#REF!,IF(AH50&gt;#REF!,#REF!,IF(AH50&gt;#REF!,#REF!,IF(AH50&gt;#REF!,#REF!,IF(AH50&gt;#REF!,#REF!,#REF!)))))</f>
        <v>#REF!</v>
      </c>
      <c r="AU50" s="10" t="e">
        <f t="shared" si="4"/>
        <v>#REF!</v>
      </c>
      <c r="AV50" s="10"/>
      <c r="AW50" s="10"/>
      <c r="AX50" s="10"/>
      <c r="AY50" s="31" t="str">
        <f>IFERROR(VLOOKUP(AV50,#REF!,3,0),"")</f>
        <v/>
      </c>
      <c r="AZ50" s="31" t="str">
        <f>IFERROR(VLOOKUP(AW50,#REF!,3,0),"")</f>
        <v/>
      </c>
      <c r="BA50" s="31" t="str">
        <f>IFERROR(VLOOKUP(AX50,#REF!,3,0),"")</f>
        <v/>
      </c>
      <c r="BB50" s="31" t="str">
        <f>IFERROR(AY50*#REF!+AZ50*#REF!+BA50*#REF!,"")</f>
        <v/>
      </c>
      <c r="BC50" s="32" t="str">
        <f t="shared" si="5"/>
        <v/>
      </c>
      <c r="BD50" s="32" t="str">
        <f>IFERROR(VLOOKUP(BC50*10,#REF!,2,1),"")</f>
        <v/>
      </c>
      <c r="BE50" s="10"/>
      <c r="BF50" s="10"/>
      <c r="BG50" s="10"/>
      <c r="BH50" s="11" t="s">
        <v>979</v>
      </c>
      <c r="BI50" s="10">
        <v>5.0008997917175302</v>
      </c>
      <c r="BJ50" s="11" t="s">
        <v>111</v>
      </c>
      <c r="BK50" s="33" t="s">
        <v>222</v>
      </c>
      <c r="BL50" s="10">
        <f>IF([1]!s_stmnote_bank_17n(A50,$A$1,1)="0","",[1]!s_stmnote_bank_17n(A50,$A$1,1))</f>
        <v>1.82</v>
      </c>
      <c r="BM50" s="10">
        <f>IF([1]!s_stmnote_bank_18n(A50,$A$1,1)="0","",[1]!s_stmnote_bank_18n(A50,$A$1,1))</f>
        <v>10.82</v>
      </c>
      <c r="BN50" s="41" t="s">
        <v>67</v>
      </c>
      <c r="BO50" s="68" t="s">
        <v>67</v>
      </c>
      <c r="BP50" s="52">
        <f>[1]!s_stmnote_bank_5444(A50,$A$1,1)</f>
        <v>3.39</v>
      </c>
      <c r="BQ50" s="52">
        <f>[1]!s_stmnote_bank_129n($A50,$A$1,1)</f>
        <v>31.74</v>
      </c>
      <c r="BR50" s="52">
        <f t="shared" si="13"/>
        <v>5.1972444183720361</v>
      </c>
      <c r="BS50" s="52">
        <f>[1]!b_stm07_is(A50,19,$A$1,1,100000000)</f>
        <v>24.938775144499999</v>
      </c>
      <c r="BT50" s="52">
        <f xml:space="preserve"> [1]!s_stm07_bs(A50,"W15273164",$A$1,1,100000000)-[1]!s_stm07_bs(A50,"W17642530",$A$1,1,100000000)-[1]!s_stm07_bs(A50,"W15910877",$A$1,1,100000000)-[1]!s_stm07_bs_39(A50,$A$1,1,100000000)-[1]!s_stm07_bs(A50,"W17700468",$A$1,1,100000000)-[1]!s_stm07_bs(A50,"W16504296",$A$1,1,100000000)-[1]!s_stm07_bs(A50,"W13769069",$A$1,1,100000000)</f>
        <v>458.60584333520001</v>
      </c>
      <c r="BU50" s="52">
        <f xml:space="preserve"> [1]!s_stm07_bs(A50,"W15273164",$B$1,1,100000000)-[1]!s_stm07_bs(A50,"W17642530",$B$1,1,100000000)-[1]!s_stm07_bs(A50,"W15910877",$B$1,1,100000000)-[1]!s_stm07_bs_39(A50,$B$1,1,100000000)-[1]!s_stm07_bs(A50,"W17700468",$B$1,1,100000000)-[1]!s_stm07_bs(A50,"W16504296",$B$1,1,100000000)-[1]!s_stm07_bs(A50,"W13769069",$B$1,1,100000000)</f>
        <v>482.88043327600002</v>
      </c>
      <c r="BV50" s="52">
        <f xml:space="preserve"> [1]!s_stm07_bs(A50,"W15273164",$E$1,1,100000000)-[1]!s_stm07_bs(A50,"W17642530",$E$1,1,100000000)-[1]!s_stm07_bs(A50,"W15910877",$E$1,1,100000000)-[1]!s_stm07_bs_39(A50,$E$1,1,100000000)-[1]!s_stm07_bs(A50,"W17700468",$E$1,1,100000000)-[1]!s_stm07_bs(A50,"W16504296",$E$1,1,100000000)-[1]!s_stm07_bs(A50,"W13769069",$E$1,1,100000000)</f>
        <v>0</v>
      </c>
      <c r="BW50" s="52">
        <f xml:space="preserve"> [1]!s_stm07_bs(A50,"W15273164",$F$1,1,100000000)-[1]!s_stm07_bs(A50,"W17642530",$F$1,1,100000000)-[1]!s_stm07_bs(A50,"W15910877",$F$1,1,100000000)-[1]!s_stm07_bs_39(A50,$F$1,1,100000000)-[1]!s_stm07_bs(A50,"W17700468",$F$1,1,100000000)-[1]!s_stm07_bs(A50,"W16504296",$F$1,1,100000000)-[1]!s_stm07_bs(A50,"W13769069",$F$1,1,100000000)</f>
        <v>0</v>
      </c>
      <c r="BX50" s="52">
        <f xml:space="preserve"> [1]!s_stm07_bs(A50,"W15273164",$G$1,1,100000000)-[1]!s_stm07_bs(A50,"W17642530",$G$1,1,100000000)-[1]!s_stm07_bs(A50,"W15910877",$G$1,1,100000000)-[1]!s_stm07_bs_39(A50,$G$1,1,100000000)-[1]!s_stm07_bs(A50,"W17700468",$G$1,1,100000000)-[1]!s_stm07_bs(A50,"W16504296",$G$1,1,100000000)-[1]!s_stm07_bs(A50,"W13769069",$G$1,1,100000000)</f>
        <v>0</v>
      </c>
      <c r="BY50" s="52">
        <f>IFERROR([1]!b_stm07_is(A50,20,$A$1,1,100000000)/AVERAGEIF(CA50:CE50,"&gt;0")*100,0)</f>
        <v>1.8610423778472207</v>
      </c>
      <c r="BZ50" s="52">
        <f>[1]!b_stm07_is(A50,20,$A$1,1,100000000)</f>
        <v>7.8277881841999992</v>
      </c>
      <c r="CA50" s="52">
        <f>[1]!s_stmnote_bank_38(A50,$A$1,1,100000000)</f>
        <v>410.13493725569998</v>
      </c>
      <c r="CB50" s="52">
        <f>[1]!s_stmnote_bank_38(A50,$B$1,1,100000000)</f>
        <v>431.09127847989998</v>
      </c>
      <c r="CC50" s="52">
        <f>[1]!s_stmnote_bank_38(A50,$E$1,1,100000000)</f>
        <v>0</v>
      </c>
      <c r="CD50" s="52">
        <f>[1]!s_stmnote_bank_38(A50,$F$1,1,100000000)</f>
        <v>0</v>
      </c>
      <c r="CE50" s="52">
        <f>[1]!s_stmnote_bank_38(A50,$G$1,1,100000000)</f>
        <v>0</v>
      </c>
      <c r="CF50" s="52">
        <f>IF(BP50&lt;&gt;0,BP50,IFERROR(IF(([1]!b_stm07_is(A50,19,$A$1,1,100000000)-[1]!b_stm07_is(A50,20,$A$1,1,100000000))/AVERAGE([1]!s_stmnote_bank_35(A50,$A$1,1,100000000),[1]!s_stmnote_bank_35(A50,$B$1,1,100000000))*100=0,"",([1]!b_stm07_is(A50,19,$A$1,1,100000000)-[1]!b_stm07_is(A50,20,$A$1,1,100000000))/AVERAGE([1]!s_stmnote_bank_35(A50,$A$1,1,100000000),[1]!s_stmnote_bank_35(A50,$B$1,1,100000000))*100),""))</f>
        <v>3.39</v>
      </c>
      <c r="CG50" s="27" t="str">
        <f t="shared" si="6"/>
        <v>6 171</v>
      </c>
      <c r="CH50" s="80">
        <f t="shared" si="14"/>
        <v>1.9866538753690197</v>
      </c>
      <c r="CI50" s="27" t="str">
        <f t="shared" si="7"/>
        <v>10 169</v>
      </c>
      <c r="CJ50" s="55">
        <f>[1]!s_stmnote_bank_30(A50,$A$1,1)</f>
        <v>4.3380999999999998</v>
      </c>
      <c r="CK50" s="46"/>
      <c r="CL50" s="46"/>
      <c r="CM50" s="46"/>
      <c r="CN50" s="46"/>
      <c r="CO50" s="46"/>
      <c r="CP50" s="69">
        <f>[1]!b_stm07_bs($A50,141,$A$1,1,100000000)</f>
        <v>52.5399438241</v>
      </c>
      <c r="CQ50" s="69">
        <f>[1]!b_stm07_bs($A50,141,$D$1,1,100000000)</f>
        <v>0</v>
      </c>
      <c r="CR50" s="68">
        <f>IF([1]!s_fa_roic_yearly($A50,$A$1)=0,"",[1]!s_fa_roic_yearly($A50,$A$1))</f>
        <v>14.465299999999999</v>
      </c>
      <c r="CS50" s="27">
        <f t="shared" si="22"/>
        <v>6.5088757396449703E-2</v>
      </c>
      <c r="CT50" s="68" t="str">
        <f>IF([1]!s_fa_roic_yearly($A50,$D$1)=0,"",[1]!s_fa_roic_yearly($A50,$D$1))</f>
        <v/>
      </c>
      <c r="CU50" s="27" t="e">
        <f t="shared" si="23"/>
        <v>#VALUE!</v>
      </c>
      <c r="CV50" s="78">
        <f>[1]!s_stm07_bs(A50,"W14578191",$A$1,1,100000000)</f>
        <v>298.33897558799998</v>
      </c>
      <c r="CW50" s="78">
        <f>[1]!s_stmnote_bank_682($A50,$A$1,1,2,100000000)</f>
        <v>0</v>
      </c>
      <c r="CX50" s="79" t="str">
        <f t="shared" si="11"/>
        <v/>
      </c>
    </row>
    <row r="51" spans="1:102" s="46" customFormat="1" ht="13.5">
      <c r="A51" s="8" t="s">
        <v>859</v>
      </c>
      <c r="B51" s="8" t="s">
        <v>860</v>
      </c>
      <c r="C51" s="9" t="s">
        <v>861</v>
      </c>
      <c r="D51" s="9" t="s">
        <v>1064</v>
      </c>
      <c r="E51" s="10" t="s">
        <v>861</v>
      </c>
      <c r="F51" s="11" t="s">
        <v>178</v>
      </c>
      <c r="G51" s="11" t="s">
        <v>862</v>
      </c>
      <c r="H51" s="11" t="s">
        <v>139</v>
      </c>
      <c r="I51" s="11"/>
      <c r="J51" s="11">
        <f>VLOOKUP(B51,[3]额度信息!$B:$T,19,0)</f>
        <v>0</v>
      </c>
      <c r="K51" s="11" t="s">
        <v>863</v>
      </c>
      <c r="L51" s="27">
        <f>IFERROR(([1]!b_stm07_bs($A51,47,$A$1,1,100000000))/[1]!b_stm07_bs($A51,109,$A$1,1,100000000),"")</f>
        <v>0.10827796042676383</v>
      </c>
      <c r="M51" s="20">
        <v>109</v>
      </c>
      <c r="N51" s="18">
        <f>IFERROR(([1]!s_stmnote_bank_26($A51,$A$1,1,100000000)-[1]!s_stmnote_bank_26($A51,$B$1,1,100000000)+M51)/[1]!s_stmnote_bank_1n($A51,$B$1,1,100000000),"")</f>
        <v>1.7737935608518249E-2</v>
      </c>
      <c r="O51" s="27" t="str">
        <f t="shared" si="0"/>
        <v>40 50</v>
      </c>
      <c r="P51" s="21">
        <f t="shared" si="12"/>
        <v>2.12E-2</v>
      </c>
      <c r="Q51" s="27" t="str">
        <f t="shared" si="1"/>
        <v>42 169</v>
      </c>
      <c r="R51" s="18">
        <f>IFERROR([1]!s_stmnote_bank($A51,"34",$A$1,100000000)/[1]!s_stmnote_bank_1n(A51,$A$1,1,100000000),"")</f>
        <v>0</v>
      </c>
      <c r="S51" s="22">
        <v>3.1E-2</v>
      </c>
      <c r="T51" s="22">
        <v>2.5100000000000001E-2</v>
      </c>
      <c r="U51" s="22">
        <v>6.6011061921980793E-2</v>
      </c>
      <c r="V51" s="22"/>
      <c r="W51" s="22">
        <v>9.8888658858353497E-3</v>
      </c>
      <c r="X51" s="22">
        <v>6.4574954960510605E-2</v>
      </c>
      <c r="Y51" s="22">
        <v>0.42619372442019099</v>
      </c>
      <c r="Z51" s="25">
        <f>[1]!b_stm07_bs(A51,74,$A$1,1,100000000)</f>
        <v>12172.59</v>
      </c>
      <c r="AA51" s="25">
        <f>[1]!b_stm07_bs(A51,109,$A$1,1,100000000)</f>
        <v>6773.77</v>
      </c>
      <c r="AB51" s="10">
        <f>[1]!s_stmnote_bank_5n(A51,$A$1,1)</f>
        <v>2.12</v>
      </c>
      <c r="AC51" s="25">
        <f>IF([1]!s_stmnote_bank_23n(A51,$A$1,1)=0,"",IFERROR([1]!s_stmnote_bank_23n(A51,$A$1,1),""))</f>
        <v>151.56</v>
      </c>
      <c r="AD51" s="27" t="str">
        <f t="shared" si="2"/>
        <v>21 167</v>
      </c>
      <c r="AE51" s="25">
        <f>[1]!s_stmnote_bank_capadequacyratio(A51,$A$1,1)</f>
        <v>12.11</v>
      </c>
      <c r="AF51" s="25">
        <f>IF([1]!s_stmnote_bank_capadequacyratio_ct1(A51,$A$1,1)=0,"",IFERROR([1]!s_stmnote_bank_capadequacyratio_ct1(A51,$A$1,1),""))</f>
        <v>8.67</v>
      </c>
      <c r="AG51" s="27" t="str">
        <f t="shared" si="21"/>
        <v>29 167</v>
      </c>
      <c r="AH51" s="6">
        <f>IF(OR([1]!s_fa_roe(A51,20201231)=0,[1]!s_fa_roe(A51,20211231)="0",[1]!s_fa_roe(A51,20221231)="0"),"",IFERROR(([1]!s_fa_roe(A51,20221231)+[1]!s_fa_roe(A51,20201231)+[1]!s_fa_roe(A51,20211231))/3,""))</f>
        <v>5.6087333333333333</v>
      </c>
      <c r="AI51" s="27" t="str">
        <f t="shared" si="3"/>
        <v>53 173</v>
      </c>
      <c r="AJ51" s="28">
        <f>IFERROR(([1]!s_stmnote_bank_65(A51,$A$1,1,2,4,100000000)+[1]!s_stmnote_bank_65(A51,$A$1,1,2,6,100000000))/[1]!s_stmnote_bank_1n(A51,$A$1,1,100000000),"")</f>
        <v>0.15492523270789474</v>
      </c>
      <c r="AK51" s="28">
        <f>IFERROR([1]!s_stmnote_bank_614(A51,$A$1,1,2,100000000)/[1]!s_stmnote_bank_647(A51,$A$1,1,2,100000000),"")</f>
        <v>0.38607009095378203</v>
      </c>
      <c r="AL51" s="28">
        <f>IFERROR(([1]!b_stm07_bs(A51,104,$A$1,1,100000000)+[1]!b_stm07_bs(A51,106,$A$1,1,100000000)+[1]!b_stm07_bs(A51,76,$A$1,1,100000000)+[1]!b_stm07_bs(A51,108,$A$1,1,100000000)+[1]!b_stm07_bs(A51,95,$A$1,1,100000000))/[1]!b_stm07_bs(A51,128,$A$1,1,100000000),"")</f>
        <v>0.31237091556616176</v>
      </c>
      <c r="AM51" s="28">
        <f>IFERROR(([1]!s_stmnote_bank_614(A51,$A$1,1,2,100000000)+[1]!b_stm07_bs(A51,104,$A$1,1,100000000)+[1]!b_stm07_bs(A51,106,$A$1,1,100000000)+[1]!b_stm07_bs(A51,76,$A$1,1,100000000)+[1]!b_stm07_bs(A51,108,$A$1,1,100000000)+[1]!b_stm07_bs(A51,95,$A$1,1,100000000))/[1]!b_stm07_bs(A51,128,$A$1,1,100000000),"")</f>
        <v>0.55020457978611659</v>
      </c>
      <c r="AN51" s="31" t="e">
        <f>IF(Z51&gt;#REF!,#REF!,IF(Z51&gt;#REF!,#REF!,IF(Z51&gt;#REF!,#REF!,IF(Z51&gt;#REF!,#REF!,IF(Z51&gt;#REF!,#REF!,IF(Z51&gt;#REF!,#REF!,IF(Z51&gt;#REF!,#REF!,#REF!)))))))</f>
        <v>#REF!</v>
      </c>
      <c r="AO51" s="31" t="e">
        <f>IF(AA51&gt;#REF!,#REF!,IF(AA51&gt;#REF!,#REF!,IF(AA51&gt;#REF!,#REF!,IF(AA51&gt;#REF!,#REF!,IF(AA51&gt;#REF!,#REF!,IF(AA51&gt;#REF!,#REF!,IF(AA51&gt;#REF!,#REF!,#REF!)))))))</f>
        <v>#REF!</v>
      </c>
      <c r="AP51" s="31" t="e">
        <f>IF(AB51&lt;#REF!,#REF!,IF(AB51&lt;#REF!,#REF!,IF(AB51&lt;#REF!,#REF!,IF(AB51&lt;#REF!,#REF!,IF(AB51&lt;#REF!,#REF!,IF(AB51&lt;#REF!,#REF!,#REF!))))))</f>
        <v>#REF!</v>
      </c>
      <c r="AQ51" s="31" t="e">
        <f>IF(AC51&gt;#REF!,#REF!,IF(AC51&gt;#REF!,#REF!,IF(AC51&gt;#REF!,#REF!,IF(AC51&gt;#REF!,#REF!,#REF!))))</f>
        <v>#REF!</v>
      </c>
      <c r="AR51" s="31" t="e">
        <f>IF(AE51&gt;#REF!,#REF!,IF(AE51&gt;#REF!,#REF!,IF(AE51&gt;#REF!,#REF!,IF(AE51&gt;#REF!,#REF!,#REF!))))</f>
        <v>#REF!</v>
      </c>
      <c r="AS51" s="31" t="e">
        <f>IF(AF51&gt;#REF!,#REF!,IF(AF51&gt;#REF!,#REF!,IF(AF51&gt;#REF!,#REF!,IF(AF51&gt;#REF!,#REF!,#REF!))))</f>
        <v>#REF!</v>
      </c>
      <c r="AT51" s="31" t="e">
        <f>IF(AH51&gt;#REF!,#REF!,IF(AH51&gt;#REF!,#REF!,IF(AH51&gt;#REF!,#REF!,IF(AH51&gt;#REF!,#REF!,IF(AH51&gt;#REF!,#REF!,#REF!)))))</f>
        <v>#REF!</v>
      </c>
      <c r="AU51" s="10" t="e">
        <f t="shared" si="4"/>
        <v>#REF!</v>
      </c>
      <c r="AV51" s="10" t="s">
        <v>60</v>
      </c>
      <c r="AW51" s="10" t="s">
        <v>141</v>
      </c>
      <c r="AX51" s="10" t="s">
        <v>359</v>
      </c>
      <c r="AY51" s="31" t="str">
        <f>IFERROR(VLOOKUP(AV51,#REF!,3,0),"")</f>
        <v/>
      </c>
      <c r="AZ51" s="31" t="str">
        <f>IFERROR(VLOOKUP(AW51,#REF!,3,0),"")</f>
        <v/>
      </c>
      <c r="BA51" s="31" t="str">
        <f>IFERROR(VLOOKUP(AX51,#REF!,3,0),"")</f>
        <v/>
      </c>
      <c r="BB51" s="31" t="str">
        <f>IFERROR(AY51*#REF!+AZ51*#REF!+BA51*#REF!,"")</f>
        <v/>
      </c>
      <c r="BC51" s="32" t="str">
        <f t="shared" si="5"/>
        <v/>
      </c>
      <c r="BD51" s="32" t="str">
        <f>IFERROR(VLOOKUP(BC51*10,#REF!,2,1),"")</f>
        <v/>
      </c>
      <c r="BE51" s="11">
        <v>2</v>
      </c>
      <c r="BF51" s="11">
        <v>-1</v>
      </c>
      <c r="BG51" s="10" t="s">
        <v>864</v>
      </c>
      <c r="BH51" s="11" t="s">
        <v>396</v>
      </c>
      <c r="BI51" s="10">
        <v>53.950000762939503</v>
      </c>
      <c r="BJ51" s="11" t="s">
        <v>105</v>
      </c>
      <c r="BK51" s="33" t="s">
        <v>106</v>
      </c>
      <c r="BL51" s="10">
        <f>IF([1]!s_stmnote_bank_17n(A51,$A$1,1)="0","",[1]!s_stmnote_bank_17n(A51,$A$1,1))</f>
        <v>5.24</v>
      </c>
      <c r="BM51" s="10">
        <f>IF([1]!s_stmnote_bank_18n(A51,$A$1,1)="0","",[1]!s_stmnote_bank_18n(A51,$A$1,1))</f>
        <v>25.89</v>
      </c>
      <c r="BN51" s="41">
        <v>4.07</v>
      </c>
      <c r="BO51" s="38">
        <v>2.44</v>
      </c>
      <c r="BP51" s="52">
        <f>[1]!s_stmnote_bank_5444(A51,$A$1,1)</f>
        <v>1.73</v>
      </c>
      <c r="BQ51" s="52">
        <f>[1]!s_stmnote_bank_129n($A51,$A$1,1)</f>
        <v>37.51</v>
      </c>
      <c r="BR51" s="52">
        <f t="shared" si="13"/>
        <v>3.9681408551283166</v>
      </c>
      <c r="BS51" s="52">
        <f>[1]!b_stm07_is(A51,19,$A$1,1,100000000)</f>
        <v>430.51</v>
      </c>
      <c r="BT51" s="52">
        <f xml:space="preserve"> [1]!s_stm07_bs(A51,"W15273164",$A$1,1,100000000)-[1]!s_stm07_bs(A51,"W17642530",$A$1,1,100000000)-[1]!s_stm07_bs(A51,"W15910877",$A$1,1,100000000)-[1]!s_stm07_bs_39(A51,$A$1,1,100000000)-[1]!s_stm07_bs(A51,"W17700468",$A$1,1,100000000)-[1]!s_stm07_bs(A51,"W16504296",$A$1,1,100000000)-[1]!s_stm07_bs(A51,"W13769069",$A$1,1,100000000)</f>
        <v>11765.89</v>
      </c>
      <c r="BU51" s="52">
        <f xml:space="preserve"> [1]!s_stm07_bs(A51,"W15273164",$B$1,1,100000000)-[1]!s_stm07_bs(A51,"W17642530",$B$1,1,100000000)-[1]!s_stm07_bs(A51,"W15910877",$B$1,1,100000000)-[1]!s_stm07_bs_39(A51,$B$1,1,100000000)-[1]!s_stm07_bs(A51,"W17700468",$B$1,1,100000000)-[1]!s_stm07_bs(A51,"W16504296",$B$1,1,100000000)-[1]!s_stm07_bs(A51,"W13769069",$B$1,1,100000000)</f>
        <v>10718.2</v>
      </c>
      <c r="BV51" s="52">
        <f xml:space="preserve"> [1]!s_stm07_bs(A51,"W15273164",$E$1,1,100000000)-[1]!s_stm07_bs(A51,"W17642530",$E$1,1,100000000)-[1]!s_stm07_bs(A51,"W15910877",$E$1,1,100000000)-[1]!s_stm07_bs_39(A51,$E$1,1,100000000)-[1]!s_stm07_bs(A51,"W17700468",$E$1,1,100000000)-[1]!s_stm07_bs(A51,"W16504296",$E$1,1,100000000)-[1]!s_stm07_bs(A51,"W13769069",$E$1,1,100000000)</f>
        <v>0</v>
      </c>
      <c r="BW51" s="52">
        <f xml:space="preserve"> [1]!s_stm07_bs(A51,"W15273164",$F$1,1,100000000)-[1]!s_stm07_bs(A51,"W17642530",$F$1,1,100000000)-[1]!s_stm07_bs(A51,"W15910877",$F$1,1,100000000)-[1]!s_stm07_bs_39(A51,$F$1,1,100000000)-[1]!s_stm07_bs(A51,"W17700468",$F$1,1,100000000)-[1]!s_stm07_bs(A51,"W16504296",$F$1,1,100000000)-[1]!s_stm07_bs(A51,"W13769069",$F$1,1,100000000)</f>
        <v>0</v>
      </c>
      <c r="BX51" s="52">
        <f xml:space="preserve"> [1]!s_stm07_bs(A51,"W15273164",$G$1,1,100000000)-[1]!s_stm07_bs(A51,"W17642530",$G$1,1,100000000)-[1]!s_stm07_bs(A51,"W15910877",$G$1,1,100000000)-[1]!s_stm07_bs_39(A51,$G$1,1,100000000)-[1]!s_stm07_bs(A51,"W17700468",$G$1,1,100000000)-[1]!s_stm07_bs(A51,"W16504296",$G$1,1,100000000)-[1]!s_stm07_bs(A51,"W13769069",$G$1,1,100000000)</f>
        <v>0</v>
      </c>
      <c r="BY51" s="52">
        <f>IFERROR([1]!b_stm07_is(A51,20,$A$1,1,100000000)/AVERAGEIF(CA51:CE51,"&gt;0")*100,0)</f>
        <v>2.4492914108890833</v>
      </c>
      <c r="BZ51" s="52">
        <f>[1]!b_stm07_is(A51,20,$A$1,1,100000000)</f>
        <v>253.92</v>
      </c>
      <c r="CA51" s="52">
        <f>[1]!s_stmnote_bank_38(A51,$A$1,1,100000000)</f>
        <v>10860.14</v>
      </c>
      <c r="CB51" s="52">
        <f>[1]!s_stmnote_bank_38(A51,$B$1,1,100000000)</f>
        <v>9874.02</v>
      </c>
      <c r="CC51" s="52">
        <f>[1]!s_stmnote_bank_38(A51,$E$1,1,100000000)</f>
        <v>0</v>
      </c>
      <c r="CD51" s="52">
        <f>[1]!s_stmnote_bank_38(A51,$F$1,1,100000000)</f>
        <v>0</v>
      </c>
      <c r="CE51" s="52">
        <f>[1]!s_stmnote_bank_38(A51,$G$1,1,100000000)</f>
        <v>0</v>
      </c>
      <c r="CF51" s="52">
        <f>IF(BP51&lt;&gt;0,BP51,IFERROR(IF(([1]!b_stm07_is(A51,19,$A$1,1,100000000)-[1]!b_stm07_is(A51,20,$A$1,1,100000000))/AVERAGE([1]!s_stmnote_bank_35(A51,$A$1,1,100000000),[1]!s_stmnote_bank_35(A51,$B$1,1,100000000))*100=0,"",([1]!b_stm07_is(A51,19,$A$1,1,100000000)-[1]!b_stm07_is(A51,20,$A$1,1,100000000))/AVERAGE([1]!s_stmnote_bank_35(A51,$A$1,1,100000000),[1]!s_stmnote_bank_35(A51,$B$1,1,100000000))*100),""))</f>
        <v>1.73</v>
      </c>
      <c r="CG51" s="27" t="str">
        <f t="shared" si="6"/>
        <v>135 171</v>
      </c>
      <c r="CH51" s="80">
        <f t="shared" si="14"/>
        <v>0.81603773584905659</v>
      </c>
      <c r="CI51" s="27" t="str">
        <f t="shared" si="7"/>
        <v>66 169</v>
      </c>
      <c r="CJ51" s="55">
        <f>[1]!s_stmnote_bank_30(A51,$A$1,1)</f>
        <v>26.047999999999998</v>
      </c>
      <c r="CK51" s="67">
        <v>367.54</v>
      </c>
      <c r="CL51" s="67">
        <v>80.87</v>
      </c>
      <c r="CM51" s="64">
        <f>CK51/(5/8*[1]!s_stmnote_bank_1n($A51,$A$1,1,100000000)+[1]!s_stmnote_bank_1n($A51,$B$1,1,100000000)*3/8)</f>
        <v>5.9929563929426964E-2</v>
      </c>
      <c r="CN51" s="48"/>
      <c r="CO51" s="48"/>
      <c r="CP51" s="69">
        <f>[1]!b_stm07_bs($A51,141,$A$1,1,100000000)</f>
        <v>1176.8800000000001</v>
      </c>
      <c r="CQ51" s="69">
        <f>[1]!b_stm07_bs($A51,141,$D$1,1,100000000)</f>
        <v>0</v>
      </c>
      <c r="CR51" s="68">
        <f>IF([1]!s_fa_roic_yearly($A51,$A$1)=0,"",[1]!s_fa_roic_yearly($A51,$A$1))</f>
        <v>5.7481999999999998</v>
      </c>
      <c r="CS51" s="27">
        <f t="shared" si="22"/>
        <v>0.75739644970414199</v>
      </c>
      <c r="CT51" s="68" t="str">
        <f>IF([1]!s_fa_roic_yearly($A51,$D$1)=0,"",[1]!s_fa_roic_yearly($A51,$D$1))</f>
        <v/>
      </c>
      <c r="CU51" s="27" t="e">
        <f t="shared" si="23"/>
        <v>#VALUE!</v>
      </c>
      <c r="CV51" s="78">
        <f>[1]!s_stm07_bs(A51,"W14578191",$A$1,1,100000000)</f>
        <v>6296.83</v>
      </c>
      <c r="CW51" s="78">
        <f>[1]!s_stmnote_bank_682($A51,$A$1,1,2,100000000)</f>
        <v>897.14</v>
      </c>
      <c r="CX51" s="79">
        <f t="shared" si="11"/>
        <v>0.14247486433649947</v>
      </c>
    </row>
    <row r="52" spans="1:102" s="46" customFormat="1" ht="13.5">
      <c r="A52" s="8" t="s">
        <v>251</v>
      </c>
      <c r="B52" s="8" t="s">
        <v>252</v>
      </c>
      <c r="C52" s="9" t="s">
        <v>253</v>
      </c>
      <c r="D52" s="9" t="s">
        <v>1061</v>
      </c>
      <c r="E52" s="10"/>
      <c r="F52" s="11" t="s">
        <v>66</v>
      </c>
      <c r="G52" s="11" t="s">
        <v>67</v>
      </c>
      <c r="H52" s="11" t="s">
        <v>179</v>
      </c>
      <c r="I52" s="11"/>
      <c r="J52" s="11" t="e">
        <f>VLOOKUP(B52,[3]额度信息!$B:$T,19,0)</f>
        <v>#N/A</v>
      </c>
      <c r="K52" s="11"/>
      <c r="L52" s="27">
        <f>IFERROR(([1]!b_stm07_bs($A52,47,$A$1,1,100000000))/[1]!b_stm07_bs($A52,109,$A$1,1,100000000),"")</f>
        <v>0.19488577163456941</v>
      </c>
      <c r="M52" s="20"/>
      <c r="N52" s="18"/>
      <c r="O52" s="27" t="e">
        <f t="shared" si="0"/>
        <v>#N/A</v>
      </c>
      <c r="P52" s="21">
        <f t="shared" si="12"/>
        <v>3.6609366650983133E-2</v>
      </c>
      <c r="Q52" s="27" t="str">
        <f t="shared" si="1"/>
        <v>100 169</v>
      </c>
      <c r="R52" s="18">
        <f>IFERROR([1]!s_stmnote_bank($A52,"34",$A$1,100000000)/[1]!s_stmnote_bank_1n(A52,$A$1,1,100000000),"")</f>
        <v>1.980936665098313E-2</v>
      </c>
      <c r="S52" s="22"/>
      <c r="T52" s="22"/>
      <c r="U52" s="22"/>
      <c r="V52" s="22"/>
      <c r="W52" s="22"/>
      <c r="X52" s="22"/>
      <c r="Y52" s="22"/>
      <c r="Z52" s="25">
        <f>[1]!b_stm07_bs(A52,74,$A$1,1,100000000)</f>
        <v>1914.7418307193</v>
      </c>
      <c r="AA52" s="25">
        <f>[1]!b_stm07_bs(A52,109,$A$1,1,100000000)</f>
        <v>1525.1225691998002</v>
      </c>
      <c r="AB52" s="10">
        <f>[1]!s_stmnote_bank_5n(A52,$A$1,1)</f>
        <v>1.68</v>
      </c>
      <c r="AC52" s="25">
        <f>IF([1]!s_stmnote_bank_23n(A52,$A$1,1)=0,"",IFERROR([1]!s_stmnote_bank_23n(A52,$A$1,1),""))</f>
        <v>141.35</v>
      </c>
      <c r="AD52" s="27" t="str">
        <f t="shared" si="2"/>
        <v>11 167</v>
      </c>
      <c r="AE52" s="25">
        <f>[1]!s_stmnote_bank_capadequacyratio(A52,$A$1,1)</f>
        <v>12.5</v>
      </c>
      <c r="AF52" s="25">
        <f>IF([1]!s_stmnote_bank_capadequacyratio_ct1(A52,$A$1,1)=0,"",IFERROR([1]!s_stmnote_bank_capadequacyratio_ct1(A52,$A$1,1),""))</f>
        <v>9.4700000000000006</v>
      </c>
      <c r="AG52" s="27" t="str">
        <f t="shared" si="21"/>
        <v>62 167</v>
      </c>
      <c r="AH52" s="6">
        <f>IF(OR([1]!s_fa_roe(A52,20201231)=0,[1]!s_fa_roe(A52,20211231)="0",[1]!s_fa_roe(A52,20221231)="0"),"",IFERROR(([1]!s_fa_roe(A52,20221231)+[1]!s_fa_roe(A52,20201231)+[1]!s_fa_roe(A52,20211231))/3,""))</f>
        <v>4.2176666666666662</v>
      </c>
      <c r="AI52" s="27" t="str">
        <f t="shared" si="3"/>
        <v>24 173</v>
      </c>
      <c r="AJ52" s="28">
        <f>IFERROR(([1]!s_stmnote_bank_65(A52,$A$1,1,2,4,100000000)+[1]!s_stmnote_bank_65(A52,$A$1,1,2,6,100000000))/[1]!s_stmnote_bank_1n(A52,$A$1,1,100000000),"")</f>
        <v>0.26272804880904205</v>
      </c>
      <c r="AK52" s="28">
        <f>IFERROR([1]!s_stmnote_bank_614(A52,$A$1,1,2,100000000)/[1]!s_stmnote_bank_647(A52,$A$1,1,2,100000000),"")</f>
        <v>0.40810255154119418</v>
      </c>
      <c r="AL52" s="28">
        <f>IFERROR(([1]!b_stm07_bs(A52,104,$A$1,1,100000000)+[1]!b_stm07_bs(A52,106,$A$1,1,100000000)+[1]!b_stm07_bs(A52,76,$A$1,1,100000000)+[1]!b_stm07_bs(A52,108,$A$1,1,100000000)+[1]!b_stm07_bs(A52,95,$A$1,1,100000000))/[1]!b_stm07_bs(A52,128,$A$1,1,100000000),"")</f>
        <v>7.1094733625113773E-2</v>
      </c>
      <c r="AM52" s="28">
        <f>IFERROR(([1]!s_stmnote_bank_614(A52,$A$1,1,2,100000000)+[1]!b_stm07_bs(A52,104,$A$1,1,100000000)+[1]!b_stm07_bs(A52,106,$A$1,1,100000000)+[1]!b_stm07_bs(A52,76,$A$1,1,100000000)+[1]!b_stm07_bs(A52,108,$A$1,1,100000000)+[1]!b_stm07_bs(A52,95,$A$1,1,100000000))/[1]!b_stm07_bs(A52,128,$A$1,1,100000000),"")</f>
        <v>0.426728039016947</v>
      </c>
      <c r="AN52" s="31" t="e">
        <f>IF(Z52&gt;#REF!,#REF!,IF(Z52&gt;#REF!,#REF!,IF(Z52&gt;#REF!,#REF!,IF(Z52&gt;#REF!,#REF!,IF(Z52&gt;#REF!,#REF!,IF(Z52&gt;#REF!,#REF!,IF(Z52&gt;#REF!,#REF!,#REF!)))))))</f>
        <v>#REF!</v>
      </c>
      <c r="AO52" s="31" t="e">
        <f>IF(AA52&gt;#REF!,#REF!,IF(AA52&gt;#REF!,#REF!,IF(AA52&gt;#REF!,#REF!,IF(AA52&gt;#REF!,#REF!,IF(AA52&gt;#REF!,#REF!,IF(AA52&gt;#REF!,#REF!,IF(AA52&gt;#REF!,#REF!,#REF!)))))))</f>
        <v>#REF!</v>
      </c>
      <c r="AP52" s="31" t="e">
        <f>IF(AB52&lt;#REF!,#REF!,IF(AB52&lt;#REF!,#REF!,IF(AB52&lt;#REF!,#REF!,IF(AB52&lt;#REF!,#REF!,IF(AB52&lt;#REF!,#REF!,IF(AB52&lt;#REF!,#REF!,#REF!))))))</f>
        <v>#REF!</v>
      </c>
      <c r="AQ52" s="31" t="e">
        <f>IF(AC52&gt;#REF!,#REF!,IF(AC52&gt;#REF!,#REF!,IF(AC52&gt;#REF!,#REF!,IF(AC52&gt;#REF!,#REF!,#REF!))))</f>
        <v>#REF!</v>
      </c>
      <c r="AR52" s="31" t="e">
        <f>IF(AE52&gt;#REF!,#REF!,IF(AE52&gt;#REF!,#REF!,IF(AE52&gt;#REF!,#REF!,IF(AE52&gt;#REF!,#REF!,#REF!))))</f>
        <v>#REF!</v>
      </c>
      <c r="AS52" s="31" t="e">
        <f>IF(AF52&gt;#REF!,#REF!,IF(AF52&gt;#REF!,#REF!,IF(AF52&gt;#REF!,#REF!,IF(AF52&gt;#REF!,#REF!,#REF!))))</f>
        <v>#REF!</v>
      </c>
      <c r="AT52" s="31" t="e">
        <f>IF(AH52&gt;#REF!,#REF!,IF(AH52&gt;#REF!,#REF!,IF(AH52&gt;#REF!,#REF!,IF(AH52&gt;#REF!,#REF!,IF(AH52&gt;#REF!,#REF!,#REF!)))))</f>
        <v>#REF!</v>
      </c>
      <c r="AU52" s="10" t="e">
        <f t="shared" si="4"/>
        <v>#REF!</v>
      </c>
      <c r="AV52" s="10"/>
      <c r="AW52" s="10"/>
      <c r="AX52" s="10"/>
      <c r="AY52" s="31" t="str">
        <f>IFERROR(VLOOKUP(AV52,#REF!,3,0),"")</f>
        <v/>
      </c>
      <c r="AZ52" s="31" t="str">
        <f>IFERROR(VLOOKUP(AW52,#REF!,3,0),"")</f>
        <v/>
      </c>
      <c r="BA52" s="31" t="str">
        <f>IFERROR(VLOOKUP(AX52,#REF!,3,0),"")</f>
        <v/>
      </c>
      <c r="BB52" s="31" t="str">
        <f>IFERROR(AY52*#REF!+AZ52*#REF!+BA52*#REF!,"")</f>
        <v/>
      </c>
      <c r="BC52" s="32" t="str">
        <f t="shared" si="5"/>
        <v/>
      </c>
      <c r="BD52" s="32" t="str">
        <f>IFERROR(VLOOKUP(BC52*10,#REF!,2,1),"")</f>
        <v/>
      </c>
      <c r="BE52" s="10"/>
      <c r="BF52" s="10"/>
      <c r="BG52" s="10"/>
      <c r="BH52" s="11" t="s">
        <v>254</v>
      </c>
      <c r="BI52" s="10">
        <v>19.950000762939499</v>
      </c>
      <c r="BJ52" s="11" t="s">
        <v>105</v>
      </c>
      <c r="BK52" s="33" t="s">
        <v>255</v>
      </c>
      <c r="BL52" s="10">
        <f>IF([1]!s_stmnote_bank_17n(A52,$A$1,1)="0","",[1]!s_stmnote_bank_17n(A52,$A$1,1))</f>
        <v>7.81</v>
      </c>
      <c r="BM52" s="10">
        <f>IF([1]!s_stmnote_bank_18n(A52,$A$1,1)="0","",[1]!s_stmnote_bank_18n(A52,$A$1,1))</f>
        <v>47.83</v>
      </c>
      <c r="BN52" s="41" t="s">
        <v>67</v>
      </c>
      <c r="BO52" s="42" t="s">
        <v>67</v>
      </c>
      <c r="BP52" s="52">
        <f>[1]!s_stmnote_bank_5444(A52,$A$1,1)</f>
        <v>1.74</v>
      </c>
      <c r="BQ52" s="52">
        <f>[1]!s_stmnote_bank_129n($A52,$A$1,1)</f>
        <v>43.039900000000003</v>
      </c>
      <c r="BR52" s="52">
        <f t="shared" si="13"/>
        <v>4.2441430735886838</v>
      </c>
      <c r="BS52" s="52">
        <f>[1]!b_stm07_is(A52,19,$A$1,1,100000000)</f>
        <v>65.418441914300004</v>
      </c>
      <c r="BT52" s="52">
        <f xml:space="preserve"> [1]!s_stm07_bs(A52,"W15273164",$A$1,1,100000000)-[1]!s_stm07_bs(A52,"W17642530",$A$1,1,100000000)-[1]!s_stm07_bs(A52,"W15910877",$A$1,1,100000000)-[1]!s_stm07_bs_39(A52,$A$1,1,100000000)-[1]!s_stm07_bs(A52,"W17700468",$A$1,1,100000000)-[1]!s_stm07_bs(A52,"W16504296",$A$1,1,100000000)-[1]!s_stm07_bs(A52,"W13769069",$A$1,1,100000000)</f>
        <v>1879.1229164500999</v>
      </c>
      <c r="BU52" s="52">
        <f xml:space="preserve"> [1]!s_stm07_bs(A52,"W15273164",$B$1,1,100000000)-[1]!s_stm07_bs(A52,"W17642530",$B$1,1,100000000)-[1]!s_stm07_bs(A52,"W15910877",$B$1,1,100000000)-[1]!s_stm07_bs_39(A52,$B$1,1,100000000)-[1]!s_stm07_bs(A52,"W17700468",$B$1,1,100000000)-[1]!s_stm07_bs(A52,"W16504296",$B$1,1,100000000)-[1]!s_stm07_bs(A52,"W13769069",$B$1,1,100000000)</f>
        <v>1474.4613154971998</v>
      </c>
      <c r="BV52" s="52">
        <f xml:space="preserve"> [1]!s_stm07_bs(A52,"W15273164",$E$1,1,100000000)-[1]!s_stm07_bs(A52,"W17642530",$E$1,1,100000000)-[1]!s_stm07_bs(A52,"W15910877",$E$1,1,100000000)-[1]!s_stm07_bs_39(A52,$E$1,1,100000000)-[1]!s_stm07_bs(A52,"W17700468",$E$1,1,100000000)-[1]!s_stm07_bs(A52,"W16504296",$E$1,1,100000000)-[1]!s_stm07_bs(A52,"W13769069",$E$1,1,100000000)</f>
        <v>0</v>
      </c>
      <c r="BW52" s="52">
        <f xml:space="preserve"> [1]!s_stm07_bs(A52,"W15273164",$F$1,1,100000000)-[1]!s_stm07_bs(A52,"W17642530",$F$1,1,100000000)-[1]!s_stm07_bs(A52,"W15910877",$F$1,1,100000000)-[1]!s_stm07_bs_39(A52,$F$1,1,100000000)-[1]!s_stm07_bs(A52,"W17700468",$F$1,1,100000000)-[1]!s_stm07_bs(A52,"W16504296",$F$1,1,100000000)-[1]!s_stm07_bs(A52,"W13769069",$F$1,1,100000000)</f>
        <v>1672.0825932247997</v>
      </c>
      <c r="BX52" s="52">
        <f xml:space="preserve"> [1]!s_stm07_bs(A52,"W15273164",$G$1,1,100000000)-[1]!s_stm07_bs(A52,"W17642530",$G$1,1,100000000)-[1]!s_stm07_bs(A52,"W15910877",$G$1,1,100000000)-[1]!s_stm07_bs_39(A52,$G$1,1,100000000)-[1]!s_stm07_bs(A52,"W17700468",$G$1,1,100000000)-[1]!s_stm07_bs(A52,"W16504296",$G$1,1,100000000)-[1]!s_stm07_bs(A52,"W13769069",$G$1,1,100000000)</f>
        <v>0</v>
      </c>
      <c r="BY52" s="52">
        <f>IFERROR([1]!b_stm07_is(A52,20,$A$1,1,100000000)/AVERAGEIF(CA52:CE52,"&gt;0")*100,0)</f>
        <v>2.4304242843847725</v>
      </c>
      <c r="BZ52" s="52">
        <f>[1]!b_stm07_is(A52,20,$A$1,1,100000000)</f>
        <v>37.351941785000001</v>
      </c>
      <c r="CA52" s="52">
        <f>[1]!s_stmnote_bank_38(A52,$A$1,1,100000000)</f>
        <v>1732.9949470399999</v>
      </c>
      <c r="CB52" s="52">
        <f>[1]!s_stmnote_bank_38(A52,$B$1,1,100000000)</f>
        <v>1341.4200523357001</v>
      </c>
      <c r="CC52" s="52">
        <f>[1]!s_stmnote_bank_38(A52,$E$1,1,100000000)</f>
        <v>0</v>
      </c>
      <c r="CD52" s="52">
        <f>[1]!s_stmnote_bank_38(A52,$F$1,1,100000000)</f>
        <v>1536.1308248635999</v>
      </c>
      <c r="CE52" s="52">
        <f>[1]!s_stmnote_bank_38(A52,$G$1,1,100000000)</f>
        <v>0</v>
      </c>
      <c r="CF52" s="52">
        <f>IF(BP52&lt;&gt;0,BP52,IFERROR(IF(([1]!b_stm07_is(A52,19,$A$1,1,100000000)-[1]!b_stm07_is(A52,20,$A$1,1,100000000))/AVERAGE([1]!s_stmnote_bank_35(A52,$A$1,1,100000000),[1]!s_stmnote_bank_35(A52,$B$1,1,100000000))*100=0,"",([1]!b_stm07_is(A52,19,$A$1,1,100000000)-[1]!b_stm07_is(A52,20,$A$1,1,100000000))/AVERAGE([1]!s_stmnote_bank_35(A52,$A$1,1,100000000),[1]!s_stmnote_bank_35(A52,$B$1,1,100000000))*100),""))</f>
        <v>1.74</v>
      </c>
      <c r="CG52" s="27" t="str">
        <f t="shared" si="6"/>
        <v>133 171</v>
      </c>
      <c r="CH52" s="80">
        <f t="shared" si="14"/>
        <v>0.47528820058220611</v>
      </c>
      <c r="CI52" s="27" t="str">
        <f t="shared" si="7"/>
        <v>120 169</v>
      </c>
      <c r="CJ52" s="55">
        <f>[1]!s_stmnote_bank_30(A52,$A$1,1)</f>
        <v>12.821</v>
      </c>
      <c r="CP52" s="69">
        <f>[1]!b_stm07_bs($A52,141,$A$1,1,100000000)</f>
        <v>164.60650180870002</v>
      </c>
      <c r="CQ52" s="69">
        <f>[1]!b_stm07_bs($A52,141,$D$1,1,100000000)</f>
        <v>168.9475096061</v>
      </c>
      <c r="CR52" s="68">
        <f>IF([1]!s_fa_roic_yearly($A52,$A$1)=0,"",[1]!s_fa_roic_yearly($A52,$A$1))</f>
        <v>4.3921999999999999</v>
      </c>
      <c r="CS52" s="27">
        <f t="shared" si="22"/>
        <v>0.85798816568047342</v>
      </c>
      <c r="CT52" s="68" t="str">
        <f>IF([1]!s_fa_roic_yearly($A52,$D$1)=0,"",[1]!s_fa_roic_yearly($A52,$D$1))</f>
        <v/>
      </c>
      <c r="CU52" s="27" t="e">
        <f t="shared" si="23"/>
        <v>#VALUE!</v>
      </c>
      <c r="CV52" s="78">
        <f>[1]!s_stm07_bs(A52,"W14578191",$A$1,1,100000000)</f>
        <v>1192.3902462915</v>
      </c>
      <c r="CW52" s="78">
        <f>[1]!s_stmnote_bank_682($A52,$A$1,1,2,100000000)</f>
        <v>211.987885705</v>
      </c>
      <c r="CX52" s="79">
        <f t="shared" si="11"/>
        <v>0.17778398168243315</v>
      </c>
    </row>
    <row r="53" spans="1:102" s="46" customFormat="1" ht="13.5">
      <c r="A53" s="8" t="s">
        <v>729</v>
      </c>
      <c r="B53" s="8" t="s">
        <v>730</v>
      </c>
      <c r="C53" s="9" t="s">
        <v>731</v>
      </c>
      <c r="D53" s="9" t="s">
        <v>1061</v>
      </c>
      <c r="E53" s="10" t="s">
        <v>731</v>
      </c>
      <c r="F53" s="11" t="s">
        <v>178</v>
      </c>
      <c r="G53" s="11" t="s">
        <v>206</v>
      </c>
      <c r="H53" s="11" t="s">
        <v>245</v>
      </c>
      <c r="I53" s="11"/>
      <c r="J53" s="11">
        <f>VLOOKUP(B53,[3]额度信息!$B:$T,19,0)</f>
        <v>0</v>
      </c>
      <c r="K53" s="11" t="s">
        <v>732</v>
      </c>
      <c r="L53" s="27">
        <f>IFERROR(([1]!b_stm07_bs($A53,47,$A$1,1,100000000))/[1]!b_stm07_bs($A53,109,$A$1,1,100000000),"")</f>
        <v>0.10401122349076401</v>
      </c>
      <c r="M53" s="20"/>
      <c r="N53" s="18"/>
      <c r="O53" s="27" t="e">
        <f t="shared" si="0"/>
        <v>#N/A</v>
      </c>
      <c r="P53" s="21">
        <f t="shared" si="12"/>
        <v>1.8536044017135531E-2</v>
      </c>
      <c r="Q53" s="27" t="str">
        <f t="shared" si="1"/>
        <v>36 169</v>
      </c>
      <c r="R53" s="18">
        <v>8.9360440171355297E-3</v>
      </c>
      <c r="S53" s="22"/>
      <c r="T53" s="22"/>
      <c r="U53" s="22"/>
      <c r="V53" s="22"/>
      <c r="W53" s="22"/>
      <c r="X53" s="22"/>
      <c r="Y53" s="22"/>
      <c r="Z53" s="25">
        <f>[1]!b_stm07_bs(A53,74,$A$1,1,100000000)</f>
        <v>4827.83583</v>
      </c>
      <c r="AA53" s="25">
        <f>[1]!b_stm07_bs(A53,109,$A$1,1,100000000)</f>
        <v>3226.5113200000001</v>
      </c>
      <c r="AB53" s="10">
        <f>[1]!s_stmnote_bank_5n(A53,$A$1,1)</f>
        <v>0.96</v>
      </c>
      <c r="AC53" s="25">
        <f>IF([1]!s_stmnote_bank_23n(A53,$A$1,1)=0,"",IFERROR([1]!s_stmnote_bank_23n(A53,$A$1,1),""))</f>
        <v>259.48</v>
      </c>
      <c r="AD53" s="27" t="str">
        <f t="shared" si="2"/>
        <v>95 167</v>
      </c>
      <c r="AE53" s="25">
        <f>[1]!s_stmnote_bank_capadequacyratio(A53,$A$1,1)</f>
        <v>13.32</v>
      </c>
      <c r="AF53" s="25">
        <f>IF([1]!s_stmnote_bank_capadequacyratio_ct1(A53,$A$1,1)=0,"",IFERROR([1]!s_stmnote_bank_capadequacyratio_ct1(A53,$A$1,1),""))</f>
        <v>8.64</v>
      </c>
      <c r="AG53" s="27" t="str">
        <f t="shared" si="21"/>
        <v>28 167</v>
      </c>
      <c r="AH53" s="6">
        <f>IF(OR([1]!s_fa_roe(A53,20201231)=0,[1]!s_fa_roe(A53,20211231)="0",[1]!s_fa_roe(A53,20221231)="0"),"",IFERROR(([1]!s_fa_roe(A53,20221231)+[1]!s_fa_roe(A53,20201231)+[1]!s_fa_roe(A53,20211231))/3,""))</f>
        <v>11.716800000000001</v>
      </c>
      <c r="AI53" s="27" t="str">
        <f t="shared" si="3"/>
        <v>147 173</v>
      </c>
      <c r="AJ53" s="28">
        <f>IFERROR(([1]!s_stmnote_bank_65(A53,$A$1,1,2,4,100000000)+[1]!s_stmnote_bank_65(A53,$A$1,1,2,6,100000000))/[1]!s_stmnote_bank_1n(A53,$A$1,1,100000000),"")</f>
        <v>0.10554748917302983</v>
      </c>
      <c r="AK53" s="28">
        <f>IFERROR([1]!s_stmnote_bank_614(A53,$A$1,1,2,100000000)/[1]!s_stmnote_bank_647(A53,$A$1,1,2,100000000),"")</f>
        <v>0.25390855807786922</v>
      </c>
      <c r="AL53" s="28">
        <f>IFERROR(([1]!b_stm07_bs(A53,104,$A$1,1,100000000)+[1]!b_stm07_bs(A53,106,$A$1,1,100000000)+[1]!b_stm07_bs(A53,76,$A$1,1,100000000)+[1]!b_stm07_bs(A53,108,$A$1,1,100000000)+[1]!b_stm07_bs(A53,95,$A$1,1,100000000))/[1]!b_stm07_bs(A53,128,$A$1,1,100000000),"")</f>
        <v>0.25530491975778885</v>
      </c>
      <c r="AM53" s="28">
        <f>IFERROR(([1]!s_stmnote_bank_614(A53,$A$1,1,2,100000000)+[1]!b_stm07_bs(A53,104,$A$1,1,100000000)+[1]!b_stm07_bs(A53,106,$A$1,1,100000000)+[1]!b_stm07_bs(A53,76,$A$1,1,100000000)+[1]!b_stm07_bs(A53,108,$A$1,1,100000000)+[1]!b_stm07_bs(A53,95,$A$1,1,100000000))/[1]!b_stm07_bs(A53,128,$A$1,1,100000000),"")</f>
        <v>0.4340412454678752</v>
      </c>
      <c r="AN53" s="31" t="e">
        <f>IF(Z53&gt;#REF!,#REF!,IF(Z53&gt;#REF!,#REF!,IF(Z53&gt;#REF!,#REF!,IF(Z53&gt;#REF!,#REF!,IF(Z53&gt;#REF!,#REF!,IF(Z53&gt;#REF!,#REF!,IF(Z53&gt;#REF!,#REF!,#REF!)))))))</f>
        <v>#REF!</v>
      </c>
      <c r="AO53" s="31" t="e">
        <f>IF(AA53&gt;#REF!,#REF!,IF(AA53&gt;#REF!,#REF!,IF(AA53&gt;#REF!,#REF!,IF(AA53&gt;#REF!,#REF!,IF(AA53&gt;#REF!,#REF!,IF(AA53&gt;#REF!,#REF!,IF(AA53&gt;#REF!,#REF!,#REF!)))))))</f>
        <v>#REF!</v>
      </c>
      <c r="AP53" s="31" t="e">
        <f>IF(AB53&lt;#REF!,#REF!,IF(AB53&lt;#REF!,#REF!,IF(AB53&lt;#REF!,#REF!,IF(AB53&lt;#REF!,#REF!,IF(AB53&lt;#REF!,#REF!,IF(AB53&lt;#REF!,#REF!,#REF!))))))</f>
        <v>#REF!</v>
      </c>
      <c r="AQ53" s="31" t="e">
        <f>IF(AC53&gt;#REF!,#REF!,IF(AC53&gt;#REF!,#REF!,IF(AC53&gt;#REF!,#REF!,IF(AC53&gt;#REF!,#REF!,#REF!))))</f>
        <v>#REF!</v>
      </c>
      <c r="AR53" s="31" t="e">
        <f>IF(AE53&gt;#REF!,#REF!,IF(AE53&gt;#REF!,#REF!,IF(AE53&gt;#REF!,#REF!,IF(AE53&gt;#REF!,#REF!,#REF!))))</f>
        <v>#REF!</v>
      </c>
      <c r="AS53" s="31" t="e">
        <f>IF(AF53&gt;#REF!,#REF!,IF(AF53&gt;#REF!,#REF!,IF(AF53&gt;#REF!,#REF!,IF(AF53&gt;#REF!,#REF!,#REF!))))</f>
        <v>#REF!</v>
      </c>
      <c r="AT53" s="31" t="e">
        <f>IF(AH53&gt;#REF!,#REF!,IF(AH53&gt;#REF!,#REF!,IF(AH53&gt;#REF!,#REF!,IF(AH53&gt;#REF!,#REF!,IF(AH53&gt;#REF!,#REF!,#REF!)))))</f>
        <v>#REF!</v>
      </c>
      <c r="AU53" s="10" t="e">
        <f t="shared" si="4"/>
        <v>#REF!</v>
      </c>
      <c r="AV53" s="10" t="s">
        <v>141</v>
      </c>
      <c r="AW53" s="10" t="s">
        <v>69</v>
      </c>
      <c r="AX53" s="10" t="s">
        <v>141</v>
      </c>
      <c r="AY53" s="31" t="str">
        <f>IFERROR(VLOOKUP(AV53,#REF!,3,0),"")</f>
        <v/>
      </c>
      <c r="AZ53" s="31" t="str">
        <f>IFERROR(VLOOKUP(AW53,#REF!,3,0),"")</f>
        <v/>
      </c>
      <c r="BA53" s="31" t="str">
        <f>IFERROR(VLOOKUP(AX53,#REF!,3,0),"")</f>
        <v/>
      </c>
      <c r="BB53" s="31" t="str">
        <f>IFERROR(AY53*#REF!+AZ53*#REF!+BA53*#REF!,"")</f>
        <v/>
      </c>
      <c r="BC53" s="32" t="str">
        <f t="shared" si="5"/>
        <v/>
      </c>
      <c r="BD53" s="32" t="str">
        <f>IFERROR(VLOOKUP(BC53*10,#REF!,2,1),"")</f>
        <v/>
      </c>
      <c r="BE53" s="11">
        <v>0</v>
      </c>
      <c r="BF53" s="11">
        <v>-1</v>
      </c>
      <c r="BG53" s="10" t="s">
        <v>458</v>
      </c>
      <c r="BH53" s="11" t="s">
        <v>733</v>
      </c>
      <c r="BI53" s="10">
        <v>22.219999313354499</v>
      </c>
      <c r="BJ53" s="33" t="s">
        <v>280</v>
      </c>
      <c r="BK53" s="33" t="s">
        <v>635</v>
      </c>
      <c r="BL53" s="10">
        <f>IF([1]!s_stmnote_bank_17n(A53,$A$1,1)="0","",[1]!s_stmnote_bank_17n(A53,$A$1,1))</f>
        <v>3.74</v>
      </c>
      <c r="BM53" s="10">
        <f>IF([1]!s_stmnote_bank_18n(A53,$A$1,1)="0","",[1]!s_stmnote_bank_18n(A53,$A$1,1))</f>
        <v>25.64</v>
      </c>
      <c r="BN53" s="41">
        <v>4</v>
      </c>
      <c r="BO53" s="68">
        <v>2.2799999999999998</v>
      </c>
      <c r="BP53" s="52">
        <f>[1]!s_stmnote_bank_5444(A53,$A$1,1)</f>
        <v>1.79</v>
      </c>
      <c r="BQ53" s="52">
        <f>[1]!s_stmnote_bank_129n($A53,$A$1,1)</f>
        <v>34.549999999999997</v>
      </c>
      <c r="BR53" s="52">
        <f t="shared" si="13"/>
        <v>4.008620599102219</v>
      </c>
      <c r="BS53" s="52">
        <f>[1]!b_stm07_is(A53,19,$A$1,1,100000000)</f>
        <v>169.91501</v>
      </c>
      <c r="BT53" s="52">
        <f xml:space="preserve"> [1]!s_stm07_bs(A53,"W15273164",$A$1,1,100000000)-[1]!s_stm07_bs(A53,"W17642530",$A$1,1,100000000)-[1]!s_stm07_bs(A53,"W15910877",$A$1,1,100000000)-[1]!s_stm07_bs_39(A53,$A$1,1,100000000)-[1]!s_stm07_bs(A53,"W17700468",$A$1,1,100000000)-[1]!s_stm07_bs(A53,"W16504296",$A$1,1,100000000)-[1]!s_stm07_bs(A53,"W13769069",$A$1,1,100000000)</f>
        <v>4765.5980299999992</v>
      </c>
      <c r="BU53" s="52">
        <f xml:space="preserve"> [1]!s_stm07_bs(A53,"W15273164",$B$1,1,100000000)-[1]!s_stm07_bs(A53,"W17642530",$B$1,1,100000000)-[1]!s_stm07_bs(A53,"W15910877",$B$1,1,100000000)-[1]!s_stm07_bs_39(A53,$B$1,1,100000000)-[1]!s_stm07_bs(A53,"W17700468",$B$1,1,100000000)-[1]!s_stm07_bs(A53,"W16504296",$B$1,1,100000000)-[1]!s_stm07_bs(A53,"W13769069",$B$1,1,100000000)</f>
        <v>4109.7089900000001</v>
      </c>
      <c r="BV53" s="52">
        <f xml:space="preserve"> [1]!s_stm07_bs(A53,"W15273164",$E$1,1,100000000)-[1]!s_stm07_bs(A53,"W17642530",$E$1,1,100000000)-[1]!s_stm07_bs(A53,"W15910877",$E$1,1,100000000)-[1]!s_stm07_bs_39(A53,$E$1,1,100000000)-[1]!s_stm07_bs(A53,"W17700468",$E$1,1,100000000)-[1]!s_stm07_bs(A53,"W16504296",$E$1,1,100000000)-[1]!s_stm07_bs(A53,"W13769069",$E$1,1,100000000)</f>
        <v>4563.5057397072005</v>
      </c>
      <c r="BW53" s="52">
        <f xml:space="preserve"> [1]!s_stm07_bs(A53,"W15273164",$F$1,1,100000000)-[1]!s_stm07_bs(A53,"W17642530",$F$1,1,100000000)-[1]!s_stm07_bs(A53,"W15910877",$F$1,1,100000000)-[1]!s_stm07_bs_39(A53,$F$1,1,100000000)-[1]!s_stm07_bs(A53,"W17700468",$F$1,1,100000000)-[1]!s_stm07_bs(A53,"W16504296",$F$1,1,100000000)-[1]!s_stm07_bs(A53,"W13769069",$F$1,1,100000000)</f>
        <v>4434.9718300000004</v>
      </c>
      <c r="BX53" s="52">
        <f xml:space="preserve"> [1]!s_stm07_bs(A53,"W15273164",$G$1,1,100000000)-[1]!s_stm07_bs(A53,"W17642530",$G$1,1,100000000)-[1]!s_stm07_bs(A53,"W15910877",$G$1,1,100000000)-[1]!s_stm07_bs_39(A53,$G$1,1,100000000)-[1]!s_stm07_bs(A53,"W17700468",$G$1,1,100000000)-[1]!s_stm07_bs(A53,"W16504296",$G$1,1,100000000)-[1]!s_stm07_bs(A53,"W13769069",$G$1,1,100000000)</f>
        <v>4274.2312834898003</v>
      </c>
      <c r="BY53" s="52">
        <f>IFERROR([1]!b_stm07_is(A53,20,$A$1,1,100000000)/AVERAGEIF(CA53:CE53,"&gt;0")*100,0)</f>
        <v>2.3330922623194419</v>
      </c>
      <c r="BZ53" s="52">
        <f>[1]!b_stm07_is(A53,20,$A$1,1,100000000)</f>
        <v>97.059200000000004</v>
      </c>
      <c r="CA53" s="52">
        <f>[1]!s_stmnote_bank_38(A53,$A$1,1,100000000)</f>
        <v>4491.4330099999997</v>
      </c>
      <c r="CB53" s="52">
        <f>[1]!s_stmnote_bank_38(A53,$B$1,1,100000000)</f>
        <v>3861.2981799999998</v>
      </c>
      <c r="CC53" s="52">
        <f>[1]!s_stmnote_bank_38(A53,$E$1,1,100000000)</f>
        <v>4278.2326417590002</v>
      </c>
      <c r="CD53" s="52">
        <f>[1]!s_stmnote_bank_38(A53,$F$1,1,100000000)</f>
        <v>4159.9397300000001</v>
      </c>
      <c r="CE53" s="52">
        <f>[1]!s_stmnote_bank_38(A53,$G$1,1,100000000)</f>
        <v>4009.6454708602</v>
      </c>
      <c r="CF53" s="52">
        <f>IF(BP53&lt;&gt;0,BP53,IFERROR(IF(([1]!b_stm07_is(A53,19,$A$1,1,100000000)-[1]!b_stm07_is(A53,20,$A$1,1,100000000))/AVERAGE([1]!s_stmnote_bank_35(A53,$A$1,1,100000000),[1]!s_stmnote_bank_35(A53,$B$1,1,100000000))*100=0,"",([1]!b_stm07_is(A53,19,$A$1,1,100000000)-[1]!b_stm07_is(A53,20,$A$1,1,100000000))/AVERAGE([1]!s_stmnote_bank_35(A53,$A$1,1,100000000),[1]!s_stmnote_bank_35(A53,$B$1,1,100000000))*100),""))</f>
        <v>1.79</v>
      </c>
      <c r="CG53" s="27" t="str">
        <f t="shared" si="6"/>
        <v>128 171</v>
      </c>
      <c r="CH53" s="80">
        <f t="shared" si="14"/>
        <v>0.96568609696073526</v>
      </c>
      <c r="CI53" s="27" t="str">
        <f t="shared" si="7"/>
        <v>45 169</v>
      </c>
      <c r="CJ53" s="55">
        <f>[1]!s_stmnote_bank_30(A53,$A$1,1)</f>
        <v>23.3964</v>
      </c>
      <c r="CP53" s="69">
        <f>[1]!b_stm07_bs($A53,141,$A$1,1,100000000)</f>
        <v>298.57504999999998</v>
      </c>
      <c r="CQ53" s="69">
        <f>[1]!b_stm07_bs($A53,141,$D$1,1,100000000)</f>
        <v>310.92799340710002</v>
      </c>
      <c r="CR53" s="68">
        <f>IF([1]!s_fa_roic_yearly($A53,$A$1)=0,"",[1]!s_fa_roic_yearly($A53,$A$1))</f>
        <v>11.6904</v>
      </c>
      <c r="CS53" s="27">
        <f t="shared" si="22"/>
        <v>0.18343195266272189</v>
      </c>
      <c r="CT53" s="68">
        <f>IF([1]!s_fa_roic_yearly($A53,$D$1)=0,"",[1]!s_fa_roic_yearly($A53,$D$1))</f>
        <v>13.3812</v>
      </c>
      <c r="CU53" s="27">
        <f t="shared" si="23"/>
        <v>0.1619718309859155</v>
      </c>
      <c r="CV53" s="78">
        <f>[1]!s_stm07_bs(A53,"W14578191",$A$1,1,100000000)</f>
        <v>2640.6268799999998</v>
      </c>
      <c r="CW53" s="78">
        <f>[1]!s_stmnote_bank_682($A53,$A$1,1,2,100000000)</f>
        <v>955.85146999999995</v>
      </c>
      <c r="CX53" s="79">
        <f t="shared" si="11"/>
        <v>0.36197899719933169</v>
      </c>
    </row>
    <row r="54" spans="1:102" s="46" customFormat="1" ht="13.5">
      <c r="A54" s="8" t="s">
        <v>549</v>
      </c>
      <c r="B54" s="8" t="s">
        <v>550</v>
      </c>
      <c r="C54" s="9" t="s">
        <v>551</v>
      </c>
      <c r="D54" s="9" t="s">
        <v>1061</v>
      </c>
      <c r="E54" s="10" t="s">
        <v>551</v>
      </c>
      <c r="F54" s="11" t="s">
        <v>178</v>
      </c>
      <c r="G54" s="11" t="s">
        <v>346</v>
      </c>
      <c r="H54" s="11" t="s">
        <v>206</v>
      </c>
      <c r="I54" s="11"/>
      <c r="J54" s="11">
        <f>VLOOKUP(B54,[3]额度信息!$B:$T,19,0)</f>
        <v>18</v>
      </c>
      <c r="K54" s="11" t="s">
        <v>552</v>
      </c>
      <c r="L54" s="27">
        <f>IFERROR(([1]!b_stm07_bs($A54,47,$A$1,1,100000000))/[1]!b_stm07_bs($A54,109,$A$1,1,100000000),"")</f>
        <v>8.8314810232509561E-2</v>
      </c>
      <c r="M54" s="20"/>
      <c r="N54" s="18"/>
      <c r="O54" s="27" t="e">
        <f t="shared" si="0"/>
        <v>#N/A</v>
      </c>
      <c r="P54" s="21">
        <f t="shared" si="12"/>
        <v>1.4105238427692788E-2</v>
      </c>
      <c r="Q54" s="27" t="str">
        <f t="shared" si="1"/>
        <v>19 169</v>
      </c>
      <c r="R54" s="18">
        <f>IFERROR([1]!s_stmnote_bank($A54,"34",$A$1,100000000)/[1]!s_stmnote_bank_1n(A54,$A$1,1,100000000),"")</f>
        <v>4.6052384276927885E-3</v>
      </c>
      <c r="S54" s="22"/>
      <c r="T54" s="22"/>
      <c r="U54" s="22"/>
      <c r="V54" s="22"/>
      <c r="W54" s="22"/>
      <c r="X54" s="22"/>
      <c r="Y54" s="22"/>
      <c r="Z54" s="25">
        <f>[1]!b_stm07_bs(A54,74,$A$1,1,100000000)</f>
        <v>3552.3445804938001</v>
      </c>
      <c r="AA54" s="25">
        <f>[1]!b_stm07_bs(A54,109,$A$1,1,100000000)</f>
        <v>2090.3362014295999</v>
      </c>
      <c r="AB54" s="10">
        <f>[1]!s_stmnote_bank_5n(A54,$A$1,1)</f>
        <v>0.95</v>
      </c>
      <c r="AC54" s="25">
        <f>IF([1]!s_stmnote_bank_23n(A54,$A$1,1)=0,"",IFERROR([1]!s_stmnote_bank_23n(A54,$A$1,1),""))</f>
        <v>325.83</v>
      </c>
      <c r="AD54" s="27" t="str">
        <f t="shared" si="2"/>
        <v>117 167</v>
      </c>
      <c r="AE54" s="25">
        <f>[1]!s_stmnote_bank_capadequacyratio(A54,$A$1,1)</f>
        <v>13.05</v>
      </c>
      <c r="AF54" s="25">
        <f>IF([1]!s_stmnote_bank_capadequacyratio_ct1(A54,$A$1,1)=0,"",IFERROR([1]!s_stmnote_bank_capadequacyratio_ct1(A54,$A$1,1),""))</f>
        <v>11.87</v>
      </c>
      <c r="AG54" s="27" t="str">
        <f t="shared" si="21"/>
        <v>122 167</v>
      </c>
      <c r="AH54" s="6">
        <f>IF(OR([1]!s_fa_roe(A54,20201231)=0,[1]!s_fa_roe(A54,20211231)="0",[1]!s_fa_roe(A54,20221231)="0"),"",IFERROR(([1]!s_fa_roe(A54,20221231)+[1]!s_fa_roe(A54,20201231)+[1]!s_fa_roe(A54,20211231))/3,""))</f>
        <v>7.8964333333333334</v>
      </c>
      <c r="AI54" s="27" t="str">
        <f t="shared" si="3"/>
        <v>78 173</v>
      </c>
      <c r="AJ54" s="28">
        <f>IFERROR(([1]!s_stmnote_bank_65(A54,$A$1,1,2,4,100000000)+[1]!s_stmnote_bank_65(A54,$A$1,1,2,6,100000000))/[1]!s_stmnote_bank_1n(A54,$A$1,1,100000000),"")</f>
        <v>5.1008241411199695E-2</v>
      </c>
      <c r="AK54" s="28">
        <f>IFERROR([1]!s_stmnote_bank_614(A54,$A$1,1,2,100000000)/[1]!s_stmnote_bank_647(A54,$A$1,1,2,100000000),"")</f>
        <v>0.20230882959041677</v>
      </c>
      <c r="AL54" s="28">
        <f>IFERROR(([1]!b_stm07_bs(A54,104,$A$1,1,100000000)+[1]!b_stm07_bs(A54,106,$A$1,1,100000000)+[1]!b_stm07_bs(A54,76,$A$1,1,100000000)+[1]!b_stm07_bs(A54,108,$A$1,1,100000000)+[1]!b_stm07_bs(A54,95,$A$1,1,100000000))/[1]!b_stm07_bs(A54,128,$A$1,1,100000000),"")</f>
        <v>0.30622527968082408</v>
      </c>
      <c r="AM54" s="28">
        <f>IFERROR(([1]!s_stmnote_bank_614(A54,$A$1,1,2,100000000)+[1]!b_stm07_bs(A54,104,$A$1,1,100000000)+[1]!b_stm07_bs(A54,106,$A$1,1,100000000)+[1]!b_stm07_bs(A54,76,$A$1,1,100000000)+[1]!b_stm07_bs(A54,108,$A$1,1,100000000)+[1]!b_stm07_bs(A54,95,$A$1,1,100000000))/[1]!b_stm07_bs(A54,128,$A$1,1,100000000),"")</f>
        <v>0.43846933702273055</v>
      </c>
      <c r="AN54" s="31" t="e">
        <f>IF(Z54&gt;#REF!,#REF!,IF(Z54&gt;#REF!,#REF!,IF(Z54&gt;#REF!,#REF!,IF(Z54&gt;#REF!,#REF!,IF(Z54&gt;#REF!,#REF!,IF(Z54&gt;#REF!,#REF!,IF(Z54&gt;#REF!,#REF!,#REF!)))))))</f>
        <v>#REF!</v>
      </c>
      <c r="AO54" s="31" t="e">
        <f>IF(AA54&gt;#REF!,#REF!,IF(AA54&gt;#REF!,#REF!,IF(AA54&gt;#REF!,#REF!,IF(AA54&gt;#REF!,#REF!,IF(AA54&gt;#REF!,#REF!,IF(AA54&gt;#REF!,#REF!,IF(AA54&gt;#REF!,#REF!,#REF!)))))))</f>
        <v>#REF!</v>
      </c>
      <c r="AP54" s="31" t="e">
        <f>IF(AB54&lt;#REF!,#REF!,IF(AB54&lt;#REF!,#REF!,IF(AB54&lt;#REF!,#REF!,IF(AB54&lt;#REF!,#REF!,IF(AB54&lt;#REF!,#REF!,IF(AB54&lt;#REF!,#REF!,#REF!))))))</f>
        <v>#REF!</v>
      </c>
      <c r="AQ54" s="31" t="e">
        <f>IF(AC54&gt;#REF!,#REF!,IF(AC54&gt;#REF!,#REF!,IF(AC54&gt;#REF!,#REF!,IF(AC54&gt;#REF!,#REF!,#REF!))))</f>
        <v>#REF!</v>
      </c>
      <c r="AR54" s="31" t="e">
        <f>IF(AE54&gt;#REF!,#REF!,IF(AE54&gt;#REF!,#REF!,IF(AE54&gt;#REF!,#REF!,IF(AE54&gt;#REF!,#REF!,#REF!))))</f>
        <v>#REF!</v>
      </c>
      <c r="AS54" s="31" t="e">
        <f>IF(AF54&gt;#REF!,#REF!,IF(AF54&gt;#REF!,#REF!,IF(AF54&gt;#REF!,#REF!,IF(AF54&gt;#REF!,#REF!,#REF!))))</f>
        <v>#REF!</v>
      </c>
      <c r="AT54" s="31" t="e">
        <f>IF(AH54&gt;#REF!,#REF!,IF(AH54&gt;#REF!,#REF!,IF(AH54&gt;#REF!,#REF!,IF(AH54&gt;#REF!,#REF!,IF(AH54&gt;#REF!,#REF!,#REF!)))))</f>
        <v>#REF!</v>
      </c>
      <c r="AU54" s="10" t="e">
        <f t="shared" si="4"/>
        <v>#REF!</v>
      </c>
      <c r="AV54" s="10" t="s">
        <v>141</v>
      </c>
      <c r="AW54" s="10" t="s">
        <v>141</v>
      </c>
      <c r="AX54" s="10" t="s">
        <v>261</v>
      </c>
      <c r="AY54" s="31" t="str">
        <f>IFERROR(VLOOKUP(AV54,#REF!,3,0),"")</f>
        <v/>
      </c>
      <c r="AZ54" s="31" t="str">
        <f>IFERROR(VLOOKUP(AW54,#REF!,3,0),"")</f>
        <v/>
      </c>
      <c r="BA54" s="31" t="str">
        <f>IFERROR(VLOOKUP(AX54,#REF!,3,0),"")</f>
        <v/>
      </c>
      <c r="BB54" s="31" t="str">
        <f>IFERROR(AY54*#REF!+AZ54*#REF!+BA54*#REF!,"")</f>
        <v/>
      </c>
      <c r="BC54" s="32" t="str">
        <f t="shared" si="5"/>
        <v/>
      </c>
      <c r="BD54" s="32" t="str">
        <f>IFERROR(VLOOKUP(BC54*10,#REF!,2,1),"")</f>
        <v/>
      </c>
      <c r="BE54" s="11"/>
      <c r="BF54" s="11"/>
      <c r="BG54" s="10" t="s">
        <v>169</v>
      </c>
      <c r="BH54" s="11" t="s">
        <v>553</v>
      </c>
      <c r="BI54" s="10">
        <v>77.089996337890597</v>
      </c>
      <c r="BJ54" s="33" t="s">
        <v>426</v>
      </c>
      <c r="BK54" s="33" t="s">
        <v>554</v>
      </c>
      <c r="BL54" s="10">
        <f>IF([1]!s_stmnote_bank_17n(A54,$A$1,1)="0","",[1]!s_stmnote_bank_17n(A54,$A$1,1))</f>
        <v>4.38</v>
      </c>
      <c r="BM54" s="10">
        <f>IF([1]!s_stmnote_bank_18n(A54,$A$1,1)="0","",[1]!s_stmnote_bank_18n(A54,$A$1,1))</f>
        <v>7.59</v>
      </c>
      <c r="BN54" s="41">
        <v>4.4000000000000004</v>
      </c>
      <c r="BO54" s="68">
        <v>2.29</v>
      </c>
      <c r="BP54" s="52">
        <f>[1]!s_stmnote_bank_5444(A54,$A$1,1)</f>
        <v>1.94</v>
      </c>
      <c r="BQ54" s="52">
        <f>[1]!s_stmnote_bank_129n($A54,$A$1,1)</f>
        <v>36.299999999999997</v>
      </c>
      <c r="BR54" s="52">
        <f t="shared" si="13"/>
        <v>3.6136259475821886</v>
      </c>
      <c r="BS54" s="52">
        <f>[1]!b_stm07_is(A54,19,$A$1,1,100000000)</f>
        <v>125.42829849430001</v>
      </c>
      <c r="BT54" s="52">
        <f xml:space="preserve"> [1]!s_stm07_bs(A54,"W15273164",$A$1,1,100000000)-[1]!s_stm07_bs(A54,"W17642530",$A$1,1,100000000)-[1]!s_stm07_bs(A54,"W15910877",$A$1,1,100000000)-[1]!s_stm07_bs_39(A54,$A$1,1,100000000)-[1]!s_stm07_bs(A54,"W17700468",$A$1,1,100000000)-[1]!s_stm07_bs(A54,"W16504296",$A$1,1,100000000)-[1]!s_stm07_bs(A54,"W13769069",$A$1,1,100000000)</f>
        <v>3536.5239539476997</v>
      </c>
      <c r="BU54" s="52">
        <f xml:space="preserve"> [1]!s_stm07_bs(A54,"W15273164",$B$1,1,100000000)-[1]!s_stm07_bs(A54,"W17642530",$B$1,1,100000000)-[1]!s_stm07_bs(A54,"W15910877",$B$1,1,100000000)-[1]!s_stm07_bs_39(A54,$B$1,1,100000000)-[1]!s_stm07_bs(A54,"W17700468",$B$1,1,100000000)-[1]!s_stm07_bs(A54,"W16504296",$B$1,1,100000000)-[1]!s_stm07_bs(A54,"W13769069",$B$1,1,100000000)</f>
        <v>3477.5133194973</v>
      </c>
      <c r="BV54" s="52">
        <f xml:space="preserve"> [1]!s_stm07_bs(A54,"W15273164",$E$1,1,100000000)-[1]!s_stm07_bs(A54,"W17642530",$E$1,1,100000000)-[1]!s_stm07_bs(A54,"W15910877",$E$1,1,100000000)-[1]!s_stm07_bs_39(A54,$E$1,1,100000000)-[1]!s_stm07_bs(A54,"W17700468",$E$1,1,100000000)-[1]!s_stm07_bs(A54,"W16504296",$E$1,1,100000000)-[1]!s_stm07_bs(A54,"W13769069",$E$1,1,100000000)</f>
        <v>0</v>
      </c>
      <c r="BW54" s="52">
        <f xml:space="preserve"> [1]!s_stm07_bs(A54,"W15273164",$F$1,1,100000000)-[1]!s_stm07_bs(A54,"W17642530",$F$1,1,100000000)-[1]!s_stm07_bs(A54,"W15910877",$F$1,1,100000000)-[1]!s_stm07_bs_39(A54,$F$1,1,100000000)-[1]!s_stm07_bs(A54,"W17700468",$F$1,1,100000000)-[1]!s_stm07_bs(A54,"W16504296",$F$1,1,100000000)-[1]!s_stm07_bs(A54,"W13769069",$F$1,1,100000000)</f>
        <v>3359.7188934220003</v>
      </c>
      <c r="BX54" s="52">
        <f xml:space="preserve"> [1]!s_stm07_bs(A54,"W15273164",$G$1,1,100000000)-[1]!s_stm07_bs(A54,"W17642530",$G$1,1,100000000)-[1]!s_stm07_bs(A54,"W15910877",$G$1,1,100000000)-[1]!s_stm07_bs_39(A54,$G$1,1,100000000)-[1]!s_stm07_bs(A54,"W17700468",$G$1,1,100000000)-[1]!s_stm07_bs(A54,"W16504296",$G$1,1,100000000)-[1]!s_stm07_bs(A54,"W13769069",$G$1,1,100000000)</f>
        <v>0</v>
      </c>
      <c r="BY54" s="52">
        <f>IFERROR([1]!b_stm07_is(A54,20,$A$1,1,100000000)/AVERAGEIF(CA54:CE54,"&gt;0")*100,0)</f>
        <v>2.1995897399421547</v>
      </c>
      <c r="BZ54" s="52">
        <f>[1]!b_stm07_is(A54,20,$A$1,1,100000000)</f>
        <v>68.939340878899998</v>
      </c>
      <c r="CA54" s="52">
        <f>[1]!s_stmnote_bank_38(A54,$A$1,1,100000000)</f>
        <v>3148.4661807825</v>
      </c>
      <c r="CB54" s="52">
        <f>[1]!s_stmnote_bank_38(A54,$B$1,1,100000000)</f>
        <v>3119.9155657802003</v>
      </c>
      <c r="CC54" s="52">
        <f>[1]!s_stmnote_bank_38(A54,$E$1,1,100000000)</f>
        <v>0</v>
      </c>
      <c r="CD54" s="52">
        <f>[1]!s_stmnote_bank_38(A54,$F$1,1,100000000)</f>
        <v>0</v>
      </c>
      <c r="CE54" s="52">
        <f>[1]!s_stmnote_bank_38(A54,$G$1,1,100000000)</f>
        <v>0</v>
      </c>
      <c r="CF54" s="52">
        <f>IF(BP54&lt;&gt;0,BP54,IFERROR(IF(([1]!b_stm07_is(A54,19,$A$1,1,100000000)-[1]!b_stm07_is(A54,20,$A$1,1,100000000))/AVERAGE([1]!s_stmnote_bank_35(A54,$A$1,1,100000000),[1]!s_stmnote_bank_35(A54,$B$1,1,100000000))*100=0,"",([1]!b_stm07_is(A54,19,$A$1,1,100000000)-[1]!b_stm07_is(A54,20,$A$1,1,100000000))/AVERAGE([1]!s_stmnote_bank_35(A54,$A$1,1,100000000),[1]!s_stmnote_bank_35(A54,$B$1,1,100000000))*100),""))</f>
        <v>1.94</v>
      </c>
      <c r="CG54" s="27" t="str">
        <f t="shared" si="6"/>
        <v>104 171</v>
      </c>
      <c r="CH54" s="80">
        <f t="shared" si="14"/>
        <v>1.3753755457200934</v>
      </c>
      <c r="CI54" s="27" t="str">
        <f t="shared" si="7"/>
        <v>29 169</v>
      </c>
      <c r="CJ54" s="55">
        <f>[1]!s_stmnote_bank_30(A54,$A$1,1)</f>
        <v>6.3487</v>
      </c>
      <c r="CP54" s="69">
        <f>[1]!b_stm07_bs($A54,141,$A$1,1,100000000)</f>
        <v>354.51869053080003</v>
      </c>
      <c r="CQ54" s="69">
        <f>[1]!b_stm07_bs($A54,141,$D$1,1,100000000)</f>
        <v>367.99460289569998</v>
      </c>
      <c r="CR54" s="68">
        <f>IF([1]!s_fa_roic_yearly($A54,$A$1)=0,"",[1]!s_fa_roic_yearly($A54,$A$1))</f>
        <v>7.3289999999999997</v>
      </c>
      <c r="CS54" s="27">
        <f t="shared" si="22"/>
        <v>0.63905325443786987</v>
      </c>
      <c r="CT54" s="68">
        <f>IF([1]!s_fa_roic_yearly($A54,$D$1)=0,"",[1]!s_fa_roic_yearly($A54,$D$1))</f>
        <v>9.1519999999999992</v>
      </c>
      <c r="CU54" s="27">
        <f t="shared" si="23"/>
        <v>0.55633802816901412</v>
      </c>
      <c r="CV54" s="78">
        <f>[1]!s_stm07_bs(A54,"W14578191",$A$1,1,100000000)</f>
        <v>1714.8424930435999</v>
      </c>
      <c r="CW54" s="78">
        <f>[1]!s_stmnote_bank_682($A54,$A$1,1,2,100000000)</f>
        <v>521.83739007120005</v>
      </c>
      <c r="CX54" s="79">
        <f t="shared" si="11"/>
        <v>0.30430630928967323</v>
      </c>
    </row>
    <row r="55" spans="1:102" s="46" customFormat="1" ht="13.5">
      <c r="A55" s="14" t="s">
        <v>203</v>
      </c>
      <c r="B55" s="13" t="s">
        <v>204</v>
      </c>
      <c r="C55" s="9" t="s">
        <v>205</v>
      </c>
      <c r="D55" s="9" t="s">
        <v>1066</v>
      </c>
      <c r="E55" s="10"/>
      <c r="F55" s="11" t="s">
        <v>66</v>
      </c>
      <c r="G55" s="11" t="s">
        <v>206</v>
      </c>
      <c r="H55" s="11" t="s">
        <v>116</v>
      </c>
      <c r="I55" s="7"/>
      <c r="J55" s="11">
        <f>VLOOKUP(B55,[3]额度信息!$B:$T,19,0)</f>
        <v>0</v>
      </c>
      <c r="K55" s="7"/>
      <c r="L55" s="27">
        <f>IFERROR(([1]!b_stm07_bs($A55,47,$A$1,1,100000000))/[1]!b_stm07_bs($A55,109,$A$1,1,100000000),"")</f>
        <v>7.3521118071034508E-2</v>
      </c>
      <c r="M55" s="20">
        <v>5.9</v>
      </c>
      <c r="N55" s="18">
        <f>IFERROR(([1]!s_stmnote_bank_26($A55,$A$1,1,100000000)-[1]!s_stmnote_bank_26($A55,$B$1,1,100000000)+M55)/[1]!s_stmnote_bank_1n($A55,$B$1,1,100000000),"")</f>
        <v>4.4708791550737747E-3</v>
      </c>
      <c r="O55" s="27" t="str">
        <f t="shared" si="0"/>
        <v>8 50</v>
      </c>
      <c r="P55" s="21">
        <f t="shared" si="12"/>
        <v>1.8751553496648601E-2</v>
      </c>
      <c r="Q55" s="27" t="str">
        <f t="shared" si="1"/>
        <v>38 169</v>
      </c>
      <c r="R55" s="18">
        <f>IFERROR([1]!s_stmnote_bank($A55,"34",$A$1,100000000)/[1]!s_stmnote_bank_1n(A55,$A$1,1,100000000),"")</f>
        <v>5.5515534966486032E-3</v>
      </c>
      <c r="S55" s="22">
        <f>IFERROR((9.48)/[1]!s_stmnote_bank_1n(A55,$A$1,1,100000000),"")</f>
        <v>1.036394354305163E-2</v>
      </c>
      <c r="T55" s="22">
        <f>IFERROR((10.12)/[1]!s_stmnote_bank_1n(A55,$A$1,1,100000000),"")</f>
        <v>1.1063619056506591E-2</v>
      </c>
      <c r="U55" s="22">
        <v>0</v>
      </c>
      <c r="V55" s="22"/>
      <c r="W55" s="22">
        <v>0</v>
      </c>
      <c r="X55" s="22">
        <v>0</v>
      </c>
      <c r="Y55" s="22">
        <f>(10.47+240.21)/(240.77+1.12)</f>
        <v>1.0363388317003597</v>
      </c>
      <c r="Z55" s="25">
        <f>IF([1]!b_stm07_bs(A55,74,$A$1,1,100000000)="0","",IFERROR([1]!b_stm07_bs(A55,74,$A$1,1,100000000),""))</f>
        <v>1531.2759900000001</v>
      </c>
      <c r="AA55" s="25">
        <f>IF([1]!b_stm07_bs(A55,109,$A$1,1,100000000)="0","",IFERROR([1]!b_stm07_bs(A55,109,$A$1,1,100000000),""))</f>
        <v>1174.4749300000001</v>
      </c>
      <c r="AB55" s="10">
        <f>IF([1]!s_stmnote_bank_5n(A55,$A$1,1)="0","",IFERROR([1]!s_stmnote_bank_5n(A55,$A$1,1),""))</f>
        <v>1.32</v>
      </c>
      <c r="AC55" s="25">
        <f>IF([1]!s_stmnote_bank_23n(A55,$A$1,1)=0,"",IFERROR([1]!s_stmnote_bank_23n(A55,$A$1,1),""))</f>
        <v>330.62</v>
      </c>
      <c r="AD55" s="27" t="str">
        <f t="shared" si="2"/>
        <v>118 167</v>
      </c>
      <c r="AE55" s="25">
        <f>IF([1]!s_stmnote_bank_capadequacyratio(A55,$A$1,1)="0","",IFERROR([1]!s_stmnote_bank_capadequacyratio(A55,$A$1,1),""))</f>
        <v>14.11</v>
      </c>
      <c r="AF55" s="25">
        <f>IF([1]!s_stmnote_bank_capadequacyratio_ct1(A55,$A$1,1)=0,"",IFERROR([1]!s_stmnote_bank_capadequacyratio_ct1(A55,$A$1,1),""))</f>
        <v>12.96</v>
      </c>
      <c r="AG55" s="27" t="str">
        <f t="shared" si="21"/>
        <v>138 167</v>
      </c>
      <c r="AH55" s="6">
        <f>IF(OR([1]!s_fa_roe(A55,20201231)=0,[1]!s_fa_roe(A55,20211231)="0",[1]!s_fa_roe(A55,20221231)="0"),"",IFERROR(([1]!s_fa_roe(A55,20221231)+[1]!s_fa_roe(A55,20201231)+[1]!s_fa_roe(A55,20211231))/3,""))</f>
        <v>10.271000000000001</v>
      </c>
      <c r="AI55" s="27" t="str">
        <f t="shared" si="3"/>
        <v>123 173</v>
      </c>
      <c r="AJ55" s="28">
        <f>IFERROR(([1]!s_stmnote_bank_65(A55,$A$1,1,2,4,100000000)+[1]!s_stmnote_bank_65(A55,$A$1,1,2,6,100000000))/[1]!s_stmnote_bank_1n(A55,$A$1,1,100000000),"")</f>
        <v>4.0200053409293016E-2</v>
      </c>
      <c r="AK55" s="28">
        <f>IFERROR([1]!s_stmnote_bank_614(A55,$A$1,1,2,100000000)/[1]!s_stmnote_bank_647(A55,$A$1,1,2,100000000),"")</f>
        <v>0.2347184755890398</v>
      </c>
      <c r="AL55" s="28">
        <f>IFERROR(([1]!b_stm07_bs(A55,104,$A$1,1,100000000)+[1]!b_stm07_bs(A55,106,$A$1,1,100000000)+[1]!b_stm07_bs(A55,76,$A$1,1,100000000)+[1]!b_stm07_bs(A55,108,$A$1,1,100000000)+[1]!b_stm07_bs(A55,95,$A$1,1,100000000))/[1]!b_stm07_bs(A55,128,$A$1,1,100000000),"")</f>
        <v>0.11366005481690157</v>
      </c>
      <c r="AM55" s="28">
        <f>IFERROR(([1]!s_stmnote_bank_614(A55,$A$1,1,2,100000000)+[1]!b_stm07_bs(A55,104,$A$1,1,100000000)+[1]!b_stm07_bs(A55,106,$A$1,1,100000000)+[1]!b_stm07_bs(A55,76,$A$1,1,100000000)+[1]!b_stm07_bs(A55,108,$A$1,1,100000000)+[1]!b_stm07_bs(A55,95,$A$1,1,100000000))/[1]!b_stm07_bs(A55,128,$A$1,1,100000000),"")</f>
        <v>0.30560915623762919</v>
      </c>
      <c r="AN55" s="31" t="e">
        <f>IF(Z55&gt;#REF!,#REF!,IF(Z55&gt;#REF!,#REF!,IF(Z55&gt;#REF!,#REF!,IF(Z55&gt;#REF!,#REF!,IF(Z55&gt;#REF!,#REF!,IF(Z55&gt;#REF!,#REF!,IF(Z55&gt;#REF!,#REF!,#REF!)))))))</f>
        <v>#REF!</v>
      </c>
      <c r="AO55" s="31" t="e">
        <f>IF(AA55&gt;#REF!,#REF!,IF(AA55&gt;#REF!,#REF!,IF(AA55&gt;#REF!,#REF!,IF(AA55&gt;#REF!,#REF!,IF(AA55&gt;#REF!,#REF!,IF(AA55&gt;#REF!,#REF!,IF(AA55&gt;#REF!,#REF!,#REF!)))))))</f>
        <v>#REF!</v>
      </c>
      <c r="AP55" s="31" t="e">
        <f>IF(AB55&lt;#REF!,#REF!,IF(AB55&lt;#REF!,#REF!,IF(AB55&lt;#REF!,#REF!,IF(AB55&lt;#REF!,#REF!,IF(AB55&lt;#REF!,#REF!,IF(AB55&lt;#REF!,#REF!,#REF!))))))</f>
        <v>#REF!</v>
      </c>
      <c r="AQ55" s="31" t="e">
        <f>IF(AC55&gt;#REF!,#REF!,IF(AC55&gt;#REF!,#REF!,IF(AC55&gt;#REF!,#REF!,IF(AC55&gt;#REF!,#REF!,#REF!))))</f>
        <v>#REF!</v>
      </c>
      <c r="AR55" s="31" t="e">
        <f>IF(AE55&gt;#REF!,#REF!,IF(AE55&gt;#REF!,#REF!,IF(AE55&gt;#REF!,#REF!,IF(AE55&gt;#REF!,#REF!,#REF!))))</f>
        <v>#REF!</v>
      </c>
      <c r="AS55" s="31" t="e">
        <f>IF(AF55&gt;#REF!,#REF!,IF(AF55&gt;#REF!,#REF!,IF(AF55&gt;#REF!,#REF!,IF(AF55&gt;#REF!,#REF!,#REF!))))</f>
        <v>#REF!</v>
      </c>
      <c r="AT55" s="31" t="e">
        <f>IF(AH55&gt;#REF!,#REF!,IF(AH55&gt;#REF!,#REF!,IF(AH55&gt;#REF!,#REF!,IF(AH55&gt;#REF!,#REF!,IF(AH55&gt;#REF!,#REF!,#REF!)))))</f>
        <v>#REF!</v>
      </c>
      <c r="AU55" s="10" t="e">
        <f t="shared" si="4"/>
        <v>#REF!</v>
      </c>
      <c r="AV55" s="10" t="s">
        <v>60</v>
      </c>
      <c r="AW55" s="10" t="s">
        <v>61</v>
      </c>
      <c r="AX55" s="10" t="s">
        <v>62</v>
      </c>
      <c r="AY55" s="31" t="str">
        <f>IFERROR(VLOOKUP(AV55,#REF!,3,0),"")</f>
        <v/>
      </c>
      <c r="AZ55" s="31" t="str">
        <f>IFERROR(VLOOKUP(AW55,#REF!,3,0),"")</f>
        <v/>
      </c>
      <c r="BA55" s="31" t="str">
        <f>IFERROR(VLOOKUP(AX55,#REF!,3,0),"")</f>
        <v/>
      </c>
      <c r="BB55" s="31" t="str">
        <f>IFERROR(AY55*#REF!+AZ55*#REF!+BA55*#REF!,"")</f>
        <v/>
      </c>
      <c r="BC55" s="32" t="str">
        <f t="shared" si="5"/>
        <v/>
      </c>
      <c r="BD55" s="32" t="str">
        <f>IFERROR(VLOOKUP(BC55*10,#REF!,2,1),"")</f>
        <v/>
      </c>
      <c r="BE55" s="11"/>
      <c r="BF55" s="11"/>
      <c r="BG55" s="10"/>
      <c r="BH55" s="11" t="str">
        <f>[1]!b_issuer_shareholder(A55,"",1)</f>
        <v>江苏江南水务股份有限公司</v>
      </c>
      <c r="BI55" s="10">
        <f>[1]!b_issuer_propofshareholder(A55,"",1)</f>
        <v>5.7600002288818359</v>
      </c>
      <c r="BJ55" s="33" t="str">
        <f>LEFT(B55,2)</f>
        <v>江苏</v>
      </c>
      <c r="BK55" s="33" t="str">
        <f>[1]!s_info_city(A55)</f>
        <v>江阴市</v>
      </c>
      <c r="BL55" s="10">
        <f>IF([1]!s_stmnote_bank_17n(A55,$A$1,1)="0","",[1]!s_stmnote_bank_17n(A55,$A$1,1))</f>
        <v>3.62</v>
      </c>
      <c r="BM55" s="10">
        <f>IF([1]!s_stmnote_bank_18n(A55,$A$1,1)="0","",[1]!s_stmnote_bank_18n(A55,$A$1,1))</f>
        <v>27.82</v>
      </c>
      <c r="BN55" s="41">
        <v>4.12</v>
      </c>
      <c r="BO55" s="52">
        <v>2.1800000000000002</v>
      </c>
      <c r="BP55" s="52">
        <f>[1]!s_stmnote_bank_5444(A55,$A$1,1)</f>
        <v>2.14</v>
      </c>
      <c r="BQ55" s="52">
        <f>[1]!s_stmnote_bank_129n($A55,$A$1,1)</f>
        <v>33.4</v>
      </c>
      <c r="BR55" s="52">
        <f t="shared" si="13"/>
        <v>4.0803418986338924</v>
      </c>
      <c r="BS55" s="52">
        <f>[1]!b_stm07_is(A55,19,$A$1,1,100000000)</f>
        <v>57.882989999999999</v>
      </c>
      <c r="BT55" s="52">
        <f xml:space="preserve"> [1]!s_stm07_bs(A55,"W15273164",$A$1,1,100000000)-[1]!s_stm07_bs(A55,"W17642530",$A$1,1,100000000)-[1]!s_stm07_bs(A55,"W15910877",$A$1,1,100000000)-[1]!s_stm07_bs_39(A55,$A$1,1,100000000)-[1]!s_stm07_bs(A55,"W17700468",$A$1,1,100000000)-[1]!s_stm07_bs(A55,"W16504296",$A$1,1,100000000)-[1]!s_stm07_bs(A55,"W13769069",$A$1,1,100000000)</f>
        <v>1505.0330700000002</v>
      </c>
      <c r="BU55" s="52">
        <f xml:space="preserve"> [1]!s_stm07_bs(A55,"W15273164",$B$1,1,100000000)-[1]!s_stm07_bs(A55,"W17642530",$B$1,1,100000000)-[1]!s_stm07_bs(A55,"W15910877",$B$1,1,100000000)-[1]!s_stm07_bs_39(A55,$B$1,1,100000000)-[1]!s_stm07_bs(A55,"W17700468",$B$1,1,100000000)-[1]!s_stm07_bs(A55,"W16504296",$B$1,1,100000000)-[1]!s_stm07_bs(A55,"W13769069",$B$1,1,100000000)</f>
        <v>1403.2277200000003</v>
      </c>
      <c r="BV55" s="52">
        <f xml:space="preserve"> [1]!s_stm07_bs(A55,"W15273164",$E$1,1,100000000)-[1]!s_stm07_bs(A55,"W17642530",$E$1,1,100000000)-[1]!s_stm07_bs(A55,"W15910877",$E$1,1,100000000)-[1]!s_stm07_bs_39(A55,$E$1,1,100000000)-[1]!s_stm07_bs(A55,"W17700468",$E$1,1,100000000)-[1]!s_stm07_bs(A55,"W16504296",$E$1,1,100000000)-[1]!s_stm07_bs(A55,"W13769069",$E$1,1,100000000)</f>
        <v>1426.9351399999998</v>
      </c>
      <c r="BW55" s="52">
        <f xml:space="preserve"> [1]!s_stm07_bs(A55,"W15273164",$F$1,1,100000000)-[1]!s_stm07_bs(A55,"W17642530",$F$1,1,100000000)-[1]!s_stm07_bs(A55,"W15910877",$F$1,1,100000000)-[1]!s_stm07_bs_39(A55,$F$1,1,100000000)-[1]!s_stm07_bs(A55,"W17700468",$F$1,1,100000000)-[1]!s_stm07_bs(A55,"W16504296",$F$1,1,100000000)-[1]!s_stm07_bs(A55,"W13769069",$F$1,1,100000000)</f>
        <v>1437.4814599999997</v>
      </c>
      <c r="BX55" s="52">
        <f xml:space="preserve"> [1]!s_stm07_bs(A55,"W15273164",$G$1,1,100000000)-[1]!s_stm07_bs(A55,"W17642530",$G$1,1,100000000)-[1]!s_stm07_bs(A55,"W15910877",$G$1,1,100000000)-[1]!s_stm07_bs_39(A55,$G$1,1,100000000)-[1]!s_stm07_bs(A55,"W17700468",$G$1,1,100000000)-[1]!s_stm07_bs(A55,"W16504296",$G$1,1,100000000)-[1]!s_stm07_bs(A55,"W13769069",$G$1,1,100000000)</f>
        <v>1414.4849199999999</v>
      </c>
      <c r="BY55" s="52">
        <f>IFERROR([1]!b_stm07_is(A55,20,$A$1,1,100000000)/AVERAGEIF(CA55:CE55,"&gt;0")*100,0)</f>
        <v>2.2304022847594438</v>
      </c>
      <c r="BZ55" s="52">
        <f>[1]!b_stm07_is(A55,20,$A$1,1,100000000)</f>
        <v>29.57366</v>
      </c>
      <c r="CA55" s="52">
        <f>[1]!s_stmnote_bank_38(A55,$A$1,1,100000000)</f>
        <v>1386.1172099999999</v>
      </c>
      <c r="CB55" s="52">
        <f>[1]!s_stmnote_bank_38(A55,$B$1,1,100000000)</f>
        <v>1294.9982600000001</v>
      </c>
      <c r="CC55" s="52">
        <f>[1]!s_stmnote_bank_38(A55,$E$1,1,100000000)</f>
        <v>1315.26695</v>
      </c>
      <c r="CD55" s="52">
        <f>[1]!s_stmnote_bank_38(A55,$F$1,1,100000000)</f>
        <v>1326.4159999999999</v>
      </c>
      <c r="CE55" s="52">
        <f>[1]!s_stmnote_bank_38(A55,$G$1,1,100000000)</f>
        <v>1306.8710799999999</v>
      </c>
      <c r="CF55" s="52">
        <f>IF(BP55&lt;&gt;0,BP55,IFERROR(IF(([1]!b_stm07_is(A55,19,$A$1,1,100000000)-[1]!b_stm07_is(A55,20,$A$1,1,100000000))/AVERAGE([1]!s_stmnote_bank_35(A55,$A$1,1,100000000),[1]!s_stmnote_bank_35(A55,$B$1,1,100000000))*100=0,"",([1]!b_stm07_is(A55,19,$A$1,1,100000000)-[1]!b_stm07_is(A55,20,$A$1,1,100000000))/AVERAGE([1]!s_stmnote_bank_35(A55,$A$1,1,100000000),[1]!s_stmnote_bank_35(A55,$B$1,1,100000000))*100),""))</f>
        <v>2.14</v>
      </c>
      <c r="CG55" s="27" t="str">
        <f t="shared" si="6"/>
        <v>73 171</v>
      </c>
      <c r="CH55" s="80">
        <f t="shared" si="14"/>
        <v>1.141238778100425</v>
      </c>
      <c r="CI55" s="27" t="str">
        <f t="shared" si="7"/>
        <v>34 169</v>
      </c>
      <c r="CJ55" s="55">
        <f>[1]!s_stmnote_bank_30(A55,$A$1,1)</f>
        <v>15.914</v>
      </c>
      <c r="CP55" s="69">
        <f>[1]!b_stm07_bs($A55,141,$A$1,1,100000000)</f>
        <v>131.65656999999999</v>
      </c>
      <c r="CQ55" s="69">
        <f>[1]!b_stm07_bs($A55,141,$D$1,1,100000000)</f>
        <v>133.09092000000001</v>
      </c>
      <c r="CR55" s="68">
        <f>IF([1]!s_fa_roic_yearly($A55,$A$1)=0,"",[1]!s_fa_roic_yearly($A55,$A$1))</f>
        <v>10.1258</v>
      </c>
      <c r="CS55" s="27">
        <f t="shared" si="22"/>
        <v>0.33727810650887574</v>
      </c>
      <c r="CT55" s="68">
        <f>IF([1]!s_fa_roic_yearly($A55,$D$1)=0,"",[1]!s_fa_roic_yearly($A55,$D$1))</f>
        <v>8.7750000000000004</v>
      </c>
      <c r="CU55" s="27">
        <f t="shared" si="23"/>
        <v>0.61971830985915488</v>
      </c>
      <c r="CV55" s="78">
        <f>[1]!s_stm07_bs(A55,"W14578191",$A$1,1,100000000)</f>
        <v>877.06952000000001</v>
      </c>
      <c r="CW55" s="78">
        <f>[1]!s_stmnote_bank_682($A55,$A$1,1,2,100000000)</f>
        <v>214.02977999999999</v>
      </c>
      <c r="CX55" s="79">
        <f t="shared" si="11"/>
        <v>0.24402829549931229</v>
      </c>
    </row>
    <row r="56" spans="1:102" s="46" customFormat="1" ht="13.5">
      <c r="A56" s="8" t="s">
        <v>614</v>
      </c>
      <c r="B56" s="13" t="s">
        <v>615</v>
      </c>
      <c r="C56" s="9" t="s">
        <v>616</v>
      </c>
      <c r="D56" s="9" t="s">
        <v>1061</v>
      </c>
      <c r="E56" s="10" t="s">
        <v>167</v>
      </c>
      <c r="F56" s="11" t="s">
        <v>178</v>
      </c>
      <c r="G56" s="11" t="s">
        <v>206</v>
      </c>
      <c r="H56" s="11" t="s">
        <v>179</v>
      </c>
      <c r="I56" s="11"/>
      <c r="J56" s="11">
        <f>VLOOKUP(B56,[3]额度信息!$B:$T,19,0)</f>
        <v>3.4</v>
      </c>
      <c r="K56" s="11">
        <v>0</v>
      </c>
      <c r="L56" s="27">
        <f>IFERROR(([1]!b_stm07_bs($A56,47,$A$1,1,100000000))/[1]!b_stm07_bs($A56,109,$A$1,1,100000000),"")</f>
        <v>0.68780665502897864</v>
      </c>
      <c r="M56" s="20"/>
      <c r="N56" s="18"/>
      <c r="O56" s="27" t="e">
        <f t="shared" si="0"/>
        <v>#N/A</v>
      </c>
      <c r="P56" s="21" t="str">
        <f t="shared" si="12"/>
        <v/>
      </c>
      <c r="Q56" s="27" t="e">
        <f t="shared" si="1"/>
        <v>#VALUE!</v>
      </c>
      <c r="R56" s="18" t="str">
        <f>IFERROR([1]!s_stmnote_bank($A56,"34",$A$1,100000000)/[1]!s_stmnote_bank_1n(A56,$A$1,1,100000000),"")</f>
        <v/>
      </c>
      <c r="S56" s="22"/>
      <c r="T56" s="22"/>
      <c r="U56" s="22"/>
      <c r="V56" s="22"/>
      <c r="W56" s="22"/>
      <c r="X56" s="22"/>
      <c r="Y56" s="22"/>
      <c r="Z56" s="25">
        <f>[1]!b_stm07_bs(A56,74,$A$1,1,100000000)</f>
        <v>4258.3057584741</v>
      </c>
      <c r="AA56" s="25">
        <f>[1]!b_stm07_bs(A56,109,$A$1,1,100000000)</f>
        <v>1989.6356684197001</v>
      </c>
      <c r="AB56" s="10">
        <f>[1]!s_stmnote_bank_5n(A56,$A$1,1)</f>
        <v>1.53</v>
      </c>
      <c r="AC56" s="25">
        <f>IF([1]!s_stmnote_bank_23n(A56,$A$1,1)=0,"",IFERROR([1]!s_stmnote_bank_23n(A56,$A$1,1),""))</f>
        <v>363.95</v>
      </c>
      <c r="AD56" s="27" t="str">
        <f t="shared" si="2"/>
        <v>126 167</v>
      </c>
      <c r="AE56" s="25">
        <f>[1]!s_stmnote_bank_capadequacyratio(A56,$A$1,1)</f>
        <v>12.5</v>
      </c>
      <c r="AF56" s="25" t="str">
        <f>IF([1]!s_stmnote_bank_capadequacyratio_ct1(A56,$A$1,1)=0,"",IFERROR([1]!s_stmnote_bank_capadequacyratio_ct1(A56,$A$1,1),""))</f>
        <v/>
      </c>
      <c r="AG56" s="27" t="e">
        <f t="shared" si="21"/>
        <v>#VALUE!</v>
      </c>
      <c r="AH56" s="6">
        <f>IF(OR([1]!s_fa_roe(A56,20201231)=0,[1]!s_fa_roe(A56,20211231)="0",[1]!s_fa_roe(A56,20221231)="0"),"",IFERROR(([1]!s_fa_roe(A56,20221231)+[1]!s_fa_roe(A56,20201231)+[1]!s_fa_roe(A56,20211231))/3,""))</f>
        <v>13.845599999999999</v>
      </c>
      <c r="AI56" s="27" t="str">
        <f t="shared" si="3"/>
        <v>162 173</v>
      </c>
      <c r="AJ56" s="28" t="str">
        <f>IFERROR(([1]!s_stmnote_bank_65(A56,$A$1,1,2,4,100000000)+[1]!s_stmnote_bank_65(A56,$A$1,1,2,6,100000000))/[1]!s_stmnote_bank_1n(A56,$A$1,1,100000000),"")</f>
        <v/>
      </c>
      <c r="AK56" s="28" t="str">
        <f>IFERROR([1]!s_stmnote_bank_614(A56,$A$1,1,2,100000000)/[1]!s_stmnote_bank_647(A56,$A$1,1,2,100000000),"")</f>
        <v/>
      </c>
      <c r="AL56" s="28">
        <f>IFERROR(([1]!b_stm07_bs(A56,104,$A$1,1,100000000)+[1]!b_stm07_bs(A56,106,$A$1,1,100000000)+[1]!b_stm07_bs(A56,76,$A$1,1,100000000)+[1]!b_stm07_bs(A56,108,$A$1,1,100000000)+[1]!b_stm07_bs(A56,95,$A$1,1,100000000))/[1]!b_stm07_bs(A56,128,$A$1,1,100000000),"")</f>
        <v>0.42447634900007386</v>
      </c>
      <c r="AM56" s="28">
        <f>IFERROR(([1]!s_stmnote_bank_614(A56,$A$1,1,2,100000000)+[1]!b_stm07_bs(A56,104,$A$1,1,100000000)+[1]!b_stm07_bs(A56,106,$A$1,1,100000000)+[1]!b_stm07_bs(A56,76,$A$1,1,100000000)+[1]!b_stm07_bs(A56,108,$A$1,1,100000000)+[1]!b_stm07_bs(A56,95,$A$1,1,100000000))/[1]!b_stm07_bs(A56,128,$A$1,1,100000000),"")</f>
        <v>0.42447634900007386</v>
      </c>
      <c r="AN56" s="31" t="e">
        <f>IF(Z56&gt;#REF!,#REF!,IF(Z56&gt;#REF!,#REF!,IF(Z56&gt;#REF!,#REF!,IF(Z56&gt;#REF!,#REF!,IF(Z56&gt;#REF!,#REF!,IF(Z56&gt;#REF!,#REF!,IF(Z56&gt;#REF!,#REF!,#REF!)))))))</f>
        <v>#REF!</v>
      </c>
      <c r="AO56" s="31" t="e">
        <f>IF(AA56&gt;#REF!,#REF!,IF(AA56&gt;#REF!,#REF!,IF(AA56&gt;#REF!,#REF!,IF(AA56&gt;#REF!,#REF!,IF(AA56&gt;#REF!,#REF!,IF(AA56&gt;#REF!,#REF!,IF(AA56&gt;#REF!,#REF!,#REF!)))))))</f>
        <v>#REF!</v>
      </c>
      <c r="AP56" s="31" t="e">
        <f>IF(AB56&lt;#REF!,#REF!,IF(AB56&lt;#REF!,#REF!,IF(AB56&lt;#REF!,#REF!,IF(AB56&lt;#REF!,#REF!,IF(AB56&lt;#REF!,#REF!,IF(AB56&lt;#REF!,#REF!,#REF!))))))</f>
        <v>#REF!</v>
      </c>
      <c r="AQ56" s="31" t="e">
        <f>IF(AC56&gt;#REF!,#REF!,IF(AC56&gt;#REF!,#REF!,IF(AC56&gt;#REF!,#REF!,IF(AC56&gt;#REF!,#REF!,#REF!))))</f>
        <v>#REF!</v>
      </c>
      <c r="AR56" s="31" t="e">
        <f>IF(AE56&gt;#REF!,#REF!,IF(AE56&gt;#REF!,#REF!,IF(AE56&gt;#REF!,#REF!,IF(AE56&gt;#REF!,#REF!,#REF!))))</f>
        <v>#REF!</v>
      </c>
      <c r="AS56" s="31" t="e">
        <f>IF(AF56&gt;#REF!,#REF!,IF(AF56&gt;#REF!,#REF!,IF(AF56&gt;#REF!,#REF!,IF(AF56&gt;#REF!,#REF!,#REF!))))</f>
        <v>#REF!</v>
      </c>
      <c r="AT56" s="31" t="e">
        <f>IF(AH56&gt;#REF!,#REF!,IF(AH56&gt;#REF!,#REF!,IF(AH56&gt;#REF!,#REF!,IF(AH56&gt;#REF!,#REF!,IF(AH56&gt;#REF!,#REF!,#REF!)))))</f>
        <v>#REF!</v>
      </c>
      <c r="AU56" s="10" t="e">
        <f t="shared" si="4"/>
        <v>#REF!</v>
      </c>
      <c r="AV56" s="10" t="s">
        <v>141</v>
      </c>
      <c r="AW56" s="10" t="s">
        <v>141</v>
      </c>
      <c r="AX56" s="10" t="s">
        <v>62</v>
      </c>
      <c r="AY56" s="31" t="str">
        <f>IFERROR(VLOOKUP(AV56,#REF!,3,0),"")</f>
        <v/>
      </c>
      <c r="AZ56" s="31" t="str">
        <f>IFERROR(VLOOKUP(AW56,#REF!,3,0),"")</f>
        <v/>
      </c>
      <c r="BA56" s="31" t="str">
        <f>IFERROR(VLOOKUP(AX56,#REF!,3,0),"")</f>
        <v/>
      </c>
      <c r="BB56" s="31" t="str">
        <f>IFERROR(AY56*#REF!+AZ56*#REF!+BA56*#REF!,"")</f>
        <v/>
      </c>
      <c r="BC56" s="32" t="str">
        <f t="shared" si="5"/>
        <v/>
      </c>
      <c r="BD56" s="32" t="str">
        <f>IFERROR(VLOOKUP(BC56*10,#REF!,2,1),"")</f>
        <v/>
      </c>
      <c r="BE56" s="11">
        <v>1</v>
      </c>
      <c r="BF56" s="11">
        <v>-2</v>
      </c>
      <c r="BG56" s="10" t="s">
        <v>617</v>
      </c>
      <c r="BH56" s="11" t="s">
        <v>618</v>
      </c>
      <c r="BI56" s="10">
        <v>30</v>
      </c>
      <c r="BJ56" s="11" t="s">
        <v>111</v>
      </c>
      <c r="BK56" s="33" t="s">
        <v>217</v>
      </c>
      <c r="BL56" s="10">
        <f>IF([1]!s_stmnote_bank_17n(A56,$A$1,1)="0","",[1]!s_stmnote_bank_17n(A56,$A$1,1))</f>
        <v>0</v>
      </c>
      <c r="BM56" s="10">
        <f>IF([1]!s_stmnote_bank_18n(A56,$A$1,1)="0","",[1]!s_stmnote_bank_18n(A56,$A$1,1))</f>
        <v>0</v>
      </c>
      <c r="BN56" s="41" t="s">
        <v>67</v>
      </c>
      <c r="BO56" s="42" t="s">
        <v>67</v>
      </c>
      <c r="BP56" s="52">
        <f>[1]!s_stmnote_bank_5444(A56,$A$1,1)</f>
        <v>0</v>
      </c>
      <c r="BQ56" s="52">
        <f>[1]!s_stmnote_bank_129n($A56,$A$1,1)</f>
        <v>34.6</v>
      </c>
      <c r="BR56" s="52">
        <f t="shared" si="13"/>
        <v>5.0564774118934706</v>
      </c>
      <c r="BS56" s="52">
        <f>[1]!b_stm07_is(A56,19,$A$1,1,100000000)</f>
        <v>163.35855336879999</v>
      </c>
      <c r="BT56" s="52">
        <f xml:space="preserve"> [1]!s_stm07_bs(A56,"W15273164",$A$1,1,100000000)-[1]!s_stm07_bs(A56,"W17642530",$A$1,1,100000000)-[1]!s_stm07_bs(A56,"W15910877",$A$1,1,100000000)-[1]!s_stm07_bs_39(A56,$A$1,1,100000000)-[1]!s_stm07_bs(A56,"W17700468",$A$1,1,100000000)-[1]!s_stm07_bs(A56,"W16504296",$A$1,1,100000000)-[1]!s_stm07_bs(A56,"W13769069",$A$1,1,100000000)</f>
        <v>4214.8129486780999</v>
      </c>
      <c r="BU56" s="52">
        <f xml:space="preserve"> [1]!s_stm07_bs(A56,"W15273164",$B$1,1,100000000)-[1]!s_stm07_bs(A56,"W17642530",$B$1,1,100000000)-[1]!s_stm07_bs(A56,"W15910877",$B$1,1,100000000)-[1]!s_stm07_bs_39(A56,$B$1,1,100000000)-[1]!s_stm07_bs(A56,"W17700468",$B$1,1,100000000)-[1]!s_stm07_bs(A56,"W16504296",$B$1,1,100000000)-[1]!s_stm07_bs(A56,"W13769069",$B$1,1,100000000)</f>
        <v>3083.6231355828004</v>
      </c>
      <c r="BV56" s="52">
        <f xml:space="preserve"> [1]!s_stm07_bs(A56,"W15273164",$E$1,1,100000000)-[1]!s_stm07_bs(A56,"W17642530",$E$1,1,100000000)-[1]!s_stm07_bs(A56,"W15910877",$E$1,1,100000000)-[1]!s_stm07_bs_39(A56,$E$1,1,100000000)-[1]!s_stm07_bs(A56,"W17700468",$E$1,1,100000000)-[1]!s_stm07_bs(A56,"W16504296",$E$1,1,100000000)-[1]!s_stm07_bs(A56,"W13769069",$E$1,1,100000000)</f>
        <v>3692.69</v>
      </c>
      <c r="BW56" s="52">
        <f xml:space="preserve"> [1]!s_stm07_bs(A56,"W15273164",$F$1,1,100000000)-[1]!s_stm07_bs(A56,"W17642530",$F$1,1,100000000)-[1]!s_stm07_bs(A56,"W15910877",$F$1,1,100000000)-[1]!s_stm07_bs_39(A56,$F$1,1,100000000)-[1]!s_stm07_bs(A56,"W17700468",$F$1,1,100000000)-[1]!s_stm07_bs(A56,"W16504296",$F$1,1,100000000)-[1]!s_stm07_bs(A56,"W13769069",$F$1,1,100000000)</f>
        <v>3231.9</v>
      </c>
      <c r="BX56" s="52">
        <f xml:space="preserve"> [1]!s_stm07_bs(A56,"W15273164",$G$1,1,100000000)-[1]!s_stm07_bs(A56,"W17642530",$G$1,1,100000000)-[1]!s_stm07_bs(A56,"W15910877",$G$1,1,100000000)-[1]!s_stm07_bs_39(A56,$G$1,1,100000000)-[1]!s_stm07_bs(A56,"W17700468",$G$1,1,100000000)-[1]!s_stm07_bs(A56,"W16504296",$G$1,1,100000000)-[1]!s_stm07_bs(A56,"W13769069",$G$1,1,100000000)</f>
        <v>2856.74</v>
      </c>
      <c r="BY56" s="52">
        <f>IFERROR([1]!b_stm07_is(A56,20,$A$1,1,100000000)/AVERAGEIF(CA56:CE56,"&gt;0")*100,0)</f>
        <v>2.0627197057507436</v>
      </c>
      <c r="BZ56" s="52">
        <f>[1]!b_stm07_is(A56,20,$A$1,1,100000000)</f>
        <v>63.1916342922</v>
      </c>
      <c r="CA56" s="52">
        <f>[1]!s_stmnote_bank_38(A56,$A$1,1,100000000)</f>
        <v>3805.9449424755999</v>
      </c>
      <c r="CB56" s="52">
        <f>[1]!s_stmnote_bank_38(A56,$B$1,1,100000000)</f>
        <v>2763.3874414051002</v>
      </c>
      <c r="CC56" s="52">
        <f>[1]!s_stmnote_bank_38(A56,$E$1,1,100000000)</f>
        <v>3347.7</v>
      </c>
      <c r="CD56" s="52">
        <f>[1]!s_stmnote_bank_38(A56,$F$1,1,100000000)</f>
        <v>2816.62</v>
      </c>
      <c r="CE56" s="52">
        <f>[1]!s_stmnote_bank_38(A56,$G$1,1,100000000)</f>
        <v>2583.9</v>
      </c>
      <c r="CF56" s="52">
        <f>IF(BP56&lt;&gt;0,BP56,IFERROR(IF(([1]!b_stm07_is(A56,19,$A$1,1,100000000)-[1]!b_stm07_is(A56,20,$A$1,1,100000000))/AVERAGE([1]!s_stmnote_bank_35(A56,$A$1,1,100000000),[1]!s_stmnote_bank_35(A56,$B$1,1,100000000))*100=0,"",([1]!b_stm07_is(A56,19,$A$1,1,100000000)-[1]!b_stm07_is(A56,20,$A$1,1,100000000))/AVERAGE([1]!s_stmnote_bank_35(A56,$A$1,1,100000000),[1]!s_stmnote_bank_35(A56,$B$1,1,100000000))*100),""))</f>
        <v>2.7565151106126211</v>
      </c>
      <c r="CG56" s="27" t="str">
        <f t="shared" si="6"/>
        <v>18 171</v>
      </c>
      <c r="CH56" s="80" t="str">
        <f t="shared" si="14"/>
        <v/>
      </c>
      <c r="CI56" s="27" t="e">
        <f t="shared" si="7"/>
        <v>#VALUE!</v>
      </c>
      <c r="CJ56" s="55">
        <f>[1]!s_stmnote_bank_30(A56,$A$1,1)</f>
        <v>27.953299999999999</v>
      </c>
      <c r="CP56" s="69">
        <f>[1]!b_stm07_bs($A56,141,$A$1,1,100000000)</f>
        <v>179.40482999009998</v>
      </c>
      <c r="CQ56" s="69">
        <f>[1]!b_stm07_bs($A56,141,$D$1,1,100000000)</f>
        <v>197.53</v>
      </c>
      <c r="CR56" s="68">
        <f>IF([1]!s_fa_roic_yearly($A56,$A$1)=0,"",[1]!s_fa_roic_yearly($A56,$A$1))</f>
        <v>13.1045</v>
      </c>
      <c r="CS56" s="27">
        <f t="shared" si="22"/>
        <v>0.1242603550295858</v>
      </c>
      <c r="CT56" s="68">
        <f>IF([1]!s_fa_roic_yearly($A56,$D$1)=0,"",[1]!s_fa_roic_yearly($A56,$D$1))</f>
        <v>17.3186</v>
      </c>
      <c r="CU56" s="27">
        <f t="shared" si="23"/>
        <v>3.5211267605633804E-2</v>
      </c>
      <c r="CV56" s="78">
        <f>[1]!s_stm07_bs(A56,"W14578191",$A$1,1,100000000)</f>
        <v>1768.8653375947001</v>
      </c>
      <c r="CW56" s="78">
        <f>[1]!s_stmnote_bank_682($A56,$A$1,1,2,100000000)</f>
        <v>0</v>
      </c>
      <c r="CX56" s="79" t="str">
        <f t="shared" si="11"/>
        <v/>
      </c>
    </row>
    <row r="57" spans="1:102" s="46" customFormat="1" ht="13.5">
      <c r="A57" s="8" t="s">
        <v>660</v>
      </c>
      <c r="B57" s="8" t="s">
        <v>661</v>
      </c>
      <c r="C57" s="9" t="s">
        <v>662</v>
      </c>
      <c r="D57" s="9" t="s">
        <v>1066</v>
      </c>
      <c r="E57" s="10" t="s">
        <v>456</v>
      </c>
      <c r="F57" s="11" t="s">
        <v>66</v>
      </c>
      <c r="G57" s="11" t="s">
        <v>116</v>
      </c>
      <c r="H57" s="11" t="s">
        <v>103</v>
      </c>
      <c r="I57" s="11"/>
      <c r="J57" s="11">
        <f>VLOOKUP(B57,[3]额度信息!$B:$T,19,0)</f>
        <v>0</v>
      </c>
      <c r="K57" s="11" t="s">
        <v>663</v>
      </c>
      <c r="L57" s="27">
        <f>IFERROR(([1]!b_stm07_bs($A57,47,$A$1,1,100000000))/[1]!b_stm07_bs($A57,109,$A$1,1,100000000),"")</f>
        <v>7.8273941661895038E-2</v>
      </c>
      <c r="M57" s="20">
        <v>0.57999999999999996</v>
      </c>
      <c r="N57" s="21">
        <f>IFERROR((4.5-[1]!s_stmnote_bank_26($A57,$B$1,1,100000000)+M57)/[1]!s_stmnote_bank_1n($A57,$B$1,1,100000000),"")</f>
        <v>4.5397804486408799E-3</v>
      </c>
      <c r="O57" s="27" t="str">
        <f t="shared" si="0"/>
        <v>9 50</v>
      </c>
      <c r="P57" s="21">
        <f t="shared" si="12"/>
        <v>1.9513137235416873E-2</v>
      </c>
      <c r="Q57" s="27" t="str">
        <f t="shared" si="1"/>
        <v>40 169</v>
      </c>
      <c r="R57" s="18">
        <f>5.34/503.15</f>
        <v>1.0613137235416873E-2</v>
      </c>
      <c r="S57" s="22"/>
      <c r="T57" s="22"/>
      <c r="U57" s="22">
        <f>IFERROR((4.75)/[1]!b_stm07_bs($A57,74,$A$1,1,100000000),"")</f>
        <v>6.9612696198422495E-3</v>
      </c>
      <c r="V57" s="22"/>
      <c r="W57" s="51">
        <f>1.4/183.47</f>
        <v>7.6306753147653561E-3</v>
      </c>
      <c r="X57" s="22"/>
      <c r="Y57" s="22"/>
      <c r="Z57" s="25">
        <f>[1]!b_stm07_bs(A57,74,$A$1,1,100000000)</f>
        <v>682.34679295579997</v>
      </c>
      <c r="AA57" s="25">
        <v>643.66</v>
      </c>
      <c r="AB57" s="10">
        <v>0.89</v>
      </c>
      <c r="AC57" s="25">
        <f>IF([1]!s_stmnote_bank_23n(A57,$A$1,1)=0,"",IFERROR([1]!s_stmnote_bank_23n(A57,$A$1,1),""))</f>
        <v>361.02</v>
      </c>
      <c r="AD57" s="27" t="str">
        <f t="shared" si="2"/>
        <v>125 167</v>
      </c>
      <c r="AE57" s="25">
        <v>13.38</v>
      </c>
      <c r="AF57" s="25">
        <f>IF([1]!s_stmnote_bank_capadequacyratio_ct1(A57,$A$1,1)=0,"",IFERROR([1]!s_stmnote_bank_capadequacyratio_ct1(A57,$A$1,1),""))</f>
        <v>11.16</v>
      </c>
      <c r="AG57" s="27" t="str">
        <f t="shared" si="21"/>
        <v>107 167</v>
      </c>
      <c r="AH57" s="6">
        <f>IF(OR([1]!s_fa_roe(A57,20201231)=0,[1]!s_fa_roe(A57,20211231)="0",[1]!s_fa_roe(A57,20221231)="0"),"",IFERROR(([1]!s_fa_roe(A57,20221231)+[1]!s_fa_roe(A57,20201231)+[1]!s_fa_roe(A57,20211231))/3,""))</f>
        <v>14.903366666666665</v>
      </c>
      <c r="AI57" s="27" t="str">
        <f t="shared" si="3"/>
        <v>169 173</v>
      </c>
      <c r="AJ57" s="28">
        <v>3.6799999999999999E-2</v>
      </c>
      <c r="AK57" s="28">
        <f>137.5/643.66</f>
        <v>0.21362209862349688</v>
      </c>
      <c r="AL57" s="28">
        <f>(3.56+8+24.5)/[1]!b_stm07_bs(A57,128,$A$1,1,100000000)</f>
        <v>5.7190839298419248E-2</v>
      </c>
      <c r="AM57" s="28">
        <f>(137.5+3.56+8+24.5)/[1]!b_stm07_bs(A57,128,$A$1,1,100000000)</f>
        <v>0.27526461643465455</v>
      </c>
      <c r="AN57" s="31" t="e">
        <f>IF(Z57&gt;#REF!,#REF!,IF(Z57&gt;#REF!,#REF!,IF(Z57&gt;#REF!,#REF!,IF(Z57&gt;#REF!,#REF!,IF(Z57&gt;#REF!,#REF!,IF(Z57&gt;#REF!,#REF!,IF(Z57&gt;#REF!,#REF!,#REF!)))))))</f>
        <v>#REF!</v>
      </c>
      <c r="AO57" s="31" t="e">
        <f>IF(AA57&gt;#REF!,#REF!,IF(AA57&gt;#REF!,#REF!,IF(AA57&gt;#REF!,#REF!,IF(AA57&gt;#REF!,#REF!,IF(AA57&gt;#REF!,#REF!,IF(AA57&gt;#REF!,#REF!,IF(AA57&gt;#REF!,#REF!,#REF!)))))))</f>
        <v>#REF!</v>
      </c>
      <c r="AP57" s="31" t="e">
        <f>IF(AB57&lt;#REF!,#REF!,IF(AB57&lt;#REF!,#REF!,IF(AB57&lt;#REF!,#REF!,IF(AB57&lt;#REF!,#REF!,IF(AB57&lt;#REF!,#REF!,IF(AB57&lt;#REF!,#REF!,#REF!))))))</f>
        <v>#REF!</v>
      </c>
      <c r="AQ57" s="31" t="e">
        <f>IF(AC57&gt;#REF!,#REF!,IF(AC57&gt;#REF!,#REF!,IF(AC57&gt;#REF!,#REF!,IF(AC57&gt;#REF!,#REF!,#REF!))))</f>
        <v>#REF!</v>
      </c>
      <c r="AR57" s="31" t="e">
        <f>IF(AE57&gt;#REF!,#REF!,IF(AE57&gt;#REF!,#REF!,IF(AE57&gt;#REF!,#REF!,IF(AE57&gt;#REF!,#REF!,#REF!))))</f>
        <v>#REF!</v>
      </c>
      <c r="AS57" s="31" t="e">
        <f>IF(AF57&gt;#REF!,#REF!,IF(AF57&gt;#REF!,#REF!,IF(AF57&gt;#REF!,#REF!,IF(AF57&gt;#REF!,#REF!,#REF!))))</f>
        <v>#REF!</v>
      </c>
      <c r="AT57" s="31" t="e">
        <f>IF(AH57&gt;#REF!,#REF!,IF(AH57&gt;#REF!,#REF!,IF(AH57&gt;#REF!,#REF!,IF(AH57&gt;#REF!,#REF!,IF(AH57&gt;#REF!,#REF!,#REF!)))))</f>
        <v>#REF!</v>
      </c>
      <c r="AU57" s="10" t="e">
        <f t="shared" si="4"/>
        <v>#REF!</v>
      </c>
      <c r="AV57" s="10" t="s">
        <v>68</v>
      </c>
      <c r="AW57" s="10" t="s">
        <v>141</v>
      </c>
      <c r="AX57" s="10" t="s">
        <v>62</v>
      </c>
      <c r="AY57" s="31" t="str">
        <f>IFERROR(VLOOKUP(AV57,#REF!,3,0),"")</f>
        <v/>
      </c>
      <c r="AZ57" s="31" t="str">
        <f>IFERROR(VLOOKUP(AW57,#REF!,3,0),"")</f>
        <v/>
      </c>
      <c r="BA57" s="31" t="str">
        <f>IFERROR(VLOOKUP(AX57,#REF!,3,0),"")</f>
        <v/>
      </c>
      <c r="BB57" s="31" t="str">
        <f>IFERROR(AY57*#REF!+AZ57*#REF!+BA57*#REF!,"")</f>
        <v/>
      </c>
      <c r="BC57" s="32" t="str">
        <f t="shared" si="5"/>
        <v/>
      </c>
      <c r="BD57" s="32" t="str">
        <f>IFERROR(VLOOKUP(BC57*10,#REF!,2,1),"")</f>
        <v/>
      </c>
      <c r="BE57" s="11">
        <v>0</v>
      </c>
      <c r="BF57" s="11">
        <v>-2</v>
      </c>
      <c r="BG57" s="10"/>
      <c r="BH57" s="11" t="s">
        <v>664</v>
      </c>
      <c r="BI57" s="10">
        <v>5.0199999809265101</v>
      </c>
      <c r="BJ57" s="11" t="s">
        <v>111</v>
      </c>
      <c r="BK57" s="33" t="s">
        <v>222</v>
      </c>
      <c r="BL57" s="10">
        <v>4.33</v>
      </c>
      <c r="BM57" s="10">
        <v>34.83</v>
      </c>
      <c r="BN57" s="41" t="s">
        <v>67</v>
      </c>
      <c r="BO57" s="52" t="s">
        <v>67</v>
      </c>
      <c r="BP57" s="52">
        <f>[1]!s_stmnote_bank_5444(A57,$A$1,1)</f>
        <v>0</v>
      </c>
      <c r="BQ57" s="52">
        <f>[1]!s_stmnote_bank_129n($A57,$A$1,1)</f>
        <v>30.15</v>
      </c>
      <c r="BR57" s="52">
        <f t="shared" si="13"/>
        <v>4.7080474111485922</v>
      </c>
      <c r="BS57" s="52">
        <f>[1]!b_stm07_is(A57,19,$A$1,1,100000000)</f>
        <v>28.163422960599998</v>
      </c>
      <c r="BT57" s="52">
        <f xml:space="preserve"> [1]!s_stm07_bs(A57,"W15273164",$A$1,1,100000000)-[1]!s_stm07_bs(A57,"W17642530",$A$1,1,100000000)-[1]!s_stm07_bs(A57,"W15910877",$A$1,1,100000000)-[1]!s_stm07_bs_39(A57,$A$1,1,100000000)-[1]!s_stm07_bs(A57,"W17700468",$A$1,1,100000000)-[1]!s_stm07_bs(A57,"W16504296",$A$1,1,100000000)-[1]!s_stm07_bs(A57,"W13769069",$A$1,1,100000000)</f>
        <v>675.84033541049996</v>
      </c>
      <c r="BU57" s="52">
        <f xml:space="preserve"> [1]!s_stm07_bs(A57,"W15273164",$B$1,1,100000000)-[1]!s_stm07_bs(A57,"W17642530",$B$1,1,100000000)-[1]!s_stm07_bs(A57,"W15910877",$B$1,1,100000000)-[1]!s_stm07_bs_39(A57,$B$1,1,100000000)-[1]!s_stm07_bs(A57,"W17700468",$B$1,1,100000000)-[1]!s_stm07_bs(A57,"W16504296",$B$1,1,100000000)-[1]!s_stm07_bs(A57,"W13769069",$B$1,1,100000000)</f>
        <v>591.49507254430011</v>
      </c>
      <c r="BV57" s="52">
        <f xml:space="preserve"> [1]!s_stm07_bs(A57,"W15273164",$E$1,1,100000000)-[1]!s_stm07_bs(A57,"W17642530",$E$1,1,100000000)-[1]!s_stm07_bs(A57,"W15910877",$E$1,1,100000000)-[1]!s_stm07_bs_39(A57,$E$1,1,100000000)-[1]!s_stm07_bs(A57,"W17700468",$E$1,1,100000000)-[1]!s_stm07_bs(A57,"W16504296",$E$1,1,100000000)-[1]!s_stm07_bs(A57,"W13769069",$E$1,1,100000000)</f>
        <v>536.746192081</v>
      </c>
      <c r="BW57" s="52">
        <f xml:space="preserve"> [1]!s_stm07_bs(A57,"W15273164",$F$1,1,100000000)-[1]!s_stm07_bs(A57,"W17642530",$F$1,1,100000000)-[1]!s_stm07_bs(A57,"W15910877",$F$1,1,100000000)-[1]!s_stm07_bs_39(A57,$F$1,1,100000000)-[1]!s_stm07_bs(A57,"W17700468",$F$1,1,100000000)-[1]!s_stm07_bs(A57,"W16504296",$F$1,1,100000000)-[1]!s_stm07_bs(A57,"W13769069",$F$1,1,100000000)</f>
        <v>0</v>
      </c>
      <c r="BX57" s="52">
        <f xml:space="preserve"> [1]!s_stm07_bs(A57,"W15273164",$G$1,1,100000000)-[1]!s_stm07_bs(A57,"W17642530",$G$1,1,100000000)-[1]!s_stm07_bs(A57,"W15910877",$G$1,1,100000000)-[1]!s_stm07_bs_39(A57,$G$1,1,100000000)-[1]!s_stm07_bs(A57,"W17700468",$G$1,1,100000000)-[1]!s_stm07_bs(A57,"W16504296",$G$1,1,100000000)-[1]!s_stm07_bs(A57,"W13769069",$G$1,1,100000000)</f>
        <v>0</v>
      </c>
      <c r="BY57" s="52">
        <f>IFERROR([1]!b_stm07_is(A57,20,$A$1,1,100000000)/AVERAGEIF(CA57:CE57,"&gt;0")*100,0)</f>
        <v>2.3685857939955111</v>
      </c>
      <c r="BZ57" s="52">
        <f>[1]!b_stm07_is(A57,20,$A$1,1,100000000)</f>
        <v>13.1375480599</v>
      </c>
      <c r="CA57" s="52">
        <f>[1]!s_stmnote_bank_38(A57,$A$1,1,100000000)</f>
        <v>624.32948707910009</v>
      </c>
      <c r="CB57" s="52">
        <f>[1]!s_stmnote_bank_38(A57,$B$1,1,100000000)</f>
        <v>542.86899880609997</v>
      </c>
      <c r="CC57" s="52">
        <f>[1]!s_stmnote_bank_38(A57,$E$1,1,100000000)</f>
        <v>496.77519324489998</v>
      </c>
      <c r="CD57" s="52">
        <f>[1]!s_stmnote_bank_38(A57,$F$1,1,100000000)</f>
        <v>0</v>
      </c>
      <c r="CE57" s="52">
        <f>[1]!s_stmnote_bank_38(A57,$G$1,1,100000000)</f>
        <v>0</v>
      </c>
      <c r="CF57" s="52">
        <f>IF(BP57&lt;&gt;0,BP57,IFERROR(IF(([1]!b_stm07_is(A57,19,$A$1,1,100000000)-[1]!b_stm07_is(A57,20,$A$1,1,100000000))/AVERAGE([1]!s_stmnote_bank_35(A57,$A$1,1,100000000),[1]!s_stmnote_bank_35(A57,$B$1,1,100000000))*100=0,"",([1]!b_stm07_is(A57,19,$A$1,1,100000000)-[1]!b_stm07_is(A57,20,$A$1,1,100000000))/AVERAGE([1]!s_stmnote_bank_35(A57,$A$1,1,100000000),[1]!s_stmnote_bank_35(A57,$B$1,1,100000000))*100),""))</f>
        <v>2.418049869698907</v>
      </c>
      <c r="CG57" s="27" t="str">
        <f t="shared" si="6"/>
        <v>34 171</v>
      </c>
      <c r="CH57" s="80">
        <f t="shared" si="14"/>
        <v>1.2391907259843797</v>
      </c>
      <c r="CI57" s="27" t="str">
        <f t="shared" si="7"/>
        <v>31 169</v>
      </c>
      <c r="CJ57" s="55">
        <f>[1]!s_stmnote_bank_30(A57,$A$1,1)</f>
        <v>13.147500000000001</v>
      </c>
      <c r="CP57" s="69">
        <f>[1]!b_stm07_bs($A57,141,$A$1,1,100000000)</f>
        <v>51.826233328400001</v>
      </c>
      <c r="CQ57" s="69">
        <f>[1]!b_stm07_bs($A57,141,$D$1,1,100000000)</f>
        <v>55.157869265900004</v>
      </c>
      <c r="CR57" s="68">
        <f>IF([1]!s_fa_roic_yearly($A57,$A$1)=0,"",[1]!s_fa_roic_yearly($A57,$A$1))</f>
        <v>15.763400000000001</v>
      </c>
      <c r="CS57" s="27">
        <f t="shared" si="22"/>
        <v>2.9585798816568046E-2</v>
      </c>
      <c r="CT57" s="68">
        <f>IF([1]!s_fa_roic_yearly($A57,$D$1)=0,"",[1]!s_fa_roic_yearly($A57,$D$1))</f>
        <v>17.693200000000001</v>
      </c>
      <c r="CU57" s="27">
        <f t="shared" si="23"/>
        <v>2.8169014084507043E-2</v>
      </c>
      <c r="CV57" s="78">
        <f>[1]!s_stm07_bs(A57,"W14578191",$A$1,1,100000000)</f>
        <v>413.08644693629998</v>
      </c>
      <c r="CW57" s="78">
        <f>[1]!s_stmnote_bank_682($A57,$A$1,1,2,100000000)</f>
        <v>0</v>
      </c>
      <c r="CX57" s="79" t="str">
        <f t="shared" si="11"/>
        <v/>
      </c>
    </row>
    <row r="58" spans="1:102" s="46" customFormat="1" ht="13.5">
      <c r="A58" s="8" t="s">
        <v>665</v>
      </c>
      <c r="B58" s="8" t="s">
        <v>666</v>
      </c>
      <c r="C58" s="9" t="s">
        <v>667</v>
      </c>
      <c r="D58" s="9" t="s">
        <v>1066</v>
      </c>
      <c r="E58" s="10" t="s">
        <v>138</v>
      </c>
      <c r="F58" s="11" t="s">
        <v>66</v>
      </c>
      <c r="G58" s="11" t="s">
        <v>116</v>
      </c>
      <c r="H58" s="11" t="s">
        <v>139</v>
      </c>
      <c r="I58" s="11"/>
      <c r="J58" s="11">
        <f>VLOOKUP(B58,[3]额度信息!$B:$T,19,0)</f>
        <v>0</v>
      </c>
      <c r="K58" s="11" t="s">
        <v>668</v>
      </c>
      <c r="L58" s="27">
        <f>IFERROR(([1]!b_stm07_bs($A58,47,$A$1,1,100000000))/[1]!b_stm07_bs($A58,109,$A$1,1,100000000),"")</f>
        <v>7.3395602749799838E-2</v>
      </c>
      <c r="M58" s="20">
        <v>4.2300000000000004</v>
      </c>
      <c r="N58" s="18">
        <f>IFERROR(([1]!s_stmnote_bank_26($A58,$A$1,1,100000000)-[1]!s_stmnote_bank_26($A58,$B$1,1,100000000)+M58)/[1]!s_stmnote_bank_1n($A58,$B$1,1,100000000),"")</f>
        <v>3.502224917836921E-3</v>
      </c>
      <c r="O58" s="27" t="str">
        <f t="shared" si="0"/>
        <v>6 50</v>
      </c>
      <c r="P58" s="21">
        <f t="shared" si="12"/>
        <v>2.20796567123644E-2</v>
      </c>
      <c r="Q58" s="27" t="str">
        <f t="shared" si="1"/>
        <v>48 169</v>
      </c>
      <c r="R58" s="18">
        <v>7.5796567123643998E-3</v>
      </c>
      <c r="S58" s="22">
        <f>IFERROR((12.1)/[1]!s_stmnote_bank_1n(A58,$A$1,1,100000000),"")</f>
        <v>8.6391969002561526E-3</v>
      </c>
      <c r="T58" s="22">
        <f>IFERROR((19.3)/[1]!s_stmnote_bank_1n(A58,$A$1,1,100000000),"")</f>
        <v>1.3779876047516012E-2</v>
      </c>
      <c r="U58" s="22">
        <f>IFERROR((14.8+0.75)/[1]!b_stm07_bs($A58,74,$A$1,1,100000000),"")</f>
        <v>7.5242167278289519E-3</v>
      </c>
      <c r="V58" s="22"/>
      <c r="W58" s="22">
        <f>IFERROR((1.15)/([1]!s_stm07_bs_fininv($A58,$A$1,1,100000000)+[1]!s_stm07_bs_71($A58,$A$1,1,100000000)),"")</f>
        <v>2.5307352848911429E-3</v>
      </c>
      <c r="X58" s="22">
        <f>IFERROR((18.36)/([1]!s_stm07_bs_fininv($A58,$A$1,1,100000000)+[1]!s_stm07_bs_71($A58,$A$1,1,100000000)),"")</f>
        <v>4.0403738983131633E-2</v>
      </c>
      <c r="Y58" s="22">
        <f>(9.17)/(18.36)</f>
        <v>0.49945533769063183</v>
      </c>
      <c r="Z58" s="25">
        <f>[1]!b_stm07_bs(A58,74,$A$1,1,100000000)</f>
        <v>2066.6603</v>
      </c>
      <c r="AA58" s="25">
        <f>[1]!b_stm07_bs(A58,109,$A$1,1,100000000)</f>
        <v>1595.19829</v>
      </c>
      <c r="AB58" s="10">
        <f>[1]!s_stmnote_bank_5n(A58,$A$1,1)</f>
        <v>1.45</v>
      </c>
      <c r="AC58" s="25">
        <f>IF([1]!s_stmnote_bank_23n(A58,$A$1,1)=0,"",IFERROR([1]!s_stmnote_bank_23n(A58,$A$1,1),""))</f>
        <v>232</v>
      </c>
      <c r="AD58" s="27" t="str">
        <f t="shared" si="2"/>
        <v>84 167</v>
      </c>
      <c r="AE58" s="25">
        <f>[1]!s_stmnote_bank_capadequacyratio(A58,$A$1,1)</f>
        <v>15.2</v>
      </c>
      <c r="AF58" s="25">
        <f>IF([1]!s_stmnote_bank_capadequacyratio_ct1(A58,$A$1,1)=0,"",IFERROR([1]!s_stmnote_bank_capadequacyratio_ct1(A58,$A$1,1),""))</f>
        <v>10.65</v>
      </c>
      <c r="AG58" s="27" t="str">
        <f t="shared" si="21"/>
        <v>100 167</v>
      </c>
      <c r="AH58" s="6">
        <f>IF(OR([1]!s_fa_roe(A58,20201231)=0,[1]!s_fa_roe(A58,20211231)="0",[1]!s_fa_roe(A58,20221231)="0"),"",IFERROR(([1]!s_fa_roe(A58,20221231)+[1]!s_fa_roe(A58,20201231)+[1]!s_fa_roe(A58,20211231))/3,""))</f>
        <v>9.865733333333333</v>
      </c>
      <c r="AI58" s="27" t="str">
        <f t="shared" si="3"/>
        <v>115 173</v>
      </c>
      <c r="AJ58" s="28">
        <f>IFERROR(([1]!s_stmnote_bank_65(A58,$A$1,1,2,4,100000000)+[1]!s_stmnote_bank_65(A58,$A$1,1,2,6,100000000))/[1]!s_stmnote_bank_1n(A58,$A$1,1,100000000),"")</f>
        <v>0.14015710415262278</v>
      </c>
      <c r="AK58" s="28">
        <f>IFERROR([1]!s_stmnote_bank_614(A58,$A$1,1,2,100000000)/[1]!s_stmnote_bank_647(A58,$A$1,1,2,100000000),"")</f>
        <v>0.26762137898420624</v>
      </c>
      <c r="AL58" s="28">
        <f>IFERROR(([1]!b_stm07_bs(A58,104,$A$1,1,100000000)+[1]!b_stm07_bs(A58,106,$A$1,1,100000000)+[1]!b_stm07_bs(A58,76,$A$1,1,100000000)+[1]!b_stm07_bs(A58,108,$A$1,1,100000000)+[1]!b_stm07_bs(A58,95,$A$1,1,100000000))/[1]!b_stm07_bs(A58,128,$A$1,1,100000000),"")</f>
        <v>0.14245995714178589</v>
      </c>
      <c r="AM58" s="28">
        <f>IFERROR(([1]!s_stmnote_bank_614(A58,$A$1,1,2,100000000)+[1]!b_stm07_bs(A58,104,$A$1,1,100000000)+[1]!b_stm07_bs(A58,106,$A$1,1,100000000)+[1]!b_stm07_bs(A58,76,$A$1,1,100000000)+[1]!b_stm07_bs(A58,108,$A$1,1,100000000)+[1]!b_stm07_bs(A58,95,$A$1,1,100000000))/[1]!b_stm07_bs(A58,128,$A$1,1,100000000),"")</f>
        <v>0.36174460210526183</v>
      </c>
      <c r="AN58" s="31" t="e">
        <f>IF(Z58&gt;#REF!,#REF!,IF(Z58&gt;#REF!,#REF!,IF(Z58&gt;#REF!,#REF!,IF(Z58&gt;#REF!,#REF!,IF(Z58&gt;#REF!,#REF!,IF(Z58&gt;#REF!,#REF!,IF(Z58&gt;#REF!,#REF!,#REF!)))))))</f>
        <v>#REF!</v>
      </c>
      <c r="AO58" s="31" t="e">
        <f>IF(AA58&gt;#REF!,#REF!,IF(AA58&gt;#REF!,#REF!,IF(AA58&gt;#REF!,#REF!,IF(AA58&gt;#REF!,#REF!,IF(AA58&gt;#REF!,#REF!,IF(AA58&gt;#REF!,#REF!,IF(AA58&gt;#REF!,#REF!,#REF!)))))))</f>
        <v>#REF!</v>
      </c>
      <c r="AP58" s="31" t="e">
        <f>IF(AB58&lt;#REF!,#REF!,IF(AB58&lt;#REF!,#REF!,IF(AB58&lt;#REF!,#REF!,IF(AB58&lt;#REF!,#REF!,IF(AB58&lt;#REF!,#REF!,IF(AB58&lt;#REF!,#REF!,#REF!))))))</f>
        <v>#REF!</v>
      </c>
      <c r="AQ58" s="31" t="e">
        <f>IF(AC58&gt;#REF!,#REF!,IF(AC58&gt;#REF!,#REF!,IF(AC58&gt;#REF!,#REF!,IF(AC58&gt;#REF!,#REF!,#REF!))))</f>
        <v>#REF!</v>
      </c>
      <c r="AR58" s="31" t="e">
        <f>IF(AE58&gt;#REF!,#REF!,IF(AE58&gt;#REF!,#REF!,IF(AE58&gt;#REF!,#REF!,IF(AE58&gt;#REF!,#REF!,#REF!))))</f>
        <v>#REF!</v>
      </c>
      <c r="AS58" s="31" t="e">
        <f>IF(AF58&gt;#REF!,#REF!,IF(AF58&gt;#REF!,#REF!,IF(AF58&gt;#REF!,#REF!,IF(AF58&gt;#REF!,#REF!,#REF!))))</f>
        <v>#REF!</v>
      </c>
      <c r="AT58" s="31" t="e">
        <f>IF(AH58&gt;#REF!,#REF!,IF(AH58&gt;#REF!,#REF!,IF(AH58&gt;#REF!,#REF!,IF(AH58&gt;#REF!,#REF!,IF(AH58&gt;#REF!,#REF!,#REF!)))))</f>
        <v>#REF!</v>
      </c>
      <c r="AU58" s="10" t="e">
        <f t="shared" si="4"/>
        <v>#REF!</v>
      </c>
      <c r="AV58" s="10" t="s">
        <v>60</v>
      </c>
      <c r="AW58" s="10" t="s">
        <v>227</v>
      </c>
      <c r="AX58" s="10" t="s">
        <v>261</v>
      </c>
      <c r="AY58" s="31" t="str">
        <f>IFERROR(VLOOKUP(AV58,#REF!,3,0),"")</f>
        <v/>
      </c>
      <c r="AZ58" s="31" t="str">
        <f>IFERROR(VLOOKUP(AW58,#REF!,3,0),"")</f>
        <v/>
      </c>
      <c r="BA58" s="31" t="str">
        <f>IFERROR(VLOOKUP(AX58,#REF!,3,0),"")</f>
        <v/>
      </c>
      <c r="BB58" s="31" t="str">
        <f>IFERROR(AY58*#REF!+AZ58*#REF!+BA58*#REF!,"")</f>
        <v/>
      </c>
      <c r="BC58" s="32" t="str">
        <f t="shared" si="5"/>
        <v/>
      </c>
      <c r="BD58" s="32" t="str">
        <f>IFERROR(VLOOKUP(BC58*10,#REF!,2,1),"")</f>
        <v/>
      </c>
      <c r="BE58" s="11">
        <v>1</v>
      </c>
      <c r="BF58" s="11">
        <v>-1</v>
      </c>
      <c r="BG58" s="10"/>
      <c r="BH58" s="11" t="s">
        <v>669</v>
      </c>
      <c r="BI58" s="10">
        <v>8.9600000381469709</v>
      </c>
      <c r="BJ58" s="33" t="s">
        <v>92</v>
      </c>
      <c r="BK58" s="33" t="s">
        <v>670</v>
      </c>
      <c r="BL58" s="10">
        <f>IF([1]!s_stmnote_bank_17n(A58,$A$1,1)="0","",[1]!s_stmnote_bank_17n(A58,$A$1,1))</f>
        <v>4.9000000000000004</v>
      </c>
      <c r="BM58" s="10">
        <f>IF([1]!s_stmnote_bank_18n(A58,$A$1,1)="0","",[1]!s_stmnote_bank_18n(A58,$A$1,1))</f>
        <v>28.48</v>
      </c>
      <c r="BN58" s="41">
        <v>3.86</v>
      </c>
      <c r="BO58" s="52">
        <v>2.2599999999999998</v>
      </c>
      <c r="BP58" s="52">
        <f>[1]!s_stmnote_bank_5444(A58,$A$1,1)</f>
        <v>1.83</v>
      </c>
      <c r="BQ58" s="52">
        <f>[1]!s_stmnote_bank_129n($A58,$A$1,1)</f>
        <v>35.85</v>
      </c>
      <c r="BR58" s="52">
        <f t="shared" si="13"/>
        <v>3.9702080601869674</v>
      </c>
      <c r="BS58" s="52">
        <f>[1]!b_stm07_is(A58,19,$A$1,1,100000000)</f>
        <v>85.301060000000007</v>
      </c>
      <c r="BT58" s="52">
        <f xml:space="preserve"> [1]!s_stm07_bs(A58,"W15273164",$A$1,1,100000000)-[1]!s_stm07_bs(A58,"W17642530",$A$1,1,100000000)-[1]!s_stm07_bs(A58,"W15910877",$A$1,1,100000000)-[1]!s_stm07_bs_39(A58,$A$1,1,100000000)-[1]!s_stm07_bs(A58,"W17700468",$A$1,1,100000000)-[1]!s_stm07_bs(A58,"W16504296",$A$1,1,100000000)-[1]!s_stm07_bs(A58,"W13769069",$A$1,1,100000000)</f>
        <v>2033.6447300000002</v>
      </c>
      <c r="BU58" s="52">
        <f xml:space="preserve"> [1]!s_stm07_bs(A58,"W15273164",$B$1,1,100000000)-[1]!s_stm07_bs(A58,"W17642530",$B$1,1,100000000)-[1]!s_stm07_bs(A58,"W15910877",$B$1,1,100000000)-[1]!s_stm07_bs_39(A58,$B$1,1,100000000)-[1]!s_stm07_bs(A58,"W17700468",$B$1,1,100000000)-[1]!s_stm07_bs(A58,"W16504296",$B$1,1,100000000)-[1]!s_stm07_bs(A58,"W13769069",$B$1,1,100000000)</f>
        <v>2144.2465699999998</v>
      </c>
      <c r="BV58" s="52">
        <f xml:space="preserve"> [1]!s_stm07_bs(A58,"W15273164",$E$1,1,100000000)-[1]!s_stm07_bs(A58,"W17642530",$E$1,1,100000000)-[1]!s_stm07_bs(A58,"W15910877",$E$1,1,100000000)-[1]!s_stm07_bs_39(A58,$E$1,1,100000000)-[1]!s_stm07_bs(A58,"W17700468",$E$1,1,100000000)-[1]!s_stm07_bs(A58,"W16504296",$E$1,1,100000000)-[1]!s_stm07_bs(A58,"W13769069",$E$1,1,100000000)</f>
        <v>2144.8480300000001</v>
      </c>
      <c r="BW58" s="52">
        <f xml:space="preserve"> [1]!s_stm07_bs(A58,"W15273164",$F$1,1,100000000)-[1]!s_stm07_bs(A58,"W17642530",$F$1,1,100000000)-[1]!s_stm07_bs(A58,"W15910877",$F$1,1,100000000)-[1]!s_stm07_bs_39(A58,$F$1,1,100000000)-[1]!s_stm07_bs(A58,"W17700468",$F$1,1,100000000)-[1]!s_stm07_bs(A58,"W16504296",$F$1,1,100000000)-[1]!s_stm07_bs(A58,"W13769069",$F$1,1,100000000)</f>
        <v>2244.3060999999993</v>
      </c>
      <c r="BX58" s="52">
        <f xml:space="preserve"> [1]!s_stm07_bs(A58,"W15273164",$G$1,1,100000000)-[1]!s_stm07_bs(A58,"W17642530",$G$1,1,100000000)-[1]!s_stm07_bs(A58,"W15910877",$G$1,1,100000000)-[1]!s_stm07_bs_39(A58,$G$1,1,100000000)-[1]!s_stm07_bs(A58,"W17700468",$G$1,1,100000000)-[1]!s_stm07_bs(A58,"W16504296",$G$1,1,100000000)-[1]!s_stm07_bs(A58,"W13769069",$G$1,1,100000000)</f>
        <v>2250.3725200000003</v>
      </c>
      <c r="BY58" s="52">
        <f>IFERROR([1]!b_stm07_is(A58,20,$A$1,1,100000000)/AVERAGEIF(CA58:CE58,"&gt;0")*100,0)</f>
        <v>2.248793164573252</v>
      </c>
      <c r="BZ58" s="52">
        <f>[1]!b_stm07_is(A58,20,$A$1,1,100000000)</f>
        <v>45.71219</v>
      </c>
      <c r="CA58" s="52">
        <f>[1]!s_stmnote_bank_38(A58,$A$1,1,100000000)</f>
        <v>1897.4525599999999</v>
      </c>
      <c r="CB58" s="52">
        <f>[1]!s_stmnote_bank_38(A58,$B$1,1,100000000)</f>
        <v>2019.0139200000001</v>
      </c>
      <c r="CC58" s="52">
        <f>[1]!s_stmnote_bank_38(A58,$E$1,1,100000000)</f>
        <v>2009.54727</v>
      </c>
      <c r="CD58" s="52">
        <f>[1]!s_stmnote_bank_38(A58,$F$1,1,100000000)</f>
        <v>2116.2769199999998</v>
      </c>
      <c r="CE58" s="52">
        <f>[1]!s_stmnote_bank_38(A58,$G$1,1,100000000)</f>
        <v>2121.4252999999999</v>
      </c>
      <c r="CF58" s="52">
        <f>IF(BP58&lt;&gt;0,BP58,IFERROR(IF(([1]!b_stm07_is(A58,19,$A$1,1,100000000)-[1]!b_stm07_is(A58,20,$A$1,1,100000000))/AVERAGE([1]!s_stmnote_bank_35(A58,$A$1,1,100000000),[1]!s_stmnote_bank_35(A58,$B$1,1,100000000))*100=0,"",([1]!b_stm07_is(A58,19,$A$1,1,100000000)-[1]!b_stm07_is(A58,20,$A$1,1,100000000))/AVERAGE([1]!s_stmnote_bank_35(A58,$A$1,1,100000000),[1]!s_stmnote_bank_35(A58,$B$1,1,100000000))*100),""))</f>
        <v>1.83</v>
      </c>
      <c r="CG58" s="27" t="str">
        <f t="shared" si="6"/>
        <v>120 171</v>
      </c>
      <c r="CH58" s="80">
        <f t="shared" si="14"/>
        <v>0.82881723381832162</v>
      </c>
      <c r="CI58" s="27" t="str">
        <f t="shared" si="7"/>
        <v>64 169</v>
      </c>
      <c r="CJ58" s="55">
        <f>[1]!s_stmnote_bank_30(A58,$A$1,1)</f>
        <v>12.065799999999999</v>
      </c>
      <c r="CP58" s="69">
        <f>[1]!b_stm07_bs($A58,141,$A$1,1,100000000)</f>
        <v>159.99196000000001</v>
      </c>
      <c r="CQ58" s="69">
        <f>[1]!b_stm07_bs($A58,141,$D$1,1,100000000)</f>
        <v>164.43458999999999</v>
      </c>
      <c r="CR58" s="68">
        <f>IF([1]!s_fa_roic_yearly($A58,$A$1)=0,"",[1]!s_fa_roic_yearly($A58,$A$1))</f>
        <v>9.8344000000000005</v>
      </c>
      <c r="CS58" s="27">
        <f t="shared" si="22"/>
        <v>0.36094674556213019</v>
      </c>
      <c r="CT58" s="68">
        <f>IF([1]!s_fa_roic_yearly($A58,$D$1)=0,"",[1]!s_fa_roic_yearly($A58,$D$1))</f>
        <v>10.162000000000001</v>
      </c>
      <c r="CU58" s="27">
        <f t="shared" si="23"/>
        <v>0.5140845070422535</v>
      </c>
      <c r="CV58" s="78">
        <f>[1]!s_stm07_bs(A58,"W14578191",$A$1,1,100000000)</f>
        <v>1356.79601</v>
      </c>
      <c r="CW58" s="78">
        <f>[1]!s_stmnote_bank_682($A58,$A$1,1,2,100000000)</f>
        <v>396.54307999999997</v>
      </c>
      <c r="CX58" s="79">
        <f t="shared" si="11"/>
        <v>0.29226433235162591</v>
      </c>
    </row>
    <row r="59" spans="1:102" s="46" customFormat="1" ht="13.5">
      <c r="A59" s="8" t="s">
        <v>645</v>
      </c>
      <c r="B59" s="8" t="s">
        <v>646</v>
      </c>
      <c r="C59" s="9" t="s">
        <v>647</v>
      </c>
      <c r="D59" s="9" t="s">
        <v>1061</v>
      </c>
      <c r="E59" s="10" t="s">
        <v>647</v>
      </c>
      <c r="F59" s="11" t="s">
        <v>178</v>
      </c>
      <c r="G59" s="11" t="s">
        <v>206</v>
      </c>
      <c r="H59" s="11" t="s">
        <v>245</v>
      </c>
      <c r="I59" s="11"/>
      <c r="J59" s="11">
        <f>VLOOKUP(B59,[3]额度信息!$B:$T,19,0)</f>
        <v>0</v>
      </c>
      <c r="K59" s="11" t="s">
        <v>648</v>
      </c>
      <c r="L59" s="27">
        <f>IFERROR(([1]!b_stm07_bs($A59,47,$A$1,1,100000000))/[1]!b_stm07_bs($A59,109,$A$1,1,100000000),"")</f>
        <v>0.16744377171347863</v>
      </c>
      <c r="M59" s="20"/>
      <c r="N59" s="18"/>
      <c r="O59" s="27" t="e">
        <f t="shared" si="0"/>
        <v>#N/A</v>
      </c>
      <c r="P59" s="21">
        <f t="shared" si="12"/>
        <v>2.1646245842258188E-2</v>
      </c>
      <c r="Q59" s="27" t="str">
        <f t="shared" si="1"/>
        <v>45 169</v>
      </c>
      <c r="R59" s="18">
        <v>8.2462458422581895E-3</v>
      </c>
      <c r="S59" s="22"/>
      <c r="T59" s="22"/>
      <c r="U59" s="22"/>
      <c r="V59" s="22"/>
      <c r="W59" s="22"/>
      <c r="X59" s="22"/>
      <c r="Y59" s="22"/>
      <c r="Z59" s="25">
        <f>[1]!b_stm07_bs(A59,74,$A$1,1,100000000)</f>
        <v>5222.4961000000003</v>
      </c>
      <c r="AA59" s="25">
        <f>[1]!b_stm07_bs(A59,109,$A$1,1,100000000)</f>
        <v>3179.65807</v>
      </c>
      <c r="AB59" s="10">
        <f>[1]!s_stmnote_bank_5n(A59,$A$1,1)</f>
        <v>1.34</v>
      </c>
      <c r="AC59" s="25">
        <f>IF([1]!s_stmnote_bank_23n(A59,$A$1,1)=0,"",IFERROR([1]!s_stmnote_bank_23n(A59,$A$1,1),""))</f>
        <v>197.42</v>
      </c>
      <c r="AD59" s="27" t="str">
        <f t="shared" si="2"/>
        <v>64 167</v>
      </c>
      <c r="AE59" s="25">
        <f>[1]!s_stmnote_bank_capadequacyratio(A59,$A$1,1)</f>
        <v>15.83</v>
      </c>
      <c r="AF59" s="25">
        <f>IF([1]!s_stmnote_bank_capadequacyratio_ct1(A59,$A$1,1)=0,"",IFERROR([1]!s_stmnote_bank_capadequacyratio_ct1(A59,$A$1,1),""))</f>
        <v>8.3800000000000008</v>
      </c>
      <c r="AG59" s="27" t="str">
        <f t="shared" si="21"/>
        <v>20 167</v>
      </c>
      <c r="AH59" s="6">
        <f>IF(OR([1]!s_fa_roe(A59,20201231)=0,[1]!s_fa_roe(A59,20211231)="0",[1]!s_fa_roe(A59,20221231)="0"),"",IFERROR(([1]!s_fa_roe(A59,20221231)+[1]!s_fa_roe(A59,20201231)+[1]!s_fa_roe(A59,20211231))/3,""))</f>
        <v>8.7502333333333322</v>
      </c>
      <c r="AI59" s="27" t="str">
        <f t="shared" si="3"/>
        <v>90 173</v>
      </c>
      <c r="AJ59" s="28">
        <f>IFERROR(([1]!s_stmnote_bank_65(A59,$A$1,1,2,4,100000000)+[1]!s_stmnote_bank_65(A59,$A$1,1,2,6,100000000))/[1]!s_stmnote_bank_1n(A59,$A$1,1,100000000),"")</f>
        <v>0.20563498001764743</v>
      </c>
      <c r="AK59" s="28">
        <f>IFERROR([1]!s_stmnote_bank_614(A59,$A$1,1,2,100000000)/[1]!s_stmnote_bank_647(A59,$A$1,1,2,100000000),"")</f>
        <v>0.37199005803790719</v>
      </c>
      <c r="AL59" s="28">
        <f>IFERROR(([1]!b_stm07_bs(A59,104,$A$1,1,100000000)+[1]!b_stm07_bs(A59,106,$A$1,1,100000000)+[1]!b_stm07_bs(A59,76,$A$1,1,100000000)+[1]!b_stm07_bs(A59,108,$A$1,1,100000000)+[1]!b_stm07_bs(A59,95,$A$1,1,100000000))/[1]!b_stm07_bs(A59,128,$A$1,1,100000000),"")</f>
        <v>0.28791963539075144</v>
      </c>
      <c r="AM59" s="28">
        <f>IFERROR(([1]!s_stmnote_bank_614(A59,$A$1,1,2,100000000)+[1]!b_stm07_bs(A59,104,$A$1,1,100000000)+[1]!b_stm07_bs(A59,106,$A$1,1,100000000)+[1]!b_stm07_bs(A59,76,$A$1,1,100000000)+[1]!b_stm07_bs(A59,108,$A$1,1,100000000)+[1]!b_stm07_bs(A59,95,$A$1,1,100000000))/[1]!b_stm07_bs(A59,128,$A$1,1,100000000),"")</f>
        <v>0.52983991622612625</v>
      </c>
      <c r="AN59" s="31" t="e">
        <f>IF(Z59&gt;#REF!,#REF!,IF(Z59&gt;#REF!,#REF!,IF(Z59&gt;#REF!,#REF!,IF(Z59&gt;#REF!,#REF!,IF(Z59&gt;#REF!,#REF!,IF(Z59&gt;#REF!,#REF!,IF(Z59&gt;#REF!,#REF!,#REF!)))))))</f>
        <v>#REF!</v>
      </c>
      <c r="AO59" s="31" t="e">
        <f>IF(AA59&gt;#REF!,#REF!,IF(AA59&gt;#REF!,#REF!,IF(AA59&gt;#REF!,#REF!,IF(AA59&gt;#REF!,#REF!,IF(AA59&gt;#REF!,#REF!,IF(AA59&gt;#REF!,#REF!,IF(AA59&gt;#REF!,#REF!,#REF!)))))))</f>
        <v>#REF!</v>
      </c>
      <c r="AP59" s="31" t="e">
        <f>IF(AB59&lt;#REF!,#REF!,IF(AB59&lt;#REF!,#REF!,IF(AB59&lt;#REF!,#REF!,IF(AB59&lt;#REF!,#REF!,IF(AB59&lt;#REF!,#REF!,IF(AB59&lt;#REF!,#REF!,#REF!))))))</f>
        <v>#REF!</v>
      </c>
      <c r="AQ59" s="31" t="e">
        <f>IF(AC59&gt;#REF!,#REF!,IF(AC59&gt;#REF!,#REF!,IF(AC59&gt;#REF!,#REF!,IF(AC59&gt;#REF!,#REF!,#REF!))))</f>
        <v>#REF!</v>
      </c>
      <c r="AR59" s="31" t="e">
        <f>IF(AE59&gt;#REF!,#REF!,IF(AE59&gt;#REF!,#REF!,IF(AE59&gt;#REF!,#REF!,IF(AE59&gt;#REF!,#REF!,#REF!))))</f>
        <v>#REF!</v>
      </c>
      <c r="AS59" s="31" t="e">
        <f>IF(AF59&gt;#REF!,#REF!,IF(AF59&gt;#REF!,#REF!,IF(AF59&gt;#REF!,#REF!,IF(AF59&gt;#REF!,#REF!,#REF!))))</f>
        <v>#REF!</v>
      </c>
      <c r="AT59" s="31" t="e">
        <f>IF(AH59&gt;#REF!,#REF!,IF(AH59&gt;#REF!,#REF!,IF(AH59&gt;#REF!,#REF!,IF(AH59&gt;#REF!,#REF!,IF(AH59&gt;#REF!,#REF!,#REF!)))))</f>
        <v>#REF!</v>
      </c>
      <c r="AU59" s="10" t="e">
        <f t="shared" si="4"/>
        <v>#REF!</v>
      </c>
      <c r="AV59" s="10" t="s">
        <v>60</v>
      </c>
      <c r="AW59" s="10" t="s">
        <v>227</v>
      </c>
      <c r="AX59" s="10" t="s">
        <v>141</v>
      </c>
      <c r="AY59" s="31" t="str">
        <f>IFERROR(VLOOKUP(AV59,#REF!,3,0),"")</f>
        <v/>
      </c>
      <c r="AZ59" s="31" t="str">
        <f>IFERROR(VLOOKUP(AW59,#REF!,3,0),"")</f>
        <v/>
      </c>
      <c r="BA59" s="31" t="str">
        <f>IFERROR(VLOOKUP(AX59,#REF!,3,0),"")</f>
        <v/>
      </c>
      <c r="BB59" s="31" t="str">
        <f>IFERROR(AY59*#REF!+AZ59*#REF!+BA59*#REF!,"")</f>
        <v/>
      </c>
      <c r="BC59" s="32" t="str">
        <f t="shared" si="5"/>
        <v/>
      </c>
      <c r="BD59" s="32" t="str">
        <f>IFERROR(VLOOKUP(BC59*10,#REF!,2,1),"")</f>
        <v/>
      </c>
      <c r="BE59" s="11">
        <v>1</v>
      </c>
      <c r="BF59" s="11">
        <v>0</v>
      </c>
      <c r="BG59" s="10"/>
      <c r="BH59" s="11" t="s">
        <v>634</v>
      </c>
      <c r="BI59" s="10">
        <v>21.870000839233398</v>
      </c>
      <c r="BJ59" s="33" t="s">
        <v>105</v>
      </c>
      <c r="BK59" s="33" t="s">
        <v>649</v>
      </c>
      <c r="BL59" s="10">
        <f>IF([1]!s_stmnote_bank_17n(A59,$A$1,1)="0","",[1]!s_stmnote_bank_17n(A59,$A$1,1))</f>
        <v>0</v>
      </c>
      <c r="BM59" s="10">
        <f>IF([1]!s_stmnote_bank_18n(A59,$A$1,1)="0","",[1]!s_stmnote_bank_18n(A59,$A$1,1))</f>
        <v>0</v>
      </c>
      <c r="BN59" s="41">
        <v>4.22</v>
      </c>
      <c r="BO59" s="68">
        <v>2.37</v>
      </c>
      <c r="BP59" s="52">
        <f>[1]!s_stmnote_bank_5444(A59,$A$1,1)</f>
        <v>1.79</v>
      </c>
      <c r="BQ59" s="52">
        <f>[1]!s_stmnote_bank_129n($A59,$A$1,1)</f>
        <v>33.909999999999997</v>
      </c>
      <c r="BR59" s="52">
        <f t="shared" si="13"/>
        <v>3.9151522320246976</v>
      </c>
      <c r="BS59" s="52">
        <f>[1]!b_stm07_is(A59,19,$A$1,1,100000000)</f>
        <v>182.08935</v>
      </c>
      <c r="BT59" s="52">
        <f xml:space="preserve"> [1]!s_stm07_bs(A59,"W15273164",$A$1,1,100000000)-[1]!s_stm07_bs(A59,"W17642530",$A$1,1,100000000)-[1]!s_stm07_bs(A59,"W15910877",$A$1,1,100000000)-[1]!s_stm07_bs_39(A59,$A$1,1,100000000)-[1]!s_stm07_bs(A59,"W17700468",$A$1,1,100000000)-[1]!s_stm07_bs(A59,"W16504296",$A$1,1,100000000)-[1]!s_stm07_bs(A59,"W13769069",$A$1,1,100000000)</f>
        <v>5141.5079599999999</v>
      </c>
      <c r="BU59" s="52">
        <f xml:space="preserve"> [1]!s_stm07_bs(A59,"W15273164",$B$1,1,100000000)-[1]!s_stm07_bs(A59,"W17642530",$B$1,1,100000000)-[1]!s_stm07_bs(A59,"W15910877",$B$1,1,100000000)-[1]!s_stm07_bs_39(A59,$B$1,1,100000000)-[1]!s_stm07_bs(A59,"W17700468",$B$1,1,100000000)-[1]!s_stm07_bs(A59,"W16504296",$B$1,1,100000000)-[1]!s_stm07_bs(A59,"W13769069",$B$1,1,100000000)</f>
        <v>4523.3634000000011</v>
      </c>
      <c r="BV59" s="52">
        <f xml:space="preserve"> [1]!s_stm07_bs(A59,"W15273164",$E$1,1,100000000)-[1]!s_stm07_bs(A59,"W17642530",$E$1,1,100000000)-[1]!s_stm07_bs(A59,"W15910877",$E$1,1,100000000)-[1]!s_stm07_bs_39(A59,$E$1,1,100000000)-[1]!s_stm07_bs(A59,"W17700468",$E$1,1,100000000)-[1]!s_stm07_bs(A59,"W16504296",$E$1,1,100000000)-[1]!s_stm07_bs(A59,"W13769069",$E$1,1,100000000)</f>
        <v>4962.3941199999999</v>
      </c>
      <c r="BW59" s="52">
        <f xml:space="preserve"> [1]!s_stm07_bs(A59,"W15273164",$F$1,1,100000000)-[1]!s_stm07_bs(A59,"W17642530",$F$1,1,100000000)-[1]!s_stm07_bs(A59,"W15910877",$F$1,1,100000000)-[1]!s_stm07_bs_39(A59,$F$1,1,100000000)-[1]!s_stm07_bs(A59,"W17700468",$F$1,1,100000000)-[1]!s_stm07_bs(A59,"W16504296",$F$1,1,100000000)-[1]!s_stm07_bs(A59,"W13769069",$F$1,1,100000000)</f>
        <v>4935.6846999999989</v>
      </c>
      <c r="BX59" s="52">
        <f xml:space="preserve"> [1]!s_stm07_bs(A59,"W15273164",$G$1,1,100000000)-[1]!s_stm07_bs(A59,"W17642530",$G$1,1,100000000)-[1]!s_stm07_bs(A59,"W15910877",$G$1,1,100000000)-[1]!s_stm07_bs_39(A59,$G$1,1,100000000)-[1]!s_stm07_bs(A59,"W17700468",$G$1,1,100000000)-[1]!s_stm07_bs(A59,"W16504296",$G$1,1,100000000)-[1]!s_stm07_bs(A59,"W13769069",$G$1,1,100000000)</f>
        <v>4573.8953399999991</v>
      </c>
      <c r="BY59" s="52">
        <f>IFERROR([1]!b_stm07_is(A59,20,$A$1,1,100000000)/AVERAGEIF(CA59:CE59,"&gt;0")*100,0)</f>
        <v>2.3317906043114833</v>
      </c>
      <c r="BZ59" s="52">
        <f>[1]!b_stm07_is(A59,20,$A$1,1,100000000)</f>
        <v>105.6331</v>
      </c>
      <c r="CA59" s="52">
        <f>[1]!s_stmnote_bank_38(A59,$A$1,1,100000000)</f>
        <v>4842.3013300000002</v>
      </c>
      <c r="CB59" s="52">
        <f>[1]!s_stmnote_bank_38(A59,$B$1,1,100000000)</f>
        <v>4228.6394300000002</v>
      </c>
      <c r="CC59" s="52">
        <f>[1]!s_stmnote_bank_38(A59,$E$1,1,100000000)</f>
        <v>4665.4599399999997</v>
      </c>
      <c r="CD59" s="52">
        <f>[1]!s_stmnote_bank_38(A59,$F$1,1,100000000)</f>
        <v>4636.9165400000002</v>
      </c>
      <c r="CE59" s="52">
        <f>[1]!s_stmnote_bank_38(A59,$G$1,1,100000000)</f>
        <v>4277.3229600000004</v>
      </c>
      <c r="CF59" s="52">
        <f>IF(BP59&lt;&gt;0,BP59,IFERROR(IF(([1]!b_stm07_is(A59,19,$A$1,1,100000000)-[1]!b_stm07_is(A59,20,$A$1,1,100000000))/AVERAGE([1]!s_stmnote_bank_35(A59,$A$1,1,100000000),[1]!s_stmnote_bank_35(A59,$B$1,1,100000000))*100=0,"",([1]!b_stm07_is(A59,19,$A$1,1,100000000)-[1]!b_stm07_is(A59,20,$A$1,1,100000000))/AVERAGE([1]!s_stmnote_bank_35(A59,$A$1,1,100000000),[1]!s_stmnote_bank_35(A59,$B$1,1,100000000))*100),""))</f>
        <v>1.79</v>
      </c>
      <c r="CG59" s="27" t="str">
        <f t="shared" si="6"/>
        <v>128 171</v>
      </c>
      <c r="CH59" s="80">
        <f t="shared" si="14"/>
        <v>0.8269332303828546</v>
      </c>
      <c r="CI59" s="27" t="str">
        <f t="shared" si="7"/>
        <v>65 169</v>
      </c>
      <c r="CJ59" s="55">
        <f>[1]!s_stmnote_bank_30(A59,$A$1,1)</f>
        <v>31.343299999999999</v>
      </c>
      <c r="CP59" s="69">
        <f>[1]!b_stm07_bs($A59,141,$A$1,1,100000000)</f>
        <v>333.27728000000002</v>
      </c>
      <c r="CQ59" s="69">
        <f>[1]!b_stm07_bs($A59,141,$D$1,1,100000000)</f>
        <v>385.32098999999999</v>
      </c>
      <c r="CR59" s="68">
        <f>IF([1]!s_fa_roic_yearly($A59,$A$1)=0,"",[1]!s_fa_roic_yearly($A59,$A$1))</f>
        <v>9.2899999999999991</v>
      </c>
      <c r="CS59" s="27">
        <f t="shared" si="22"/>
        <v>0.43195266272189348</v>
      </c>
      <c r="CT59" s="68">
        <f>IF([1]!s_fa_roic_yearly($A59,$D$1)=0,"",[1]!s_fa_roic_yearly($A59,$D$1))</f>
        <v>11.4628</v>
      </c>
      <c r="CU59" s="27">
        <f t="shared" si="23"/>
        <v>0.31690140845070425</v>
      </c>
      <c r="CV59" s="78">
        <f>[1]!s_stm07_bs(A59,"W14578191",$A$1,1,100000000)</f>
        <v>2386.08698</v>
      </c>
      <c r="CW59" s="78">
        <f>[1]!s_stmnote_bank_682($A59,$A$1,1,2,100000000)</f>
        <v>767.43187999999998</v>
      </c>
      <c r="CX59" s="79">
        <f t="shared" si="11"/>
        <v>0.32162778910934753</v>
      </c>
    </row>
    <row r="60" spans="1:102" s="46" customFormat="1" ht="13.5">
      <c r="A60" s="8" t="s">
        <v>655</v>
      </c>
      <c r="B60" s="8" t="s">
        <v>656</v>
      </c>
      <c r="C60" s="9" t="s">
        <v>657</v>
      </c>
      <c r="D60" s="9" t="s">
        <v>1066</v>
      </c>
      <c r="E60" s="10"/>
      <c r="F60" s="11" t="s">
        <v>66</v>
      </c>
      <c r="G60" s="11" t="s">
        <v>67</v>
      </c>
      <c r="H60" s="11" t="s">
        <v>67</v>
      </c>
      <c r="I60" s="11"/>
      <c r="J60" s="11" t="e">
        <f>VLOOKUP(B60,[3]额度信息!$B:$T,19,0)</f>
        <v>#N/A</v>
      </c>
      <c r="K60" s="11"/>
      <c r="L60" s="27">
        <f>IFERROR(([1]!b_stm07_bs($A60,47,$A$1,1,100000000))/[1]!b_stm07_bs($A60,109,$A$1,1,100000000),"")</f>
        <v>0.12183051329654208</v>
      </c>
      <c r="M60" s="20"/>
      <c r="N60" s="18"/>
      <c r="O60" s="27" t="e">
        <f t="shared" si="0"/>
        <v>#N/A</v>
      </c>
      <c r="P60" s="21">
        <f t="shared" si="12"/>
        <v>1.89690716796737E-2</v>
      </c>
      <c r="Q60" s="27" t="str">
        <f t="shared" si="1"/>
        <v>39 169</v>
      </c>
      <c r="R60" s="18">
        <v>1.1569071679673699E-2</v>
      </c>
      <c r="S60" s="22"/>
      <c r="T60" s="22"/>
      <c r="U60" s="22"/>
      <c r="V60" s="22"/>
      <c r="W60" s="22"/>
      <c r="X60" s="22"/>
      <c r="Y60" s="22"/>
      <c r="Z60" s="25">
        <f>[1]!b_stm07_bs(A60,74,$A$1,1,100000000)</f>
        <v>1679.5723448192998</v>
      </c>
      <c r="AA60" s="25">
        <f>[1]!b_stm07_bs(A60,109,$A$1,1,100000000)</f>
        <v>1381.8480719754</v>
      </c>
      <c r="AB60" s="10">
        <f>[1]!s_stmnote_bank_5n(A60,$A$1,1)</f>
        <v>0.74</v>
      </c>
      <c r="AC60" s="25">
        <f>IF([1]!s_stmnote_bank_23n(A60,$A$1,1)=0,"",IFERROR([1]!s_stmnote_bank_23n(A60,$A$1,1),""))</f>
        <v>355.55</v>
      </c>
      <c r="AD60" s="27" t="str">
        <f t="shared" si="2"/>
        <v>123 167</v>
      </c>
      <c r="AE60" s="25">
        <f>[1]!s_stmnote_bank_capadequacyratio(A60,$A$1,1)</f>
        <v>18.93</v>
      </c>
      <c r="AF60" s="25">
        <f>IF([1]!s_stmnote_bank_capadequacyratio_ct1(A60,$A$1,1)=0,"",IFERROR([1]!s_stmnote_bank_capadequacyratio_ct1(A60,$A$1,1),""))</f>
        <v>17.78</v>
      </c>
      <c r="AG60" s="27" t="str">
        <f t="shared" si="21"/>
        <v>165 167</v>
      </c>
      <c r="AH60" s="6">
        <f>IF(OR([1]!s_fa_roe(A60,20201231)=0,[1]!s_fa_roe(A60,20211231)="0",[1]!s_fa_roe(A60,20221231)="0"),"",IFERROR(([1]!s_fa_roe(A60,20221231)+[1]!s_fa_roe(A60,20201231)+[1]!s_fa_roe(A60,20211231))/3,""))</f>
        <v>8.4680666666666671</v>
      </c>
      <c r="AI60" s="27" t="str">
        <f t="shared" si="3"/>
        <v>85 173</v>
      </c>
      <c r="AJ60" s="28">
        <f>IFERROR(([1]!s_stmnote_bank_65(A60,$A$1,1,2,4,100000000)+[1]!s_stmnote_bank_65(A60,$A$1,1,2,6,100000000))/[1]!s_stmnote_bank_1n(A60,$A$1,1,100000000),"")</f>
        <v>4.424310885543159E-2</v>
      </c>
      <c r="AK60" s="28">
        <f>IFERROR([1]!s_stmnote_bank_614(A60,$A$1,1,2,100000000)/[1]!s_stmnote_bank_647(A60,$A$1,1,2,100000000),"")</f>
        <v>0.2090466267595173</v>
      </c>
      <c r="AL60" s="28">
        <f>IFERROR(([1]!b_stm07_bs(A60,104,$A$1,1,100000000)+[1]!b_stm07_bs(A60,106,$A$1,1,100000000)+[1]!b_stm07_bs(A60,76,$A$1,1,100000000)+[1]!b_stm07_bs(A60,108,$A$1,1,100000000)+[1]!b_stm07_bs(A60,95,$A$1,1,100000000))/[1]!b_stm07_bs(A60,128,$A$1,1,100000000),"")</f>
        <v>5.8099548927215784E-2</v>
      </c>
      <c r="AM60" s="28">
        <f>IFERROR(([1]!s_stmnote_bank_614(A60,$A$1,1,2,100000000)+[1]!b_stm07_bs(A60,104,$A$1,1,100000000)+[1]!b_stm07_bs(A60,106,$A$1,1,100000000)+[1]!b_stm07_bs(A60,76,$A$1,1,100000000)+[1]!b_stm07_bs(A60,108,$A$1,1,100000000)+[1]!b_stm07_bs(A60,95,$A$1,1,100000000))/[1]!b_stm07_bs(A60,128,$A$1,1,100000000),"")</f>
        <v>0.25015703803767325</v>
      </c>
      <c r="AN60" s="31" t="e">
        <f>IF(Z60&gt;#REF!,#REF!,IF(Z60&gt;#REF!,#REF!,IF(Z60&gt;#REF!,#REF!,IF(Z60&gt;#REF!,#REF!,IF(Z60&gt;#REF!,#REF!,IF(Z60&gt;#REF!,#REF!,IF(Z60&gt;#REF!,#REF!,#REF!)))))))</f>
        <v>#REF!</v>
      </c>
      <c r="AO60" s="31" t="e">
        <f>IF(AA60&gt;#REF!,#REF!,IF(AA60&gt;#REF!,#REF!,IF(AA60&gt;#REF!,#REF!,IF(AA60&gt;#REF!,#REF!,IF(AA60&gt;#REF!,#REF!,IF(AA60&gt;#REF!,#REF!,IF(AA60&gt;#REF!,#REF!,#REF!)))))))</f>
        <v>#REF!</v>
      </c>
      <c r="AP60" s="31" t="e">
        <f>IF(AB60&lt;#REF!,#REF!,IF(AB60&lt;#REF!,#REF!,IF(AB60&lt;#REF!,#REF!,IF(AB60&lt;#REF!,#REF!,IF(AB60&lt;#REF!,#REF!,IF(AB60&lt;#REF!,#REF!,#REF!))))))</f>
        <v>#REF!</v>
      </c>
      <c r="AQ60" s="31" t="e">
        <f>IF(AC60&gt;#REF!,#REF!,IF(AC60&gt;#REF!,#REF!,IF(AC60&gt;#REF!,#REF!,IF(AC60&gt;#REF!,#REF!,#REF!))))</f>
        <v>#REF!</v>
      </c>
      <c r="AR60" s="31" t="e">
        <f>IF(AE60&gt;#REF!,#REF!,IF(AE60&gt;#REF!,#REF!,IF(AE60&gt;#REF!,#REF!,IF(AE60&gt;#REF!,#REF!,#REF!))))</f>
        <v>#REF!</v>
      </c>
      <c r="AS60" s="31" t="e">
        <f>IF(AF60&gt;#REF!,#REF!,IF(AF60&gt;#REF!,#REF!,IF(AF60&gt;#REF!,#REF!,IF(AF60&gt;#REF!,#REF!,#REF!))))</f>
        <v>#REF!</v>
      </c>
      <c r="AT60" s="31" t="e">
        <f>IF(AH60&gt;#REF!,#REF!,IF(AH60&gt;#REF!,#REF!,IF(AH60&gt;#REF!,#REF!,IF(AH60&gt;#REF!,#REF!,IF(AH60&gt;#REF!,#REF!,#REF!)))))</f>
        <v>#REF!</v>
      </c>
      <c r="AU60" s="10" t="e">
        <f t="shared" si="4"/>
        <v>#REF!</v>
      </c>
      <c r="AV60" s="10"/>
      <c r="AW60" s="10"/>
      <c r="AX60" s="10"/>
      <c r="AY60" s="31" t="str">
        <f>IFERROR(VLOOKUP(AV60,#REF!,3,0),"")</f>
        <v/>
      </c>
      <c r="AZ60" s="31" t="str">
        <f>IFERROR(VLOOKUP(AW60,#REF!,3,0),"")</f>
        <v/>
      </c>
      <c r="BA60" s="31" t="str">
        <f>IFERROR(VLOOKUP(AX60,#REF!,3,0),"")</f>
        <v/>
      </c>
      <c r="BB60" s="31" t="str">
        <f>IFERROR(AY60*#REF!+AZ60*#REF!+BA60*#REF!,"")</f>
        <v/>
      </c>
      <c r="BC60" s="32" t="str">
        <f t="shared" si="5"/>
        <v/>
      </c>
      <c r="BD60" s="32" t="str">
        <f>IFERROR(VLOOKUP(BC60*10,#REF!,2,1),"")</f>
        <v/>
      </c>
      <c r="BE60" s="10"/>
      <c r="BF60" s="10"/>
      <c r="BG60" s="10"/>
      <c r="BH60" s="11" t="s">
        <v>658</v>
      </c>
      <c r="BI60" s="10">
        <v>7.1999998092651403</v>
      </c>
      <c r="BJ60" s="33" t="s">
        <v>280</v>
      </c>
      <c r="BK60" s="33" t="s">
        <v>659</v>
      </c>
      <c r="BL60" s="10">
        <f>IF([1]!s_stmnote_bank_17n(A60,$A$1,1)="0","",[1]!s_stmnote_bank_17n(A60,$A$1,1))</f>
        <v>0</v>
      </c>
      <c r="BM60" s="10">
        <f>IF([1]!s_stmnote_bank_18n(A60,$A$1,1)="0","",[1]!s_stmnote_bank_18n(A60,$A$1,1))</f>
        <v>0</v>
      </c>
      <c r="BN60" s="41" t="s">
        <v>67</v>
      </c>
      <c r="BO60" s="68" t="s">
        <v>67</v>
      </c>
      <c r="BP60" s="52">
        <f>[1]!s_stmnote_bank_5444(A60,$A$1,1)</f>
        <v>0</v>
      </c>
      <c r="BQ60" s="52">
        <f>[1]!s_stmnote_bank_129n($A60,$A$1,1)</f>
        <v>44.470799999999997</v>
      </c>
      <c r="BR60" s="52">
        <f t="shared" si="13"/>
        <v>3.5204748894674549</v>
      </c>
      <c r="BS60" s="52">
        <f>[1]!b_stm07_is(A60,19,$A$1,1,100000000)</f>
        <v>56.586383802299999</v>
      </c>
      <c r="BT60" s="52">
        <f xml:space="preserve"> [1]!s_stm07_bs(A60,"W15273164",$A$1,1,100000000)-[1]!s_stm07_bs(A60,"W17642530",$A$1,1,100000000)-[1]!s_stm07_bs(A60,"W15910877",$A$1,1,100000000)-[1]!s_stm07_bs_39(A60,$A$1,1,100000000)-[1]!s_stm07_bs(A60,"W17700468",$A$1,1,100000000)-[1]!s_stm07_bs(A60,"W16504296",$A$1,1,100000000)-[1]!s_stm07_bs(A60,"W13769069",$A$1,1,100000000)</f>
        <v>1655.6708446696</v>
      </c>
      <c r="BU60" s="52">
        <f xml:space="preserve"> [1]!s_stm07_bs(A60,"W15273164",$B$1,1,100000000)-[1]!s_stm07_bs(A60,"W17642530",$B$1,1,100000000)-[1]!s_stm07_bs(A60,"W15910877",$B$1,1,100000000)-[1]!s_stm07_bs_39(A60,$B$1,1,100000000)-[1]!s_stm07_bs(A60,"W17700468",$B$1,1,100000000)-[1]!s_stm07_bs(A60,"W16504296",$B$1,1,100000000)-[1]!s_stm07_bs(A60,"W13769069",$B$1,1,100000000)</f>
        <v>1598.3697433661</v>
      </c>
      <c r="BV60" s="52">
        <f xml:space="preserve"> [1]!s_stm07_bs(A60,"W15273164",$E$1,1,100000000)-[1]!s_stm07_bs(A60,"W17642530",$E$1,1,100000000)-[1]!s_stm07_bs(A60,"W15910877",$E$1,1,100000000)-[1]!s_stm07_bs_39(A60,$E$1,1,100000000)-[1]!s_stm07_bs(A60,"W17700468",$E$1,1,100000000)-[1]!s_stm07_bs(A60,"W16504296",$E$1,1,100000000)-[1]!s_stm07_bs(A60,"W13769069",$E$1,1,100000000)</f>
        <v>1646.06908</v>
      </c>
      <c r="BW60" s="52">
        <f xml:space="preserve"> [1]!s_stm07_bs(A60,"W15273164",$F$1,1,100000000)-[1]!s_stm07_bs(A60,"W17642530",$F$1,1,100000000)-[1]!s_stm07_bs(A60,"W15910877",$F$1,1,100000000)-[1]!s_stm07_bs_39(A60,$F$1,1,100000000)-[1]!s_stm07_bs(A60,"W17700468",$F$1,1,100000000)-[1]!s_stm07_bs(A60,"W16504296",$F$1,1,100000000)-[1]!s_stm07_bs(A60,"W13769069",$F$1,1,100000000)</f>
        <v>1618.662961</v>
      </c>
      <c r="BX60" s="52">
        <f xml:space="preserve"> [1]!s_stm07_bs(A60,"W15273164",$G$1,1,100000000)-[1]!s_stm07_bs(A60,"W17642530",$G$1,1,100000000)-[1]!s_stm07_bs(A60,"W15910877",$G$1,1,100000000)-[1]!s_stm07_bs_39(A60,$G$1,1,100000000)-[1]!s_stm07_bs(A60,"W17700468",$G$1,1,100000000)-[1]!s_stm07_bs(A60,"W16504296",$G$1,1,100000000)-[1]!s_stm07_bs(A60,"W13769069",$G$1,1,100000000)</f>
        <v>1575.1043233014</v>
      </c>
      <c r="BY60" s="52">
        <f>IFERROR([1]!b_stm07_is(A60,20,$A$1,1,100000000)/AVERAGEIF(CA60:CE60,"&gt;0")*100,0)</f>
        <v>2.0383953379719437</v>
      </c>
      <c r="BZ60" s="52">
        <f>[1]!b_stm07_is(A60,20,$A$1,1,100000000)</f>
        <v>29.524301034800001</v>
      </c>
      <c r="CA60" s="52">
        <f>[1]!s_stmnote_bank_38(A60,$A$1,1,100000000)</f>
        <v>1494.9760298860001</v>
      </c>
      <c r="CB60" s="52">
        <f>[1]!s_stmnote_bank_38(A60,$B$1,1,100000000)</f>
        <v>1430.094017032</v>
      </c>
      <c r="CC60" s="52">
        <f>[1]!s_stmnote_bank_38(A60,$E$1,1,100000000)</f>
        <v>0</v>
      </c>
      <c r="CD60" s="52">
        <f>[1]!s_stmnote_bank_38(A60,$F$1,1,100000000)</f>
        <v>0</v>
      </c>
      <c r="CE60" s="52">
        <f>[1]!s_stmnote_bank_38(A60,$G$1,1,100000000)</f>
        <v>1420.1568800883999</v>
      </c>
      <c r="CF60" s="52">
        <f>IF(BP60&lt;&gt;0,BP60,IFERROR(IF(([1]!b_stm07_is(A60,19,$A$1,1,100000000)-[1]!b_stm07_is(A60,20,$A$1,1,100000000))/AVERAGE([1]!s_stmnote_bank_35(A60,$A$1,1,100000000),[1]!s_stmnote_bank_35(A60,$B$1,1,100000000))*100=0,"",([1]!b_stm07_is(A60,19,$A$1,1,100000000)-[1]!b_stm07_is(A60,20,$A$1,1,100000000))/AVERAGE([1]!s_stmnote_bank_35(A60,$A$1,1,100000000),[1]!s_stmnote_bank_35(A60,$B$1,1,100000000))*100),""))</f>
        <v>1.7005411210945949</v>
      </c>
      <c r="CG60" s="27" t="str">
        <f t="shared" si="6"/>
        <v>140 171</v>
      </c>
      <c r="CH60" s="80">
        <f t="shared" si="14"/>
        <v>0.89648094003293211</v>
      </c>
      <c r="CI60" s="27" t="str">
        <f t="shared" si="7"/>
        <v>52 169</v>
      </c>
      <c r="CJ60" s="55">
        <f>[1]!s_stmnote_bank_30(A60,$A$1,1)</f>
        <v>13.4941</v>
      </c>
      <c r="CP60" s="69">
        <f>[1]!b_stm07_bs($A60,141,$A$1,1,100000000)</f>
        <v>175.48791948109999</v>
      </c>
      <c r="CQ60" s="69">
        <f>[1]!b_stm07_bs($A60,141,$D$1,1,100000000)</f>
        <v>180.915637</v>
      </c>
      <c r="CR60" s="68">
        <f>IF([1]!s_fa_roic_yearly($A60,$A$1)=0,"",[1]!s_fa_roic_yearly($A60,$A$1))</f>
        <v>8.2226999999999997</v>
      </c>
      <c r="CS60" s="27">
        <f t="shared" si="22"/>
        <v>0.56804733727810652</v>
      </c>
      <c r="CT60" s="68" t="str">
        <f>IF([1]!s_fa_roic_yearly($A60,$D$1)=0,"",[1]!s_fa_roic_yearly($A60,$D$1))</f>
        <v/>
      </c>
      <c r="CU60" s="27" t="e">
        <f t="shared" si="23"/>
        <v>#VALUE!</v>
      </c>
      <c r="CV60" s="78">
        <f>[1]!s_stm07_bs(A60,"W14578191",$A$1,1,100000000)</f>
        <v>897.87435976910001</v>
      </c>
      <c r="CW60" s="78">
        <f>[1]!s_stmnote_bank_682($A60,$A$1,1,2,100000000)</f>
        <v>324.96295553760001</v>
      </c>
      <c r="CX60" s="79">
        <f t="shared" si="11"/>
        <v>0.3619247526136824</v>
      </c>
    </row>
    <row r="61" spans="1:102" s="46" customFormat="1" ht="13.5">
      <c r="A61" s="8" t="s">
        <v>412</v>
      </c>
      <c r="B61" s="8" t="s">
        <v>413</v>
      </c>
      <c r="C61" s="9" t="s">
        <v>414</v>
      </c>
      <c r="D61" s="9" t="s">
        <v>1061</v>
      </c>
      <c r="E61" s="10"/>
      <c r="F61" s="11" t="s">
        <v>90</v>
      </c>
      <c r="G61" s="11" t="s">
        <v>67</v>
      </c>
      <c r="H61" s="11" t="s">
        <v>103</v>
      </c>
      <c r="I61" s="11"/>
      <c r="J61" s="11" t="e">
        <f>VLOOKUP(B61,[3]额度信息!$B:$T,19,0)</f>
        <v>#N/A</v>
      </c>
      <c r="K61" s="11"/>
      <c r="L61" s="27">
        <f>IFERROR(([1]!b_stm07_bs($A61,47,$A$1,1,100000000))/[1]!b_stm07_bs($A61,109,$A$1,1,100000000),"")</f>
        <v>9.9652103860331034E-2</v>
      </c>
      <c r="M61" s="20"/>
      <c r="N61" s="18"/>
      <c r="O61" s="27" t="e">
        <f t="shared" si="0"/>
        <v>#N/A</v>
      </c>
      <c r="P61" s="21">
        <f t="shared" si="12"/>
        <v>2.3321032045958284E-2</v>
      </c>
      <c r="Q61" s="27" t="str">
        <f t="shared" si="1"/>
        <v>53 169</v>
      </c>
      <c r="R61" s="18">
        <f>IFERROR([1]!s_stmnote_bank($A61,"34",$A$1,100000000)/[1]!s_stmnote_bank_1n(A61,$A$1,1,100000000),"")</f>
        <v>8.6210320459582865E-3</v>
      </c>
      <c r="S61" s="22"/>
      <c r="T61" s="22"/>
      <c r="U61" s="22"/>
      <c r="V61" s="22"/>
      <c r="W61" s="22"/>
      <c r="X61" s="22"/>
      <c r="Y61" s="22"/>
      <c r="Z61" s="25">
        <f>[1]!b_stm07_bs(A61,74,$A$1,1,100000000)</f>
        <v>865.59480599999995</v>
      </c>
      <c r="AA61" s="25">
        <f>[1]!b_stm07_bs(A61,109,$A$1,1,100000000)</f>
        <v>652.28892800000006</v>
      </c>
      <c r="AB61" s="10">
        <f>[1]!s_stmnote_bank_5n(A61,$A$1,1)</f>
        <v>1.47</v>
      </c>
      <c r="AC61" s="25">
        <f>IF([1]!s_stmnote_bank_23n(A61,$A$1,1)=0,"",IFERROR([1]!s_stmnote_bank_23n(A61,$A$1,1),""))</f>
        <v>152.53</v>
      </c>
      <c r="AD61" s="27" t="str">
        <f t="shared" si="2"/>
        <v>24 167</v>
      </c>
      <c r="AE61" s="25">
        <f>[1]!s_stmnote_bank_capadequacyratio(A61,$A$1,1)</f>
        <v>11.28</v>
      </c>
      <c r="AF61" s="25">
        <f>IF([1]!s_stmnote_bank_capadequacyratio_ct1(A61,$A$1,1)=0,"",IFERROR([1]!s_stmnote_bank_capadequacyratio_ct1(A61,$A$1,1),""))</f>
        <v>9.6999999999999993</v>
      </c>
      <c r="AG61" s="27" t="str">
        <f t="shared" si="21"/>
        <v>72 167</v>
      </c>
      <c r="AH61" s="6">
        <f>IF(OR([1]!s_fa_roe(A61,20201231)=0,[1]!s_fa_roe(A61,20211231)="0",[1]!s_fa_roe(A61,20221231)="0"),"",IFERROR(([1]!s_fa_roe(A61,20221231)+[1]!s_fa_roe(A61,20201231)+[1]!s_fa_roe(A61,20211231))/3,""))</f>
        <v>5.6295999999999999</v>
      </c>
      <c r="AI61" s="27" t="str">
        <f t="shared" si="3"/>
        <v>54 173</v>
      </c>
      <c r="AJ61" s="28">
        <f>IFERROR(([1]!s_stmnote_bank_65(A61,$A$1,1,2,4,100000000)+[1]!s_stmnote_bank_65(A61,$A$1,1,2,6,100000000))/[1]!s_stmnote_bank_1n(A61,$A$1,1,100000000),"")</f>
        <v>0.14813497490398186</v>
      </c>
      <c r="AK61" s="28">
        <f>IFERROR([1]!s_stmnote_bank_614(A61,$A$1,1,2,100000000)/[1]!s_stmnote_bank_647(A61,$A$1,1,2,100000000),"")</f>
        <v>0.33848023475487626</v>
      </c>
      <c r="AL61" s="28">
        <f>IFERROR(([1]!b_stm07_bs(A61,104,$A$1,1,100000000)+[1]!b_stm07_bs(A61,106,$A$1,1,100000000)+[1]!b_stm07_bs(A61,76,$A$1,1,100000000)+[1]!b_stm07_bs(A61,108,$A$1,1,100000000)+[1]!b_stm07_bs(A61,95,$A$1,1,100000000))/[1]!b_stm07_bs(A61,128,$A$1,1,100000000),"")</f>
        <v>0.14037706692193883</v>
      </c>
      <c r="AM61" s="28">
        <f>IFERROR(([1]!s_stmnote_bank_614(A61,$A$1,1,2,100000000)+[1]!b_stm07_bs(A61,104,$A$1,1,100000000)+[1]!b_stm07_bs(A61,106,$A$1,1,100000000)+[1]!b_stm07_bs(A61,76,$A$1,1,100000000)+[1]!b_stm07_bs(A61,108,$A$1,1,100000000)+[1]!b_stm07_bs(A61,95,$A$1,1,100000000))/[1]!b_stm07_bs(A61,128,$A$1,1,100000000),"")</f>
        <v>0.41276984282838292</v>
      </c>
      <c r="AN61" s="31" t="e">
        <f>IF(Z61&gt;#REF!,#REF!,IF(Z61&gt;#REF!,#REF!,IF(Z61&gt;#REF!,#REF!,IF(Z61&gt;#REF!,#REF!,IF(Z61&gt;#REF!,#REF!,IF(Z61&gt;#REF!,#REF!,IF(Z61&gt;#REF!,#REF!,#REF!)))))))</f>
        <v>#REF!</v>
      </c>
      <c r="AO61" s="31" t="e">
        <f>IF(AA61&gt;#REF!,#REF!,IF(AA61&gt;#REF!,#REF!,IF(AA61&gt;#REF!,#REF!,IF(AA61&gt;#REF!,#REF!,IF(AA61&gt;#REF!,#REF!,IF(AA61&gt;#REF!,#REF!,IF(AA61&gt;#REF!,#REF!,#REF!)))))))</f>
        <v>#REF!</v>
      </c>
      <c r="AP61" s="31" t="e">
        <f>IF(AB61&lt;#REF!,#REF!,IF(AB61&lt;#REF!,#REF!,IF(AB61&lt;#REF!,#REF!,IF(AB61&lt;#REF!,#REF!,IF(AB61&lt;#REF!,#REF!,IF(AB61&lt;#REF!,#REF!,#REF!))))))</f>
        <v>#REF!</v>
      </c>
      <c r="AQ61" s="31" t="e">
        <f>IF(AC61&gt;#REF!,#REF!,IF(AC61&gt;#REF!,#REF!,IF(AC61&gt;#REF!,#REF!,IF(AC61&gt;#REF!,#REF!,#REF!))))</f>
        <v>#REF!</v>
      </c>
      <c r="AR61" s="31" t="e">
        <f>IF(AE61&gt;#REF!,#REF!,IF(AE61&gt;#REF!,#REF!,IF(AE61&gt;#REF!,#REF!,IF(AE61&gt;#REF!,#REF!,#REF!))))</f>
        <v>#REF!</v>
      </c>
      <c r="AS61" s="31" t="e">
        <f>IF(AF61&gt;#REF!,#REF!,IF(AF61&gt;#REF!,#REF!,IF(AF61&gt;#REF!,#REF!,IF(AF61&gt;#REF!,#REF!,#REF!))))</f>
        <v>#REF!</v>
      </c>
      <c r="AT61" s="31" t="e">
        <f>IF(AH61&gt;#REF!,#REF!,IF(AH61&gt;#REF!,#REF!,IF(AH61&gt;#REF!,#REF!,IF(AH61&gt;#REF!,#REF!,IF(AH61&gt;#REF!,#REF!,#REF!)))))</f>
        <v>#REF!</v>
      </c>
      <c r="AU61" s="10" t="e">
        <f t="shared" si="4"/>
        <v>#REF!</v>
      </c>
      <c r="AV61" s="10"/>
      <c r="AW61" s="10"/>
      <c r="AX61" s="10"/>
      <c r="AY61" s="31" t="str">
        <f>IFERROR(VLOOKUP(AV61,#REF!,3,0),"")</f>
        <v/>
      </c>
      <c r="AZ61" s="31" t="str">
        <f>IFERROR(VLOOKUP(AW61,#REF!,3,0),"")</f>
        <v/>
      </c>
      <c r="BA61" s="31" t="str">
        <f>IFERROR(VLOOKUP(AX61,#REF!,3,0),"")</f>
        <v/>
      </c>
      <c r="BB61" s="31" t="str">
        <f>IFERROR(AY61*#REF!+AZ61*#REF!+BA61*#REF!,"")</f>
        <v/>
      </c>
      <c r="BC61" s="32" t="str">
        <f t="shared" si="5"/>
        <v/>
      </c>
      <c r="BD61" s="32" t="str">
        <f>IFERROR(VLOOKUP(BC61*10,#REF!,2,1),"")</f>
        <v/>
      </c>
      <c r="BE61" s="10"/>
      <c r="BF61" s="10"/>
      <c r="BG61" s="10"/>
      <c r="BH61" s="11" t="s">
        <v>415</v>
      </c>
      <c r="BI61" s="10">
        <v>10.420000076293899</v>
      </c>
      <c r="BJ61" s="11" t="s">
        <v>111</v>
      </c>
      <c r="BK61" s="33" t="s">
        <v>163</v>
      </c>
      <c r="BL61" s="10">
        <f>IF([1]!s_stmnote_bank_17n(A61,$A$1,1)="0","",[1]!s_stmnote_bank_17n(A61,$A$1,1))</f>
        <v>3.54</v>
      </c>
      <c r="BM61" s="10">
        <f>IF([1]!s_stmnote_bank_18n(A61,$A$1,1)="0","",[1]!s_stmnote_bank_18n(A61,$A$1,1))</f>
        <v>0</v>
      </c>
      <c r="BN61" s="41"/>
      <c r="BO61" s="52"/>
      <c r="BP61" s="52">
        <f>[1]!s_stmnote_bank_5444(A61,$A$1,1)</f>
        <v>1.69</v>
      </c>
      <c r="BQ61" s="52">
        <f>[1]!s_stmnote_bank_129n($A61,$A$1,1)</f>
        <v>58.66</v>
      </c>
      <c r="BR61" s="52">
        <f t="shared" si="13"/>
        <v>3.7825071502476422</v>
      </c>
      <c r="BS61" s="52">
        <f>[1]!b_stm07_is(A61,19,$A$1,1,100000000)</f>
        <v>28.527726999999999</v>
      </c>
      <c r="BT61" s="52">
        <f xml:space="preserve"> [1]!s_stm07_bs(A61,"W15273164",$A$1,1,100000000)-[1]!s_stm07_bs(A61,"W17642530",$A$1,1,100000000)-[1]!s_stm07_bs(A61,"W15910877",$A$1,1,100000000)-[1]!s_stm07_bs_39(A61,$A$1,1,100000000)-[1]!s_stm07_bs(A61,"W17700468",$A$1,1,100000000)-[1]!s_stm07_bs(A61,"W16504296",$A$1,1,100000000)-[1]!s_stm07_bs(A61,"W13769069",$A$1,1,100000000)</f>
        <v>854.52516999999989</v>
      </c>
      <c r="BU61" s="52">
        <f xml:space="preserve"> [1]!s_stm07_bs(A61,"W15273164",$B$1,1,100000000)-[1]!s_stm07_bs(A61,"W17642530",$B$1,1,100000000)-[1]!s_stm07_bs(A61,"W15910877",$B$1,1,100000000)-[1]!s_stm07_bs_39(A61,$B$1,1,100000000)-[1]!s_stm07_bs(A61,"W17700468",$B$1,1,100000000)-[1]!s_stm07_bs(A61,"W16504296",$B$1,1,100000000)-[1]!s_stm07_bs(A61,"W13769069",$B$1,1,100000000)</f>
        <v>724.93828599999995</v>
      </c>
      <c r="BV61" s="52">
        <f xml:space="preserve"> [1]!s_stm07_bs(A61,"W15273164",$E$1,1,100000000)-[1]!s_stm07_bs(A61,"W17642530",$E$1,1,100000000)-[1]!s_stm07_bs(A61,"W15910877",$E$1,1,100000000)-[1]!s_stm07_bs_39(A61,$E$1,1,100000000)-[1]!s_stm07_bs(A61,"W17700468",$E$1,1,100000000)-[1]!s_stm07_bs(A61,"W16504296",$E$1,1,100000000)-[1]!s_stm07_bs(A61,"W13769069",$E$1,1,100000000)</f>
        <v>829.07</v>
      </c>
      <c r="BW61" s="52">
        <f xml:space="preserve"> [1]!s_stm07_bs(A61,"W15273164",$F$1,1,100000000)-[1]!s_stm07_bs(A61,"W17642530",$F$1,1,100000000)-[1]!s_stm07_bs(A61,"W15910877",$F$1,1,100000000)-[1]!s_stm07_bs_39(A61,$F$1,1,100000000)-[1]!s_stm07_bs(A61,"W17700468",$F$1,1,100000000)-[1]!s_stm07_bs(A61,"W16504296",$F$1,1,100000000)-[1]!s_stm07_bs(A61,"W13769069",$F$1,1,100000000)</f>
        <v>799.90218100000004</v>
      </c>
      <c r="BX61" s="52">
        <f xml:space="preserve"> [1]!s_stm07_bs(A61,"W15273164",$G$1,1,100000000)-[1]!s_stm07_bs(A61,"W17642530",$G$1,1,100000000)-[1]!s_stm07_bs(A61,"W15910877",$G$1,1,100000000)-[1]!s_stm07_bs_39(A61,$G$1,1,100000000)-[1]!s_stm07_bs(A61,"W17700468",$G$1,1,100000000)-[1]!s_stm07_bs(A61,"W16504296",$G$1,1,100000000)-[1]!s_stm07_bs(A61,"W13769069",$G$1,1,100000000)</f>
        <v>796.97</v>
      </c>
      <c r="BY61" s="52">
        <f>IFERROR([1]!b_stm07_is(A61,20,$A$1,1,100000000)/AVERAGEIF(CA61:CE61,"&gt;0")*100,0)</f>
        <v>2.8888329249828892</v>
      </c>
      <c r="BZ61" s="52">
        <f>[1]!b_stm07_is(A61,20,$A$1,1,100000000)</f>
        <v>21.417801999999998</v>
      </c>
      <c r="CA61" s="52">
        <f>[1]!s_stmnote_bank_38(A61,$A$1,1,100000000)</f>
        <v>803.33751900000004</v>
      </c>
      <c r="CB61" s="52">
        <f>[1]!s_stmnote_bank_38(A61,$B$1,1,100000000)</f>
        <v>674.49038700000006</v>
      </c>
      <c r="CC61" s="52">
        <f>[1]!s_stmnote_bank_38(A61,$E$1,1,100000000)</f>
        <v>0</v>
      </c>
      <c r="CD61" s="52">
        <f>[1]!s_stmnote_bank_38(A61,$F$1,1,100000000)</f>
        <v>746.37154299999997</v>
      </c>
      <c r="CE61" s="52">
        <f>[1]!s_stmnote_bank_38(A61,$G$1,1,100000000)</f>
        <v>0</v>
      </c>
      <c r="CF61" s="52">
        <f>IF(BP61&lt;&gt;0,BP61,IFERROR(IF(([1]!b_stm07_is(A61,19,$A$1,1,100000000)-[1]!b_stm07_is(A61,20,$A$1,1,100000000))/AVERAGE([1]!s_stmnote_bank_35(A61,$A$1,1,100000000),[1]!s_stmnote_bank_35(A61,$B$1,1,100000000))*100=0,"",([1]!b_stm07_is(A61,19,$A$1,1,100000000)-[1]!b_stm07_is(A61,20,$A$1,1,100000000))/AVERAGE([1]!s_stmnote_bank_35(A61,$A$1,1,100000000),[1]!s_stmnote_bank_35(A61,$B$1,1,100000000))*100),""))</f>
        <v>1.69</v>
      </c>
      <c r="CG61" s="27" t="str">
        <f t="shared" si="6"/>
        <v>141 171</v>
      </c>
      <c r="CH61" s="80">
        <f t="shared" si="14"/>
        <v>0.72466775770023861</v>
      </c>
      <c r="CI61" s="27" t="str">
        <f t="shared" si="7"/>
        <v>77 169</v>
      </c>
      <c r="CJ61" s="55">
        <f>[1]!s_stmnote_bank_30(A61,$A$1,1)</f>
        <v>59.825400000000002</v>
      </c>
      <c r="CP61" s="69">
        <f>[1]!b_stm07_bs($A61,141,$A$1,1,100000000)</f>
        <v>55.048715000000001</v>
      </c>
      <c r="CQ61" s="69">
        <f>[1]!b_stm07_bs($A61,141,$D$1,1,100000000)</f>
        <v>58.46</v>
      </c>
      <c r="CR61" s="68">
        <f>IF([1]!s_fa_roic_yearly($A61,$A$1)=0,"",[1]!s_fa_roic_yearly($A61,$A$1))</f>
        <v>6.8861999999999997</v>
      </c>
      <c r="CS61" s="27">
        <f t="shared" si="22"/>
        <v>0.66863905325443784</v>
      </c>
      <c r="CT61" s="68" t="str">
        <f>IF([1]!s_fa_roic_yearly($A61,$D$1)=0,"",[1]!s_fa_roic_yearly($A61,$D$1))</f>
        <v/>
      </c>
      <c r="CU61" s="27" t="e">
        <f t="shared" si="23"/>
        <v>#VALUE!</v>
      </c>
      <c r="CV61" s="78">
        <f>[1]!s_stm07_bs(A61,"W14578191",$A$1,1,100000000)</f>
        <v>495.881688</v>
      </c>
      <c r="CW61" s="78">
        <f>[1]!s_stmnote_bank_682($A61,$A$1,1,2,100000000)</f>
        <v>119.24930000000001</v>
      </c>
      <c r="CX61" s="79">
        <f t="shared" si="11"/>
        <v>0.24047933788593542</v>
      </c>
    </row>
    <row r="62" spans="1:102" s="46" customFormat="1" ht="13.5">
      <c r="A62" s="8" t="s">
        <v>326</v>
      </c>
      <c r="B62" s="8" t="s">
        <v>327</v>
      </c>
      <c r="C62" s="9" t="s">
        <v>328</v>
      </c>
      <c r="D62" s="9" t="s">
        <v>1066</v>
      </c>
      <c r="E62" s="10"/>
      <c r="F62" s="11" t="s">
        <v>66</v>
      </c>
      <c r="G62" s="11" t="s">
        <v>67</v>
      </c>
      <c r="H62" s="11" t="s">
        <v>103</v>
      </c>
      <c r="I62" s="11"/>
      <c r="J62" s="11" t="e">
        <f>VLOOKUP(B62,[3]额度信息!$B:$T,19,0)</f>
        <v>#N/A</v>
      </c>
      <c r="K62" s="11"/>
      <c r="L62" s="27">
        <f>IFERROR(([1]!b_stm07_bs($A62,47,$A$1,1,100000000))/[1]!b_stm07_bs($A62,109,$A$1,1,100000000),"")</f>
        <v>0.10375634924048918</v>
      </c>
      <c r="M62" s="20"/>
      <c r="N62" s="18"/>
      <c r="O62" s="27" t="e">
        <f t="shared" si="0"/>
        <v>#N/A</v>
      </c>
      <c r="P62" s="21">
        <f t="shared" si="12"/>
        <v>2.2748905522918795E-2</v>
      </c>
      <c r="Q62" s="27" t="str">
        <f t="shared" si="1"/>
        <v>51 169</v>
      </c>
      <c r="R62" s="18">
        <f>IFERROR([1]!s_stmnote_bank($A62,"34",$A$1,100000000)/[1]!s_stmnote_bank_1n(A62,$A$1,1,100000000),"")</f>
        <v>4.8489055229187956E-3</v>
      </c>
      <c r="S62" s="22"/>
      <c r="T62" s="22"/>
      <c r="U62" s="22"/>
      <c r="V62" s="22"/>
      <c r="W62" s="22"/>
      <c r="X62" s="22"/>
      <c r="Y62" s="22"/>
      <c r="Z62" s="25">
        <f>[1]!b_stm07_bs(A62,74,$A$1,1,100000000)</f>
        <v>1107.708714243</v>
      </c>
      <c r="AA62" s="25">
        <f>[1]!b_stm07_bs(A62,109,$A$1,1,100000000)</f>
        <v>797.25963276779999</v>
      </c>
      <c r="AB62" s="10">
        <f>[1]!s_stmnote_bank_5n(A62,$A$1,1)</f>
        <v>1.79</v>
      </c>
      <c r="AC62" s="25">
        <f>IF([1]!s_stmnote_bank_23n(A62,$A$1,1)=0,"",IFERROR([1]!s_stmnote_bank_23n(A62,$A$1,1),""))</f>
        <v>226.18</v>
      </c>
      <c r="AD62" s="27" t="str">
        <f t="shared" si="2"/>
        <v>81 167</v>
      </c>
      <c r="AE62" s="25">
        <f>[1]!s_stmnote_bank_capadequacyratio(A62,$A$1,1)</f>
        <v>13.45</v>
      </c>
      <c r="AF62" s="25">
        <f>IF([1]!s_stmnote_bank_capadequacyratio_ct1(A62,$A$1,1)=0,"",IFERROR([1]!s_stmnote_bank_capadequacyratio_ct1(A62,$A$1,1),""))</f>
        <v>12.28</v>
      </c>
      <c r="AG62" s="27" t="str">
        <f t="shared" si="21"/>
        <v>126 167</v>
      </c>
      <c r="AH62" s="6">
        <f>IF(OR([1]!s_fa_roe(A62,20201231)=0,[1]!s_fa_roe(A62,20211231)="0",[1]!s_fa_roe(A62,20221231)="0"),"",IFERROR(([1]!s_fa_roe(A62,20221231)+[1]!s_fa_roe(A62,20201231)+[1]!s_fa_roe(A62,20211231))/3,""))</f>
        <v>11.158000000000001</v>
      </c>
      <c r="AI62" s="27" t="str">
        <f t="shared" si="3"/>
        <v>140 173</v>
      </c>
      <c r="AJ62" s="28">
        <f>IFERROR(([1]!s_stmnote_bank_65(A62,$A$1,1,2,4,100000000)+[1]!s_stmnote_bank_65(A62,$A$1,1,2,6,100000000))/[1]!s_stmnote_bank_1n(A62,$A$1,1,100000000),"")</f>
        <v>8.4181366328349549E-2</v>
      </c>
      <c r="AK62" s="28">
        <f>IFERROR([1]!s_stmnote_bank_614(A62,$A$1,1,2,100000000)/[1]!s_stmnote_bank_647(A62,$A$1,1,2,100000000),"")</f>
        <v>0.30243041325362618</v>
      </c>
      <c r="AL62" s="28">
        <f>IFERROR(([1]!b_stm07_bs(A62,104,$A$1,1,100000000)+[1]!b_stm07_bs(A62,106,$A$1,1,100000000)+[1]!b_stm07_bs(A62,76,$A$1,1,100000000)+[1]!b_stm07_bs(A62,108,$A$1,1,100000000)+[1]!b_stm07_bs(A62,95,$A$1,1,100000000))/[1]!b_stm07_bs(A62,128,$A$1,1,100000000),"")</f>
        <v>0.1644436862312412</v>
      </c>
      <c r="AM62" s="28">
        <f>IFERROR(([1]!s_stmnote_bank_614(A62,$A$1,1,2,100000000)+[1]!b_stm07_bs(A62,104,$A$1,1,100000000)+[1]!b_stm07_bs(A62,106,$A$1,1,100000000)+[1]!b_stm07_bs(A62,76,$A$1,1,100000000)+[1]!b_stm07_bs(A62,108,$A$1,1,100000000)+[1]!b_stm07_bs(A62,95,$A$1,1,100000000))/[1]!b_stm07_bs(A62,128,$A$1,1,100000000),"")</f>
        <v>0.40089223792870798</v>
      </c>
      <c r="AN62" s="31" t="e">
        <f>IF(Z62&gt;#REF!,#REF!,IF(Z62&gt;#REF!,#REF!,IF(Z62&gt;#REF!,#REF!,IF(Z62&gt;#REF!,#REF!,IF(Z62&gt;#REF!,#REF!,IF(Z62&gt;#REF!,#REF!,IF(Z62&gt;#REF!,#REF!,#REF!)))))))</f>
        <v>#REF!</v>
      </c>
      <c r="AO62" s="31" t="e">
        <f>IF(AA62&gt;#REF!,#REF!,IF(AA62&gt;#REF!,#REF!,IF(AA62&gt;#REF!,#REF!,IF(AA62&gt;#REF!,#REF!,IF(AA62&gt;#REF!,#REF!,IF(AA62&gt;#REF!,#REF!,IF(AA62&gt;#REF!,#REF!,#REF!)))))))</f>
        <v>#REF!</v>
      </c>
      <c r="AP62" s="31" t="e">
        <f>IF(AB62&lt;#REF!,#REF!,IF(AB62&lt;#REF!,#REF!,IF(AB62&lt;#REF!,#REF!,IF(AB62&lt;#REF!,#REF!,IF(AB62&lt;#REF!,#REF!,IF(AB62&lt;#REF!,#REF!,#REF!))))))</f>
        <v>#REF!</v>
      </c>
      <c r="AQ62" s="31" t="e">
        <f>IF(AC62&gt;#REF!,#REF!,IF(AC62&gt;#REF!,#REF!,IF(AC62&gt;#REF!,#REF!,IF(AC62&gt;#REF!,#REF!,#REF!))))</f>
        <v>#REF!</v>
      </c>
      <c r="AR62" s="31" t="e">
        <f>IF(AE62&gt;#REF!,#REF!,IF(AE62&gt;#REF!,#REF!,IF(AE62&gt;#REF!,#REF!,IF(AE62&gt;#REF!,#REF!,#REF!))))</f>
        <v>#REF!</v>
      </c>
      <c r="AS62" s="31" t="e">
        <f>IF(AF62&gt;#REF!,#REF!,IF(AF62&gt;#REF!,#REF!,IF(AF62&gt;#REF!,#REF!,IF(AF62&gt;#REF!,#REF!,#REF!))))</f>
        <v>#REF!</v>
      </c>
      <c r="AT62" s="31" t="e">
        <f>IF(AH62&gt;#REF!,#REF!,IF(AH62&gt;#REF!,#REF!,IF(AH62&gt;#REF!,#REF!,IF(AH62&gt;#REF!,#REF!,IF(AH62&gt;#REF!,#REF!,#REF!)))))</f>
        <v>#REF!</v>
      </c>
      <c r="AU62" s="10" t="e">
        <f t="shared" si="4"/>
        <v>#REF!</v>
      </c>
      <c r="AV62" s="10"/>
      <c r="AW62" s="10"/>
      <c r="AX62" s="10"/>
      <c r="AY62" s="31" t="str">
        <f>IFERROR(VLOOKUP(AV62,#REF!,3,0),"")</f>
        <v/>
      </c>
      <c r="AZ62" s="31" t="str">
        <f>IFERROR(VLOOKUP(AW62,#REF!,3,0),"")</f>
        <v/>
      </c>
      <c r="BA62" s="31" t="str">
        <f>IFERROR(VLOOKUP(AX62,#REF!,3,0),"")</f>
        <v/>
      </c>
      <c r="BB62" s="31" t="str">
        <f>IFERROR(AY62*#REF!+AZ62*#REF!+BA62*#REF!,"")</f>
        <v/>
      </c>
      <c r="BC62" s="32" t="str">
        <f t="shared" si="5"/>
        <v/>
      </c>
      <c r="BD62" s="32" t="str">
        <f>IFERROR(VLOOKUP(BC62*10,#REF!,2,1),"")</f>
        <v/>
      </c>
      <c r="BE62" s="10"/>
      <c r="BF62" s="10"/>
      <c r="BG62" s="10"/>
      <c r="BH62" s="11" t="s">
        <v>329</v>
      </c>
      <c r="BI62" s="10">
        <v>24.9899997711182</v>
      </c>
      <c r="BJ62" s="33" t="s">
        <v>234</v>
      </c>
      <c r="BK62" s="33" t="s">
        <v>330</v>
      </c>
      <c r="BL62" s="10">
        <f>IF([1]!s_stmnote_bank_17n(A62,$A$1,1)="0","",[1]!s_stmnote_bank_17n(A62,$A$1,1))</f>
        <v>8.2799999999999994</v>
      </c>
      <c r="BM62" s="10">
        <f>IF([1]!s_stmnote_bank_18n(A62,$A$1,1)="0","",[1]!s_stmnote_bank_18n(A62,$A$1,1))</f>
        <v>0</v>
      </c>
      <c r="BN62" s="41" t="s">
        <v>67</v>
      </c>
      <c r="BO62" s="68" t="s">
        <v>67</v>
      </c>
      <c r="BP62" s="52">
        <f>[1]!s_stmnote_bank_5444(A62,$A$1,1)</f>
        <v>0</v>
      </c>
      <c r="BQ62" s="52">
        <f>[1]!s_stmnote_bank_129n($A62,$A$1,1)</f>
        <v>27.52</v>
      </c>
      <c r="BR62" s="52">
        <f t="shared" si="13"/>
        <v>2.7257465700736434</v>
      </c>
      <c r="BS62" s="52">
        <f>[1]!b_stm07_is(A62,19,$A$1,1,100000000)</f>
        <v>28.464152503400001</v>
      </c>
      <c r="BT62" s="52">
        <f xml:space="preserve"> [1]!s_stm07_bs(A62,"W15273164",$A$1,1,100000000)-[1]!s_stm07_bs(A62,"W17642530",$A$1,1,100000000)-[1]!s_stm07_bs(A62,"W15910877",$A$1,1,100000000)-[1]!s_stm07_bs_39(A62,$A$1,1,100000000)-[1]!s_stm07_bs(A62,"W17700468",$A$1,1,100000000)-[1]!s_stm07_bs(A62,"W16504296",$A$1,1,100000000)-[1]!s_stm07_bs(A62,"W13769069",$A$1,1,100000000)</f>
        <v>1098.9914207245001</v>
      </c>
      <c r="BU62" s="52">
        <f xml:space="preserve"> [1]!s_stm07_bs(A62,"W15273164",$B$1,1,100000000)-[1]!s_stm07_bs(A62,"W17642530",$B$1,1,100000000)-[1]!s_stm07_bs(A62,"W15910877",$B$1,1,100000000)-[1]!s_stm07_bs_39(A62,$B$1,1,100000000)-[1]!s_stm07_bs(A62,"W17700468",$B$1,1,100000000)-[1]!s_stm07_bs(A62,"W16504296",$B$1,1,100000000)-[1]!s_stm07_bs(A62,"W13769069",$B$1,1,100000000)</f>
        <v>1035.9539782899999</v>
      </c>
      <c r="BV62" s="52">
        <f xml:space="preserve"> [1]!s_stm07_bs(A62,"W15273164",$E$1,1,100000000)-[1]!s_stm07_bs(A62,"W17642530",$E$1,1,100000000)-[1]!s_stm07_bs(A62,"W15910877",$E$1,1,100000000)-[1]!s_stm07_bs_39(A62,$E$1,1,100000000)-[1]!s_stm07_bs(A62,"W17700468",$E$1,1,100000000)-[1]!s_stm07_bs(A62,"W16504296",$E$1,1,100000000)-[1]!s_stm07_bs(A62,"W13769069",$E$1,1,100000000)</f>
        <v>0</v>
      </c>
      <c r="BW62" s="52">
        <f xml:space="preserve"> [1]!s_stm07_bs(A62,"W15273164",$F$1,1,100000000)-[1]!s_stm07_bs(A62,"W17642530",$F$1,1,100000000)-[1]!s_stm07_bs(A62,"W15910877",$F$1,1,100000000)-[1]!s_stm07_bs_39(A62,$F$1,1,100000000)-[1]!s_stm07_bs(A62,"W17700468",$F$1,1,100000000)-[1]!s_stm07_bs(A62,"W16504296",$F$1,1,100000000)-[1]!s_stm07_bs(A62,"W13769069",$F$1,1,100000000)</f>
        <v>1055.5219598536003</v>
      </c>
      <c r="BX62" s="52">
        <f xml:space="preserve"> [1]!s_stm07_bs(A62,"W15273164",$G$1,1,100000000)-[1]!s_stm07_bs(A62,"W17642530",$G$1,1,100000000)-[1]!s_stm07_bs(A62,"W15910877",$G$1,1,100000000)-[1]!s_stm07_bs_39(A62,$G$1,1,100000000)-[1]!s_stm07_bs(A62,"W17700468",$G$1,1,100000000)-[1]!s_stm07_bs(A62,"W16504296",$G$1,1,100000000)-[1]!s_stm07_bs(A62,"W13769069",$G$1,1,100000000)</f>
        <v>1028.7467035916</v>
      </c>
      <c r="BY62" s="52">
        <f>IFERROR([1]!b_stm07_is(A62,20,$A$1,1,100000000)/AVERAGEIF(CA62:CE62,"&gt;0")*100,0)</f>
        <v>2.1757620552976071</v>
      </c>
      <c r="BZ62" s="52">
        <f>[1]!b_stm07_is(A62,20,$A$1,1,100000000)</f>
        <v>21.157015021300001</v>
      </c>
      <c r="CA62" s="52">
        <f>[1]!s_stmnote_bank_38(A62,$A$1,1,100000000)</f>
        <v>1013.3343856469</v>
      </c>
      <c r="CB62" s="52">
        <f>[1]!s_stmnote_bank_38(A62,$B$1,1,100000000)</f>
        <v>950.53150877359997</v>
      </c>
      <c r="CC62" s="52">
        <f>[1]!s_stmnote_bank_38(A62,$E$1,1,100000000)</f>
        <v>0</v>
      </c>
      <c r="CD62" s="52">
        <f>[1]!s_stmnote_bank_38(A62,$F$1,1,100000000)</f>
        <v>975.44840770940004</v>
      </c>
      <c r="CE62" s="52">
        <f>[1]!s_stmnote_bank_38(A62,$G$1,1,100000000)</f>
        <v>950.26819514479996</v>
      </c>
      <c r="CF62" s="52">
        <f>IF(BP62&lt;&gt;0,BP62,IFERROR(IF(([1]!b_stm07_is(A62,19,$A$1,1,100000000)-[1]!b_stm07_is(A62,20,$A$1,1,100000000))/AVERAGE([1]!s_stmnote_bank_35(A62,$A$1,1,100000000),[1]!s_stmnote_bank_35(A62,$B$1,1,100000000))*100=0,"",([1]!b_stm07_is(A62,19,$A$1,1,100000000)-[1]!b_stm07_is(A62,20,$A$1,1,100000000))/AVERAGE([1]!s_stmnote_bank_35(A62,$A$1,1,100000000),[1]!s_stmnote_bank_35(A62,$B$1,1,100000000))*100),""))</f>
        <v>0.74039388233799031</v>
      </c>
      <c r="CG62" s="27" t="str">
        <f t="shared" si="6"/>
        <v>171 171</v>
      </c>
      <c r="CH62" s="80">
        <f t="shared" si="14"/>
        <v>0.32546351805455748</v>
      </c>
      <c r="CI62" s="27" t="str">
        <f t="shared" si="7"/>
        <v>138 169</v>
      </c>
      <c r="CJ62" s="55">
        <f>[1]!s_stmnote_bank_30(A62,$A$1,1)</f>
        <v>68.092100000000002</v>
      </c>
      <c r="CP62" s="69">
        <f>[1]!b_stm07_bs($A62,141,$A$1,1,100000000)</f>
        <v>87.970769233700011</v>
      </c>
      <c r="CQ62" s="69">
        <f>[1]!b_stm07_bs($A62,141,$D$1,1,100000000)</f>
        <v>91.995337608100002</v>
      </c>
      <c r="CR62" s="68">
        <f>IF([1]!s_fa_roic_yearly($A62,$A$1)=0,"",[1]!s_fa_roic_yearly($A62,$A$1))</f>
        <v>11.332100000000001</v>
      </c>
      <c r="CS62" s="27">
        <f t="shared" si="22"/>
        <v>0.20710059171597633</v>
      </c>
      <c r="CT62" s="68">
        <f>IF([1]!s_fa_roic_yearly($A62,$D$1)=0,"",[1]!s_fa_roic_yearly($A62,$D$1))</f>
        <v>13.170400000000001</v>
      </c>
      <c r="CU62" s="27">
        <f t="shared" si="23"/>
        <v>0.16901408450704225</v>
      </c>
      <c r="CV62" s="78">
        <f>[1]!s_stm07_bs(A62,"W14578191",$A$1,1,100000000)</f>
        <v>537.87365266799998</v>
      </c>
      <c r="CW62" s="78">
        <f>[1]!s_stmnote_bank_682($A62,$A$1,1,2,100000000)</f>
        <v>167.748256306</v>
      </c>
      <c r="CX62" s="79">
        <f t="shared" si="11"/>
        <v>0.31187297513816287</v>
      </c>
    </row>
    <row r="63" spans="1:102" s="46" customFormat="1" ht="13.5">
      <c r="A63" s="8" t="s">
        <v>931</v>
      </c>
      <c r="B63" s="8" t="s">
        <v>932</v>
      </c>
      <c r="C63" s="9" t="s">
        <v>933</v>
      </c>
      <c r="D63" s="9" t="s">
        <v>1061</v>
      </c>
      <c r="E63" s="10" t="s">
        <v>933</v>
      </c>
      <c r="F63" s="11" t="s">
        <v>178</v>
      </c>
      <c r="G63" s="11" t="s">
        <v>206</v>
      </c>
      <c r="H63" s="11" t="s">
        <v>245</v>
      </c>
      <c r="I63" s="11"/>
      <c r="J63" s="11">
        <f>VLOOKUP(B63,[3]额度信息!$B:$T,19,0)</f>
        <v>0</v>
      </c>
      <c r="K63" s="11" t="s">
        <v>934</v>
      </c>
      <c r="L63" s="27">
        <f>IFERROR(([1]!b_stm07_bs($A63,47,$A$1,1,100000000))/[1]!b_stm07_bs($A63,109,$A$1,1,100000000),"")</f>
        <v>0.17639834369616211</v>
      </c>
      <c r="M63" s="20"/>
      <c r="N63" s="18"/>
      <c r="O63" s="27" t="e">
        <f t="shared" si="0"/>
        <v>#N/A</v>
      </c>
      <c r="P63" s="21">
        <f t="shared" si="12"/>
        <v>2.1374721086369501E-2</v>
      </c>
      <c r="Q63" s="27" t="str">
        <f t="shared" si="1"/>
        <v>44 169</v>
      </c>
      <c r="R63" s="18">
        <v>1.2274721086369501E-2</v>
      </c>
      <c r="S63" s="22"/>
      <c r="T63" s="22"/>
      <c r="U63" s="22"/>
      <c r="V63" s="22"/>
      <c r="W63" s="22"/>
      <c r="X63" s="22"/>
      <c r="Y63" s="22"/>
      <c r="Z63" s="25">
        <f>[1]!b_stm07_bs(A63,74,$A$1,1,100000000)</f>
        <v>3294.9457440598999</v>
      </c>
      <c r="AA63" s="25">
        <f>[1]!b_stm07_bs(A63,109,$A$1,1,100000000)</f>
        <v>1855.2443806717001</v>
      </c>
      <c r="AB63" s="10">
        <f>[1]!s_stmnote_bank_5n(A63,$A$1,1)</f>
        <v>0.91</v>
      </c>
      <c r="AC63" s="25">
        <f>IF([1]!s_stmnote_bank_23n(A63,$A$1,1)=0,"",IFERROR([1]!s_stmnote_bank_23n(A63,$A$1,1),""))</f>
        <v>370.64</v>
      </c>
      <c r="AD63" s="27" t="str">
        <f t="shared" si="2"/>
        <v>128 167</v>
      </c>
      <c r="AE63" s="25">
        <f>[1]!s_stmnote_bank_capadequacyratio(A63,$A$1,1)</f>
        <v>16.399999999999999</v>
      </c>
      <c r="AF63" s="25">
        <f>IF([1]!s_stmnote_bank_capadequacyratio_ct1(A63,$A$1,1)=0,"",IFERROR([1]!s_stmnote_bank_capadequacyratio_ct1(A63,$A$1,1),""))</f>
        <v>10.47</v>
      </c>
      <c r="AG63" s="27" t="str">
        <f t="shared" si="21"/>
        <v>95 167</v>
      </c>
      <c r="AH63" s="6">
        <f>IF(OR([1]!s_fa_roe(A63,20201231)=0,[1]!s_fa_roe(A63,20211231)="0",[1]!s_fa_roe(A63,20221231)="0"),"",IFERROR(([1]!s_fa_roe(A63,20221231)+[1]!s_fa_roe(A63,20201231)+[1]!s_fa_roe(A63,20211231))/3,""))</f>
        <v>10.496666666666668</v>
      </c>
      <c r="AI63" s="27" t="str">
        <f t="shared" si="3"/>
        <v>130 173</v>
      </c>
      <c r="AJ63" s="28">
        <f>IFERROR(([1]!s_stmnote_bank_65(A63,$A$1,1,2,4,100000000)+[1]!s_stmnote_bank_65(A63,$A$1,1,2,6,100000000))/[1]!s_stmnote_bank_1n(A63,$A$1,1,100000000),"")</f>
        <v>0.10664742279184555</v>
      </c>
      <c r="AK63" s="28">
        <f>IFERROR([1]!s_stmnote_bank_614(A63,$A$1,1,2,100000000)/[1]!s_stmnote_bank_647(A63,$A$1,1,2,100000000),"")</f>
        <v>0.29821610609527355</v>
      </c>
      <c r="AL63" s="28">
        <f>IFERROR(([1]!b_stm07_bs(A63,104,$A$1,1,100000000)+[1]!b_stm07_bs(A63,106,$A$1,1,100000000)+[1]!b_stm07_bs(A63,76,$A$1,1,100000000)+[1]!b_stm07_bs(A63,108,$A$1,1,100000000)+[1]!b_stm07_bs(A63,95,$A$1,1,100000000))/[1]!b_stm07_bs(A63,128,$A$1,1,100000000),"")</f>
        <v>0.34003752931473491</v>
      </c>
      <c r="AM63" s="28">
        <f>IFERROR(([1]!s_stmnote_bank_614(A63,$A$1,1,2,100000000)+[1]!b_stm07_bs(A63,104,$A$1,1,100000000)+[1]!b_stm07_bs(A63,106,$A$1,1,100000000)+[1]!b_stm07_bs(A63,76,$A$1,1,100000000)+[1]!b_stm07_bs(A63,108,$A$1,1,100000000)+[1]!b_stm07_bs(A63,95,$A$1,1,100000000))/[1]!b_stm07_bs(A63,128,$A$1,1,100000000),"")</f>
        <v>0.51902889505842209</v>
      </c>
      <c r="AN63" s="31" t="e">
        <f>IF(Z63&gt;#REF!,#REF!,IF(Z63&gt;#REF!,#REF!,IF(Z63&gt;#REF!,#REF!,IF(Z63&gt;#REF!,#REF!,IF(Z63&gt;#REF!,#REF!,IF(Z63&gt;#REF!,#REF!,IF(Z63&gt;#REF!,#REF!,#REF!)))))))</f>
        <v>#REF!</v>
      </c>
      <c r="AO63" s="31" t="e">
        <f>IF(AA63&gt;#REF!,#REF!,IF(AA63&gt;#REF!,#REF!,IF(AA63&gt;#REF!,#REF!,IF(AA63&gt;#REF!,#REF!,IF(AA63&gt;#REF!,#REF!,IF(AA63&gt;#REF!,#REF!,IF(AA63&gt;#REF!,#REF!,#REF!)))))))</f>
        <v>#REF!</v>
      </c>
      <c r="AP63" s="31" t="e">
        <f>IF(AB63&lt;#REF!,#REF!,IF(AB63&lt;#REF!,#REF!,IF(AB63&lt;#REF!,#REF!,IF(AB63&lt;#REF!,#REF!,IF(AB63&lt;#REF!,#REF!,IF(AB63&lt;#REF!,#REF!,#REF!))))))</f>
        <v>#REF!</v>
      </c>
      <c r="AQ63" s="31" t="e">
        <f>IF(AC63&gt;#REF!,#REF!,IF(AC63&gt;#REF!,#REF!,IF(AC63&gt;#REF!,#REF!,IF(AC63&gt;#REF!,#REF!,#REF!))))</f>
        <v>#REF!</v>
      </c>
      <c r="AR63" s="31" t="e">
        <f>IF(AE63&gt;#REF!,#REF!,IF(AE63&gt;#REF!,#REF!,IF(AE63&gt;#REF!,#REF!,IF(AE63&gt;#REF!,#REF!,#REF!))))</f>
        <v>#REF!</v>
      </c>
      <c r="AS63" s="31" t="e">
        <f>IF(AF63&gt;#REF!,#REF!,IF(AF63&gt;#REF!,#REF!,IF(AF63&gt;#REF!,#REF!,IF(AF63&gt;#REF!,#REF!,#REF!))))</f>
        <v>#REF!</v>
      </c>
      <c r="AT63" s="31" t="e">
        <f>IF(AH63&gt;#REF!,#REF!,IF(AH63&gt;#REF!,#REF!,IF(AH63&gt;#REF!,#REF!,IF(AH63&gt;#REF!,#REF!,IF(AH63&gt;#REF!,#REF!,#REF!)))))</f>
        <v>#REF!</v>
      </c>
      <c r="AU63" s="10" t="e">
        <f t="shared" si="4"/>
        <v>#REF!</v>
      </c>
      <c r="AV63" s="10" t="s">
        <v>60</v>
      </c>
      <c r="AW63" s="10" t="s">
        <v>69</v>
      </c>
      <c r="AX63" s="10" t="s">
        <v>141</v>
      </c>
      <c r="AY63" s="31" t="str">
        <f>IFERROR(VLOOKUP(AV63,#REF!,3,0),"")</f>
        <v/>
      </c>
      <c r="AZ63" s="31" t="str">
        <f>IFERROR(VLOOKUP(AW63,#REF!,3,0),"")</f>
        <v/>
      </c>
      <c r="BA63" s="31" t="str">
        <f>IFERROR(VLOOKUP(AX63,#REF!,3,0),"")</f>
        <v/>
      </c>
      <c r="BB63" s="31" t="str">
        <f>IFERROR(AY63*#REF!+AZ63*#REF!+BA63*#REF!,"")</f>
        <v/>
      </c>
      <c r="BC63" s="32" t="str">
        <f t="shared" si="5"/>
        <v/>
      </c>
      <c r="BD63" s="32" t="str">
        <f>IFERROR(VLOOKUP(BC63*10,#REF!,2,1),"")</f>
        <v/>
      </c>
      <c r="BE63" s="11">
        <v>0</v>
      </c>
      <c r="BF63" s="11">
        <v>-2</v>
      </c>
      <c r="BG63" s="10" t="s">
        <v>713</v>
      </c>
      <c r="BH63" s="11" t="s">
        <v>935</v>
      </c>
      <c r="BI63" s="10">
        <v>18.2700004577637</v>
      </c>
      <c r="BJ63" s="33" t="s">
        <v>144</v>
      </c>
      <c r="BK63" s="33" t="s">
        <v>145</v>
      </c>
      <c r="BL63" s="10">
        <f>IF([1]!s_stmnote_bank_17n(A63,$A$1,1)="0","",[1]!s_stmnote_bank_17n(A63,$A$1,1))</f>
        <v>2.87</v>
      </c>
      <c r="BM63" s="10">
        <f>IF([1]!s_stmnote_bank_18n(A63,$A$1,1)="0","",[1]!s_stmnote_bank_18n(A63,$A$1,1))</f>
        <v>21.44</v>
      </c>
      <c r="BN63" s="41">
        <v>3.94</v>
      </c>
      <c r="BO63" s="68">
        <v>2.4700000000000002</v>
      </c>
      <c r="BP63" s="52">
        <f>[1]!s_stmnote_bank_5444(A63,$A$1,1)</f>
        <v>1.62</v>
      </c>
      <c r="BQ63" s="52">
        <f>[1]!s_stmnote_bank_129n($A63,$A$1,1)</f>
        <v>34.56</v>
      </c>
      <c r="BR63" s="52">
        <f t="shared" si="13"/>
        <v>3.928434967754999</v>
      </c>
      <c r="BS63" s="52">
        <f>[1]!b_stm07_is(A63,19,$A$1,1,100000000)</f>
        <v>113.7806006709</v>
      </c>
      <c r="BT63" s="52">
        <f xml:space="preserve"> [1]!s_stm07_bs(A63,"W15273164",$A$1,1,100000000)-[1]!s_stm07_bs(A63,"W17642530",$A$1,1,100000000)-[1]!s_stm07_bs(A63,"W15910877",$A$1,1,100000000)-[1]!s_stm07_bs_39(A63,$A$1,1,100000000)-[1]!s_stm07_bs(A63,"W17700468",$A$1,1,100000000)-[1]!s_stm07_bs(A63,"W16504296",$A$1,1,100000000)-[1]!s_stm07_bs(A63,"W13769069",$A$1,1,100000000)</f>
        <v>3252.1208161430995</v>
      </c>
      <c r="BU63" s="52">
        <f xml:space="preserve"> [1]!s_stm07_bs(A63,"W15273164",$B$1,1,100000000)-[1]!s_stm07_bs(A63,"W17642530",$B$1,1,100000000)-[1]!s_stm07_bs(A63,"W15910877",$B$1,1,100000000)-[1]!s_stm07_bs_39(A63,$B$1,1,100000000)-[1]!s_stm07_bs(A63,"W17700468",$B$1,1,100000000)-[1]!s_stm07_bs(A63,"W16504296",$B$1,1,100000000)-[1]!s_stm07_bs(A63,"W13769069",$B$1,1,100000000)</f>
        <v>2814.3268935612004</v>
      </c>
      <c r="BV63" s="52">
        <f xml:space="preserve"> [1]!s_stm07_bs(A63,"W15273164",$E$1,1,100000000)-[1]!s_stm07_bs(A63,"W17642530",$E$1,1,100000000)-[1]!s_stm07_bs(A63,"W15910877",$E$1,1,100000000)-[1]!s_stm07_bs_39(A63,$E$1,1,100000000)-[1]!s_stm07_bs(A63,"W17700468",$E$1,1,100000000)-[1]!s_stm07_bs(A63,"W16504296",$E$1,1,100000000)-[1]!s_stm07_bs(A63,"W13769069",$E$1,1,100000000)</f>
        <v>3155.7223900000004</v>
      </c>
      <c r="BW63" s="52">
        <f xml:space="preserve"> [1]!s_stm07_bs(A63,"W15273164",$F$1,1,100000000)-[1]!s_stm07_bs(A63,"W17642530",$F$1,1,100000000)-[1]!s_stm07_bs(A63,"W15910877",$F$1,1,100000000)-[1]!s_stm07_bs_39(A63,$F$1,1,100000000)-[1]!s_stm07_bs(A63,"W17700468",$F$1,1,100000000)-[1]!s_stm07_bs(A63,"W16504296",$F$1,1,100000000)-[1]!s_stm07_bs(A63,"W13769069",$F$1,1,100000000)</f>
        <v>3019.4710007174999</v>
      </c>
      <c r="BX63" s="52">
        <f xml:space="preserve"> [1]!s_stm07_bs(A63,"W15273164",$G$1,1,100000000)-[1]!s_stm07_bs(A63,"W17642530",$G$1,1,100000000)-[1]!s_stm07_bs(A63,"W15910877",$G$1,1,100000000)-[1]!s_stm07_bs_39(A63,$G$1,1,100000000)-[1]!s_stm07_bs(A63,"W17700468",$G$1,1,100000000)-[1]!s_stm07_bs(A63,"W16504296",$G$1,1,100000000)-[1]!s_stm07_bs(A63,"W13769069",$G$1,1,100000000)</f>
        <v>2827.1990100000007</v>
      </c>
      <c r="BY63" s="52">
        <f>IFERROR([1]!b_stm07_is(A63,20,$A$1,1,100000000)/AVERAGEIF(CA63:CE63,"&gt;0")*100,0)</f>
        <v>2.5151577685958748</v>
      </c>
      <c r="BZ63" s="52">
        <f>[1]!b_stm07_is(A63,20,$A$1,1,100000000)</f>
        <v>69.477588731599994</v>
      </c>
      <c r="CA63" s="52">
        <f>[1]!s_stmnote_bank_38(A63,$A$1,1,100000000)</f>
        <v>2988.0645321857</v>
      </c>
      <c r="CB63" s="52">
        <f>[1]!s_stmnote_bank_38(A63,$B$1,1,100000000)</f>
        <v>2554.2447761353001</v>
      </c>
      <c r="CC63" s="52">
        <f>[1]!s_stmnote_bank_38(A63,$E$1,1,100000000)</f>
        <v>2904.8887100000002</v>
      </c>
      <c r="CD63" s="52">
        <f>[1]!s_stmnote_bank_38(A63,$F$1,1,100000000)</f>
        <v>2786.2066094236998</v>
      </c>
      <c r="CE63" s="52">
        <f>[1]!s_stmnote_bank_38(A63,$G$1,1,100000000)</f>
        <v>2578.37084</v>
      </c>
      <c r="CF63" s="52">
        <f>IF(BP63&lt;&gt;0,BP63,IFERROR(IF(([1]!b_stm07_is(A63,19,$A$1,1,100000000)-[1]!b_stm07_is(A63,20,$A$1,1,100000000))/AVERAGE([1]!s_stmnote_bank_35(A63,$A$1,1,100000000),[1]!s_stmnote_bank_35(A63,$B$1,1,100000000))*100=0,"",([1]!b_stm07_is(A63,19,$A$1,1,100000000)-[1]!b_stm07_is(A63,20,$A$1,1,100000000))/AVERAGE([1]!s_stmnote_bank_35(A63,$A$1,1,100000000),[1]!s_stmnote_bank_35(A63,$B$1,1,100000000))*100),""))</f>
        <v>1.62</v>
      </c>
      <c r="CG63" s="27" t="str">
        <f t="shared" si="6"/>
        <v>145 171</v>
      </c>
      <c r="CH63" s="80">
        <f t="shared" si="14"/>
        <v>0.75790462642951728</v>
      </c>
      <c r="CI63" s="27" t="str">
        <f t="shared" si="7"/>
        <v>72 169</v>
      </c>
      <c r="CJ63" s="55">
        <f>[1]!s_stmnote_bank_30(A63,$A$1,1)</f>
        <v>16.653600000000001</v>
      </c>
      <c r="CP63" s="69">
        <f>[1]!b_stm07_bs($A63,141,$A$1,1,100000000)</f>
        <v>232.65278390669999</v>
      </c>
      <c r="CQ63" s="69">
        <f>[1]!b_stm07_bs($A63,141,$D$1,1,100000000)</f>
        <v>237.1286970864</v>
      </c>
      <c r="CR63" s="68">
        <f>IF([1]!s_fa_roic_yearly($A63,$A$1)=0,"",[1]!s_fa_roic_yearly($A63,$A$1))</f>
        <v>10.2971</v>
      </c>
      <c r="CS63" s="27">
        <f t="shared" si="22"/>
        <v>0.30769230769230771</v>
      </c>
      <c r="CT63" s="68">
        <f>IF([1]!s_fa_roic_yearly($A63,$D$1)=0,"",[1]!s_fa_roic_yearly($A63,$D$1))</f>
        <v>10.7262</v>
      </c>
      <c r="CU63" s="27">
        <f t="shared" si="23"/>
        <v>0.40845070422535212</v>
      </c>
      <c r="CV63" s="78">
        <f>[1]!s_stm07_bs(A63,"W14578191",$A$1,1,100000000)</f>
        <v>1694.9235465607001</v>
      </c>
      <c r="CW63" s="78">
        <f>[1]!s_stmnote_bank_682($A63,$A$1,1,2,100000000)</f>
        <v>667.01043614820003</v>
      </c>
      <c r="CX63" s="79">
        <f t="shared" si="11"/>
        <v>0.39353423197269416</v>
      </c>
    </row>
    <row r="64" spans="1:102" s="46" customFormat="1" ht="13.5">
      <c r="A64" s="8" t="s">
        <v>697</v>
      </c>
      <c r="B64" s="8" t="s">
        <v>312</v>
      </c>
      <c r="C64" s="9" t="s">
        <v>698</v>
      </c>
      <c r="D64" s="9" t="s">
        <v>1064</v>
      </c>
      <c r="E64" s="10" t="s">
        <v>698</v>
      </c>
      <c r="F64" s="11" t="s">
        <v>178</v>
      </c>
      <c r="G64" s="11" t="s">
        <v>178</v>
      </c>
      <c r="H64" s="11" t="s">
        <v>66</v>
      </c>
      <c r="I64" s="11"/>
      <c r="J64" s="11">
        <f>VLOOKUP(B64,[3]额度信息!$B:$T,19,0)</f>
        <v>0</v>
      </c>
      <c r="K64" s="11" t="s">
        <v>699</v>
      </c>
      <c r="L64" s="27">
        <f>IFERROR(([1]!b_stm07_bs($A64,47,$A$1,1,100000000))/[1]!b_stm07_bs($A64,109,$A$1,1,100000000),"")</f>
        <v>8.8832313206541294E-2</v>
      </c>
      <c r="M64" s="20">
        <v>451.4</v>
      </c>
      <c r="N64" s="18">
        <f>IFERROR(([1]!s_stmnote_bank_26($A64,$A$1,1,100000000)-[1]!s_stmnote_bank_26($A64,$B$1,1,100000000)+M64)/[1]!s_stmnote_bank_1n($A64,$B$1,1,100000000),"")</f>
        <v>8.4283000949667616E-3</v>
      </c>
      <c r="O64" s="27" t="str">
        <f t="shared" si="0"/>
        <v>22 50</v>
      </c>
      <c r="P64" s="21">
        <f t="shared" si="12"/>
        <v>2.1240873795889601E-2</v>
      </c>
      <c r="Q64" s="27" t="str">
        <f t="shared" si="1"/>
        <v>43 169</v>
      </c>
      <c r="R64" s="18">
        <v>1.2140873795889601E-2</v>
      </c>
      <c r="S64" s="22">
        <v>2.6119486226379499E-2</v>
      </c>
      <c r="T64" s="22">
        <v>1.0894067034082199E-2</v>
      </c>
      <c r="U64" s="22">
        <v>1.24962126113729E-2</v>
      </c>
      <c r="V64" s="22"/>
      <c r="W64" s="22">
        <v>1.9057312233719699E-3</v>
      </c>
      <c r="X64" s="22">
        <v>1.2361646041081399E-2</v>
      </c>
      <c r="Y64" s="22">
        <v>0.99072210065645505</v>
      </c>
      <c r="Z64" s="25">
        <f>[1]!b_stm07_bs(A64,74,$A$1,1,100000000)</f>
        <v>92490.21</v>
      </c>
      <c r="AA64" s="25">
        <f>[1]!b_stm07_bs(A64,109,$A$1,1,100000000)</f>
        <v>63851.54</v>
      </c>
      <c r="AB64" s="10">
        <f>[1]!s_stmnote_bank_5n(A64,$A$1,1)</f>
        <v>0.91</v>
      </c>
      <c r="AC64" s="25">
        <f>IF([1]!s_stmnote_bank_23n(A64,$A$1,1)=0,"",IFERROR([1]!s_stmnote_bank_23n(A64,$A$1,1),""))</f>
        <v>483.87</v>
      </c>
      <c r="AD64" s="27" t="str">
        <f t="shared" si="2"/>
        <v>145 167</v>
      </c>
      <c r="AE64" s="25">
        <f>[1]!s_stmnote_bank_capadequacyratio(A64,$A$1,1)</f>
        <v>17.48</v>
      </c>
      <c r="AF64" s="25">
        <f>IF([1]!s_stmnote_bank_capadequacyratio_ct1(A64,$A$1,1)=0,"",IFERROR([1]!s_stmnote_bank_capadequacyratio_ct1(A64,$A$1,1),""))</f>
        <v>12.66</v>
      </c>
      <c r="AG64" s="27" t="str">
        <f t="shared" si="21"/>
        <v>132 167</v>
      </c>
      <c r="AH64" s="6">
        <f>IF(OR([1]!s_fa_roe(A64,20201231)=0,[1]!s_fa_roe(A64,20211231)="0",[1]!s_fa_roe(A64,20221231)="0"),"",IFERROR(([1]!s_fa_roe(A64,20221231)+[1]!s_fa_roe(A64,20201231)+[1]!s_fa_roe(A64,20211231))/3,""))</f>
        <v>15.0124</v>
      </c>
      <c r="AI64" s="27" t="str">
        <f t="shared" si="3"/>
        <v>170 173</v>
      </c>
      <c r="AJ64" s="28">
        <f>IFERROR(([1]!s_stmnote_bank_65(A64,$A$1,1,2,4,100000000)+[1]!s_stmnote_bank_65(A64,$A$1,1,2,6,100000000))/[1]!s_stmnote_bank_1n(A64,$A$1,1,100000000),"")</f>
        <v>9.3830306960424312E-2</v>
      </c>
      <c r="AK64" s="28">
        <f>IFERROR([1]!s_stmnote_bank_614(A64,$A$1,1,2,100000000)/[1]!s_stmnote_bank_647(A64,$A$1,1,2,100000000),"")</f>
        <v>0.41795878355362892</v>
      </c>
      <c r="AL64" s="28">
        <f>IFERROR(([1]!b_stm07_bs(A64,104,$A$1,1,100000000)+[1]!b_stm07_bs(A64,106,$A$1,1,100000000)+[1]!b_stm07_bs(A64,76,$A$1,1,100000000)+[1]!b_stm07_bs(A64,108,$A$1,1,100000000)+[1]!b_stm07_bs(A64,95,$A$1,1,100000000))/[1]!b_stm07_bs(A64,128,$A$1,1,100000000),"")</f>
        <v>0.18986871581016637</v>
      </c>
      <c r="AM64" s="28">
        <f>IFERROR(([1]!s_stmnote_bank_614(A64,$A$1,1,2,100000000)+[1]!b_stm07_bs(A64,104,$A$1,1,100000000)+[1]!b_stm07_bs(A64,106,$A$1,1,100000000)+[1]!b_stm07_bs(A64,76,$A$1,1,100000000)+[1]!b_stm07_bs(A64,108,$A$1,1,100000000)+[1]!b_stm07_bs(A64,95,$A$1,1,100000000))/[1]!b_stm07_bs(A64,128,$A$1,1,100000000),"")</f>
        <v>0.50630786774722247</v>
      </c>
      <c r="AN64" s="31" t="e">
        <f>IF(Z64&gt;#REF!,#REF!,IF(Z64&gt;#REF!,#REF!,IF(Z64&gt;#REF!,#REF!,IF(Z64&gt;#REF!,#REF!,IF(Z64&gt;#REF!,#REF!,IF(Z64&gt;#REF!,#REF!,IF(Z64&gt;#REF!,#REF!,#REF!)))))))</f>
        <v>#REF!</v>
      </c>
      <c r="AO64" s="31" t="e">
        <f>IF(AA64&gt;#REF!,#REF!,IF(AA64&gt;#REF!,#REF!,IF(AA64&gt;#REF!,#REF!,IF(AA64&gt;#REF!,#REF!,IF(AA64&gt;#REF!,#REF!,IF(AA64&gt;#REF!,#REF!,IF(AA64&gt;#REF!,#REF!,#REF!)))))))</f>
        <v>#REF!</v>
      </c>
      <c r="AP64" s="31" t="e">
        <f>IF(AB64&lt;#REF!,#REF!,IF(AB64&lt;#REF!,#REF!,IF(AB64&lt;#REF!,#REF!,IF(AB64&lt;#REF!,#REF!,IF(AB64&lt;#REF!,#REF!,IF(AB64&lt;#REF!,#REF!,#REF!))))))</f>
        <v>#REF!</v>
      </c>
      <c r="AQ64" s="31" t="e">
        <f>IF(AC64&gt;#REF!,#REF!,IF(AC64&gt;#REF!,#REF!,IF(AC64&gt;#REF!,#REF!,IF(AC64&gt;#REF!,#REF!,#REF!))))</f>
        <v>#REF!</v>
      </c>
      <c r="AR64" s="31" t="e">
        <f>IF(AE64&gt;#REF!,#REF!,IF(AE64&gt;#REF!,#REF!,IF(AE64&gt;#REF!,#REF!,IF(AE64&gt;#REF!,#REF!,#REF!))))</f>
        <v>#REF!</v>
      </c>
      <c r="AS64" s="31" t="e">
        <f>IF(AF64&gt;#REF!,#REF!,IF(AF64&gt;#REF!,#REF!,IF(AF64&gt;#REF!,#REF!,IF(AF64&gt;#REF!,#REF!,#REF!))))</f>
        <v>#REF!</v>
      </c>
      <c r="AT64" s="31" t="e">
        <f>IF(AH64&gt;#REF!,#REF!,IF(AH64&gt;#REF!,#REF!,IF(AH64&gt;#REF!,#REF!,IF(AH64&gt;#REF!,#REF!,IF(AH64&gt;#REF!,#REF!,#REF!)))))</f>
        <v>#REF!</v>
      </c>
      <c r="AU64" s="10" t="e">
        <f t="shared" si="4"/>
        <v>#REF!</v>
      </c>
      <c r="AV64" s="10" t="s">
        <v>395</v>
      </c>
      <c r="AW64" s="10" t="s">
        <v>69</v>
      </c>
      <c r="AX64" s="10" t="s">
        <v>261</v>
      </c>
      <c r="AY64" s="31" t="str">
        <f>IFERROR(VLOOKUP(AV64,#REF!,3,0),"")</f>
        <v/>
      </c>
      <c r="AZ64" s="31" t="str">
        <f>IFERROR(VLOOKUP(AW64,#REF!,3,0),"")</f>
        <v/>
      </c>
      <c r="BA64" s="31" t="str">
        <f>IFERROR(VLOOKUP(AX64,#REF!,3,0),"")</f>
        <v/>
      </c>
      <c r="BB64" s="31" t="str">
        <f>IFERROR(AY64*#REF!+AZ64*#REF!+BA64*#REF!,"")</f>
        <v/>
      </c>
      <c r="BC64" s="32" t="str">
        <f t="shared" si="5"/>
        <v/>
      </c>
      <c r="BD64" s="32" t="str">
        <f>IFERROR(VLOOKUP(BC64*10,#REF!,2,1),"")</f>
        <v/>
      </c>
      <c r="BE64" s="11">
        <v>2</v>
      </c>
      <c r="BF64" s="11">
        <v>-1</v>
      </c>
      <c r="BG64" s="10" t="s">
        <v>532</v>
      </c>
      <c r="BH64" s="11" t="s">
        <v>634</v>
      </c>
      <c r="BI64" s="10">
        <v>18.049999237060501</v>
      </c>
      <c r="BJ64" s="33" t="s">
        <v>71</v>
      </c>
      <c r="BK64" s="33" t="s">
        <v>72</v>
      </c>
      <c r="BL64" s="10">
        <f>IF([1]!s_stmnote_bank_17n(A64,$A$1,1)="0","",[1]!s_stmnote_bank_17n(A64,$A$1,1))</f>
        <v>0</v>
      </c>
      <c r="BM64" s="10">
        <f>IF([1]!s_stmnote_bank_18n(A64,$A$1,1)="0","",[1]!s_stmnote_bank_18n(A64,$A$1,1))</f>
        <v>0</v>
      </c>
      <c r="BN64" s="41">
        <v>3.89</v>
      </c>
      <c r="BO64" s="52">
        <v>1.61</v>
      </c>
      <c r="BP64" s="52">
        <f>[1]!s_stmnote_bank_5444(A64,$A$1,1)</f>
        <v>2.48</v>
      </c>
      <c r="BQ64" s="52">
        <f>[1]!s_stmnote_bank_129n($A64,$A$1,1)</f>
        <v>33.119999999999997</v>
      </c>
      <c r="BR64" s="52">
        <f t="shared" si="13"/>
        <v>3.9433956288987817</v>
      </c>
      <c r="BS64" s="52">
        <f>[1]!b_stm07_is(A64,19,$A$1,1,100000000)</f>
        <v>3270.56</v>
      </c>
      <c r="BT64" s="52">
        <f xml:space="preserve"> [1]!s_stm07_bs(A64,"W15273164",$A$1,1,100000000)-[1]!s_stm07_bs(A64,"W17642530",$A$1,1,100000000)-[1]!s_stm07_bs(A64,"W15910877",$A$1,1,100000000)-[1]!s_stm07_bs_39(A64,$A$1,1,100000000)-[1]!s_stm07_bs(A64,"W17700468",$A$1,1,100000000)-[1]!s_stm07_bs(A64,"W16504296",$A$1,1,100000000)-[1]!s_stm07_bs(A64,"W13769069",$A$1,1,100000000)</f>
        <v>89456.900000000009</v>
      </c>
      <c r="BU64" s="52">
        <f xml:space="preserve"> [1]!s_stm07_bs(A64,"W15273164",$B$1,1,100000000)-[1]!s_stm07_bs(A64,"W17642530",$B$1,1,100000000)-[1]!s_stm07_bs(A64,"W15910877",$B$1,1,100000000)-[1]!s_stm07_bs_39(A64,$B$1,1,100000000)-[1]!s_stm07_bs(A64,"W17700468",$B$1,1,100000000)-[1]!s_stm07_bs(A64,"W16504296",$B$1,1,100000000)-[1]!s_stm07_bs(A64,"W13769069",$B$1,1,100000000)</f>
        <v>81139.610000000015</v>
      </c>
      <c r="BV64" s="52">
        <f xml:space="preserve"> [1]!s_stm07_bs(A64,"W15273164",$E$1,1,100000000)-[1]!s_stm07_bs(A64,"W17642530",$E$1,1,100000000)-[1]!s_stm07_bs(A64,"W15910877",$E$1,1,100000000)-[1]!s_stm07_bs_39(A64,$E$1,1,100000000)-[1]!s_stm07_bs(A64,"W17700468",$E$1,1,100000000)-[1]!s_stm07_bs(A64,"W16504296",$E$1,1,100000000)-[1]!s_stm07_bs(A64,"W13769069",$E$1,1,100000000)</f>
        <v>86841.86</v>
      </c>
      <c r="BW64" s="52">
        <f xml:space="preserve"> [1]!s_stm07_bs(A64,"W15273164",$F$1,1,100000000)-[1]!s_stm07_bs(A64,"W17642530",$F$1,1,100000000)-[1]!s_stm07_bs(A64,"W15910877",$F$1,1,100000000)-[1]!s_stm07_bs_39(A64,$F$1,1,100000000)-[1]!s_stm07_bs(A64,"W17700468",$F$1,1,100000000)-[1]!s_stm07_bs(A64,"W16504296",$F$1,1,100000000)-[1]!s_stm07_bs(A64,"W13769069",$F$1,1,100000000)</f>
        <v>86389.150000000009</v>
      </c>
      <c r="BX64" s="52">
        <f xml:space="preserve"> [1]!s_stm07_bs(A64,"W15273164",$G$1,1,100000000)-[1]!s_stm07_bs(A64,"W17642530",$G$1,1,100000000)-[1]!s_stm07_bs(A64,"W15910877",$G$1,1,100000000)-[1]!s_stm07_bs_39(A64,$G$1,1,100000000)-[1]!s_stm07_bs(A64,"W17700468",$G$1,1,100000000)-[1]!s_stm07_bs(A64,"W16504296",$G$1,1,100000000)-[1]!s_stm07_bs(A64,"W13769069",$G$1,1,100000000)</f>
        <v>84264.670000000013</v>
      </c>
      <c r="BY64" s="52">
        <f>IFERROR([1]!b_stm07_is(A64,20,$A$1,1,100000000)/AVERAGEIF(CA64:CE64,"&gt;0")*100,0)</f>
        <v>1.5785621473931977</v>
      </c>
      <c r="BZ64" s="52">
        <f>[1]!b_stm07_is(A64,20,$A$1,1,100000000)</f>
        <v>1231.3699999999999</v>
      </c>
      <c r="CA64" s="52">
        <f>[1]!s_stmnote_bank_38(A64,$A$1,1,100000000)</f>
        <v>81368.75</v>
      </c>
      <c r="CB64" s="52">
        <f>[1]!s_stmnote_bank_38(A64,$B$1,1,100000000)</f>
        <v>74120.95</v>
      </c>
      <c r="CC64" s="52">
        <f>[1]!s_stmnote_bank_38(A64,$E$1,1,100000000)</f>
        <v>78796.45</v>
      </c>
      <c r="CD64" s="52">
        <f>[1]!s_stmnote_bank_38(A64,$F$1,1,100000000)</f>
        <v>78827.11</v>
      </c>
      <c r="CE64" s="52">
        <f>[1]!s_stmnote_bank_38(A64,$G$1,1,100000000)</f>
        <v>76915.73</v>
      </c>
      <c r="CF64" s="52">
        <f>IF(BP64&lt;&gt;0,BP64,IFERROR(IF(([1]!b_stm07_is(A64,19,$A$1,1,100000000)-[1]!b_stm07_is(A64,20,$A$1,1,100000000))/AVERAGE([1]!s_stmnote_bank_35(A64,$A$1,1,100000000),[1]!s_stmnote_bank_35(A64,$B$1,1,100000000))*100=0,"",([1]!b_stm07_is(A64,19,$A$1,1,100000000)-[1]!b_stm07_is(A64,20,$A$1,1,100000000))/AVERAGE([1]!s_stmnote_bank_35(A64,$A$1,1,100000000),[1]!s_stmnote_bank_35(A64,$B$1,1,100000000))*100),""))</f>
        <v>2.48</v>
      </c>
      <c r="CG64" s="27" t="str">
        <f t="shared" si="6"/>
        <v>27 171</v>
      </c>
      <c r="CH64" s="80">
        <f t="shared" si="14"/>
        <v>1.1675602537970513</v>
      </c>
      <c r="CI64" s="27" t="str">
        <f t="shared" si="7"/>
        <v>33 169</v>
      </c>
      <c r="CJ64" s="55">
        <f>[1]!s_stmnote_bank_30(A64,$A$1,1)</f>
        <v>38.440100000000001</v>
      </c>
      <c r="CK64" s="66">
        <v>2656.01</v>
      </c>
      <c r="CL64" s="66">
        <v>658.08</v>
      </c>
      <c r="CM64" s="64">
        <f>CK64/(5/8*[1]!s_stmnote_bank_1n($A64,$A$1,1,100000000)+[1]!s_stmnote_bank_1n($A64,$B$1,1,100000000)*3/8)</f>
        <v>4.9486004722113432E-2</v>
      </c>
      <c r="CN64" s="48"/>
      <c r="CO64" s="48"/>
      <c r="CP64" s="69">
        <f>[1]!b_stm07_bs($A64,141,$A$1,1,100000000)</f>
        <v>8656.81</v>
      </c>
      <c r="CQ64" s="69">
        <f>[1]!b_stm07_bs($A64,141,$D$1,1,100000000)</f>
        <v>8956.66</v>
      </c>
      <c r="CR64" s="68">
        <f>IF([1]!s_fa_roic_yearly($A64,$A$1)=0,"",[1]!s_fa_roic_yearly($A64,$A$1))</f>
        <v>15.1561</v>
      </c>
      <c r="CS64" s="27">
        <f t="shared" si="22"/>
        <v>4.142011834319527E-2</v>
      </c>
      <c r="CT64" s="68">
        <f>IF([1]!s_fa_roic_yearly($A64,$D$1)=0,"",[1]!s_fa_roic_yearly($A64,$D$1))</f>
        <v>15.896800000000001</v>
      </c>
      <c r="CU64" s="27">
        <f t="shared" si="23"/>
        <v>6.3380281690140844E-2</v>
      </c>
      <c r="CV64" s="78">
        <f>[1]!s_stm07_bs(A64,"W14578191",$A$1,1,100000000)</f>
        <v>53353.91</v>
      </c>
      <c r="CW64" s="78">
        <f>[1]!s_stmnote_bank_682($A64,$A$1,1,2,100000000)</f>
        <v>29877.91</v>
      </c>
      <c r="CX64" s="79">
        <f t="shared" si="11"/>
        <v>0.55999475952184197</v>
      </c>
    </row>
    <row r="65" spans="1:102" s="46" customFormat="1" ht="13.5">
      <c r="A65" s="8" t="s">
        <v>158</v>
      </c>
      <c r="B65" s="8" t="s">
        <v>159</v>
      </c>
      <c r="C65" s="9" t="s">
        <v>160</v>
      </c>
      <c r="D65" s="9" t="s">
        <v>1066</v>
      </c>
      <c r="E65" s="10"/>
      <c r="F65" s="11" t="s">
        <v>90</v>
      </c>
      <c r="G65" s="11" t="s">
        <v>67</v>
      </c>
      <c r="H65" s="11" t="s">
        <v>103</v>
      </c>
      <c r="I65" s="11"/>
      <c r="J65" s="11" t="e">
        <f>VLOOKUP(B65,[3]额度信息!$B:$T,19,0)</f>
        <v>#N/A</v>
      </c>
      <c r="K65" s="11"/>
      <c r="L65" s="27">
        <f>IFERROR(([1]!b_stm07_bs($A65,47,$A$1,1,100000000))/[1]!b_stm07_bs($A65,109,$A$1,1,100000000),"")</f>
        <v>8.0710303921418328E-2</v>
      </c>
      <c r="M65" s="20"/>
      <c r="N65" s="18"/>
      <c r="O65" s="27" t="e">
        <f t="shared" si="0"/>
        <v>#N/A</v>
      </c>
      <c r="P65" s="21">
        <f t="shared" si="12"/>
        <v>2.6100121608925768E-2</v>
      </c>
      <c r="Q65" s="27" t="str">
        <f t="shared" si="1"/>
        <v>65 169</v>
      </c>
      <c r="R65" s="18">
        <f>IFERROR([1]!s_stmnote_bank($A65,"34",$A$1,100000000)/[1]!s_stmnote_bank_1n(A65,$A$1,1,100000000),"")</f>
        <v>1.7200121608925766E-2</v>
      </c>
      <c r="S65" s="22"/>
      <c r="T65" s="22"/>
      <c r="U65" s="22"/>
      <c r="V65" s="22"/>
      <c r="W65" s="22"/>
      <c r="X65" s="22"/>
      <c r="Y65" s="22"/>
      <c r="Z65" s="25">
        <f>[1]!b_stm07_bs(A65,74,$A$1,1,100000000)</f>
        <v>618.28503092220001</v>
      </c>
      <c r="AA65" s="25">
        <f>[1]!b_stm07_bs(A65,109,$A$1,1,100000000)</f>
        <v>510.36214190699997</v>
      </c>
      <c r="AB65" s="10">
        <f>[1]!s_stmnote_bank_5n(A65,$A$1,1)</f>
        <v>0.89</v>
      </c>
      <c r="AC65" s="25">
        <f>IF([1]!s_stmnote_bank_23n(A65,$A$1,1)=0,"",IFERROR([1]!s_stmnote_bank_23n(A65,$A$1,1),""))</f>
        <v>666.09</v>
      </c>
      <c r="AD65" s="27" t="str">
        <f t="shared" si="2"/>
        <v>162 167</v>
      </c>
      <c r="AE65" s="25">
        <f>[1]!s_stmnote_bank_capadequacyratio(A65,$A$1,1)</f>
        <v>13.42</v>
      </c>
      <c r="AF65" s="25">
        <f>IF([1]!s_stmnote_bank_capadequacyratio_ct1(A65,$A$1,1)=0,"",IFERROR([1]!s_stmnote_bank_capadequacyratio_ct1(A65,$A$1,1),""))</f>
        <v>12.28</v>
      </c>
      <c r="AG65" s="27" t="str">
        <f t="shared" si="21"/>
        <v>126 167</v>
      </c>
      <c r="AH65" s="6">
        <f>IF(OR([1]!s_fa_roe(A65,20201231)=0,[1]!s_fa_roe(A65,20211231)="0",[1]!s_fa_roe(A65,20221231)="0"),"",IFERROR(([1]!s_fa_roe(A65,20221231)+[1]!s_fa_roe(A65,20201231)+[1]!s_fa_roe(A65,20211231))/3,""))</f>
        <v>13.487200000000001</v>
      </c>
      <c r="AI65" s="27" t="str">
        <f t="shared" si="3"/>
        <v>160 173</v>
      </c>
      <c r="AJ65" s="28">
        <f>IFERROR(([1]!s_stmnote_bank_65(A65,$A$1,1,2,4,100000000)+[1]!s_stmnote_bank_65(A65,$A$1,1,2,6,100000000))/[1]!s_stmnote_bank_1n(A65,$A$1,1,100000000),"")</f>
        <v>0.1629321020797635</v>
      </c>
      <c r="AK65" s="28">
        <f>IFERROR([1]!s_stmnote_bank_614(A65,$A$1,1,2,100000000)/[1]!s_stmnote_bank_647(A65,$A$1,1,2,100000000),"")</f>
        <v>0.22439394916045449</v>
      </c>
      <c r="AL65" s="28">
        <f>IFERROR(([1]!b_stm07_bs(A65,104,$A$1,1,100000000)+[1]!b_stm07_bs(A65,106,$A$1,1,100000000)+[1]!b_stm07_bs(A65,76,$A$1,1,100000000)+[1]!b_stm07_bs(A65,108,$A$1,1,100000000)+[1]!b_stm07_bs(A65,95,$A$1,1,100000000))/[1]!b_stm07_bs(A65,128,$A$1,1,100000000),"")</f>
        <v>5.1875237819711519E-2</v>
      </c>
      <c r="AM65" s="28">
        <f>IFERROR(([1]!s_stmnote_bank_614(A65,$A$1,1,2,100000000)+[1]!b_stm07_bs(A65,104,$A$1,1,100000000)+[1]!b_stm07_bs(A65,106,$A$1,1,100000000)+[1]!b_stm07_bs(A65,76,$A$1,1,100000000)+[1]!b_stm07_bs(A65,108,$A$1,1,100000000)+[1]!b_stm07_bs(A65,95,$A$1,1,100000000))/[1]!b_stm07_bs(A65,128,$A$1,1,100000000),"")</f>
        <v>0.25456027236997664</v>
      </c>
      <c r="AN65" s="31" t="e">
        <f>IF(Z65&gt;#REF!,#REF!,IF(Z65&gt;#REF!,#REF!,IF(Z65&gt;#REF!,#REF!,IF(Z65&gt;#REF!,#REF!,IF(Z65&gt;#REF!,#REF!,IF(Z65&gt;#REF!,#REF!,IF(Z65&gt;#REF!,#REF!,#REF!)))))))</f>
        <v>#REF!</v>
      </c>
      <c r="AO65" s="31" t="e">
        <f>IF(AA65&gt;#REF!,#REF!,IF(AA65&gt;#REF!,#REF!,IF(AA65&gt;#REF!,#REF!,IF(AA65&gt;#REF!,#REF!,IF(AA65&gt;#REF!,#REF!,IF(AA65&gt;#REF!,#REF!,IF(AA65&gt;#REF!,#REF!,#REF!)))))))</f>
        <v>#REF!</v>
      </c>
      <c r="AP65" s="31" t="e">
        <f>IF(AB65&lt;#REF!,#REF!,IF(AB65&lt;#REF!,#REF!,IF(AB65&lt;#REF!,#REF!,IF(AB65&lt;#REF!,#REF!,IF(AB65&lt;#REF!,#REF!,IF(AB65&lt;#REF!,#REF!,#REF!))))))</f>
        <v>#REF!</v>
      </c>
      <c r="AQ65" s="31" t="e">
        <f>IF(AC65&gt;#REF!,#REF!,IF(AC65&gt;#REF!,#REF!,IF(AC65&gt;#REF!,#REF!,IF(AC65&gt;#REF!,#REF!,#REF!))))</f>
        <v>#REF!</v>
      </c>
      <c r="AR65" s="31" t="e">
        <f>IF(AE65&gt;#REF!,#REF!,IF(AE65&gt;#REF!,#REF!,IF(AE65&gt;#REF!,#REF!,IF(AE65&gt;#REF!,#REF!,#REF!))))</f>
        <v>#REF!</v>
      </c>
      <c r="AS65" s="31" t="e">
        <f>IF(AF65&gt;#REF!,#REF!,IF(AF65&gt;#REF!,#REF!,IF(AF65&gt;#REF!,#REF!,IF(AF65&gt;#REF!,#REF!,#REF!))))</f>
        <v>#REF!</v>
      </c>
      <c r="AT65" s="31" t="e">
        <f>IF(AH65&gt;#REF!,#REF!,IF(AH65&gt;#REF!,#REF!,IF(AH65&gt;#REF!,#REF!,IF(AH65&gt;#REF!,#REF!,IF(AH65&gt;#REF!,#REF!,#REF!)))))</f>
        <v>#REF!</v>
      </c>
      <c r="AU65" s="10" t="e">
        <f t="shared" si="4"/>
        <v>#REF!</v>
      </c>
      <c r="AV65" s="10" t="s">
        <v>68</v>
      </c>
      <c r="AW65" s="10" t="s">
        <v>161</v>
      </c>
      <c r="AX65" s="10" t="s">
        <v>62</v>
      </c>
      <c r="AY65" s="31" t="str">
        <f>IFERROR(VLOOKUP(AV65,#REF!,3,0),"")</f>
        <v/>
      </c>
      <c r="AZ65" s="31" t="str">
        <f>IFERROR(VLOOKUP(AW65,#REF!,3,0),"")</f>
        <v/>
      </c>
      <c r="BA65" s="31" t="str">
        <f>IFERROR(VLOOKUP(AX65,#REF!,3,0),"")</f>
        <v/>
      </c>
      <c r="BB65" s="31" t="str">
        <f>IFERROR(AY65*#REF!+AZ65*#REF!+BA65*#REF!,"")</f>
        <v/>
      </c>
      <c r="BC65" s="32" t="str">
        <f t="shared" si="5"/>
        <v/>
      </c>
      <c r="BD65" s="32" t="str">
        <f>IFERROR(VLOOKUP(BC65*10,#REF!,2,1),"")</f>
        <v/>
      </c>
      <c r="BE65" s="10"/>
      <c r="BF65" s="10"/>
      <c r="BG65" s="10"/>
      <c r="BH65" s="11" t="s">
        <v>162</v>
      </c>
      <c r="BI65" s="10">
        <v>0.730000019073486</v>
      </c>
      <c r="BJ65" s="11" t="s">
        <v>111</v>
      </c>
      <c r="BK65" s="33" t="s">
        <v>163</v>
      </c>
      <c r="BL65" s="10">
        <f>IF([1]!s_stmnote_bank_17n(A65,$A$1,1)="0","",[1]!s_stmnote_bank_17n(A65,$A$1,1))</f>
        <v>0</v>
      </c>
      <c r="BM65" s="10">
        <f>IF([1]!s_stmnote_bank_18n(A65,$A$1,1)="0","",[1]!s_stmnote_bank_18n(A65,$A$1,1))</f>
        <v>0</v>
      </c>
      <c r="BN65" s="41" t="s">
        <v>67</v>
      </c>
      <c r="BO65" s="68" t="s">
        <v>67</v>
      </c>
      <c r="BP65" s="52">
        <f>[1]!s_stmnote_bank_5444(A65,$A$1,1)</f>
        <v>2.64</v>
      </c>
      <c r="BQ65" s="52">
        <f>[1]!s_stmnote_bank_129n($A65,$A$1,1)</f>
        <v>28.7</v>
      </c>
      <c r="BR65" s="52">
        <f t="shared" si="13"/>
        <v>4.9291813594983305</v>
      </c>
      <c r="BS65" s="52">
        <f>[1]!b_stm07_is(A65,19,$A$1,1,100000000)</f>
        <v>26.013800937900001</v>
      </c>
      <c r="BT65" s="52">
        <f xml:space="preserve"> [1]!s_stm07_bs(A65,"W15273164",$A$1,1,100000000)-[1]!s_stm07_bs(A65,"W17642530",$A$1,1,100000000)-[1]!s_stm07_bs(A65,"W15910877",$A$1,1,100000000)-[1]!s_stm07_bs_39(A65,$A$1,1,100000000)-[1]!s_stm07_bs(A65,"W17700468",$A$1,1,100000000)-[1]!s_stm07_bs(A65,"W16504296",$A$1,1,100000000)-[1]!s_stm07_bs(A65,"W13769069",$A$1,1,100000000)</f>
        <v>611.08202624130001</v>
      </c>
      <c r="BU65" s="52">
        <f xml:space="preserve"> [1]!s_stm07_bs(A65,"W15273164",$B$1,1,100000000)-[1]!s_stm07_bs(A65,"W17642530",$B$1,1,100000000)-[1]!s_stm07_bs(A65,"W15910877",$B$1,1,100000000)-[1]!s_stm07_bs_39(A65,$B$1,1,100000000)-[1]!s_stm07_bs(A65,"W17700468",$B$1,1,100000000)-[1]!s_stm07_bs(A65,"W16504296",$B$1,1,100000000)-[1]!s_stm07_bs(A65,"W13769069",$B$1,1,100000000)</f>
        <v>513.28942287289988</v>
      </c>
      <c r="BV65" s="52">
        <f xml:space="preserve"> [1]!s_stm07_bs(A65,"W15273164",$E$1,1,100000000)-[1]!s_stm07_bs(A65,"W17642530",$E$1,1,100000000)-[1]!s_stm07_bs(A65,"W15910877",$E$1,1,100000000)-[1]!s_stm07_bs_39(A65,$E$1,1,100000000)-[1]!s_stm07_bs(A65,"W17700468",$E$1,1,100000000)-[1]!s_stm07_bs(A65,"W16504296",$E$1,1,100000000)-[1]!s_stm07_bs(A65,"W13769069",$E$1,1,100000000)</f>
        <v>0</v>
      </c>
      <c r="BW65" s="52">
        <f xml:space="preserve"> [1]!s_stm07_bs(A65,"W15273164",$F$1,1,100000000)-[1]!s_stm07_bs(A65,"W17642530",$F$1,1,100000000)-[1]!s_stm07_bs(A65,"W15910877",$F$1,1,100000000)-[1]!s_stm07_bs_39(A65,$F$1,1,100000000)-[1]!s_stm07_bs(A65,"W17700468",$F$1,1,100000000)-[1]!s_stm07_bs(A65,"W16504296",$F$1,1,100000000)-[1]!s_stm07_bs(A65,"W13769069",$F$1,1,100000000)</f>
        <v>0</v>
      </c>
      <c r="BX65" s="52">
        <f xml:space="preserve"> [1]!s_stm07_bs(A65,"W15273164",$G$1,1,100000000)-[1]!s_stm07_bs(A65,"W17642530",$G$1,1,100000000)-[1]!s_stm07_bs(A65,"W15910877",$G$1,1,100000000)-[1]!s_stm07_bs_39(A65,$G$1,1,100000000)-[1]!s_stm07_bs(A65,"W17700468",$G$1,1,100000000)-[1]!s_stm07_bs(A65,"W16504296",$G$1,1,100000000)-[1]!s_stm07_bs(A65,"W13769069",$G$1,1,100000000)</f>
        <v>563.54999999999995</v>
      </c>
      <c r="BY65" s="52">
        <f>IFERROR([1]!b_stm07_is(A65,20,$A$1,1,100000000)/AVERAGEIF(CA65:CE65,"&gt;0")*100,0)</f>
        <v>2.1946767692458979</v>
      </c>
      <c r="BZ65" s="52">
        <f>[1]!b_stm07_is(A65,20,$A$1,1,100000000)</f>
        <v>11.200819990099999</v>
      </c>
      <c r="CA65" s="52">
        <f>[1]!s_stmnote_bank_38(A65,$A$1,1,100000000)</f>
        <v>560.86845930089999</v>
      </c>
      <c r="CB65" s="52">
        <f>[1]!s_stmnote_bank_38(A65,$B$1,1,100000000)</f>
        <v>459.85770384599999</v>
      </c>
      <c r="CC65" s="52">
        <f>[1]!s_stmnote_bank_38(A65,$E$1,1,100000000)</f>
        <v>0</v>
      </c>
      <c r="CD65" s="52">
        <f>[1]!s_stmnote_bank_38(A65,$F$1,1,100000000)</f>
        <v>0</v>
      </c>
      <c r="CE65" s="52">
        <f>[1]!s_stmnote_bank_38(A65,$G$1,1,100000000)</f>
        <v>0</v>
      </c>
      <c r="CF65" s="52">
        <f>IF(BP65&lt;&gt;0,BP65,IFERROR(IF(([1]!b_stm07_is(A65,19,$A$1,1,100000000)-[1]!b_stm07_is(A65,20,$A$1,1,100000000))/AVERAGE([1]!s_stmnote_bank_35(A65,$A$1,1,100000000),[1]!s_stmnote_bank_35(A65,$B$1,1,100000000))*100=0,"",([1]!b_stm07_is(A65,19,$A$1,1,100000000)-[1]!b_stm07_is(A65,20,$A$1,1,100000000))/AVERAGE([1]!s_stmnote_bank_35(A65,$A$1,1,100000000),[1]!s_stmnote_bank_35(A65,$B$1,1,100000000))*100),""))</f>
        <v>2.64</v>
      </c>
      <c r="CG65" s="27" t="str">
        <f t="shared" si="6"/>
        <v>19 171</v>
      </c>
      <c r="CH65" s="80">
        <f t="shared" si="14"/>
        <v>1.0114895399940083</v>
      </c>
      <c r="CI65" s="27" t="str">
        <f t="shared" si="7"/>
        <v>40 169</v>
      </c>
      <c r="CJ65" s="55">
        <f>[1]!s_stmnote_bank_30(A65,$A$1,1)</f>
        <v>14.8573</v>
      </c>
      <c r="CP65" s="69">
        <f>[1]!b_stm07_bs($A65,141,$A$1,1,100000000)</f>
        <v>53.259710830799996</v>
      </c>
      <c r="CQ65" s="69">
        <f>[1]!b_stm07_bs($A65,141,$D$1,1,100000000)</f>
        <v>0</v>
      </c>
      <c r="CR65" s="68">
        <f>IF([1]!s_fa_roic_yearly($A65,$A$1)=0,"",[1]!s_fa_roic_yearly($A65,$A$1))</f>
        <v>13.8909</v>
      </c>
      <c r="CS65" s="27">
        <f t="shared" si="22"/>
        <v>9.4674556213017749E-2</v>
      </c>
      <c r="CT65" s="68" t="str">
        <f>IF([1]!s_fa_roic_yearly($A65,$D$1)=0,"",[1]!s_fa_roic_yearly($A65,$D$1))</f>
        <v/>
      </c>
      <c r="CU65" s="27" t="e">
        <f t="shared" si="23"/>
        <v>#VALUE!</v>
      </c>
      <c r="CV65" s="78">
        <f>[1]!s_stm07_bs(A65,"W14578191",$A$1,1,100000000)</f>
        <v>354.82750675370005</v>
      </c>
      <c r="CW65" s="78">
        <f>[1]!s_stmnote_bank_682($A65,$A$1,1,2,100000000)</f>
        <v>275.29212999999999</v>
      </c>
      <c r="CX65" s="79">
        <f t="shared" si="11"/>
        <v>0.77584777042409869</v>
      </c>
    </row>
    <row r="66" spans="1:102" s="46" customFormat="1" ht="13.5">
      <c r="A66" s="8" t="s">
        <v>378</v>
      </c>
      <c r="B66" s="8" t="s">
        <v>379</v>
      </c>
      <c r="C66" s="9" t="s">
        <v>380</v>
      </c>
      <c r="D66" s="9" t="s">
        <v>1066</v>
      </c>
      <c r="E66" s="10" t="s">
        <v>167</v>
      </c>
      <c r="F66" s="11" t="s">
        <v>178</v>
      </c>
      <c r="G66" s="11" t="s">
        <v>139</v>
      </c>
      <c r="H66" s="11" t="s">
        <v>206</v>
      </c>
      <c r="I66" s="11"/>
      <c r="J66" s="11">
        <f>VLOOKUP(B66,[3]额度信息!$B:$T,19,0)</f>
        <v>0</v>
      </c>
      <c r="K66" s="11" t="s">
        <v>381</v>
      </c>
      <c r="L66" s="27">
        <f>IFERROR(([1]!b_stm07_bs($A66,47,$A$1,1,100000000))/[1]!b_stm07_bs($A66,109,$A$1,1,100000000),"")</f>
        <v>7.9820013343750579E-2</v>
      </c>
      <c r="M66" s="20"/>
      <c r="N66" s="18"/>
      <c r="O66" s="27" t="e">
        <f t="shared" si="0"/>
        <v>#N/A</v>
      </c>
      <c r="P66" s="21">
        <f t="shared" si="12"/>
        <v>2.8119205951004395E-2</v>
      </c>
      <c r="Q66" s="27" t="str">
        <f t="shared" si="1"/>
        <v>73 169</v>
      </c>
      <c r="R66" s="18">
        <f>IFERROR([1]!s_stmnote_bank($A66,"34",$A$1,100000000)/[1]!s_stmnote_bank_1n(A66,$A$1,1,100000000),"")</f>
        <v>1.4819205951004392E-2</v>
      </c>
      <c r="S66" s="22"/>
      <c r="T66" s="22"/>
      <c r="U66" s="22"/>
      <c r="V66" s="22"/>
      <c r="W66" s="22"/>
      <c r="X66" s="22"/>
      <c r="Y66" s="22"/>
      <c r="Z66" s="25">
        <f>[1]!b_stm07_bs(A66,74,$A$1,1,100000000)</f>
        <v>4627.1001912685997</v>
      </c>
      <c r="AA66" s="25">
        <f>[1]!b_stm07_bs(A66,109,$A$1,1,100000000)</f>
        <v>3240.6846300415004</v>
      </c>
      <c r="AB66" s="10">
        <f>[1]!s_stmnote_bank_5n(A66,$A$1,1)</f>
        <v>1.33</v>
      </c>
      <c r="AC66" s="25">
        <f>IF([1]!s_stmnote_bank_23n(A66,$A$1,1)=0,"",IFERROR([1]!s_stmnote_bank_23n(A66,$A$1,1),""))</f>
        <v>221.4</v>
      </c>
      <c r="AD66" s="27" t="str">
        <f t="shared" si="2"/>
        <v>76 167</v>
      </c>
      <c r="AE66" s="25">
        <f>[1]!s_stmnote_bank_capadequacyratio(A66,$A$1,1)</f>
        <v>13.98</v>
      </c>
      <c r="AF66" s="25">
        <f>IF([1]!s_stmnote_bank_capadequacyratio_ct1(A66,$A$1,1)=0,"",IFERROR([1]!s_stmnote_bank_capadequacyratio_ct1(A66,$A$1,1),""))</f>
        <v>9.25</v>
      </c>
      <c r="AG66" s="27" t="str">
        <f>RANK(AF66,AF$5:AF$192,0)&amp;" "&amp;COUNTIF(AF$5:AF$192,"&gt;0")</f>
        <v>118 167</v>
      </c>
      <c r="AH66" s="6">
        <f>IF(OR([1]!s_fa_roe(A66,20201231)=0,[1]!s_fa_roe(A66,20211231)="0",[1]!s_fa_roe(A66,20221231)="0"),"",IFERROR(([1]!s_fa_roe(A66,20221231)+[1]!s_fa_roe(A66,20201231)+[1]!s_fa_roe(A66,20211231))/3,""))</f>
        <v>8.8736999999999995</v>
      </c>
      <c r="AI66" s="27" t="str">
        <f t="shared" si="3"/>
        <v>95 173</v>
      </c>
      <c r="AJ66" s="28">
        <f>IFERROR(([1]!s_stmnote_bank_65(A66,$A$1,1,2,4,100000000)+[1]!s_stmnote_bank_65(A66,$A$1,1,2,6,100000000))/[1]!s_stmnote_bank_1n(A66,$A$1,1,100000000),"")</f>
        <v>8.9446524800508159E-2</v>
      </c>
      <c r="AK66" s="28">
        <f>IFERROR([1]!s_stmnote_bank_614(A66,$A$1,1,2,100000000)/[1]!s_stmnote_bank_647(A66,$A$1,1,2,100000000),"")</f>
        <v>0.20905533494452502</v>
      </c>
      <c r="AL66" s="28">
        <f>IFERROR(([1]!b_stm07_bs(A66,104,$A$1,1,100000000)+[1]!b_stm07_bs(A66,106,$A$1,1,100000000)+[1]!b_stm07_bs(A66,76,$A$1,1,100000000)+[1]!b_stm07_bs(A66,108,$A$1,1,100000000)+[1]!b_stm07_bs(A66,95,$A$1,1,100000000))/[1]!b_stm07_bs(A66,128,$A$1,1,100000000),"")</f>
        <v>0.18692135449034331</v>
      </c>
      <c r="AM66" s="28">
        <f>IFERROR(([1]!s_stmnote_bank_614(A66,$A$1,1,2,100000000)+[1]!b_stm07_bs(A66,104,$A$1,1,100000000)+[1]!b_stm07_bs(A66,106,$A$1,1,100000000)+[1]!b_stm07_bs(A66,76,$A$1,1,100000000)+[1]!b_stm07_bs(A66,108,$A$1,1,100000000)+[1]!b_stm07_bs(A66,95,$A$1,1,100000000))/[1]!b_stm07_bs(A66,128,$A$1,1,100000000),"")</f>
        <v>0.34672047049732396</v>
      </c>
      <c r="AN66" s="31" t="e">
        <f>IF(Z66&gt;#REF!,#REF!,IF(Z66&gt;#REF!,#REF!,IF(Z66&gt;#REF!,#REF!,IF(Z66&gt;#REF!,#REF!,IF(Z66&gt;#REF!,#REF!,IF(Z66&gt;#REF!,#REF!,IF(Z66&gt;#REF!,#REF!,#REF!)))))))</f>
        <v>#REF!</v>
      </c>
      <c r="AO66" s="31" t="e">
        <f>IF(AA66&gt;#REF!,#REF!,IF(AA66&gt;#REF!,#REF!,IF(AA66&gt;#REF!,#REF!,IF(AA66&gt;#REF!,#REF!,IF(AA66&gt;#REF!,#REF!,IF(AA66&gt;#REF!,#REF!,IF(AA66&gt;#REF!,#REF!,#REF!)))))))</f>
        <v>#REF!</v>
      </c>
      <c r="AP66" s="31" t="e">
        <f>IF(AB66&lt;#REF!,#REF!,IF(AB66&lt;#REF!,#REF!,IF(AB66&lt;#REF!,#REF!,IF(AB66&lt;#REF!,#REF!,IF(AB66&lt;#REF!,#REF!,IF(AB66&lt;#REF!,#REF!,#REF!))))))</f>
        <v>#REF!</v>
      </c>
      <c r="AQ66" s="31" t="e">
        <f>IF(AC66&gt;#REF!,#REF!,IF(AC66&gt;#REF!,#REF!,IF(AC66&gt;#REF!,#REF!,IF(AC66&gt;#REF!,#REF!,#REF!))))</f>
        <v>#REF!</v>
      </c>
      <c r="AR66" s="31" t="e">
        <f>IF(AE66&gt;#REF!,#REF!,IF(AE66&gt;#REF!,#REF!,IF(AE66&gt;#REF!,#REF!,IF(AE66&gt;#REF!,#REF!,#REF!))))</f>
        <v>#REF!</v>
      </c>
      <c r="AS66" s="31" t="e">
        <f>IF(AF66&gt;#REF!,#REF!,IF(AF66&gt;#REF!,#REF!,IF(AF66&gt;#REF!,#REF!,IF(AF66&gt;#REF!,#REF!,#REF!))))</f>
        <v>#REF!</v>
      </c>
      <c r="AT66" s="31" t="e">
        <f>IF(AH66&gt;#REF!,#REF!,IF(AH66&gt;#REF!,#REF!,IF(AH66&gt;#REF!,#REF!,IF(AH66&gt;#REF!,#REF!,IF(AH66&gt;#REF!,#REF!,#REF!)))))</f>
        <v>#REF!</v>
      </c>
      <c r="AU66" s="10" t="e">
        <f t="shared" si="4"/>
        <v>#REF!</v>
      </c>
      <c r="AV66" s="10" t="s">
        <v>68</v>
      </c>
      <c r="AW66" s="10" t="s">
        <v>61</v>
      </c>
      <c r="AX66" s="10" t="s">
        <v>141</v>
      </c>
      <c r="AY66" s="31" t="str">
        <f>IFERROR(VLOOKUP(AV66,#REF!,3,0),"")</f>
        <v/>
      </c>
      <c r="AZ66" s="31" t="str">
        <f>IFERROR(VLOOKUP(AW66,#REF!,3,0),"")</f>
        <v/>
      </c>
      <c r="BA66" s="31" t="str">
        <f>IFERROR(VLOOKUP(AX66,#REF!,3,0),"")</f>
        <v/>
      </c>
      <c r="BB66" s="31" t="str">
        <f>IFERROR(AY66*#REF!+AZ66*#REF!+BA66*#REF!,"")</f>
        <v/>
      </c>
      <c r="BC66" s="32" t="str">
        <f t="shared" si="5"/>
        <v/>
      </c>
      <c r="BD66" s="32" t="str">
        <f>IFERROR(VLOOKUP(BC66*10,#REF!,2,1),"")</f>
        <v/>
      </c>
      <c r="BE66" s="11">
        <v>0</v>
      </c>
      <c r="BF66" s="11">
        <v>-1</v>
      </c>
      <c r="BG66" s="10" t="s">
        <v>382</v>
      </c>
      <c r="BH66" s="11" t="s">
        <v>383</v>
      </c>
      <c r="BI66" s="10">
        <v>9.9899997711181605</v>
      </c>
      <c r="BJ66" s="33" t="s">
        <v>92</v>
      </c>
      <c r="BK66" s="33" t="s">
        <v>384</v>
      </c>
      <c r="BL66" s="10">
        <f>IF([1]!s_stmnote_bank_17n(A66,$A$1,1)="0","",[1]!s_stmnote_bank_17n(A66,$A$1,1))</f>
        <v>3.13</v>
      </c>
      <c r="BM66" s="10">
        <f>IF([1]!s_stmnote_bank_18n(A66,$A$1,1)="0","",[1]!s_stmnote_bank_18n(A66,$A$1,1))</f>
        <v>15.26</v>
      </c>
      <c r="BN66" s="41" t="s">
        <v>67</v>
      </c>
      <c r="BO66" s="68" t="s">
        <v>67</v>
      </c>
      <c r="BP66" s="52">
        <f>[1]!s_stmnote_bank_5444(A66,$A$1,1)</f>
        <v>0</v>
      </c>
      <c r="BQ66" s="52">
        <f>[1]!s_stmnote_bank_129n($A66,$A$1,1)</f>
        <v>28.52</v>
      </c>
      <c r="BR66" s="52">
        <f t="shared" si="13"/>
        <v>4.7125019564297235</v>
      </c>
      <c r="BS66" s="52">
        <f>[1]!b_stm07_is(A66,19,$A$1,1,100000000)</f>
        <v>206.71728300300001</v>
      </c>
      <c r="BT66" s="52">
        <f xml:space="preserve"> [1]!s_stm07_bs(A66,"W15273164",$A$1,1,100000000)-[1]!s_stm07_bs(A66,"W17642530",$A$1,1,100000000)-[1]!s_stm07_bs(A66,"W15910877",$A$1,1,100000000)-[1]!s_stm07_bs_39(A66,$A$1,1,100000000)-[1]!s_stm07_bs(A66,"W17700468",$A$1,1,100000000)-[1]!s_stm07_bs(A66,"W16504296",$A$1,1,100000000)-[1]!s_stm07_bs(A66,"W13769069",$A$1,1,100000000)</f>
        <v>4536.5213396618001</v>
      </c>
      <c r="BU66" s="52">
        <f xml:space="preserve"> [1]!s_stm07_bs(A66,"W15273164",$B$1,1,100000000)-[1]!s_stm07_bs(A66,"W17642530",$B$1,1,100000000)-[1]!s_stm07_bs(A66,"W15910877",$B$1,1,100000000)-[1]!s_stm07_bs_39(A66,$B$1,1,100000000)-[1]!s_stm07_bs(A66,"W17700468",$B$1,1,100000000)-[1]!s_stm07_bs(A66,"W16504296",$B$1,1,100000000)-[1]!s_stm07_bs(A66,"W13769069",$B$1,1,100000000)</f>
        <v>4301.8178494725989</v>
      </c>
      <c r="BV66" s="52">
        <f xml:space="preserve"> [1]!s_stm07_bs(A66,"W15273164",$E$1,1,100000000)-[1]!s_stm07_bs(A66,"W17642530",$E$1,1,100000000)-[1]!s_stm07_bs(A66,"W15910877",$E$1,1,100000000)-[1]!s_stm07_bs_39(A66,$E$1,1,100000000)-[1]!s_stm07_bs(A66,"W17700468",$E$1,1,100000000)-[1]!s_stm07_bs(A66,"W16504296",$E$1,1,100000000)-[1]!s_stm07_bs(A66,"W13769069",$E$1,1,100000000)</f>
        <v>4583.0078392475989</v>
      </c>
      <c r="BW66" s="52">
        <f xml:space="preserve"> [1]!s_stm07_bs(A66,"W15273164",$F$1,1,100000000)-[1]!s_stm07_bs(A66,"W17642530",$F$1,1,100000000)-[1]!s_stm07_bs(A66,"W15910877",$F$1,1,100000000)-[1]!s_stm07_bs_39(A66,$F$1,1,100000000)-[1]!s_stm07_bs(A66,"W17700468",$F$1,1,100000000)-[1]!s_stm07_bs(A66,"W16504296",$F$1,1,100000000)-[1]!s_stm07_bs(A66,"W13769069",$F$1,1,100000000)</f>
        <v>4622.7417511559988</v>
      </c>
      <c r="BX66" s="52">
        <f xml:space="preserve"> [1]!s_stm07_bs(A66,"W15273164",$G$1,1,100000000)-[1]!s_stm07_bs(A66,"W17642530",$G$1,1,100000000)-[1]!s_stm07_bs(A66,"W15910877",$G$1,1,100000000)-[1]!s_stm07_bs_39(A66,$G$1,1,100000000)-[1]!s_stm07_bs(A66,"W17700468",$G$1,1,100000000)-[1]!s_stm07_bs(A66,"W16504296",$G$1,1,100000000)-[1]!s_stm07_bs(A66,"W13769069",$G$1,1,100000000)</f>
        <v>4604.4525566563998</v>
      </c>
      <c r="BY66" s="52">
        <f>IFERROR([1]!b_stm07_is(A66,20,$A$1,1,100000000)/AVERAGEIF(CA66:CE66,"&gt;0")*100,0)</f>
        <v>2.6047533983734681</v>
      </c>
      <c r="BZ66" s="52">
        <f>[1]!b_stm07_is(A66,20,$A$1,1,100000000)</f>
        <v>109.71225662110001</v>
      </c>
      <c r="CA66" s="52">
        <f>[1]!s_stmnote_bank_38(A66,$A$1,1,100000000)</f>
        <v>4194.3930573212001</v>
      </c>
      <c r="CB66" s="52">
        <f>[1]!s_stmnote_bank_38(A66,$B$1,1,100000000)</f>
        <v>4008.5480373603996</v>
      </c>
      <c r="CC66" s="52">
        <f>[1]!s_stmnote_bank_38(A66,$E$1,1,100000000)</f>
        <v>4236.4367387299999</v>
      </c>
      <c r="CD66" s="52">
        <f>[1]!s_stmnote_bank_38(A66,$F$1,1,100000000)</f>
        <v>4300.4616919492</v>
      </c>
      <c r="CE66" s="52">
        <f>[1]!s_stmnote_bank_38(A66,$G$1,1,100000000)</f>
        <v>4320.1688212277004</v>
      </c>
      <c r="CF66" s="52">
        <f>IF(BP66&lt;&gt;0,BP66,IFERROR(IF(([1]!b_stm07_is(A66,19,$A$1,1,100000000)-[1]!b_stm07_is(A66,20,$A$1,1,100000000))/AVERAGE([1]!s_stmnote_bank_35(A66,$A$1,1,100000000),[1]!s_stmnote_bank_35(A66,$B$1,1,100000000))*100=0,"",([1]!b_stm07_is(A66,19,$A$1,1,100000000)-[1]!b_stm07_is(A66,20,$A$1,1,100000000))/AVERAGE([1]!s_stmnote_bank_35(A66,$A$1,1,100000000),[1]!s_stmnote_bank_35(A66,$B$1,1,100000000))*100),""))</f>
        <v>2.335801829772167</v>
      </c>
      <c r="CG66" s="27" t="str">
        <f t="shared" si="6"/>
        <v>47 171</v>
      </c>
      <c r="CH66" s="80">
        <f t="shared" si="14"/>
        <v>0.83067844584307482</v>
      </c>
      <c r="CI66" s="27" t="str">
        <f t="shared" si="7"/>
        <v>62 169</v>
      </c>
      <c r="CJ66" s="55">
        <f>[1]!s_stmnote_bank_30(A66,$A$1,1)</f>
        <v>17.515000000000001</v>
      </c>
      <c r="CP66" s="69">
        <f>[1]!b_stm07_bs($A66,141,$A$1,1,100000000)</f>
        <v>387.51221536699995</v>
      </c>
      <c r="CQ66" s="69">
        <f>[1]!b_stm07_bs($A66,141,$D$1,1,100000000)</f>
        <v>408.90838852550002</v>
      </c>
      <c r="CR66" s="68">
        <f>IF([1]!s_fa_roic_yearly($A66,$A$1)=0,"",[1]!s_fa_roic_yearly($A66,$A$1))</f>
        <v>8.6507000000000005</v>
      </c>
      <c r="CS66" s="27" t="str">
        <f>RANK(CR66,CR$5:CR$192,1)&amp;" "&amp;COUNTIF(CR$5:CR$192,"&gt;0")</f>
        <v>84 169</v>
      </c>
      <c r="CT66" s="68">
        <f>IF([1]!s_fa_roic_yearly($A66,$D$1)=0,"",[1]!s_fa_roic_yearly($A66,$D$1))</f>
        <v>10.9762</v>
      </c>
      <c r="CU66" s="27" t="str">
        <f>RANK(CT66,CT$5:CT$192,1)&amp;" "&amp;COUNTIF(CT$5:CT$192,"&gt;0")</f>
        <v>90 142</v>
      </c>
      <c r="CV66" s="78">
        <f>[1]!s_stm07_bs(A66,"W14578191",$A$1,1,100000000)</f>
        <v>2616.7034281768001</v>
      </c>
      <c r="CW66" s="78">
        <f>[1]!s_stmnote_bank_682($A66,$A$1,1,2,100000000)</f>
        <v>1058.951555265</v>
      </c>
      <c r="CX66" s="79">
        <f t="shared" si="11"/>
        <v>0.40468917641263968</v>
      </c>
    </row>
    <row r="67" spans="1:102" s="46" customFormat="1" ht="13.5">
      <c r="A67" s="8" t="s">
        <v>797</v>
      </c>
      <c r="B67" s="8" t="s">
        <v>798</v>
      </c>
      <c r="C67" s="9" t="s">
        <v>799</v>
      </c>
      <c r="D67" s="9" t="s">
        <v>1061</v>
      </c>
      <c r="E67" s="10" t="s">
        <v>799</v>
      </c>
      <c r="F67" s="11" t="s">
        <v>178</v>
      </c>
      <c r="G67" s="11" t="s">
        <v>259</v>
      </c>
      <c r="H67" s="11" t="s">
        <v>259</v>
      </c>
      <c r="I67" s="11"/>
      <c r="J67" s="11">
        <f>VLOOKUP(B67,[3]额度信息!$B:$T,19,0)</f>
        <v>0</v>
      </c>
      <c r="K67" s="11" t="s">
        <v>800</v>
      </c>
      <c r="L67" s="27">
        <f>IFERROR(([1]!b_stm07_bs($A67,47,$A$1,1,100000000))/[1]!b_stm07_bs($A67,109,$A$1,1,100000000),"")</f>
        <v>9.8991638215545574E-2</v>
      </c>
      <c r="M67" s="20">
        <v>109.09</v>
      </c>
      <c r="N67" s="18">
        <f>IFERROR(([1]!s_stmnote_bank_26($A67,$A$1,1,100000000)-[1]!s_stmnote_bank_26($A67,$B$1,1,100000000)+M67)/[1]!s_stmnote_bank_1n($A67,$B$1,1,100000000),"")</f>
        <v>1.1658767279987286E-2</v>
      </c>
      <c r="O67" s="27" t="str">
        <f t="shared" si="0"/>
        <v>30 50</v>
      </c>
      <c r="P67" s="21">
        <f t="shared" si="12"/>
        <v>2.8889952820443401E-2</v>
      </c>
      <c r="Q67" s="27" t="str">
        <f t="shared" si="1"/>
        <v>77 169</v>
      </c>
      <c r="R67" s="18">
        <v>1.63899528204434E-2</v>
      </c>
      <c r="S67" s="22">
        <v>5.9131103910378603E-2</v>
      </c>
      <c r="T67" s="22">
        <v>1.7012974142371899E-2</v>
      </c>
      <c r="U67" s="22">
        <v>2.12876404166444E-2</v>
      </c>
      <c r="V67" s="22"/>
      <c r="W67" s="22">
        <v>9.4514487613780605E-4</v>
      </c>
      <c r="X67" s="22">
        <v>1.6148103695701198E-2</v>
      </c>
      <c r="Y67" s="22">
        <v>0.83665360038661896</v>
      </c>
      <c r="Z67" s="25">
        <f>[1]!b_stm07_bs(A67,74,$A$1,1,100000000)</f>
        <v>26531.986789999999</v>
      </c>
      <c r="AA67" s="25">
        <f>[1]!b_stm07_bs(A67,109,$A$1,1,100000000)</f>
        <v>14729.65976</v>
      </c>
      <c r="AB67" s="10">
        <f>[1]!s_stmnote_bank_5n(A67,$A$1,1)</f>
        <v>1.25</v>
      </c>
      <c r="AC67" s="25">
        <f>IF([1]!s_stmnote_bank_23n(A67,$A$1,1)=0,"",IFERROR([1]!s_stmnote_bank_23n(A67,$A$1,1),""))</f>
        <v>301.13</v>
      </c>
      <c r="AD67" s="27" t="str">
        <f t="shared" si="2"/>
        <v>109 167</v>
      </c>
      <c r="AE67" s="25">
        <f>[1]!s_stmnote_bank_capadequacyratio(A67,$A$1,1)</f>
        <v>12.16</v>
      </c>
      <c r="AF67" s="25">
        <f>IF([1]!s_stmnote_bank_capadequacyratio_ct1(A67,$A$1,1)=0,"",IFERROR([1]!s_stmnote_bank_capadequacyratio_ct1(A67,$A$1,1),""))</f>
        <v>8.9499999999999993</v>
      </c>
      <c r="AG67" s="27" t="str">
        <f>RANK(AF67,AF$5:AF$192,0)&amp;" "&amp;COUNTIF(AF$5:AF$192,"&gt;0")</f>
        <v>125 167</v>
      </c>
      <c r="AH67" s="6">
        <f>IF(OR([1]!s_fa_roe(A67,20201231)=0,[1]!s_fa_roe(A67,20211231)="0",[1]!s_fa_roe(A67,20221231)="0"),"",IFERROR(([1]!s_fa_roe(A67,20221231)+[1]!s_fa_roe(A67,20201231)+[1]!s_fa_roe(A67,20211231))/3,""))</f>
        <v>10.991966666666668</v>
      </c>
      <c r="AI67" s="27" t="str">
        <f t="shared" si="3"/>
        <v>136 173</v>
      </c>
      <c r="AJ67" s="28">
        <f>IFERROR(([1]!s_stmnote_bank_65(A67,$A$1,1,2,4,100000000)+[1]!s_stmnote_bank_65(A67,$A$1,1,2,6,100000000))/[1]!s_stmnote_bank_1n(A67,$A$1,1,100000000),"")</f>
        <v>0.15630386858659237</v>
      </c>
      <c r="AK67" s="28">
        <f>IFERROR([1]!s_stmnote_bank_614(A67,$A$1,1,2,100000000)/[1]!s_stmnote_bank_647(A67,$A$1,1,2,100000000),"")</f>
        <v>0.30739564754209908</v>
      </c>
      <c r="AL67" s="28">
        <f>IFERROR(([1]!b_stm07_bs(A67,104,$A$1,1,100000000)+[1]!b_stm07_bs(A67,106,$A$1,1,100000000)+[1]!b_stm07_bs(A67,76,$A$1,1,100000000)+[1]!b_stm07_bs(A67,108,$A$1,1,100000000)+[1]!b_stm07_bs(A67,95,$A$1,1,100000000))/[1]!b_stm07_bs(A67,128,$A$1,1,100000000),"")</f>
        <v>0.3713299894619182</v>
      </c>
      <c r="AM67" s="28">
        <f>IFERROR(([1]!s_stmnote_bank_614(A67,$A$1,1,2,100000000)+[1]!b_stm07_bs(A67,104,$A$1,1,100000000)+[1]!b_stm07_bs(A67,106,$A$1,1,100000000)+[1]!b_stm07_bs(A67,76,$A$1,1,100000000)+[1]!b_stm07_bs(A67,108,$A$1,1,100000000)+[1]!b_stm07_bs(A67,95,$A$1,1,100000000))/[1]!b_stm07_bs(A67,128,$A$1,1,100000000),"")</f>
        <v>0.55633355921025218</v>
      </c>
      <c r="AN67" s="31" t="e">
        <f>IF(Z67&gt;#REF!,#REF!,IF(Z67&gt;#REF!,#REF!,IF(Z67&gt;#REF!,#REF!,IF(Z67&gt;#REF!,#REF!,IF(Z67&gt;#REF!,#REF!,IF(Z67&gt;#REF!,#REF!,IF(Z67&gt;#REF!,#REF!,#REF!)))))))</f>
        <v>#REF!</v>
      </c>
      <c r="AO67" s="31" t="e">
        <f>IF(AA67&gt;#REF!,#REF!,IF(AA67&gt;#REF!,#REF!,IF(AA67&gt;#REF!,#REF!,IF(AA67&gt;#REF!,#REF!,IF(AA67&gt;#REF!,#REF!,IF(AA67&gt;#REF!,#REF!,IF(AA67&gt;#REF!,#REF!,#REF!)))))))</f>
        <v>#REF!</v>
      </c>
      <c r="AP67" s="31" t="e">
        <f>IF(AB67&lt;#REF!,#REF!,IF(AB67&lt;#REF!,#REF!,IF(AB67&lt;#REF!,#REF!,IF(AB67&lt;#REF!,#REF!,IF(AB67&lt;#REF!,#REF!,IF(AB67&lt;#REF!,#REF!,#REF!))))))</f>
        <v>#REF!</v>
      </c>
      <c r="AQ67" s="31" t="e">
        <f>IF(AC67&gt;#REF!,#REF!,IF(AC67&gt;#REF!,#REF!,IF(AC67&gt;#REF!,#REF!,IF(AC67&gt;#REF!,#REF!,#REF!))))</f>
        <v>#REF!</v>
      </c>
      <c r="AR67" s="31" t="e">
        <f>IF(AE67&gt;#REF!,#REF!,IF(AE67&gt;#REF!,#REF!,IF(AE67&gt;#REF!,#REF!,IF(AE67&gt;#REF!,#REF!,#REF!))))</f>
        <v>#REF!</v>
      </c>
      <c r="AS67" s="31" t="e">
        <f>IF(AF67&gt;#REF!,#REF!,IF(AF67&gt;#REF!,#REF!,IF(AF67&gt;#REF!,#REF!,IF(AF67&gt;#REF!,#REF!,#REF!))))</f>
        <v>#REF!</v>
      </c>
      <c r="AT67" s="31" t="e">
        <f>IF(AH67&gt;#REF!,#REF!,IF(AH67&gt;#REF!,#REF!,IF(AH67&gt;#REF!,#REF!,IF(AH67&gt;#REF!,#REF!,IF(AH67&gt;#REF!,#REF!,#REF!)))))</f>
        <v>#REF!</v>
      </c>
      <c r="AU67" s="10" t="e">
        <f t="shared" si="4"/>
        <v>#REF!</v>
      </c>
      <c r="AV67" s="10" t="s">
        <v>60</v>
      </c>
      <c r="AW67" s="10" t="s">
        <v>61</v>
      </c>
      <c r="AX67" s="10" t="s">
        <v>359</v>
      </c>
      <c r="AY67" s="31" t="str">
        <f>IFERROR(VLOOKUP(AV67,#REF!,3,0),"")</f>
        <v/>
      </c>
      <c r="AZ67" s="31" t="str">
        <f>IFERROR(VLOOKUP(AW67,#REF!,3,0),"")</f>
        <v/>
      </c>
      <c r="BA67" s="31" t="str">
        <f>IFERROR(VLOOKUP(AX67,#REF!,3,0),"")</f>
        <v/>
      </c>
      <c r="BB67" s="31" t="str">
        <f>IFERROR(AY67*#REF!+AZ67*#REF!+BA67*#REF!,"")</f>
        <v/>
      </c>
      <c r="BC67" s="32" t="str">
        <f t="shared" si="5"/>
        <v/>
      </c>
      <c r="BD67" s="32" t="str">
        <f>IFERROR(VLOOKUP(BC67*10,#REF!,2,1),"")</f>
        <v/>
      </c>
      <c r="BE67" s="11">
        <v>2</v>
      </c>
      <c r="BF67" s="11">
        <v>0</v>
      </c>
      <c r="BG67" s="10" t="s">
        <v>713</v>
      </c>
      <c r="BH67" s="11" t="s">
        <v>801</v>
      </c>
      <c r="BI67" s="10">
        <v>14.680000305175801</v>
      </c>
      <c r="BJ67" s="33" t="s">
        <v>486</v>
      </c>
      <c r="BK67" s="33" t="s">
        <v>487</v>
      </c>
      <c r="BL67" s="10">
        <f>IF([1]!s_stmnote_bank_17n(A67,$A$1,1)="0","",[1]!s_stmnote_bank_17n(A67,$A$1,1))</f>
        <v>3.01</v>
      </c>
      <c r="BM67" s="10">
        <f>IF([1]!s_stmnote_bank_18n(A67,$A$1,1)="0","",[1]!s_stmnote_bank_18n(A67,$A$1,1))</f>
        <v>20.440000000000001</v>
      </c>
      <c r="BN67" s="41">
        <v>3.74</v>
      </c>
      <c r="BO67" s="68">
        <v>2.17</v>
      </c>
      <c r="BP67" s="52">
        <f>[1]!s_stmnote_bank_5444(A67,$A$1,1)</f>
        <v>1.74</v>
      </c>
      <c r="BQ67" s="52">
        <f>[1]!s_stmnote_bank_129n($A67,$A$1,1)</f>
        <v>21.52</v>
      </c>
      <c r="BR67" s="52">
        <f t="shared" si="13"/>
        <v>3.7777439029723276</v>
      </c>
      <c r="BS67" s="52">
        <f>[1]!b_stm07_is(A67,19,$A$1,1,100000000)</f>
        <v>930.17393000000004</v>
      </c>
      <c r="BT67" s="52">
        <f xml:space="preserve"> [1]!s_stm07_bs(A67,"W15273164",$A$1,1,100000000)-[1]!s_stm07_bs(A67,"W17642530",$A$1,1,100000000)-[1]!s_stm07_bs(A67,"W15910877",$A$1,1,100000000)-[1]!s_stm07_bs_39(A67,$A$1,1,100000000)-[1]!s_stm07_bs(A67,"W17700468",$A$1,1,100000000)-[1]!s_stm07_bs(A67,"W16504296",$A$1,1,100000000)-[1]!s_stm07_bs(A67,"W13769069",$A$1,1,100000000)</f>
        <v>25963.786249999994</v>
      </c>
      <c r="BU67" s="52">
        <f xml:space="preserve"> [1]!s_stm07_bs(A67,"W15273164",$B$1,1,100000000)-[1]!s_stm07_bs(A67,"W17642530",$B$1,1,100000000)-[1]!s_stm07_bs(A67,"W15910877",$B$1,1,100000000)-[1]!s_stm07_bs_39(A67,$B$1,1,100000000)-[1]!s_stm07_bs(A67,"W17700468",$B$1,1,100000000)-[1]!s_stm07_bs(A67,"W16504296",$B$1,1,100000000)-[1]!s_stm07_bs(A67,"W13769069",$B$1,1,100000000)</f>
        <v>24147.239569999998</v>
      </c>
      <c r="BV67" s="52">
        <f xml:space="preserve"> [1]!s_stm07_bs(A67,"W15273164",$E$1,1,100000000)-[1]!s_stm07_bs(A67,"W17642530",$E$1,1,100000000)-[1]!s_stm07_bs(A67,"W15910877",$E$1,1,100000000)-[1]!s_stm07_bs_39(A67,$E$1,1,100000000)-[1]!s_stm07_bs(A67,"W17700468",$E$1,1,100000000)-[1]!s_stm07_bs(A67,"W16504296",$E$1,1,100000000)-[1]!s_stm07_bs(A67,"W13769069",$E$1,1,100000000)</f>
        <v>25984.560859999998</v>
      </c>
      <c r="BW67" s="52">
        <f xml:space="preserve"> [1]!s_stm07_bs(A67,"W15273164",$F$1,1,100000000)-[1]!s_stm07_bs(A67,"W17642530",$F$1,1,100000000)-[1]!s_stm07_bs(A67,"W15910877",$F$1,1,100000000)-[1]!s_stm07_bs_39(A67,$F$1,1,100000000)-[1]!s_stm07_bs(A67,"W17700468",$F$1,1,100000000)-[1]!s_stm07_bs(A67,"W16504296",$F$1,1,100000000)-[1]!s_stm07_bs(A67,"W13769069",$F$1,1,100000000)</f>
        <v>25729.510899999997</v>
      </c>
      <c r="BX67" s="52">
        <f xml:space="preserve"> [1]!s_stm07_bs(A67,"W15273164",$G$1,1,100000000)-[1]!s_stm07_bs(A67,"W17642530",$G$1,1,100000000)-[1]!s_stm07_bs(A67,"W15910877",$G$1,1,100000000)-[1]!s_stm07_bs_39(A67,$G$1,1,100000000)-[1]!s_stm07_bs(A67,"W17700468",$G$1,1,100000000)-[1]!s_stm07_bs(A67,"W16504296",$G$1,1,100000000)-[1]!s_stm07_bs(A67,"W13769069",$G$1,1,100000000)</f>
        <v>25016.928350000002</v>
      </c>
      <c r="BY67" s="52">
        <f>IFERROR([1]!b_stm07_is(A67,20,$A$1,1,100000000)/AVERAGEIF(CA67:CE67,"&gt;0")*100,0)</f>
        <v>2.2385287237905835</v>
      </c>
      <c r="BZ67" s="52">
        <f>[1]!b_stm07_is(A67,20,$A$1,1,100000000)</f>
        <v>525.7989</v>
      </c>
      <c r="CA67" s="52">
        <f>[1]!s_stmnote_bank_38(A67,$A$1,1,100000000)</f>
        <v>24128.828959999999</v>
      </c>
      <c r="CB67" s="52">
        <f>[1]!s_stmnote_bank_38(A67,$B$1,1,100000000)</f>
        <v>22185.28054</v>
      </c>
      <c r="CC67" s="52">
        <f>[1]!s_stmnote_bank_38(A67,$E$1,1,100000000)</f>
        <v>24205.14242</v>
      </c>
      <c r="CD67" s="52">
        <f>[1]!s_stmnote_bank_38(A67,$F$1,1,100000000)</f>
        <v>23843.7768</v>
      </c>
      <c r="CE67" s="52">
        <f>[1]!s_stmnote_bank_38(A67,$G$1,1,100000000)</f>
        <v>23079.936030000001</v>
      </c>
      <c r="CF67" s="52">
        <f>IF(BP67&lt;&gt;0,BP67,IFERROR(IF(([1]!b_stm07_is(A67,19,$A$1,1,100000000)-[1]!b_stm07_is(A67,20,$A$1,1,100000000))/AVERAGE([1]!s_stmnote_bank_35(A67,$A$1,1,100000000),[1]!s_stmnote_bank_35(A67,$B$1,1,100000000))*100=0,"",([1]!b_stm07_is(A67,19,$A$1,1,100000000)-[1]!b_stm07_is(A67,20,$A$1,1,100000000))/AVERAGE([1]!s_stmnote_bank_35(A67,$A$1,1,100000000),[1]!s_stmnote_bank_35(A67,$B$1,1,100000000))*100),""))</f>
        <v>1.74</v>
      </c>
      <c r="CG67" s="27" t="str">
        <f t="shared" si="6"/>
        <v>133 171</v>
      </c>
      <c r="CH67" s="80">
        <f t="shared" si="14"/>
        <v>0.60228551109599715</v>
      </c>
      <c r="CI67" s="27" t="str">
        <f t="shared" si="7"/>
        <v>95 169</v>
      </c>
      <c r="CJ67" s="55">
        <f>[1]!s_stmnote_bank_30(A67,$A$1,1)</f>
        <v>28.0854</v>
      </c>
      <c r="CK67" s="46">
        <v>560.36</v>
      </c>
      <c r="CL67" s="46">
        <v>269.19</v>
      </c>
      <c r="CM67" s="59">
        <f>CK67/(5/8*[1]!s_stmnote_bank_1n($A67,$A$1,1,100000000)+[1]!s_stmnote_bank_1n($A67,$B$1,1,100000000)*3/8)</f>
        <v>4.7623787482088099E-2</v>
      </c>
      <c r="CP67" s="69">
        <f>[1]!b_stm07_bs($A67,141,$A$1,1,100000000)</f>
        <v>2057.6844500000002</v>
      </c>
      <c r="CQ67" s="69">
        <f>[1]!b_stm07_bs($A67,141,$D$1,1,100000000)</f>
        <v>2121.7488199999998</v>
      </c>
      <c r="CR67" s="68">
        <f>IF([1]!s_fa_roic_yearly($A67,$A$1)=0,"",[1]!s_fa_roic_yearly($A67,$A$1))</f>
        <v>11.143800000000001</v>
      </c>
      <c r="CS67" s="27" t="str">
        <f>RANK(CR67,CR$5:CR$192,1)&amp;" "&amp;COUNTIF(CR$5:CR$192,"&gt;0")</f>
        <v>131 169</v>
      </c>
      <c r="CT67" s="68">
        <f>IF([1]!s_fa_roic_yearly($A67,$D$1)=0,"",[1]!s_fa_roic_yearly($A67,$D$1))</f>
        <v>12.163399999999999</v>
      </c>
      <c r="CU67" s="27" t="str">
        <f>RANK(CT67,CT$5:CT$192,1)&amp;" "&amp;COUNTIF(CT$5:CT$192,"&gt;0")</f>
        <v>105 142</v>
      </c>
      <c r="CV67" s="78">
        <f>[1]!s_stm07_bs(A67,"W14578191",$A$1,1,100000000)</f>
        <v>11838.81129</v>
      </c>
      <c r="CW67" s="78">
        <f>[1]!s_stmnote_bank_682($A67,$A$1,1,2,100000000)</f>
        <v>3899.09654</v>
      </c>
      <c r="CX67" s="79">
        <f t="shared" si="11"/>
        <v>0.32934865203008062</v>
      </c>
    </row>
    <row r="68" spans="1:102" s="46" customFormat="1" ht="13.5">
      <c r="A68" s="8" t="s">
        <v>786</v>
      </c>
      <c r="B68" s="8" t="s">
        <v>787</v>
      </c>
      <c r="C68" s="9" t="s">
        <v>788</v>
      </c>
      <c r="D68" s="9" t="s">
        <v>1066</v>
      </c>
      <c r="E68" s="10" t="s">
        <v>138</v>
      </c>
      <c r="F68" s="11" t="s">
        <v>66</v>
      </c>
      <c r="G68" s="11" t="s">
        <v>346</v>
      </c>
      <c r="H68" s="11" t="s">
        <v>116</v>
      </c>
      <c r="I68" s="11"/>
      <c r="J68" s="11">
        <f>VLOOKUP(B68,[3]额度信息!$B:$T,19,0)</f>
        <v>0</v>
      </c>
      <c r="K68" s="11" t="s">
        <v>789</v>
      </c>
      <c r="L68" s="27">
        <f>IFERROR(([1]!b_stm07_bs($A68,47,$A$1,1,100000000))/[1]!b_stm07_bs($A68,109,$A$1,1,100000000),"")</f>
        <v>7.3132243000482364E-2</v>
      </c>
      <c r="M68" s="20">
        <v>9.32</v>
      </c>
      <c r="N68" s="18">
        <f>IFERROR(([1]!s_stmnote_bank_26($A68,$A$1,1,100000000)-[1]!s_stmnote_bank_26($A68,$B$1,1,100000000)+M68)/[1]!s_stmnote_bank_1n($A68,$B$1,1,100000000),"")</f>
        <v>1.0381039220637839E-2</v>
      </c>
      <c r="O68" s="27" t="str">
        <f t="shared" ref="O68:O131" si="24">RANK(N68,N$5:N$192,1)&amp;" "&amp;COUNTIF(N$5:N$192,"&gt;0")</f>
        <v>26 50</v>
      </c>
      <c r="P68" s="21">
        <f t="shared" si="12"/>
        <v>2.44592993957433E-2</v>
      </c>
      <c r="Q68" s="27" t="str">
        <f t="shared" ref="Q68:Q131" si="25">RANK(P68,P$5:P$192,1)&amp;" "&amp;COUNTIF(P$5:P$192,"&gt;0")</f>
        <v>57 169</v>
      </c>
      <c r="R68" s="18">
        <v>1.49592993957433E-2</v>
      </c>
      <c r="S68" s="22">
        <v>2.7323729226383601E-2</v>
      </c>
      <c r="T68" s="22">
        <v>1.1188558547361E-2</v>
      </c>
      <c r="U68" s="22">
        <v>2.0439096090067201E-2</v>
      </c>
      <c r="V68" s="22"/>
      <c r="W68" s="22"/>
      <c r="X68" s="22"/>
      <c r="Y68" s="22"/>
      <c r="Z68" s="25">
        <f>[1]!b_stm07_bs(A68,74,$A$1,1,100000000)</f>
        <v>1645.7871509432998</v>
      </c>
      <c r="AA68" s="25">
        <f>[1]!b_stm07_bs(A68,109,$A$1,1,100000000)</f>
        <v>1246.0778720297001</v>
      </c>
      <c r="AB68" s="10">
        <f>[1]!s_stmnote_bank_5n(A68,$A$1,1)</f>
        <v>0.95</v>
      </c>
      <c r="AC68" s="25">
        <f>IF([1]!s_stmnote_bank_23n(A68,$A$1,1)=0,"",IFERROR([1]!s_stmnote_bank_23n(A68,$A$1,1),""))</f>
        <v>475.35</v>
      </c>
      <c r="AD68" s="27" t="str">
        <f t="shared" ref="AD68:AD131" si="26">RANK(AC68,AC$5:AC$192,1)&amp;" "&amp;COUNTIF(AC$5:AC$192,"&gt;0")</f>
        <v>143 167</v>
      </c>
      <c r="AE68" s="25">
        <f>[1]!s_stmnote_bank_capadequacyratio(A68,$A$1,1)</f>
        <v>14.3</v>
      </c>
      <c r="AF68" s="25">
        <f>IF([1]!s_stmnote_bank_capadequacyratio_ct1(A68,$A$1,1)=0,"",IFERROR([1]!s_stmnote_bank_capadequacyratio_ct1(A68,$A$1,1),""))</f>
        <v>9.82</v>
      </c>
      <c r="AG68" s="27" t="str">
        <f>RANK(AF68,AF$5:AF$192,1)&amp;" "&amp;COUNTIF(AF$5:AF$192,"&gt;0")</f>
        <v>78 167</v>
      </c>
      <c r="AH68" s="6">
        <f>IF(OR([1]!s_fa_roe(A68,20201231)=0,[1]!s_fa_roe(A68,20211231)="0",[1]!s_fa_roe(A68,20221231)="0"),"",IFERROR(([1]!s_fa_roe(A68,20221231)+[1]!s_fa_roe(A68,20201231)+[1]!s_fa_roe(A68,20211231))/3,""))</f>
        <v>10.182933333333333</v>
      </c>
      <c r="AI68" s="27" t="str">
        <f t="shared" ref="AI68:AI131" si="27">RANK(AH68,AH$5:AH$192,1)&amp;" "&amp;COUNTIF(AH$5:AH$192,"&gt;0")</f>
        <v>122 173</v>
      </c>
      <c r="AJ68" s="28">
        <f>IFERROR(([1]!s_stmnote_bank_65(A68,$A$1,1,2,4,100000000)+[1]!s_stmnote_bank_65(A68,$A$1,1,2,6,100000000))/[1]!s_stmnote_bank_1n(A68,$A$1,1,100000000),"")</f>
        <v>4.3447916918205064E-2</v>
      </c>
      <c r="AK68" s="28">
        <f>IFERROR([1]!s_stmnote_bank_614(A68,$A$1,1,2,100000000)/[1]!s_stmnote_bank_647(A68,$A$1,1,2,100000000),"")</f>
        <v>0.21852003266117526</v>
      </c>
      <c r="AL68" s="28">
        <f>IFERROR(([1]!b_stm07_bs(A68,104,$A$1,1,100000000)+[1]!b_stm07_bs(A68,106,$A$1,1,100000000)+[1]!b_stm07_bs(A68,76,$A$1,1,100000000)+[1]!b_stm07_bs(A68,108,$A$1,1,100000000)+[1]!b_stm07_bs(A68,95,$A$1,1,100000000))/[1]!b_stm07_bs(A68,128,$A$1,1,100000000),"")</f>
        <v>0.13301484263790958</v>
      </c>
      <c r="AM68" s="28">
        <f>IFERROR(([1]!s_stmnote_bank_614(A68,$A$1,1,2,100000000)+[1]!b_stm07_bs(A68,104,$A$1,1,100000000)+[1]!b_stm07_bs(A68,106,$A$1,1,100000000)+[1]!b_stm07_bs(A68,76,$A$1,1,100000000)+[1]!b_stm07_bs(A68,108,$A$1,1,100000000)+[1]!b_stm07_bs(A68,95,$A$1,1,100000000))/[1]!b_stm07_bs(A68,128,$A$1,1,100000000),"")</f>
        <v>0.3094625463830411</v>
      </c>
      <c r="AN68" s="31" t="e">
        <f>IF(Z68&gt;#REF!,#REF!,IF(Z68&gt;#REF!,#REF!,IF(Z68&gt;#REF!,#REF!,IF(Z68&gt;#REF!,#REF!,IF(Z68&gt;#REF!,#REF!,IF(Z68&gt;#REF!,#REF!,IF(Z68&gt;#REF!,#REF!,#REF!)))))))</f>
        <v>#REF!</v>
      </c>
      <c r="AO68" s="31" t="e">
        <f>IF(AA68&gt;#REF!,#REF!,IF(AA68&gt;#REF!,#REF!,IF(AA68&gt;#REF!,#REF!,IF(AA68&gt;#REF!,#REF!,IF(AA68&gt;#REF!,#REF!,IF(AA68&gt;#REF!,#REF!,IF(AA68&gt;#REF!,#REF!,#REF!)))))))</f>
        <v>#REF!</v>
      </c>
      <c r="AP68" s="31" t="e">
        <f>IF(AB68&lt;#REF!,#REF!,IF(AB68&lt;#REF!,#REF!,IF(AB68&lt;#REF!,#REF!,IF(AB68&lt;#REF!,#REF!,IF(AB68&lt;#REF!,#REF!,IF(AB68&lt;#REF!,#REF!,#REF!))))))</f>
        <v>#REF!</v>
      </c>
      <c r="AQ68" s="31" t="e">
        <f>IF(AC68&gt;#REF!,#REF!,IF(AC68&gt;#REF!,#REF!,IF(AC68&gt;#REF!,#REF!,IF(AC68&gt;#REF!,#REF!,#REF!))))</f>
        <v>#REF!</v>
      </c>
      <c r="AR68" s="31" t="e">
        <f>IF(AE68&gt;#REF!,#REF!,IF(AE68&gt;#REF!,#REF!,IF(AE68&gt;#REF!,#REF!,IF(AE68&gt;#REF!,#REF!,#REF!))))</f>
        <v>#REF!</v>
      </c>
      <c r="AS68" s="31" t="e">
        <f>IF(AF68&gt;#REF!,#REF!,IF(AF68&gt;#REF!,#REF!,IF(AF68&gt;#REF!,#REF!,IF(AF68&gt;#REF!,#REF!,#REF!))))</f>
        <v>#REF!</v>
      </c>
      <c r="AT68" s="31" t="e">
        <f>IF(AH68&gt;#REF!,#REF!,IF(AH68&gt;#REF!,#REF!,IF(AH68&gt;#REF!,#REF!,IF(AH68&gt;#REF!,#REF!,IF(AH68&gt;#REF!,#REF!,#REF!)))))</f>
        <v>#REF!</v>
      </c>
      <c r="AU68" s="10" t="e">
        <f t="shared" ref="AU68:AU131" si="28">AN68*$AN$3+AP68*$AP$3+AQ68*$AQ$3+AR68*$AR$3+AS68*$AS$3+AT68*$AT$3+$AO$3*AO68</f>
        <v>#REF!</v>
      </c>
      <c r="AV68" s="10" t="s">
        <v>141</v>
      </c>
      <c r="AW68" s="10" t="s">
        <v>141</v>
      </c>
      <c r="AX68" s="10" t="s">
        <v>261</v>
      </c>
      <c r="AY68" s="31" t="str">
        <f>IFERROR(VLOOKUP(AV68,#REF!,3,0),"")</f>
        <v/>
      </c>
      <c r="AZ68" s="31" t="str">
        <f>IFERROR(VLOOKUP(AW68,#REF!,3,0),"")</f>
        <v/>
      </c>
      <c r="BA68" s="31" t="str">
        <f>IFERROR(VLOOKUP(AX68,#REF!,3,0),"")</f>
        <v/>
      </c>
      <c r="BB68" s="31" t="str">
        <f>IFERROR(AY68*#REF!+AZ68*#REF!+BA68*#REF!,"")</f>
        <v/>
      </c>
      <c r="BC68" s="32" t="str">
        <f t="shared" ref="BC68:BC131" si="29">IFERROR(AU68*0.6+BB68*0.4,"")</f>
        <v/>
      </c>
      <c r="BD68" s="32" t="str">
        <f>IFERROR(VLOOKUP(BC68*10,#REF!,2,1),"")</f>
        <v/>
      </c>
      <c r="BE68" s="11">
        <v>0</v>
      </c>
      <c r="BF68" s="11">
        <v>-1</v>
      </c>
      <c r="BG68" s="10" t="s">
        <v>340</v>
      </c>
      <c r="BH68" s="11" t="s">
        <v>790</v>
      </c>
      <c r="BI68" s="10">
        <v>8.1800003051757795</v>
      </c>
      <c r="BJ68" s="33" t="s">
        <v>92</v>
      </c>
      <c r="BK68" s="33" t="s">
        <v>791</v>
      </c>
      <c r="BL68" s="10">
        <f>IF([1]!s_stmnote_bank_17n(A68,$A$1,1)="0","",[1]!s_stmnote_bank_17n(A68,$A$1,1))</f>
        <v>1.88</v>
      </c>
      <c r="BM68" s="10">
        <f>IF([1]!s_stmnote_bank_18n(A68,$A$1,1)="0","",[1]!s_stmnote_bank_18n(A68,$A$1,1))</f>
        <v>12.67</v>
      </c>
      <c r="BN68" s="41">
        <v>4.47</v>
      </c>
      <c r="BO68" s="68">
        <v>2.48</v>
      </c>
      <c r="BP68" s="52">
        <f>[1]!s_stmnote_bank_5444(A68,$A$1,1)</f>
        <v>2.4300000000000002</v>
      </c>
      <c r="BQ68" s="52">
        <f>[1]!s_stmnote_bank_129n($A68,$A$1,1)</f>
        <v>31.11</v>
      </c>
      <c r="BR68" s="52">
        <f t="shared" si="13"/>
        <v>4.8967217798098321</v>
      </c>
      <c r="BS68" s="52">
        <f>[1]!b_stm07_is(A68,19,$A$1,1,100000000)</f>
        <v>71.312552195899997</v>
      </c>
      <c r="BT68" s="52">
        <f xml:space="preserve"> [1]!s_stm07_bs(A68,"W15273164",$A$1,1,100000000)-[1]!s_stm07_bs(A68,"W17642530",$A$1,1,100000000)-[1]!s_stm07_bs(A68,"W15910877",$A$1,1,100000000)-[1]!s_stm07_bs_39(A68,$A$1,1,100000000)-[1]!s_stm07_bs(A68,"W17700468",$A$1,1,100000000)-[1]!s_stm07_bs(A68,"W16504296",$A$1,1,100000000)-[1]!s_stm07_bs(A68,"W13769069",$A$1,1,100000000)</f>
        <v>1616.4228587398002</v>
      </c>
      <c r="BU68" s="52">
        <f xml:space="preserve"> [1]!s_stm07_bs(A68,"W15273164",$B$1,1,100000000)-[1]!s_stm07_bs(A68,"W17642530",$B$1,1,100000000)-[1]!s_stm07_bs(A68,"W15910877",$B$1,1,100000000)-[1]!s_stm07_bs_39(A68,$B$1,1,100000000)-[1]!s_stm07_bs(A68,"W17700468",$B$1,1,100000000)-[1]!s_stm07_bs(A68,"W16504296",$B$1,1,100000000)-[1]!s_stm07_bs(A68,"W13769069",$B$1,1,100000000)</f>
        <v>1413.5156202445996</v>
      </c>
      <c r="BV68" s="52">
        <f xml:space="preserve"> [1]!s_stm07_bs(A68,"W15273164",$E$1,1,100000000)-[1]!s_stm07_bs(A68,"W17642530",$E$1,1,100000000)-[1]!s_stm07_bs(A68,"W15910877",$E$1,1,100000000)-[1]!s_stm07_bs_39(A68,$E$1,1,100000000)-[1]!s_stm07_bs(A68,"W17700468",$E$1,1,100000000)-[1]!s_stm07_bs(A68,"W16504296",$E$1,1,100000000)-[1]!s_stm07_bs(A68,"W13769069",$E$1,1,100000000)</f>
        <v>1584.8362288753001</v>
      </c>
      <c r="BW68" s="52">
        <f xml:space="preserve"> [1]!s_stm07_bs(A68,"W15273164",$F$1,1,100000000)-[1]!s_stm07_bs(A68,"W17642530",$F$1,1,100000000)-[1]!s_stm07_bs(A68,"W15910877",$F$1,1,100000000)-[1]!s_stm07_bs_39(A68,$F$1,1,100000000)-[1]!s_stm07_bs(A68,"W17700468",$F$1,1,100000000)-[1]!s_stm07_bs(A68,"W16504296",$F$1,1,100000000)-[1]!s_stm07_bs(A68,"W13769069",$F$1,1,100000000)</f>
        <v>1531.2002483966003</v>
      </c>
      <c r="BX68" s="52">
        <f xml:space="preserve"> [1]!s_stm07_bs(A68,"W15273164",$G$1,1,100000000)-[1]!s_stm07_bs(A68,"W17642530",$G$1,1,100000000)-[1]!s_stm07_bs(A68,"W15910877",$G$1,1,100000000)-[1]!s_stm07_bs_39(A68,$G$1,1,100000000)-[1]!s_stm07_bs(A68,"W17700468",$G$1,1,100000000)-[1]!s_stm07_bs(A68,"W16504296",$G$1,1,100000000)-[1]!s_stm07_bs(A68,"W13769069",$G$1,1,100000000)</f>
        <v>1457.3494787104</v>
      </c>
      <c r="BY68" s="52">
        <f>IFERROR([1]!b_stm07_is(A68,20,$A$1,1,100000000)/AVERAGEIF(CA68:CE68,"&gt;0")*100,0)</f>
        <v>2.4499120677616402</v>
      </c>
      <c r="BZ68" s="52">
        <f>[1]!b_stm07_is(A68,20,$A$1,1,100000000)</f>
        <v>34.400073818099997</v>
      </c>
      <c r="CA68" s="52">
        <f>[1]!s_stmnote_bank_38(A68,$A$1,1,100000000)</f>
        <v>1481.9835511411</v>
      </c>
      <c r="CB68" s="52">
        <f>[1]!s_stmnote_bank_38(A68,$B$1,1,100000000)</f>
        <v>1315.3079356105</v>
      </c>
      <c r="CC68" s="52">
        <f>[1]!s_stmnote_bank_38(A68,$E$1,1,100000000)</f>
        <v>1456.7345824259</v>
      </c>
      <c r="CD68" s="52">
        <f>[1]!s_stmnote_bank_38(A68,$F$1,1,100000000)</f>
        <v>1408.1591067511999</v>
      </c>
      <c r="CE68" s="52">
        <f>[1]!s_stmnote_bank_38(A68,$G$1,1,100000000)</f>
        <v>1358.4900292694999</v>
      </c>
      <c r="CF68" s="52">
        <f>IF(BP68&lt;&gt;0,BP68,IFERROR(IF(([1]!b_stm07_is(A68,19,$A$1,1,100000000)-[1]!b_stm07_is(A68,20,$A$1,1,100000000))/AVERAGE([1]!s_stmnote_bank_35(A68,$A$1,1,100000000),[1]!s_stmnote_bank_35(A68,$B$1,1,100000000))*100=0,"",([1]!b_stm07_is(A68,19,$A$1,1,100000000)-[1]!b_stm07_is(A68,20,$A$1,1,100000000))/AVERAGE([1]!s_stmnote_bank_35(A68,$A$1,1,100000000),[1]!s_stmnote_bank_35(A68,$B$1,1,100000000))*100),""))</f>
        <v>2.4300000000000002</v>
      </c>
      <c r="CG68" s="27" t="str">
        <f t="shared" ref="CG68:CG131" si="30">RANK(CF68,CF$5:CF$192,0)&amp;" "&amp;COUNTIF(CF$5:CF$192,"&gt;0")</f>
        <v>31 171</v>
      </c>
      <c r="CH68" s="80">
        <f t="shared" si="14"/>
        <v>0.99348716440459373</v>
      </c>
      <c r="CI68" s="27" t="str">
        <f t="shared" ref="CI68:CI131" si="31">RANK(CH68,CH$5:CH$192,0)&amp;" "&amp;COUNTIF(CH$5:CH$192,"&gt;0")</f>
        <v>43 169</v>
      </c>
      <c r="CJ68" s="55">
        <f>[1]!s_stmnote_bank_30(A68,$A$1,1)</f>
        <v>20.040299999999998</v>
      </c>
      <c r="CP68" s="69">
        <f>[1]!b_stm07_bs($A68,141,$A$1,1,100000000)</f>
        <v>145.6585273499</v>
      </c>
      <c r="CQ68" s="69">
        <f>[1]!b_stm07_bs($A68,141,$D$1,1,100000000)</f>
        <v>150.3927472652</v>
      </c>
      <c r="CR68" s="68">
        <f>IF([1]!s_fa_roic_yearly($A68,$A$1)=0,"",[1]!s_fa_roic_yearly($A68,$A$1))</f>
        <v>10.1774</v>
      </c>
      <c r="CS68" s="27">
        <f>RANK(CR68,CR$5:CR$192,0)/COUNTIF(CR$5:CR$192,"&gt;0")</f>
        <v>0.32544378698224852</v>
      </c>
      <c r="CT68" s="68">
        <f>IF([1]!s_fa_roic_yearly($A68,$D$1)=0,"",[1]!s_fa_roic_yearly($A68,$D$1))</f>
        <v>10.402200000000001</v>
      </c>
      <c r="CU68" s="27">
        <f>RANK(CT68,CT$5:CT$192,0)/COUNTIF(CT$5:CT$192,"&gt;0")</f>
        <v>0.47183098591549294</v>
      </c>
      <c r="CV68" s="78">
        <f>[1]!s_stm07_bs(A68,"W14578191",$A$1,1,100000000)</f>
        <v>955.54679332320006</v>
      </c>
      <c r="CW68" s="78">
        <f>[1]!s_stmnote_bank_682($A68,$A$1,1,2,100000000)</f>
        <v>443.38043073749998</v>
      </c>
      <c r="CX68" s="79">
        <f t="shared" si="11"/>
        <v>0.46400703119468567</v>
      </c>
    </row>
    <row r="69" spans="1:102" s="46" customFormat="1" ht="13.5">
      <c r="A69" s="8" t="s">
        <v>171</v>
      </c>
      <c r="B69" s="8" t="s">
        <v>172</v>
      </c>
      <c r="C69" s="9" t="s">
        <v>173</v>
      </c>
      <c r="D69" s="9" t="s">
        <v>1066</v>
      </c>
      <c r="E69" s="10"/>
      <c r="F69" s="11" t="s">
        <v>90</v>
      </c>
      <c r="G69" s="11" t="s">
        <v>67</v>
      </c>
      <c r="H69" s="11" t="s">
        <v>67</v>
      </c>
      <c r="I69" s="11"/>
      <c r="J69" s="11" t="e">
        <f>VLOOKUP(B69,[3]额度信息!$B:$T,19,0)</f>
        <v>#N/A</v>
      </c>
      <c r="K69" s="11"/>
      <c r="L69" s="27">
        <f>IFERROR(([1]!b_stm07_bs($A69,47,$A$1,1,100000000))/[1]!b_stm07_bs($A69,109,$A$1,1,100000000),"")</f>
        <v>0.12475740227453837</v>
      </c>
      <c r="M69" s="20"/>
      <c r="N69" s="18"/>
      <c r="O69" s="27" t="e">
        <f t="shared" si="24"/>
        <v>#N/A</v>
      </c>
      <c r="P69" s="21">
        <f t="shared" si="12"/>
        <v>2.5684200652250702E-2</v>
      </c>
      <c r="Q69" s="27" t="str">
        <f t="shared" si="25"/>
        <v>62 169</v>
      </c>
      <c r="R69" s="18">
        <v>1.2184200652250701E-2</v>
      </c>
      <c r="S69" s="22"/>
      <c r="T69" s="22"/>
      <c r="U69" s="22"/>
      <c r="V69" s="22"/>
      <c r="W69" s="22"/>
      <c r="X69" s="22"/>
      <c r="Y69" s="22"/>
      <c r="Z69" s="25">
        <f>[1]!b_stm07_bs(A69,74,$A$1,1,100000000)</f>
        <v>586.80858842060002</v>
      </c>
      <c r="AA69" s="25">
        <f>[1]!b_stm07_bs(A69,109,$A$1,1,100000000)</f>
        <v>505.67168814780001</v>
      </c>
      <c r="AB69" s="10">
        <f>[1]!s_stmnote_bank_5n(A69,$A$1,1)</f>
        <v>1.35</v>
      </c>
      <c r="AC69" s="25">
        <f>IF([1]!s_stmnote_bank_23n(A69,$A$1,1)=0,"",IFERROR([1]!s_stmnote_bank_23n(A69,$A$1,1),""))</f>
        <v>457.78</v>
      </c>
      <c r="AD69" s="27" t="str">
        <f t="shared" si="26"/>
        <v>141 167</v>
      </c>
      <c r="AE69" s="25">
        <f>[1]!s_stmnote_bank_capadequacyratio(A69,$A$1,1)</f>
        <v>16.600000000000001</v>
      </c>
      <c r="AF69" s="25">
        <f>IF([1]!s_stmnote_bank_capadequacyratio_ct1(A69,$A$1,1)=0,"",IFERROR([1]!s_stmnote_bank_capadequacyratio_ct1(A69,$A$1,1),""))</f>
        <v>13.99</v>
      </c>
      <c r="AG69" s="27" t="str">
        <f>RANK(AF69,AF$5:AF$192,1)&amp;" "&amp;COUNTIF(AF$5:AF$192,"&gt;0")</f>
        <v>149 167</v>
      </c>
      <c r="AH69" s="6">
        <f>IF(OR([1]!s_fa_roe(A69,20201231)=0,[1]!s_fa_roe(A69,20211231)="0",[1]!s_fa_roe(A69,20221231)="0"),"",IFERROR(([1]!s_fa_roe(A69,20221231)+[1]!s_fa_roe(A69,20201231)+[1]!s_fa_roe(A69,20211231))/3,""))</f>
        <v>10.4312</v>
      </c>
      <c r="AI69" s="27" t="str">
        <f t="shared" si="27"/>
        <v>126 173</v>
      </c>
      <c r="AJ69" s="28">
        <f>IFERROR(([1]!s_stmnote_bank_65(A69,$A$1,1,2,4,100000000)+[1]!s_stmnote_bank_65(A69,$A$1,1,2,6,100000000))/[1]!s_stmnote_bank_1n(A69,$A$1,1,100000000),"")</f>
        <v>0.15491860370915239</v>
      </c>
      <c r="AK69" s="28">
        <f>IFERROR([1]!s_stmnote_bank_614(A69,$A$1,1,2,100000000)/[1]!s_stmnote_bank_647(A69,$A$1,1,2,100000000),"")</f>
        <v>0.10651662769234738</v>
      </c>
      <c r="AL69" s="28">
        <f>IFERROR(([1]!b_stm07_bs(A69,104,$A$1,1,100000000)+[1]!b_stm07_bs(A69,106,$A$1,1,100000000)+[1]!b_stm07_bs(A69,76,$A$1,1,100000000)+[1]!b_stm07_bs(A69,108,$A$1,1,100000000)+[1]!b_stm07_bs(A69,95,$A$1,1,100000000))/[1]!b_stm07_bs(A69,128,$A$1,1,100000000),"")</f>
        <v>1.4296328309443475E-2</v>
      </c>
      <c r="AM69" s="28">
        <f>IFERROR(([1]!s_stmnote_bank_614(A69,$A$1,1,2,100000000)+[1]!b_stm07_bs(A69,104,$A$1,1,100000000)+[1]!b_stm07_bs(A69,106,$A$1,1,100000000)+[1]!b_stm07_bs(A69,76,$A$1,1,100000000)+[1]!b_stm07_bs(A69,108,$A$1,1,100000000)+[1]!b_stm07_bs(A69,95,$A$1,1,100000000))/[1]!b_stm07_bs(A69,128,$A$1,1,100000000),"")</f>
        <v>0.11359265226102501</v>
      </c>
      <c r="AN69" s="31" t="e">
        <f>IF(Z69&gt;#REF!,#REF!,IF(Z69&gt;#REF!,#REF!,IF(Z69&gt;#REF!,#REF!,IF(Z69&gt;#REF!,#REF!,IF(Z69&gt;#REF!,#REF!,IF(Z69&gt;#REF!,#REF!,IF(Z69&gt;#REF!,#REF!,#REF!)))))))</f>
        <v>#REF!</v>
      </c>
      <c r="AO69" s="31" t="e">
        <f>IF(AA69&gt;#REF!,#REF!,IF(AA69&gt;#REF!,#REF!,IF(AA69&gt;#REF!,#REF!,IF(AA69&gt;#REF!,#REF!,IF(AA69&gt;#REF!,#REF!,IF(AA69&gt;#REF!,#REF!,IF(AA69&gt;#REF!,#REF!,#REF!)))))))</f>
        <v>#REF!</v>
      </c>
      <c r="AP69" s="31" t="e">
        <f>IF(AB69&lt;#REF!,#REF!,IF(AB69&lt;#REF!,#REF!,IF(AB69&lt;#REF!,#REF!,IF(AB69&lt;#REF!,#REF!,IF(AB69&lt;#REF!,#REF!,IF(AB69&lt;#REF!,#REF!,#REF!))))))</f>
        <v>#REF!</v>
      </c>
      <c r="AQ69" s="31" t="e">
        <f>IF(AC69&gt;#REF!,#REF!,IF(AC69&gt;#REF!,#REF!,IF(AC69&gt;#REF!,#REF!,IF(AC69&gt;#REF!,#REF!,#REF!))))</f>
        <v>#REF!</v>
      </c>
      <c r="AR69" s="31" t="e">
        <f>IF(AE69&gt;#REF!,#REF!,IF(AE69&gt;#REF!,#REF!,IF(AE69&gt;#REF!,#REF!,IF(AE69&gt;#REF!,#REF!,#REF!))))</f>
        <v>#REF!</v>
      </c>
      <c r="AS69" s="31" t="e">
        <f>IF(AF69&gt;#REF!,#REF!,IF(AF69&gt;#REF!,#REF!,IF(AF69&gt;#REF!,#REF!,IF(AF69&gt;#REF!,#REF!,#REF!))))</f>
        <v>#REF!</v>
      </c>
      <c r="AT69" s="31" t="e">
        <f>IF(AH69&gt;#REF!,#REF!,IF(AH69&gt;#REF!,#REF!,IF(AH69&gt;#REF!,#REF!,IF(AH69&gt;#REF!,#REF!,IF(AH69&gt;#REF!,#REF!,#REF!)))))</f>
        <v>#REF!</v>
      </c>
      <c r="AU69" s="10" t="e">
        <f t="shared" si="28"/>
        <v>#REF!</v>
      </c>
      <c r="AV69" s="10"/>
      <c r="AW69" s="10"/>
      <c r="AX69" s="10"/>
      <c r="AY69" s="31" t="str">
        <f>IFERROR(VLOOKUP(AV69,#REF!,3,0),"")</f>
        <v/>
      </c>
      <c r="AZ69" s="31" t="str">
        <f>IFERROR(VLOOKUP(AW69,#REF!,3,0),"")</f>
        <v/>
      </c>
      <c r="BA69" s="31" t="str">
        <f>IFERROR(VLOOKUP(AX69,#REF!,3,0),"")</f>
        <v/>
      </c>
      <c r="BB69" s="31" t="str">
        <f>IFERROR(AY69*#REF!+AZ69*#REF!+BA69*#REF!,"")</f>
        <v/>
      </c>
      <c r="BC69" s="32" t="str">
        <f t="shared" si="29"/>
        <v/>
      </c>
      <c r="BD69" s="32" t="str">
        <f>IFERROR(VLOOKUP(BC69*10,#REF!,2,1),"")</f>
        <v/>
      </c>
      <c r="BE69" s="10"/>
      <c r="BF69" s="10"/>
      <c r="BG69" s="10"/>
      <c r="BH69" s="11" t="s">
        <v>174</v>
      </c>
      <c r="BI69" s="10">
        <v>10</v>
      </c>
      <c r="BJ69" s="11" t="s">
        <v>92</v>
      </c>
      <c r="BK69" s="33" t="s">
        <v>93</v>
      </c>
      <c r="BL69" s="10">
        <f>IF([1]!s_stmnote_bank_17n(A69,$A$1,1)="0","",[1]!s_stmnote_bank_17n(A69,$A$1,1))</f>
        <v>5.32</v>
      </c>
      <c r="BM69" s="10">
        <f>IF([1]!s_stmnote_bank_18n(A69,$A$1,1)="0","",[1]!s_stmnote_bank_18n(A69,$A$1,1))</f>
        <v>0</v>
      </c>
      <c r="BN69" s="41" t="s">
        <v>67</v>
      </c>
      <c r="BO69" s="68" t="s">
        <v>67</v>
      </c>
      <c r="BP69" s="52">
        <f>[1]!s_stmnote_bank_5444(A69,$A$1,1)</f>
        <v>0</v>
      </c>
      <c r="BQ69" s="52">
        <f>[1]!s_stmnote_bank_129n($A69,$A$1,1)</f>
        <v>33.4</v>
      </c>
      <c r="BR69" s="52">
        <f t="shared" si="13"/>
        <v>3.4753051946121576</v>
      </c>
      <c r="BS69" s="52">
        <f>[1]!b_stm07_is(A69,19,$A$1,1,100000000)</f>
        <v>19.447265251899999</v>
      </c>
      <c r="BT69" s="52">
        <f xml:space="preserve"> [1]!s_stm07_bs(A69,"W15273164",$A$1,1,100000000)-[1]!s_stm07_bs(A69,"W17642530",$A$1,1,100000000)-[1]!s_stm07_bs(A69,"W15910877",$A$1,1,100000000)-[1]!s_stm07_bs_39(A69,$A$1,1,100000000)-[1]!s_stm07_bs(A69,"W17700468",$A$1,1,100000000)-[1]!s_stm07_bs(A69,"W16504296",$A$1,1,100000000)-[1]!s_stm07_bs(A69,"W13769069",$A$1,1,100000000)</f>
        <v>579.52604393340005</v>
      </c>
      <c r="BU69" s="52">
        <f xml:space="preserve"> [1]!s_stm07_bs(A69,"W15273164",$B$1,1,100000000)-[1]!s_stm07_bs(A69,"W17642530",$B$1,1,100000000)-[1]!s_stm07_bs(A69,"W15910877",$B$1,1,100000000)-[1]!s_stm07_bs_39(A69,$B$1,1,100000000)-[1]!s_stm07_bs(A69,"W17700468",$B$1,1,100000000)-[1]!s_stm07_bs(A69,"W16504296",$B$1,1,100000000)-[1]!s_stm07_bs(A69,"W13769069",$B$1,1,100000000)</f>
        <v>551.18744022110002</v>
      </c>
      <c r="BV69" s="52">
        <f xml:space="preserve"> [1]!s_stm07_bs(A69,"W15273164",$E$1,1,100000000)-[1]!s_stm07_bs(A69,"W17642530",$E$1,1,100000000)-[1]!s_stm07_bs(A69,"W15910877",$E$1,1,100000000)-[1]!s_stm07_bs_39(A69,$E$1,1,100000000)-[1]!s_stm07_bs(A69,"W17700468",$E$1,1,100000000)-[1]!s_stm07_bs(A69,"W16504296",$E$1,1,100000000)-[1]!s_stm07_bs(A69,"W13769069",$E$1,1,100000000)</f>
        <v>590.11995100100012</v>
      </c>
      <c r="BW69" s="52">
        <f xml:space="preserve"> [1]!s_stm07_bs(A69,"W15273164",$F$1,1,100000000)-[1]!s_stm07_bs(A69,"W17642530",$F$1,1,100000000)-[1]!s_stm07_bs(A69,"W15910877",$F$1,1,100000000)-[1]!s_stm07_bs_39(A69,$F$1,1,100000000)-[1]!s_stm07_bs(A69,"W17700468",$F$1,1,100000000)-[1]!s_stm07_bs(A69,"W16504296",$F$1,1,100000000)-[1]!s_stm07_bs(A69,"W13769069",$F$1,1,100000000)</f>
        <v>568.83214928480004</v>
      </c>
      <c r="BX69" s="52">
        <f xml:space="preserve"> [1]!s_stm07_bs(A69,"W15273164",$G$1,1,100000000)-[1]!s_stm07_bs(A69,"W17642530",$G$1,1,100000000)-[1]!s_stm07_bs(A69,"W15910877",$G$1,1,100000000)-[1]!s_stm07_bs_39(A69,$G$1,1,100000000)-[1]!s_stm07_bs(A69,"W17700468",$G$1,1,100000000)-[1]!s_stm07_bs(A69,"W16504296",$G$1,1,100000000)-[1]!s_stm07_bs(A69,"W13769069",$G$1,1,100000000)</f>
        <v>588.22722925250002</v>
      </c>
      <c r="BY69" s="52">
        <f>IFERROR([1]!b_stm07_is(A69,20,$A$1,1,100000000)/AVERAGEIF(CA69:CE69,"&gt;0")*100,0)</f>
        <v>2.368883391376738</v>
      </c>
      <c r="BZ69" s="52">
        <f>[1]!b_stm07_is(A69,20,$A$1,1,100000000)</f>
        <v>12.7918193377</v>
      </c>
      <c r="CA69" s="52">
        <f>[1]!s_stmnote_bank_38(A69,$A$1,1,100000000)</f>
        <v>539.26305009919997</v>
      </c>
      <c r="CB69" s="52">
        <f>[1]!s_stmnote_bank_38(A69,$B$1,1,100000000)</f>
        <v>517.21607223210003</v>
      </c>
      <c r="CC69" s="52">
        <f>[1]!s_stmnote_bank_38(A69,$E$1,1,100000000)</f>
        <v>554.63059891809996</v>
      </c>
      <c r="CD69" s="52">
        <f>[1]!s_stmnote_bank_38(A69,$F$1,1,100000000)</f>
        <v>534.49692875949995</v>
      </c>
      <c r="CE69" s="52">
        <f>[1]!s_stmnote_bank_38(A69,$G$1,1,100000000)</f>
        <v>554.36148355670002</v>
      </c>
      <c r="CF69" s="52">
        <f>IF(BP69&lt;&gt;0,BP69,IFERROR(IF(([1]!b_stm07_is(A69,19,$A$1,1,100000000)-[1]!b_stm07_is(A69,20,$A$1,1,100000000))/AVERAGE([1]!s_stmnote_bank_35(A69,$A$1,1,100000000),[1]!s_stmnote_bank_35(A69,$B$1,1,100000000))*100=0,"",([1]!b_stm07_is(A69,19,$A$1,1,100000000)-[1]!b_stm07_is(A69,20,$A$1,1,100000000))/AVERAGE([1]!s_stmnote_bank_35(A69,$A$1,1,100000000),[1]!s_stmnote_bank_35(A69,$B$1,1,100000000))*100),""))</f>
        <v>1.1837986234716282</v>
      </c>
      <c r="CG69" s="27" t="str">
        <f t="shared" si="30"/>
        <v>164 171</v>
      </c>
      <c r="CH69" s="80">
        <f t="shared" si="14"/>
        <v>0.46090537895244649</v>
      </c>
      <c r="CI69" s="27" t="str">
        <f t="shared" si="31"/>
        <v>122 169</v>
      </c>
      <c r="CJ69" s="55">
        <f>[1]!s_stmnote_bank_30(A69,$A$1,1)</f>
        <v>47.081899999999997</v>
      </c>
      <c r="CP69" s="69">
        <f>[1]!b_stm07_bs($A69,141,$A$1,1,100000000)</f>
        <v>44.367128379599997</v>
      </c>
      <c r="CQ69" s="69">
        <f>[1]!b_stm07_bs($A69,141,$D$1,1,100000000)</f>
        <v>46.205190469999998</v>
      </c>
      <c r="CR69" s="68">
        <f>IF([1]!s_fa_roic_yearly($A69,$A$1)=0,"",[1]!s_fa_roic_yearly($A69,$A$1))</f>
        <v>9.5074000000000005</v>
      </c>
      <c r="CS69" s="27">
        <f>RANK(CR69,CR$5:CR$192,0)/COUNTIF(CR$5:CR$192,"&gt;0")</f>
        <v>0.42011834319526625</v>
      </c>
      <c r="CT69" s="68">
        <f>IF([1]!s_fa_roic_yearly($A69,$D$1)=0,"",[1]!s_fa_roic_yearly($A69,$D$1))</f>
        <v>10.645</v>
      </c>
      <c r="CU69" s="27">
        <f>RANK(CT69,CT$5:CT$192,0)/COUNTIF(CT$5:CT$192,"&gt;0")</f>
        <v>0.42253521126760563</v>
      </c>
      <c r="CV69" s="78">
        <f>[1]!s_stm07_bs(A69,"W14578191",$A$1,1,100000000)</f>
        <v>348.71287321680001</v>
      </c>
      <c r="CW69" s="78">
        <f>[1]!s_stmnote_bank_682($A69,$A$1,1,2,100000000)</f>
        <v>174.91149881859999</v>
      </c>
      <c r="CX69" s="79">
        <f t="shared" ref="CX69:CX132" si="32">IF(CW69*CV69=0,"",CW69/CV69)</f>
        <v>0.50159174568199805</v>
      </c>
    </row>
    <row r="70" spans="1:102" s="46" customFormat="1" ht="13.5">
      <c r="A70" s="8" t="s">
        <v>780</v>
      </c>
      <c r="B70" s="8" t="s">
        <v>781</v>
      </c>
      <c r="C70" s="9" t="s">
        <v>782</v>
      </c>
      <c r="D70" s="9" t="s">
        <v>1064</v>
      </c>
      <c r="E70" s="10" t="s">
        <v>456</v>
      </c>
      <c r="F70" s="11" t="s">
        <v>178</v>
      </c>
      <c r="G70" s="11" t="s">
        <v>76</v>
      </c>
      <c r="H70" s="11" t="s">
        <v>66</v>
      </c>
      <c r="I70" s="11"/>
      <c r="J70" s="11">
        <f>VLOOKUP(B70,[3]额度信息!$B:$T,19,0)</f>
        <v>4.4000000000000004</v>
      </c>
      <c r="K70" s="11" t="s">
        <v>783</v>
      </c>
      <c r="L70" s="27">
        <f>IFERROR(([1]!b_stm07_bs($A70,47,$A$1,1,100000000))/[1]!b_stm07_bs($A70,109,$A$1,1,100000000),"")</f>
        <v>0.10290790188541474</v>
      </c>
      <c r="M70" s="20">
        <v>478.28</v>
      </c>
      <c r="N70" s="18">
        <f>IFERROR(([1]!s_stmnote_bank_26($A70,$A$1,1,100000000)-[1]!s_stmnote_bank_26($A70,$B$1,1,100000000)+M70)/[1]!s_stmnote_bank_1n($A70,$B$1,1,100000000),"")</f>
        <v>1.57927510448642E-2</v>
      </c>
      <c r="O70" s="27" t="str">
        <f t="shared" si="24"/>
        <v>38 50</v>
      </c>
      <c r="P70" s="21">
        <f t="shared" ref="P70:P133" si="33">IF(IFERROR(R70+AB70/100,"")=0,"",IFERROR(R70+AB70/100,""))</f>
        <v>3.0944263545146001E-2</v>
      </c>
      <c r="Q70" s="27" t="str">
        <f t="shared" si="25"/>
        <v>91 169</v>
      </c>
      <c r="R70" s="18">
        <v>1.8444263545146E-2</v>
      </c>
      <c r="S70" s="22">
        <v>2.53927748023949E-2</v>
      </c>
      <c r="T70" s="22">
        <v>5.2907446121184401E-3</v>
      </c>
      <c r="U70" s="22">
        <v>2.0069486438399401E-2</v>
      </c>
      <c r="V70" s="22"/>
      <c r="W70" s="22">
        <v>7.0713033921463797E-3</v>
      </c>
      <c r="X70" s="22">
        <v>8.4724759401176297E-3</v>
      </c>
      <c r="Y70" s="22">
        <v>0.55278006025746396</v>
      </c>
      <c r="Z70" s="25">
        <f>[1]!b_stm07_bs(A70,74,$A$1,1,100000000)</f>
        <v>59020.69</v>
      </c>
      <c r="AA70" s="25">
        <f>[1]!b_stm07_bs(A70,109,$A$1,1,100000000)</f>
        <v>36757.43</v>
      </c>
      <c r="AB70" s="10">
        <f>[1]!s_stmnote_bank_5n(A70,$A$1,1)</f>
        <v>1.25</v>
      </c>
      <c r="AC70" s="25">
        <f>IF([1]!s_stmnote_bank_23n(A70,$A$1,1)=0,"",IFERROR([1]!s_stmnote_bank_23n(A70,$A$1,1),""))</f>
        <v>187.02</v>
      </c>
      <c r="AD70" s="27" t="str">
        <f t="shared" si="26"/>
        <v>54 167</v>
      </c>
      <c r="AE70" s="25">
        <f>[1]!s_stmnote_bank_capadequacyratio(A70,$A$1,1)</f>
        <v>13.37</v>
      </c>
      <c r="AF70" s="25">
        <f>IF([1]!s_stmnote_bank_capadequacyratio_ct1(A70,$A$1,1)=0,"",IFERROR([1]!s_stmnote_bank_capadequacyratio_ct1(A70,$A$1,1),""))</f>
        <v>8.91</v>
      </c>
      <c r="AG70" s="27" t="str">
        <f>RANK(AF70,AF$5:AF$192,0)&amp;" "&amp;COUNTIF(AF$5:AF$192,"&gt;0")</f>
        <v>126 167</v>
      </c>
      <c r="AH70" s="6">
        <f>IF(OR([1]!s_fa_roe(A70,20201231)=0,[1]!s_fa_roe(A70,20211231)="0",[1]!s_fa_roe(A70,20221231)="0"),"",IFERROR(([1]!s_fa_roe(A70,20221231)+[1]!s_fa_roe(A70,20201231)+[1]!s_fa_roe(A70,20211231))/3,""))</f>
        <v>9.1155666666666679</v>
      </c>
      <c r="AI70" s="27" t="str">
        <f t="shared" si="27"/>
        <v>100 173</v>
      </c>
      <c r="AJ70" s="28">
        <f>IFERROR(([1]!s_stmnote_bank_65(A70,$A$1,1,2,4,100000000)+[1]!s_stmnote_bank_65(A70,$A$1,1,2,6,100000000))/[1]!s_stmnote_bank_1n(A70,$A$1,1,100000000),"")</f>
        <v>9.9575061742131959E-2</v>
      </c>
      <c r="AK70" s="28">
        <f>IFERROR([1]!s_stmnote_bank_614(A70,$A$1,1,2,100000000)/[1]!s_stmnote_bank_647(A70,$A$1,1,2,100000000),"")</f>
        <v>0.23292182297596734</v>
      </c>
      <c r="AL70" s="28">
        <f>IFERROR(([1]!b_stm07_bs(A70,104,$A$1,1,100000000)+[1]!b_stm07_bs(A70,106,$A$1,1,100000000)+[1]!b_stm07_bs(A70,76,$A$1,1,100000000)+[1]!b_stm07_bs(A70,108,$A$1,1,100000000)+[1]!b_stm07_bs(A70,95,$A$1,1,100000000))/[1]!b_stm07_bs(A70,128,$A$1,1,100000000),"")</f>
        <v>0.28611461351794293</v>
      </c>
      <c r="AM70" s="28">
        <f>IFERROR(([1]!s_stmnote_bank_614(A70,$A$1,1,2,100000000)+[1]!b_stm07_bs(A70,104,$A$1,1,100000000)+[1]!b_stm07_bs(A70,106,$A$1,1,100000000)+[1]!b_stm07_bs(A70,76,$A$1,1,100000000)+[1]!b_stm07_bs(A70,108,$A$1,1,100000000)+[1]!b_stm07_bs(A70,95,$A$1,1,100000000))/[1]!b_stm07_bs(A70,128,$A$1,1,100000000),"")</f>
        <v>0.44176212686446636</v>
      </c>
      <c r="AN70" s="31" t="e">
        <f>IF(Z70&gt;#REF!,#REF!,IF(Z70&gt;#REF!,#REF!,IF(Z70&gt;#REF!,#REF!,IF(Z70&gt;#REF!,#REF!,IF(Z70&gt;#REF!,#REF!,IF(Z70&gt;#REF!,#REF!,IF(Z70&gt;#REF!,#REF!,#REF!)))))))</f>
        <v>#REF!</v>
      </c>
      <c r="AO70" s="31" t="e">
        <f>IF(AA70&gt;#REF!,#REF!,IF(AA70&gt;#REF!,#REF!,IF(AA70&gt;#REF!,#REF!,IF(AA70&gt;#REF!,#REF!,IF(AA70&gt;#REF!,#REF!,IF(AA70&gt;#REF!,#REF!,IF(AA70&gt;#REF!,#REF!,#REF!)))))))</f>
        <v>#REF!</v>
      </c>
      <c r="AP70" s="31" t="e">
        <f>IF(AB70&lt;#REF!,#REF!,IF(AB70&lt;#REF!,#REF!,IF(AB70&lt;#REF!,#REF!,IF(AB70&lt;#REF!,#REF!,IF(AB70&lt;#REF!,#REF!,IF(AB70&lt;#REF!,#REF!,#REF!))))))</f>
        <v>#REF!</v>
      </c>
      <c r="AQ70" s="31" t="e">
        <f>IF(AC70&gt;#REF!,#REF!,IF(AC70&gt;#REF!,#REF!,IF(AC70&gt;#REF!,#REF!,IF(AC70&gt;#REF!,#REF!,#REF!))))</f>
        <v>#REF!</v>
      </c>
      <c r="AR70" s="31" t="e">
        <f>IF(AE70&gt;#REF!,#REF!,IF(AE70&gt;#REF!,#REF!,IF(AE70&gt;#REF!,#REF!,IF(AE70&gt;#REF!,#REF!,#REF!))))</f>
        <v>#REF!</v>
      </c>
      <c r="AS70" s="31" t="e">
        <f>IF(AF70&gt;#REF!,#REF!,IF(AF70&gt;#REF!,#REF!,IF(AF70&gt;#REF!,#REF!,IF(AF70&gt;#REF!,#REF!,#REF!))))</f>
        <v>#REF!</v>
      </c>
      <c r="AT70" s="31" t="e">
        <f>IF(AH70&gt;#REF!,#REF!,IF(AH70&gt;#REF!,#REF!,IF(AH70&gt;#REF!,#REF!,IF(AH70&gt;#REF!,#REF!,IF(AH70&gt;#REF!,#REF!,#REF!)))))</f>
        <v>#REF!</v>
      </c>
      <c r="AU70" s="10" t="e">
        <f t="shared" si="28"/>
        <v>#REF!</v>
      </c>
      <c r="AV70" s="10" t="s">
        <v>395</v>
      </c>
      <c r="AW70" s="10" t="s">
        <v>61</v>
      </c>
      <c r="AX70" s="10" t="s">
        <v>261</v>
      </c>
      <c r="AY70" s="31" t="str">
        <f>IFERROR(VLOOKUP(AV70,#REF!,3,0),"")</f>
        <v/>
      </c>
      <c r="AZ70" s="31" t="str">
        <f>IFERROR(VLOOKUP(AW70,#REF!,3,0),"")</f>
        <v/>
      </c>
      <c r="BA70" s="31" t="str">
        <f>IFERROR(VLOOKUP(AX70,#REF!,3,0),"")</f>
        <v/>
      </c>
      <c r="BB70" s="31" t="str">
        <f>IFERROR(AY70*#REF!+AZ70*#REF!+BA70*#REF!,"")</f>
        <v/>
      </c>
      <c r="BC70" s="32" t="str">
        <f t="shared" si="29"/>
        <v/>
      </c>
      <c r="BD70" s="32" t="str">
        <f>IFERROR(VLOOKUP(BC70*10,#REF!,2,1),"")</f>
        <v/>
      </c>
      <c r="BE70" s="11">
        <v>2</v>
      </c>
      <c r="BF70" s="11">
        <v>0</v>
      </c>
      <c r="BG70" s="10" t="s">
        <v>784</v>
      </c>
      <c r="BH70" s="11" t="s">
        <v>785</v>
      </c>
      <c r="BI70" s="10">
        <v>46.529998779296903</v>
      </c>
      <c r="BJ70" s="33" t="s">
        <v>71</v>
      </c>
      <c r="BK70" s="33" t="s">
        <v>72</v>
      </c>
      <c r="BL70" s="10">
        <f>IF([1]!s_stmnote_bank_17n(A70,$A$1,1)="0","",[1]!s_stmnote_bank_17n(A70,$A$1,1))</f>
        <v>1.17</v>
      </c>
      <c r="BM70" s="10">
        <f>IF([1]!s_stmnote_bank_18n(A70,$A$1,1)="0","",[1]!s_stmnote_bank_18n(A70,$A$1,1))</f>
        <v>7.74</v>
      </c>
      <c r="BN70" s="41">
        <v>4.26</v>
      </c>
      <c r="BO70" s="52">
        <v>2.33</v>
      </c>
      <c r="BP70" s="52">
        <f>[1]!s_stmnote_bank_5444(A70,$A$1,1)</f>
        <v>2.16</v>
      </c>
      <c r="BQ70" s="52">
        <f>[1]!s_stmnote_bank_129n($A70,$A$1,1)</f>
        <v>28.02</v>
      </c>
      <c r="BR70" s="52">
        <f t="shared" ref="BR70:BR133" si="34">IFERROR(BS70/SUMPRODUCT(BT70:BX70,$BT$4:$BX$4)*SUMIFS($BT$4:$BX$4,BT70:BX70,"&gt;0")*100,0)</f>
        <v>4.2492775075747478</v>
      </c>
      <c r="BS70" s="52">
        <f>[1]!b_stm07_is(A70,19,$A$1,1,100000000)</f>
        <v>2293.34</v>
      </c>
      <c r="BT70" s="52">
        <f xml:space="preserve"> [1]!s_stm07_bs(A70,"W15273164",$A$1,1,100000000)-[1]!s_stm07_bs(A70,"W17642530",$A$1,1,100000000)-[1]!s_stm07_bs(A70,"W15910877",$A$1,1,100000000)-[1]!s_stm07_bs_39(A70,$A$1,1,100000000)-[1]!s_stm07_bs(A70,"W17700468",$A$1,1,100000000)-[1]!s_stm07_bs(A70,"W16504296",$A$1,1,100000000)-[1]!s_stm07_bs(A70,"W13769069",$A$1,1,100000000)</f>
        <v>58147.700000000004</v>
      </c>
      <c r="BU70" s="52">
        <f xml:space="preserve"> [1]!s_stm07_bs(A70,"W15273164",$B$1,1,100000000)-[1]!s_stm07_bs(A70,"W17642530",$B$1,1,100000000)-[1]!s_stm07_bs(A70,"W15910877",$B$1,1,100000000)-[1]!s_stm07_bs_39(A70,$B$1,1,100000000)-[1]!s_stm07_bs(A70,"W17700468",$B$1,1,100000000)-[1]!s_stm07_bs(A70,"W16504296",$B$1,1,100000000)-[1]!s_stm07_bs(A70,"W13769069",$B$1,1,100000000)</f>
        <v>52788.77</v>
      </c>
      <c r="BV70" s="52">
        <f xml:space="preserve"> [1]!s_stm07_bs(A70,"W15273164",$E$1,1,100000000)-[1]!s_stm07_bs(A70,"W17642530",$E$1,1,100000000)-[1]!s_stm07_bs(A70,"W15910877",$E$1,1,100000000)-[1]!s_stm07_bs_39(A70,$E$1,1,100000000)-[1]!s_stm07_bs(A70,"W17700468",$E$1,1,100000000)-[1]!s_stm07_bs(A70,"W16504296",$E$1,1,100000000)-[1]!s_stm07_bs(A70,"W13769069",$E$1,1,100000000)</f>
        <v>55850.590000000004</v>
      </c>
      <c r="BW70" s="52">
        <f xml:space="preserve"> [1]!s_stm07_bs(A70,"W15273164",$F$1,1,100000000)-[1]!s_stm07_bs(A70,"W17642530",$F$1,1,100000000)-[1]!s_stm07_bs(A70,"W15910877",$F$1,1,100000000)-[1]!s_stm07_bs_39(A70,$F$1,1,100000000)-[1]!s_stm07_bs(A70,"W17700468",$F$1,1,100000000)-[1]!s_stm07_bs(A70,"W16504296",$F$1,1,100000000)-[1]!s_stm07_bs(A70,"W13769069",$F$1,1,100000000)</f>
        <v>56678.89</v>
      </c>
      <c r="BX70" s="52">
        <f xml:space="preserve"> [1]!s_stm07_bs(A70,"W15273164",$G$1,1,100000000)-[1]!s_stm07_bs(A70,"W17642530",$G$1,1,100000000)-[1]!s_stm07_bs(A70,"W15910877",$G$1,1,100000000)-[1]!s_stm07_bs_39(A70,$G$1,1,100000000)-[1]!s_stm07_bs(A70,"W17700468",$G$1,1,100000000)-[1]!s_stm07_bs(A70,"W16504296",$G$1,1,100000000)-[1]!s_stm07_bs(A70,"W13769069",$G$1,1,100000000)</f>
        <v>54855.770000000004</v>
      </c>
      <c r="BY70" s="52">
        <f>IFERROR([1]!b_stm07_is(A70,20,$A$1,1,100000000)/AVERAGEIF(CA70:CE70,"&gt;0")*100,0)</f>
        <v>2.3001594304004449</v>
      </c>
      <c r="BZ70" s="52">
        <f>[1]!b_stm07_is(A70,20,$A$1,1,100000000)</f>
        <v>1171.79</v>
      </c>
      <c r="CA70" s="52">
        <f>[1]!s_stmnote_bank_38(A70,$A$1,1,100000000)</f>
        <v>53270.07</v>
      </c>
      <c r="CB70" s="52">
        <f>[1]!s_stmnote_bank_38(A70,$B$1,1,100000000)</f>
        <v>48080.57</v>
      </c>
      <c r="CC70" s="52">
        <f>[1]!s_stmnote_bank_38(A70,$E$1,1,100000000)</f>
        <v>51212.39</v>
      </c>
      <c r="CD70" s="52">
        <f>[1]!s_stmnote_bank_38(A70,$F$1,1,100000000)</f>
        <v>52010.48</v>
      </c>
      <c r="CE70" s="52">
        <f>[1]!s_stmnote_bank_38(A70,$G$1,1,100000000)</f>
        <v>50145.79</v>
      </c>
      <c r="CF70" s="52">
        <f>IF(BP70&lt;&gt;0,BP70,IFERROR(IF(([1]!b_stm07_is(A70,19,$A$1,1,100000000)-[1]!b_stm07_is(A70,20,$A$1,1,100000000))/AVERAGE([1]!s_stmnote_bank_35(A70,$A$1,1,100000000),[1]!s_stmnote_bank_35(A70,$B$1,1,100000000))*100=0,"",([1]!b_stm07_is(A70,19,$A$1,1,100000000)-[1]!b_stm07_is(A70,20,$A$1,1,100000000))/AVERAGE([1]!s_stmnote_bank_35(A70,$A$1,1,100000000),[1]!s_stmnote_bank_35(A70,$B$1,1,100000000))*100),""))</f>
        <v>2.16</v>
      </c>
      <c r="CG70" s="27" t="str">
        <f t="shared" si="30"/>
        <v>71 171</v>
      </c>
      <c r="CH70" s="80">
        <f t="shared" ref="CH70:CH133" si="35">IFERROR(CF70/100/P70,"")</f>
        <v>0.69802921528530715</v>
      </c>
      <c r="CI70" s="27" t="str">
        <f t="shared" si="31"/>
        <v>82 169</v>
      </c>
      <c r="CJ70" s="55">
        <f>[1]!s_stmnote_bank_30(A70,$A$1,1)</f>
        <v>26.576599999999999</v>
      </c>
      <c r="CK70" s="65">
        <v>1728.25</v>
      </c>
      <c r="CL70" s="48">
        <v>533.58000000000004</v>
      </c>
      <c r="CM70" s="64">
        <f>CK70/(5/8*[1]!s_stmnote_bank_1n($A70,$A$1,1,100000000)+[1]!s_stmnote_bank_1n($A70,$B$1,1,100000000)*3/8)</f>
        <v>5.4081824321612633E-2</v>
      </c>
      <c r="CN70" s="48"/>
      <c r="CO70" s="48"/>
      <c r="CP70" s="69">
        <f>[1]!b_stm07_bs($A70,141,$A$1,1,100000000)</f>
        <v>4843.66</v>
      </c>
      <c r="CQ70" s="69">
        <f>[1]!b_stm07_bs($A70,141,$D$1,1,100000000)</f>
        <v>4925.3500000000004</v>
      </c>
      <c r="CR70" s="68">
        <f>IF([1]!s_fa_roic_yearly($A70,$A$1)=0,"",[1]!s_fa_roic_yearly($A70,$A$1))</f>
        <v>9.2756000000000007</v>
      </c>
      <c r="CS70" s="27" t="str">
        <f>RANK(CR70,CR$5:CR$192,1)&amp;" "&amp;COUNTIF(CR$5:CR$192,"&gt;0")</f>
        <v>96 169</v>
      </c>
      <c r="CT70" s="68">
        <f>IF([1]!s_fa_roic_yearly($A70,$D$1)=0,"",[1]!s_fa_roic_yearly($A70,$D$1))</f>
        <v>9.5779999999999994</v>
      </c>
      <c r="CU70" s="27" t="str">
        <f>RANK(CT70,CT$5:CT$192,1)&amp;" "&amp;COUNTIF(CT$5:CT$192,"&gt;0")</f>
        <v>65 142</v>
      </c>
      <c r="CV70" s="78">
        <f>[1]!s_stm07_bs(A70,"W14578191",$A$1,1,100000000)</f>
        <v>32393.96</v>
      </c>
      <c r="CW70" s="78">
        <f>[1]!s_stmnote_bank_682($A70,$A$1,1,2,100000000)</f>
        <v>14307.5</v>
      </c>
      <c r="CX70" s="79">
        <f t="shared" si="32"/>
        <v>0.44167184252866892</v>
      </c>
    </row>
    <row r="71" spans="1:102" s="46" customFormat="1" ht="13.5">
      <c r="A71" s="8" t="s">
        <v>567</v>
      </c>
      <c r="B71" s="13" t="s">
        <v>568</v>
      </c>
      <c r="C71" s="9" t="s">
        <v>569</v>
      </c>
      <c r="D71" s="9" t="s">
        <v>1066</v>
      </c>
      <c r="E71" s="10" t="s">
        <v>138</v>
      </c>
      <c r="F71" s="11" t="s">
        <v>66</v>
      </c>
      <c r="G71" s="11" t="s">
        <v>206</v>
      </c>
      <c r="H71" s="11" t="s">
        <v>116</v>
      </c>
      <c r="I71" s="11"/>
      <c r="J71" s="11">
        <f>VLOOKUP(B71,[3]额度信息!$B:$T,19,0)</f>
        <v>0</v>
      </c>
      <c r="K71" s="11" t="s">
        <v>570</v>
      </c>
      <c r="L71" s="27">
        <f>IFERROR(([1]!b_stm07_bs($A71,47,$A$1,1,100000000))/[1]!b_stm07_bs($A71,109,$A$1,1,100000000),"")</f>
        <v>8.0480110627130522E-2</v>
      </c>
      <c r="M71" s="20">
        <v>4.9800000000000004</v>
      </c>
      <c r="N71" s="18">
        <v>1.1802051579153599E-2</v>
      </c>
      <c r="O71" s="27" t="str">
        <f t="shared" si="24"/>
        <v>31 50</v>
      </c>
      <c r="P71" s="21">
        <f t="shared" si="33"/>
        <v>2.44810004224051E-2</v>
      </c>
      <c r="Q71" s="27" t="str">
        <f t="shared" si="25"/>
        <v>58 169</v>
      </c>
      <c r="R71" s="18">
        <v>1.58810004224051E-2</v>
      </c>
      <c r="S71" s="22"/>
      <c r="T71" s="22"/>
      <c r="U71" s="22">
        <v>3.83596718482054E-3</v>
      </c>
      <c r="V71" s="22"/>
      <c r="W71" s="22"/>
      <c r="X71" s="22">
        <v>2.7317830558372799E-3</v>
      </c>
      <c r="Y71" s="22">
        <v>0.42499999999999999</v>
      </c>
      <c r="Z71" s="25">
        <f>[1]!b_stm07_bs(A71,74,$A$1,1,100000000)</f>
        <v>2389.9081810317002</v>
      </c>
      <c r="AA71" s="25">
        <f>[1]!b_stm07_bs(A71,109,$A$1,1,100000000)</f>
        <v>1851.9557570682</v>
      </c>
      <c r="AB71" s="10">
        <f>[1]!s_stmnote_bank_5n(A71,$A$1,1)</f>
        <v>0.86</v>
      </c>
      <c r="AC71" s="25">
        <f>IF([1]!s_stmnote_bank_23n(A71,$A$1,1)=0,"",IFERROR([1]!s_stmnote_bank_23n(A71,$A$1,1),""))</f>
        <v>617.38</v>
      </c>
      <c r="AD71" s="27" t="str">
        <f t="shared" si="26"/>
        <v>158 167</v>
      </c>
      <c r="AE71" s="25">
        <f>[1]!s_stmnote_bank_capadequacyratio(A71,$A$1,1)</f>
        <v>14.991300000000001</v>
      </c>
      <c r="AF71" s="25">
        <f>IF([1]!s_stmnote_bank_capadequacyratio_ct1(A71,$A$1,1)=0,"",IFERROR([1]!s_stmnote_bank_capadequacyratio_ct1(A71,$A$1,1),""))</f>
        <v>12.6074</v>
      </c>
      <c r="AG71" s="27" t="str">
        <f>RANK(AF71,AF$5:AF$192,1)&amp;" "&amp;COUNTIF(AF$5:AF$192,"&gt;0")</f>
        <v>131 167</v>
      </c>
      <c r="AH71" s="6">
        <f>IF(OR([1]!s_fa_roe(A71,20201231)=0,[1]!s_fa_roe(A71,20211231)="0",[1]!s_fa_roe(A71,20221231)="0"),"",IFERROR(([1]!s_fa_roe(A71,20221231)+[1]!s_fa_roe(A71,20201231)+[1]!s_fa_roe(A71,20211231))/3,""))</f>
        <v>10.709800000000001</v>
      </c>
      <c r="AI71" s="27" t="str">
        <f t="shared" si="27"/>
        <v>131 173</v>
      </c>
      <c r="AJ71" s="28">
        <f>IFERROR(([1]!s_stmnote_bank_65(A71,$A$1,1,2,4,100000000)+[1]!s_stmnote_bank_65(A71,$A$1,1,2,6,100000000))/[1]!s_stmnote_bank_1n(A71,$A$1,1,100000000),"")</f>
        <v>0.13110875080335513</v>
      </c>
      <c r="AK71" s="28">
        <v>0.15640000000000001</v>
      </c>
      <c r="AL71" s="28">
        <f>IFERROR(([1]!b_stm07_bs(A71,104,$A$1,1,100000000)+[1]!b_stm07_bs(A71,106,$A$1,1,100000000)+[1]!b_stm07_bs(A71,76,$A$1,1,100000000)+[1]!b_stm07_bs(A71,108,$A$1,1,100000000)+[1]!b_stm07_bs(A71,95,$A$1,1,100000000))/[1]!b_stm07_bs(A71,128,$A$1,1,100000000),"")</f>
        <v>0.10302130685787547</v>
      </c>
      <c r="AM71" s="28">
        <f>IFERROR(([1]!s_stmnote_bank_614(A71,$A$1,1,2,100000000)+[1]!b_stm07_bs(A71,104,$A$1,1,100000000)+[1]!b_stm07_bs(A71,106,$A$1,1,100000000)+[1]!b_stm07_bs(A71,76,$A$1,1,100000000)+[1]!b_stm07_bs(A71,108,$A$1,1,100000000)+[1]!b_stm07_bs(A71,95,$A$1,1,100000000))/[1]!b_stm07_bs(A71,128,$A$1,1,100000000),"")</f>
        <v>0.2385374340484672</v>
      </c>
      <c r="AN71" s="31" t="e">
        <f>IF(Z71&gt;#REF!,#REF!,IF(Z71&gt;#REF!,#REF!,IF(Z71&gt;#REF!,#REF!,IF(Z71&gt;#REF!,#REF!,IF(Z71&gt;#REF!,#REF!,IF(Z71&gt;#REF!,#REF!,IF(Z71&gt;#REF!,#REF!,#REF!)))))))</f>
        <v>#REF!</v>
      </c>
      <c r="AO71" s="31" t="e">
        <f>IF(AA71&gt;#REF!,#REF!,IF(AA71&gt;#REF!,#REF!,IF(AA71&gt;#REF!,#REF!,IF(AA71&gt;#REF!,#REF!,IF(AA71&gt;#REF!,#REF!,IF(AA71&gt;#REF!,#REF!,IF(AA71&gt;#REF!,#REF!,#REF!)))))))</f>
        <v>#REF!</v>
      </c>
      <c r="AP71" s="31" t="e">
        <f>IF(AB71&lt;#REF!,#REF!,IF(AB71&lt;#REF!,#REF!,IF(AB71&lt;#REF!,#REF!,IF(AB71&lt;#REF!,#REF!,IF(AB71&lt;#REF!,#REF!,IF(AB71&lt;#REF!,#REF!,#REF!))))))</f>
        <v>#REF!</v>
      </c>
      <c r="AQ71" s="31" t="e">
        <f>IF(AC71&gt;#REF!,#REF!,IF(AC71&gt;#REF!,#REF!,IF(AC71&gt;#REF!,#REF!,IF(AC71&gt;#REF!,#REF!,#REF!))))</f>
        <v>#REF!</v>
      </c>
      <c r="AR71" s="31" t="e">
        <f>IF(AE71&gt;#REF!,#REF!,IF(AE71&gt;#REF!,#REF!,IF(AE71&gt;#REF!,#REF!,IF(AE71&gt;#REF!,#REF!,#REF!))))</f>
        <v>#REF!</v>
      </c>
      <c r="AS71" s="31" t="e">
        <f>IF(AF71&gt;#REF!,#REF!,IF(AF71&gt;#REF!,#REF!,IF(AF71&gt;#REF!,#REF!,IF(AF71&gt;#REF!,#REF!,#REF!))))</f>
        <v>#REF!</v>
      </c>
      <c r="AT71" s="31" t="e">
        <f>IF(AH71&gt;#REF!,#REF!,IF(AH71&gt;#REF!,#REF!,IF(AH71&gt;#REF!,#REF!,IF(AH71&gt;#REF!,#REF!,IF(AH71&gt;#REF!,#REF!,#REF!)))))</f>
        <v>#REF!</v>
      </c>
      <c r="AU71" s="10" t="e">
        <f t="shared" si="28"/>
        <v>#REF!</v>
      </c>
      <c r="AV71" s="10" t="s">
        <v>141</v>
      </c>
      <c r="AW71" s="10" t="s">
        <v>61</v>
      </c>
      <c r="AX71" s="10" t="s">
        <v>261</v>
      </c>
      <c r="AY71" s="31" t="str">
        <f>IFERROR(VLOOKUP(AV71,#REF!,3,0),"")</f>
        <v/>
      </c>
      <c r="AZ71" s="31" t="str">
        <f>IFERROR(VLOOKUP(AW71,#REF!,3,0),"")</f>
        <v/>
      </c>
      <c r="BA71" s="31" t="str">
        <f>IFERROR(VLOOKUP(AX71,#REF!,3,0),"")</f>
        <v/>
      </c>
      <c r="BB71" s="31" t="str">
        <f>IFERROR(AY71*#REF!+AZ71*#REF!+BA71*#REF!,"")</f>
        <v/>
      </c>
      <c r="BC71" s="32" t="str">
        <f t="shared" si="29"/>
        <v/>
      </c>
      <c r="BD71" s="32" t="str">
        <f>IFERROR(VLOOKUP(BC71*10,#REF!,2,1),"")</f>
        <v/>
      </c>
      <c r="BE71" s="11">
        <v>0</v>
      </c>
      <c r="BF71" s="11">
        <v>-1</v>
      </c>
      <c r="BG71" s="10"/>
      <c r="BH71" s="11" t="s">
        <v>571</v>
      </c>
      <c r="BI71" s="10">
        <v>9.7100000381469709</v>
      </c>
      <c r="BJ71" s="11" t="s">
        <v>111</v>
      </c>
      <c r="BK71" s="33" t="s">
        <v>217</v>
      </c>
      <c r="BL71" s="10">
        <f>0.72*419.98/62.9</f>
        <v>4.8074022257551672</v>
      </c>
      <c r="BM71" s="10">
        <f>3.98*419.98/62.9</f>
        <v>26.574251192368841</v>
      </c>
      <c r="BN71" s="41">
        <f>IF([1]!s_stmnote_bank_58(A71,$A$1,1)="0","",[1]!s_stmnote_bank_58(A71,$A$1,1))</f>
        <v>0</v>
      </c>
      <c r="BO71" s="52">
        <f>IF([1]!s_stmnote_bank_60(A71,$A$1,1)="0","",[1]!s_stmnote_bank_60(A71,$A$1,1))</f>
        <v>0</v>
      </c>
      <c r="BP71" s="52">
        <f>[1]!s_stmnote_bank_5444(A71,$A$1,1)</f>
        <v>2.33</v>
      </c>
      <c r="BQ71" s="52">
        <f>[1]!s_stmnote_bank_129n($A71,$A$1,1)</f>
        <v>21.21</v>
      </c>
      <c r="BR71" s="52">
        <f t="shared" si="34"/>
        <v>4.7442457747415077</v>
      </c>
      <c r="BS71" s="52">
        <f>[1]!b_stm07_is(A71,19,$A$1,1,100000000)</f>
        <v>98.778988161299992</v>
      </c>
      <c r="BT71" s="52">
        <f xml:space="preserve"> [1]!s_stm07_bs(A71,"W15273164",$A$1,1,100000000)-[1]!s_stm07_bs(A71,"W17642530",$A$1,1,100000000)-[1]!s_stm07_bs(A71,"W15910877",$A$1,1,100000000)-[1]!s_stm07_bs_39(A71,$A$1,1,100000000)-[1]!s_stm07_bs(A71,"W17700468",$A$1,1,100000000)-[1]!s_stm07_bs(A71,"W16504296",$A$1,1,100000000)-[1]!s_stm07_bs(A71,"W13769069",$A$1,1,100000000)</f>
        <v>2363.0281731085006</v>
      </c>
      <c r="BU71" s="52">
        <f xml:space="preserve"> [1]!s_stm07_bs(A71,"W15273164",$B$1,1,100000000)-[1]!s_stm07_bs(A71,"W17642530",$B$1,1,100000000)-[1]!s_stm07_bs(A71,"W15910877",$B$1,1,100000000)-[1]!s_stm07_bs_39(A71,$B$1,1,100000000)-[1]!s_stm07_bs(A71,"W17700468",$B$1,1,100000000)-[1]!s_stm07_bs(A71,"W16504296",$B$1,1,100000000)-[1]!s_stm07_bs(A71,"W13769069",$B$1,1,100000000)</f>
        <v>2005.8849386521001</v>
      </c>
      <c r="BV71" s="52">
        <f xml:space="preserve"> [1]!s_stm07_bs(A71,"W15273164",$E$1,1,100000000)-[1]!s_stm07_bs(A71,"W17642530",$E$1,1,100000000)-[1]!s_stm07_bs(A71,"W15910877",$E$1,1,100000000)-[1]!s_stm07_bs_39(A71,$E$1,1,100000000)-[1]!s_stm07_bs(A71,"W17700468",$E$1,1,100000000)-[1]!s_stm07_bs(A71,"W16504296",$E$1,1,100000000)-[1]!s_stm07_bs(A71,"W13769069",$E$1,1,100000000)</f>
        <v>2304.0003116080998</v>
      </c>
      <c r="BW71" s="52">
        <f xml:space="preserve"> [1]!s_stm07_bs(A71,"W15273164",$F$1,1,100000000)-[1]!s_stm07_bs(A71,"W17642530",$F$1,1,100000000)-[1]!s_stm07_bs(A71,"W15910877",$F$1,1,100000000)-[1]!s_stm07_bs_39(A71,$F$1,1,100000000)-[1]!s_stm07_bs(A71,"W17700468",$F$1,1,100000000)-[1]!s_stm07_bs(A71,"W16504296",$F$1,1,100000000)-[1]!s_stm07_bs(A71,"W13769069",$F$1,1,100000000)</f>
        <v>2196.5087178909998</v>
      </c>
      <c r="BX71" s="52">
        <f xml:space="preserve"> [1]!s_stm07_bs(A71,"W15273164",$G$1,1,100000000)-[1]!s_stm07_bs(A71,"W17642530",$G$1,1,100000000)-[1]!s_stm07_bs(A71,"W15910877",$G$1,1,100000000)-[1]!s_stm07_bs_39(A71,$G$1,1,100000000)-[1]!s_stm07_bs(A71,"W17700468",$G$1,1,100000000)-[1]!s_stm07_bs(A71,"W16504296",$G$1,1,100000000)-[1]!s_stm07_bs(A71,"W13769069",$G$1,1,100000000)</f>
        <v>2136.1349671112998</v>
      </c>
      <c r="BY71" s="52">
        <f>IFERROR([1]!b_stm07_is(A71,20,$A$1,1,100000000)/AVERAGEIF(CA71:CE71,"&gt;0")*100,0)</f>
        <v>2.6387623990426401</v>
      </c>
      <c r="BZ71" s="52">
        <f>[1]!b_stm07_is(A71,20,$A$1,1,100000000)</f>
        <v>53.405301203500002</v>
      </c>
      <c r="CA71" s="52">
        <f>[1]!s_stmnote_bank_38(A71,$A$1,1,100000000)</f>
        <v>2174.9980830189998</v>
      </c>
      <c r="CB71" s="52">
        <f>[1]!s_stmnote_bank_38(A71,$B$1,1,100000000)</f>
        <v>1821.4196071631</v>
      </c>
      <c r="CC71" s="52">
        <f>[1]!s_stmnote_bank_38(A71,$E$1,1,100000000)</f>
        <v>2126.0096953668999</v>
      </c>
      <c r="CD71" s="52">
        <f>[1]!s_stmnote_bank_38(A71,$F$1,1,100000000)</f>
        <v>2027.9366054709001</v>
      </c>
      <c r="CE71" s="52">
        <f>[1]!s_stmnote_bank_38(A71,$G$1,1,100000000)</f>
        <v>1969.0202367673</v>
      </c>
      <c r="CF71" s="52">
        <f>IF(BP71&lt;&gt;0,BP71,IFERROR(IF(([1]!b_stm07_is(A71,19,$A$1,1,100000000)-[1]!b_stm07_is(A71,20,$A$1,1,100000000))/AVERAGE([1]!s_stmnote_bank_35(A71,$A$1,1,100000000),[1]!s_stmnote_bank_35(A71,$B$1,1,100000000))*100=0,"",([1]!b_stm07_is(A71,19,$A$1,1,100000000)-[1]!b_stm07_is(A71,20,$A$1,1,100000000))/AVERAGE([1]!s_stmnote_bank_35(A71,$A$1,1,100000000),[1]!s_stmnote_bank_35(A71,$B$1,1,100000000))*100),""))</f>
        <v>2.33</v>
      </c>
      <c r="CG71" s="27" t="str">
        <f t="shared" si="30"/>
        <v>48 171</v>
      </c>
      <c r="CH71" s="80">
        <f t="shared" si="35"/>
        <v>0.95175849017492586</v>
      </c>
      <c r="CI71" s="27" t="str">
        <f t="shared" si="31"/>
        <v>47 169</v>
      </c>
      <c r="CJ71" s="55">
        <f>[1]!s_stmnote_bank_30(A71,$A$1,1)</f>
        <v>20.7178</v>
      </c>
      <c r="CP71" s="69">
        <f>[1]!b_stm07_bs($A71,141,$A$1,1,100000000)</f>
        <v>186.6533524239</v>
      </c>
      <c r="CQ71" s="69">
        <f>[1]!b_stm07_bs($A71,141,$D$1,1,100000000)</f>
        <v>192.77959463069999</v>
      </c>
      <c r="CR71" s="68">
        <f>IF([1]!s_fa_roic_yearly($A71,$A$1)=0,"",[1]!s_fa_roic_yearly($A71,$A$1))</f>
        <v>9.5637000000000008</v>
      </c>
      <c r="CS71" s="27">
        <f>RANK(CR71,CR$5:CR$192,0)/COUNTIF(CR$5:CR$192,"&gt;0")</f>
        <v>0.41420118343195267</v>
      </c>
      <c r="CT71" s="68">
        <f>IF([1]!s_fa_roic_yearly($A71,$D$1)=0,"",[1]!s_fa_roic_yearly($A71,$D$1))</f>
        <v>10.332000000000001</v>
      </c>
      <c r="CU71" s="27">
        <f>RANK(CT71,CT$5:CT$192,0)/COUNTIF(CT$5:CT$192,"&gt;0")</f>
        <v>0.49295774647887325</v>
      </c>
      <c r="CV71" s="78">
        <f>[1]!s_stm07_bs(A71,"W14578191",$A$1,1,100000000)</f>
        <v>1325.9748291563999</v>
      </c>
      <c r="CW71" s="78">
        <f>[1]!s_stmnote_bank_682($A71,$A$1,1,2,100000000)</f>
        <v>457.47919104760001</v>
      </c>
      <c r="CX71" s="79">
        <f t="shared" si="32"/>
        <v>0.345013480639488</v>
      </c>
    </row>
    <row r="72" spans="1:102" s="46" customFormat="1" ht="13.5">
      <c r="A72" s="8" t="s">
        <v>572</v>
      </c>
      <c r="B72" s="8" t="s">
        <v>174</v>
      </c>
      <c r="C72" s="9" t="s">
        <v>573</v>
      </c>
      <c r="D72" s="9" t="s">
        <v>1066</v>
      </c>
      <c r="E72" s="10" t="s">
        <v>138</v>
      </c>
      <c r="F72" s="11" t="s">
        <v>66</v>
      </c>
      <c r="G72" s="11" t="s">
        <v>116</v>
      </c>
      <c r="H72" s="11" t="s">
        <v>116</v>
      </c>
      <c r="I72" s="11"/>
      <c r="J72" s="11" t="e">
        <f>VLOOKUP(B72,[3]额度信息!$B:$T,19,0)</f>
        <v>#N/A</v>
      </c>
      <c r="K72" s="11" t="s">
        <v>574</v>
      </c>
      <c r="L72" s="27">
        <f>IFERROR(([1]!b_stm07_bs($A72,47,$A$1,1,100000000))/[1]!b_stm07_bs($A72,109,$A$1,1,100000000),"")</f>
        <v>8.5937538286339391E-2</v>
      </c>
      <c r="M72" s="20">
        <v>4.63</v>
      </c>
      <c r="N72" s="18">
        <f>IFERROR(([1]!s_stmnote_bank_26($A72,$A$1,1,100000000)-[1]!s_stmnote_bank_26($A72,$B$1,1,100000000)+M72)/[1]!s_stmnote_bank_1n($A72,$B$1,1,100000000),"")</f>
        <v>5.2342624455951883E-3</v>
      </c>
      <c r="O72" s="27" t="str">
        <f t="shared" si="24"/>
        <v>13 50</v>
      </c>
      <c r="P72" s="21">
        <f t="shared" si="33"/>
        <v>2.4830357610626998E-2</v>
      </c>
      <c r="Q72" s="27" t="str">
        <f t="shared" si="25"/>
        <v>59 169</v>
      </c>
      <c r="R72" s="18">
        <v>1.4830357610626999E-2</v>
      </c>
      <c r="S72" s="22">
        <f>IFERROR((16.17)/[1]!s_stmnote_bank_1n(A72,$A$1,1,100000000),"")</f>
        <v>1.6974370789100291E-2</v>
      </c>
      <c r="T72" s="22">
        <f>IFERROR((10.38)/[1]!s_stmnote_bank_1n(A72,$A$1,1,100000000),"")</f>
        <v>1.0896349337715584E-2</v>
      </c>
      <c r="U72" s="22">
        <f>IFERROR((9.69)/[1]!b_stm07_bs($A72,74,$A$1,1,100000000),"")</f>
        <v>6.1049101786266472E-3</v>
      </c>
      <c r="V72" s="22"/>
      <c r="W72" s="22">
        <v>0</v>
      </c>
      <c r="X72" s="23">
        <f>IFERROR((0.17)/([1]!s_stm07_bs_fininv($A72,$A$1,1,100000000)+[1]!s_stm07_bs_71($A72,$A$1,1,100000000)),"")</f>
        <v>3.8385073137902286E-4</v>
      </c>
      <c r="Y72" s="22" t="s">
        <v>72</v>
      </c>
      <c r="Z72" s="25">
        <f>[1]!b_stm07_bs(A72,74,$A$1,1,100000000)</f>
        <v>1587.24694</v>
      </c>
      <c r="AA72" s="25">
        <f>[1]!b_stm07_bs(A72,109,$A$1,1,100000000)</f>
        <v>1226.3675699999999</v>
      </c>
      <c r="AB72" s="10">
        <f>[1]!s_stmnote_bank_5n(A72,$A$1,1)</f>
        <v>1</v>
      </c>
      <c r="AC72" s="25">
        <f>IF([1]!s_stmnote_bank_23n(A72,$A$1,1)=0,"",IFERROR([1]!s_stmnote_bank_23n(A72,$A$1,1),""))</f>
        <v>412.22</v>
      </c>
      <c r="AD72" s="27" t="str">
        <f t="shared" si="26"/>
        <v>134 167</v>
      </c>
      <c r="AE72" s="25">
        <f>[1]!s_stmnote_bank_capadequacyratio(A72,$A$1,1)</f>
        <v>12.99</v>
      </c>
      <c r="AF72" s="25">
        <f>IF([1]!s_stmnote_bank_capadequacyratio_ct1(A72,$A$1,1)=0,"",IFERROR([1]!s_stmnote_bank_capadequacyratio_ct1(A72,$A$1,1),""))</f>
        <v>10.72</v>
      </c>
      <c r="AG72" s="27" t="str">
        <f>RANK(AF72,AF$5:AF$192,1)&amp;" "&amp;COUNTIF(AF$5:AF$192,"&gt;0")</f>
        <v>102 167</v>
      </c>
      <c r="AH72" s="6">
        <f>IF(OR([1]!s_fa_roe(A72,20201231)=0,[1]!s_fa_roe(A72,20211231)="0",[1]!s_fa_roe(A72,20221231)="0"),"",IFERROR(([1]!s_fa_roe(A72,20221231)+[1]!s_fa_roe(A72,20201231)+[1]!s_fa_roe(A72,20211231))/3,""))</f>
        <v>9.4301333333333321</v>
      </c>
      <c r="AI72" s="27" t="str">
        <f t="shared" si="27"/>
        <v>106 173</v>
      </c>
      <c r="AJ72" s="28">
        <f>IFERROR(([1]!s_stmnote_bank_65(A72,$A$1,1,2,4,100000000)+[1]!s_stmnote_bank_65(A72,$A$1,1,2,6,100000000))/[1]!s_stmnote_bank_1n(A72,$A$1,1,100000000),"")</f>
        <v>8.0266424769111042E-2</v>
      </c>
      <c r="AK72" s="28">
        <f>IFERROR([1]!s_stmnote_bank_614(A72,$A$1,1,2,100000000)/[1]!s_stmnote_bank_647(A72,$A$1,1,2,100000000),"")</f>
        <v>0.33070608421480124</v>
      </c>
      <c r="AL72" s="28">
        <f>IFERROR(([1]!b_stm07_bs(A72,104,$A$1,1,100000000)+[1]!b_stm07_bs(A72,106,$A$1,1,100000000)+[1]!b_stm07_bs(A72,76,$A$1,1,100000000)+[1]!b_stm07_bs(A72,108,$A$1,1,100000000)+[1]!b_stm07_bs(A72,95,$A$1,1,100000000))/[1]!b_stm07_bs(A72,128,$A$1,1,100000000),"")</f>
        <v>0.12476109426227003</v>
      </c>
      <c r="AM72" s="28">
        <f>IFERROR(([1]!s_stmnote_bank_614(A72,$A$1,1,2,100000000)+[1]!b_stm07_bs(A72,104,$A$1,1,100000000)+[1]!b_stm07_bs(A72,106,$A$1,1,100000000)+[1]!b_stm07_bs(A72,76,$A$1,1,100000000)+[1]!b_stm07_bs(A72,108,$A$1,1,100000000)+[1]!b_stm07_bs(A72,95,$A$1,1,100000000))/[1]!b_stm07_bs(A72,128,$A$1,1,100000000),"")</f>
        <v>0.39792652132174261</v>
      </c>
      <c r="AN72" s="31" t="e">
        <f>IF(Z72&gt;#REF!,#REF!,IF(Z72&gt;#REF!,#REF!,IF(Z72&gt;#REF!,#REF!,IF(Z72&gt;#REF!,#REF!,IF(Z72&gt;#REF!,#REF!,IF(Z72&gt;#REF!,#REF!,IF(Z72&gt;#REF!,#REF!,#REF!)))))))</f>
        <v>#REF!</v>
      </c>
      <c r="AO72" s="31" t="e">
        <f>IF(AA72&gt;#REF!,#REF!,IF(AA72&gt;#REF!,#REF!,IF(AA72&gt;#REF!,#REF!,IF(AA72&gt;#REF!,#REF!,IF(AA72&gt;#REF!,#REF!,IF(AA72&gt;#REF!,#REF!,IF(AA72&gt;#REF!,#REF!,#REF!)))))))</f>
        <v>#REF!</v>
      </c>
      <c r="AP72" s="31" t="e">
        <f>IF(AB72&lt;#REF!,#REF!,IF(AB72&lt;#REF!,#REF!,IF(AB72&lt;#REF!,#REF!,IF(AB72&lt;#REF!,#REF!,IF(AB72&lt;#REF!,#REF!,IF(AB72&lt;#REF!,#REF!,#REF!))))))</f>
        <v>#REF!</v>
      </c>
      <c r="AQ72" s="31" t="e">
        <f>IF(AC72&gt;#REF!,#REF!,IF(AC72&gt;#REF!,#REF!,IF(AC72&gt;#REF!,#REF!,IF(AC72&gt;#REF!,#REF!,#REF!))))</f>
        <v>#REF!</v>
      </c>
      <c r="AR72" s="31" t="e">
        <f>IF(AE72&gt;#REF!,#REF!,IF(AE72&gt;#REF!,#REF!,IF(AE72&gt;#REF!,#REF!,IF(AE72&gt;#REF!,#REF!,#REF!))))</f>
        <v>#REF!</v>
      </c>
      <c r="AS72" s="31" t="e">
        <f>IF(AF72&gt;#REF!,#REF!,IF(AF72&gt;#REF!,#REF!,IF(AF72&gt;#REF!,#REF!,IF(AF72&gt;#REF!,#REF!,#REF!))))</f>
        <v>#REF!</v>
      </c>
      <c r="AT72" s="31" t="e">
        <f>IF(AH72&gt;#REF!,#REF!,IF(AH72&gt;#REF!,#REF!,IF(AH72&gt;#REF!,#REF!,IF(AH72&gt;#REF!,#REF!,IF(AH72&gt;#REF!,#REF!,#REF!)))))</f>
        <v>#REF!</v>
      </c>
      <c r="AU72" s="10" t="e">
        <f t="shared" si="28"/>
        <v>#REF!</v>
      </c>
      <c r="AV72" s="10" t="s">
        <v>60</v>
      </c>
      <c r="AW72" s="10" t="s">
        <v>141</v>
      </c>
      <c r="AX72" s="10" t="s">
        <v>261</v>
      </c>
      <c r="AY72" s="31" t="str">
        <f>IFERROR(VLOOKUP(AV72,#REF!,3,0),"")</f>
        <v/>
      </c>
      <c r="AZ72" s="31" t="str">
        <f>IFERROR(VLOOKUP(AW72,#REF!,3,0),"")</f>
        <v/>
      </c>
      <c r="BA72" s="31" t="str">
        <f>IFERROR(VLOOKUP(AX72,#REF!,3,0),"")</f>
        <v/>
      </c>
      <c r="BB72" s="31" t="str">
        <f>IFERROR(AY72*#REF!+AZ72*#REF!+BA72*#REF!,"")</f>
        <v/>
      </c>
      <c r="BC72" s="32" t="str">
        <f t="shared" si="29"/>
        <v/>
      </c>
      <c r="BD72" s="32" t="str">
        <f>IFERROR(VLOOKUP(BC72*10,#REF!,2,1),"")</f>
        <v/>
      </c>
      <c r="BE72" s="11">
        <v>0</v>
      </c>
      <c r="BF72" s="11">
        <v>-1</v>
      </c>
      <c r="BG72" s="10"/>
      <c r="BH72" s="11" t="s">
        <v>575</v>
      </c>
      <c r="BI72" s="10">
        <v>6.9299998283386204</v>
      </c>
      <c r="BJ72" s="33" t="s">
        <v>111</v>
      </c>
      <c r="BK72" s="33" t="s">
        <v>576</v>
      </c>
      <c r="BL72" s="10">
        <f>IF([1]!s_stmnote_bank_17n(A72,$A$1,1)="0","",[1]!s_stmnote_bank_17n(A72,$A$1,1))</f>
        <v>4.7699999999999996</v>
      </c>
      <c r="BM72" s="10">
        <f>IF([1]!s_stmnote_bank_18n(A72,$A$1,1)="0","",[1]!s_stmnote_bank_18n(A72,$A$1,1))</f>
        <v>31.1</v>
      </c>
      <c r="BN72" s="41"/>
      <c r="BO72" s="52"/>
      <c r="BP72" s="52">
        <f>[1]!s_stmnote_bank_5444(A72,$A$1,1)</f>
        <v>2.2400000000000002</v>
      </c>
      <c r="BQ72" s="52">
        <f>[1]!s_stmnote_bank_129n($A72,$A$1,1)</f>
        <v>32.880000000000003</v>
      </c>
      <c r="BR72" s="52">
        <f t="shared" si="34"/>
        <v>4.1137355803381608</v>
      </c>
      <c r="BS72" s="52">
        <f>[1]!b_stm07_is(A72,19,$A$1,1,100000000)</f>
        <v>57.639020000000002</v>
      </c>
      <c r="BT72" s="52">
        <f xml:space="preserve"> [1]!s_stm07_bs(A72,"W15273164",$A$1,1,100000000)-[1]!s_stm07_bs(A72,"W17642530",$A$1,1,100000000)-[1]!s_stm07_bs(A72,"W15910877",$A$1,1,100000000)-[1]!s_stm07_bs_39(A72,$A$1,1,100000000)-[1]!s_stm07_bs(A72,"W17700468",$A$1,1,100000000)-[1]!s_stm07_bs(A72,"W16504296",$A$1,1,100000000)-[1]!s_stm07_bs(A72,"W13769069",$A$1,1,100000000)</f>
        <v>1552.8156999999997</v>
      </c>
      <c r="BU72" s="52">
        <f xml:space="preserve"> [1]!s_stm07_bs(A72,"W15273164",$B$1,1,100000000)-[1]!s_stm07_bs(A72,"W17642530",$B$1,1,100000000)-[1]!s_stm07_bs(A72,"W15910877",$B$1,1,100000000)-[1]!s_stm07_bs_39(A72,$B$1,1,100000000)-[1]!s_stm07_bs(A72,"W17700468",$B$1,1,100000000)-[1]!s_stm07_bs(A72,"W16504296",$B$1,1,100000000)-[1]!s_stm07_bs(A72,"W13769069",$B$1,1,100000000)</f>
        <v>1362.0111700000002</v>
      </c>
      <c r="BV72" s="52">
        <f xml:space="preserve"> [1]!s_stm07_bs(A72,"W15273164",$E$1,1,100000000)-[1]!s_stm07_bs(A72,"W17642530",$E$1,1,100000000)-[1]!s_stm07_bs(A72,"W15910877",$E$1,1,100000000)-[1]!s_stm07_bs_39(A72,$E$1,1,100000000)-[1]!s_stm07_bs(A72,"W17700468",$E$1,1,100000000)-[1]!s_stm07_bs(A72,"W16504296",$E$1,1,100000000)-[1]!s_stm07_bs(A72,"W13769069",$E$1,1,100000000)</f>
        <v>1503.4203400000001</v>
      </c>
      <c r="BW72" s="52">
        <f xml:space="preserve"> [1]!s_stm07_bs(A72,"W15273164",$F$1,1,100000000)-[1]!s_stm07_bs(A72,"W17642530",$F$1,1,100000000)-[1]!s_stm07_bs(A72,"W15910877",$F$1,1,100000000)-[1]!s_stm07_bs_39(A72,$F$1,1,100000000)-[1]!s_stm07_bs(A72,"W17700468",$F$1,1,100000000)-[1]!s_stm07_bs(A72,"W16504296",$F$1,1,100000000)-[1]!s_stm07_bs(A72,"W13769069",$F$1,1,100000000)</f>
        <v>1474.6167699999999</v>
      </c>
      <c r="BX72" s="52">
        <f xml:space="preserve"> [1]!s_stm07_bs(A72,"W15273164",$G$1,1,100000000)-[1]!s_stm07_bs(A72,"W17642530",$G$1,1,100000000)-[1]!s_stm07_bs(A72,"W15910877",$G$1,1,100000000)-[1]!s_stm07_bs_39(A72,$G$1,1,100000000)-[1]!s_stm07_bs(A72,"W17700468",$G$1,1,100000000)-[1]!s_stm07_bs(A72,"W16504296",$G$1,1,100000000)-[1]!s_stm07_bs(A72,"W13769069",$G$1,1,100000000)</f>
        <v>1396.2733999999998</v>
      </c>
      <c r="BY72" s="52">
        <f>IFERROR([1]!b_stm07_is(A72,20,$A$1,1,100000000)/AVERAGEIF(CA72:CE72,"&gt;0")*100,0)</f>
        <v>2.0262948902366582</v>
      </c>
      <c r="BZ72" s="52">
        <f>[1]!b_stm07_is(A72,20,$A$1,1,100000000)</f>
        <v>27.283110000000001</v>
      </c>
      <c r="CA72" s="52">
        <f>[1]!s_stmnote_bank_38(A72,$A$1,1,100000000)</f>
        <v>1437.61978</v>
      </c>
      <c r="CB72" s="52">
        <f>[1]!s_stmnote_bank_38(A72,$B$1,1,100000000)</f>
        <v>1254.00756</v>
      </c>
      <c r="CC72" s="52">
        <f>[1]!s_stmnote_bank_38(A72,$E$1,1,100000000)</f>
        <v>1387.3545799999999</v>
      </c>
      <c r="CD72" s="52">
        <f>[1]!s_stmnote_bank_38(A72,$F$1,1,100000000)</f>
        <v>1366.3414700000001</v>
      </c>
      <c r="CE72" s="52">
        <f>[1]!s_stmnote_bank_38(A72,$G$1,1,100000000)</f>
        <v>1286.94202</v>
      </c>
      <c r="CF72" s="52">
        <f>IF(BP72&lt;&gt;0,BP72,IFERROR(IF(([1]!b_stm07_is(A72,19,$A$1,1,100000000)-[1]!b_stm07_is(A72,20,$A$1,1,100000000))/AVERAGE([1]!s_stmnote_bank_35(A72,$A$1,1,100000000),[1]!s_stmnote_bank_35(A72,$B$1,1,100000000))*100=0,"",([1]!b_stm07_is(A72,19,$A$1,1,100000000)-[1]!b_stm07_is(A72,20,$A$1,1,100000000))/AVERAGE([1]!s_stmnote_bank_35(A72,$A$1,1,100000000),[1]!s_stmnote_bank_35(A72,$B$1,1,100000000))*100),""))</f>
        <v>2.2400000000000002</v>
      </c>
      <c r="CG72" s="27" t="str">
        <f t="shared" si="30"/>
        <v>61 171</v>
      </c>
      <c r="CH72" s="80">
        <f t="shared" si="35"/>
        <v>0.9021215220200115</v>
      </c>
      <c r="CI72" s="27" t="str">
        <f t="shared" si="31"/>
        <v>51 169</v>
      </c>
      <c r="CJ72" s="55">
        <f>[1]!s_stmnote_bank_30(A72,$A$1,1)</f>
        <v>20.8294</v>
      </c>
      <c r="CP72" s="69">
        <f>[1]!b_stm07_bs($A72,141,$A$1,1,100000000)</f>
        <v>132.68267</v>
      </c>
      <c r="CQ72" s="69">
        <f>[1]!b_stm07_bs($A72,141,$D$1,1,100000000)</f>
        <v>138.01894999999999</v>
      </c>
      <c r="CR72" s="68">
        <f>IF([1]!s_fa_roic_yearly($A72,$A$1)=0,"",[1]!s_fa_roic_yearly($A72,$A$1))</f>
        <v>9.2210999999999999</v>
      </c>
      <c r="CS72" s="27">
        <f>RANK(CR72,CR$5:CR$192,0)/COUNTIF(CR$5:CR$192,"&gt;0")</f>
        <v>0.4437869822485207</v>
      </c>
      <c r="CT72" s="68">
        <f>IF([1]!s_fa_roic_yearly($A72,$D$1)=0,"",[1]!s_fa_roic_yearly($A72,$D$1))</f>
        <v>12.5244</v>
      </c>
      <c r="CU72" s="27">
        <f>RANK(CT72,CT$5:CT$192,0)/COUNTIF(CT$5:CT$192,"&gt;0")</f>
        <v>0.21830985915492956</v>
      </c>
      <c r="CV72" s="78">
        <f>[1]!s_stm07_bs(A72,"W14578191",$A$1,1,100000000)</f>
        <v>916.96604000000002</v>
      </c>
      <c r="CW72" s="78">
        <f>[1]!s_stmnote_bank_682($A72,$A$1,1,2,100000000)</f>
        <v>244.03707</v>
      </c>
      <c r="CX72" s="79">
        <f t="shared" si="32"/>
        <v>0.26613534128264987</v>
      </c>
    </row>
    <row r="73" spans="1:102" ht="13.5">
      <c r="A73" s="8" t="s">
        <v>510</v>
      </c>
      <c r="B73" s="13" t="s">
        <v>511</v>
      </c>
      <c r="C73" s="15" t="s">
        <v>512</v>
      </c>
      <c r="D73" s="9" t="s">
        <v>1066</v>
      </c>
      <c r="E73" s="10" t="s">
        <v>138</v>
      </c>
      <c r="F73" s="11" t="s">
        <v>90</v>
      </c>
      <c r="G73" s="11" t="s">
        <v>139</v>
      </c>
      <c r="H73" s="11" t="s">
        <v>67</v>
      </c>
      <c r="I73" s="11"/>
      <c r="J73" s="11">
        <f>VLOOKUP(B73,[3]额度信息!$B:$T,19,0)</f>
        <v>0</v>
      </c>
      <c r="K73" s="11" t="s">
        <v>513</v>
      </c>
      <c r="L73" s="27">
        <f>IFERROR(([1]!b_stm07_bs($A73,47,$A$1,1,100000000))/[1]!b_stm07_bs($A73,109,$A$1,1,100000000),"")</f>
        <v>8.1692697106174536E-2</v>
      </c>
      <c r="M73" s="20">
        <v>2.91</v>
      </c>
      <c r="N73" s="18">
        <f>IFERROR((4.8-4.6979+M73)/[1]!s_stmnote_bank_1n($A73,$B$1,1,100000000),"")</f>
        <v>9.4535957757662208E-3</v>
      </c>
      <c r="O73" s="27" t="str">
        <f t="shared" si="24"/>
        <v>23 50</v>
      </c>
      <c r="P73" s="21">
        <f t="shared" si="33"/>
        <v>2.4999999999999998E-2</v>
      </c>
      <c r="Q73" s="27" t="str">
        <f t="shared" si="25"/>
        <v>60 169</v>
      </c>
      <c r="R73" s="18">
        <v>1.3599999999999999E-2</v>
      </c>
      <c r="S73" s="22"/>
      <c r="T73" s="22"/>
      <c r="U73" s="22">
        <f>IFERROR((1)/[1]!b_stm07_bs($A73,74,$A$1,1,100000000),"")</f>
        <v>1.6984438852535807E-3</v>
      </c>
      <c r="V73" s="22"/>
      <c r="W73" s="22"/>
      <c r="X73" s="22"/>
      <c r="Y73" s="22"/>
      <c r="Z73" s="25">
        <f>[1]!b_stm07_bs(A73,74,$A$1,1,100000000)</f>
        <v>588.77423545300007</v>
      </c>
      <c r="AA73" s="25">
        <f>[1]!b_stm07_bs(A73,109,$A$1,1,100000000)</f>
        <v>474.93911322910003</v>
      </c>
      <c r="AB73" s="10">
        <v>1.1399999999999999</v>
      </c>
      <c r="AC73" s="25">
        <f>IF([1]!s_stmnote_bank_23n(A73,$A$1,1)=0,"",IFERROR([1]!s_stmnote_bank_23n(A73,$A$1,1),""))</f>
        <v>360.17</v>
      </c>
      <c r="AD73" s="27" t="str">
        <f t="shared" si="26"/>
        <v>124 167</v>
      </c>
      <c r="AE73" s="25">
        <v>14.6</v>
      </c>
      <c r="AF73" s="25">
        <f>IF([1]!s_stmnote_bank_capadequacyratio_ct1(A73,$A$1,1)=0,"",IFERROR([1]!s_stmnote_bank_capadequacyratio_ct1(A73,$A$1,1),""))</f>
        <v>11.83</v>
      </c>
      <c r="AG73" s="27" t="str">
        <f>RANK(AF73,AF$5:AF$192,1)&amp;" "&amp;COUNTIF(AF$5:AF$192,"&gt;0")</f>
        <v>121 167</v>
      </c>
      <c r="AH73" s="6">
        <f>IF(OR([1]!s_fa_roe(A73,20201231)=0,[1]!s_fa_roe(A73,20211231)="0",[1]!s_fa_roe(A73,20221231)="0"),"",IFERROR(([1]!s_fa_roe(A73,20221231)+[1]!s_fa_roe(A73,20201231)+[1]!s_fa_roe(A73,20211231))/3,""))</f>
        <v>9.1637000000000004</v>
      </c>
      <c r="AI73" s="27" t="str">
        <f t="shared" si="27"/>
        <v>102 173</v>
      </c>
      <c r="AJ73" s="28">
        <f>6.39%+3.08%</f>
        <v>9.4700000000000006E-2</v>
      </c>
      <c r="AK73" s="28">
        <f>126.42/486.1</f>
        <v>0.26006994445587328</v>
      </c>
      <c r="AL73" s="28">
        <f>IFERROR(([1]!b_stm07_bs(A73,104,$A$1,1,100000000)+[1]!b_stm07_bs(A73,106,$A$1,1,100000000)+[1]!b_stm07_bs(A73,76,$A$1,1,100000000)+[1]!b_stm07_bs(A73,108,$A$1,1,100000000)+[1]!b_stm07_bs(A73,95,$A$1,1,100000000))/[1]!b_stm07_bs(A73,128,$A$1,1,100000000),"")</f>
        <v>5.6025284995955195E-2</v>
      </c>
      <c r="AM73" s="28">
        <f>IFERROR(([1]!s_stmnote_bank_614(A73,$A$1,1,2,100000000)+[1]!b_stm07_bs(A73,104,$A$1,1,100000000)+[1]!b_stm07_bs(A73,106,$A$1,1,100000000)+[1]!b_stm07_bs(A73,76,$A$1,1,100000000)+[1]!b_stm07_bs(A73,108,$A$1,1,100000000)+[1]!b_stm07_bs(A73,95,$A$1,1,100000000))/[1]!b_stm07_bs(A73,128,$A$1,1,100000000),"")</f>
        <v>0.23624551593903129</v>
      </c>
      <c r="AN73" s="31" t="e">
        <f>IF(Z73&gt;#REF!,#REF!,IF(Z73&gt;#REF!,#REF!,IF(Z73&gt;#REF!,#REF!,IF(Z73&gt;#REF!,#REF!,IF(Z73&gt;#REF!,#REF!,IF(Z73&gt;#REF!,#REF!,IF(Z73&gt;#REF!,#REF!,#REF!)))))))</f>
        <v>#REF!</v>
      </c>
      <c r="AO73" s="31" t="e">
        <f>IF(AA73&gt;#REF!,#REF!,IF(AA73&gt;#REF!,#REF!,IF(AA73&gt;#REF!,#REF!,IF(AA73&gt;#REF!,#REF!,IF(AA73&gt;#REF!,#REF!,IF(AA73&gt;#REF!,#REF!,IF(AA73&gt;#REF!,#REF!,#REF!)))))))</f>
        <v>#REF!</v>
      </c>
      <c r="AP73" s="31" t="e">
        <f>IF(AB73&lt;#REF!,#REF!,IF(AB73&lt;#REF!,#REF!,IF(AB73&lt;#REF!,#REF!,IF(AB73&lt;#REF!,#REF!,IF(AB73&lt;#REF!,#REF!,IF(AB73&lt;#REF!,#REF!,#REF!))))))</f>
        <v>#REF!</v>
      </c>
      <c r="AQ73" s="31" t="e">
        <f>IF(AC73&gt;#REF!,#REF!,IF(AC73&gt;#REF!,#REF!,IF(AC73&gt;#REF!,#REF!,IF(AC73&gt;#REF!,#REF!,#REF!))))</f>
        <v>#REF!</v>
      </c>
      <c r="AR73" s="31" t="e">
        <f>IF(AE73&gt;#REF!,#REF!,IF(AE73&gt;#REF!,#REF!,IF(AE73&gt;#REF!,#REF!,IF(AE73&gt;#REF!,#REF!,#REF!))))</f>
        <v>#REF!</v>
      </c>
      <c r="AS73" s="31" t="e">
        <f>IF(AF73&gt;#REF!,#REF!,IF(AF73&gt;#REF!,#REF!,IF(AF73&gt;#REF!,#REF!,IF(AF73&gt;#REF!,#REF!,#REF!))))</f>
        <v>#REF!</v>
      </c>
      <c r="AT73" s="31" t="e">
        <f>IF(AH73&gt;#REF!,#REF!,IF(AH73&gt;#REF!,#REF!,IF(AH73&gt;#REF!,#REF!,IF(AH73&gt;#REF!,#REF!,IF(AH73&gt;#REF!,#REF!,#REF!)))))</f>
        <v>#REF!</v>
      </c>
      <c r="AU73" s="10" t="e">
        <f t="shared" si="28"/>
        <v>#REF!</v>
      </c>
      <c r="AV73" s="10" t="s">
        <v>141</v>
      </c>
      <c r="AW73" s="10" t="s">
        <v>61</v>
      </c>
      <c r="AX73" s="10" t="s">
        <v>62</v>
      </c>
      <c r="AY73" s="31" t="str">
        <f>IFERROR(VLOOKUP(AV73,#REF!,3,0),"")</f>
        <v/>
      </c>
      <c r="AZ73" s="31" t="str">
        <f>IFERROR(VLOOKUP(AW73,#REF!,3,0),"")</f>
        <v/>
      </c>
      <c r="BA73" s="31" t="str">
        <f>IFERROR(VLOOKUP(AX73,#REF!,3,0),"")</f>
        <v/>
      </c>
      <c r="BB73" s="31" t="str">
        <f>IFERROR(AY73*#REF!+AZ73*#REF!+BA73*#REF!,"")</f>
        <v/>
      </c>
      <c r="BC73" s="32" t="str">
        <f t="shared" si="29"/>
        <v/>
      </c>
      <c r="BD73" s="32" t="str">
        <f>IFERROR(VLOOKUP(BC73*10,#REF!,2,1),"")</f>
        <v/>
      </c>
      <c r="BE73" s="11">
        <v>0</v>
      </c>
      <c r="BF73" s="11">
        <v>-1</v>
      </c>
      <c r="BG73" s="10"/>
      <c r="BH73" s="11" t="s">
        <v>514</v>
      </c>
      <c r="BI73" s="34">
        <v>9.8999996185302699</v>
      </c>
      <c r="BJ73" s="11" t="s">
        <v>92</v>
      </c>
      <c r="BK73" s="11" t="s">
        <v>515</v>
      </c>
      <c r="BL73" s="10">
        <v>3.93</v>
      </c>
      <c r="BM73" s="10">
        <v>32.799999999999997</v>
      </c>
      <c r="BN73" s="41" t="s">
        <v>67</v>
      </c>
      <c r="BO73" s="52" t="s">
        <v>67</v>
      </c>
      <c r="BP73" s="52">
        <f>[1]!s_stmnote_bank_5444(A73,$A$1,1)</f>
        <v>2.37</v>
      </c>
      <c r="BQ73" s="52">
        <f>[1]!s_stmnote_bank_129n($A73,$A$1,1)</f>
        <v>38.1</v>
      </c>
      <c r="BR73" s="52">
        <f t="shared" si="34"/>
        <v>4.6253156077577247</v>
      </c>
      <c r="BS73" s="52">
        <f>[1]!b_stm07_is(A73,19,$A$1,1,100000000)</f>
        <v>24.509455993400003</v>
      </c>
      <c r="BT73" s="52">
        <f xml:space="preserve"> [1]!s_stm07_bs(A73,"W15273164",$A$1,1,100000000)-[1]!s_stm07_bs(A73,"W17642530",$A$1,1,100000000)-[1]!s_stm07_bs(A73,"W15910877",$A$1,1,100000000)-[1]!s_stm07_bs_39(A73,$A$1,1,100000000)-[1]!s_stm07_bs(A73,"W17700468",$A$1,1,100000000)-[1]!s_stm07_bs(A73,"W16504296",$A$1,1,100000000)-[1]!s_stm07_bs(A73,"W13769069",$A$1,1,100000000)</f>
        <v>577.71240881910023</v>
      </c>
      <c r="BU73" s="52">
        <f xml:space="preserve"> [1]!s_stm07_bs(A73,"W15273164",$B$1,1,100000000)-[1]!s_stm07_bs(A73,"W17642530",$B$1,1,100000000)-[1]!s_stm07_bs(A73,"W15910877",$B$1,1,100000000)-[1]!s_stm07_bs_39(A73,$B$1,1,100000000)-[1]!s_stm07_bs(A73,"W17700468",$B$1,1,100000000)-[1]!s_stm07_bs(A73,"W16504296",$B$1,1,100000000)-[1]!s_stm07_bs(A73,"W13769069",$B$1,1,100000000)</f>
        <v>523.06739720509995</v>
      </c>
      <c r="BV73" s="52">
        <f xml:space="preserve"> [1]!s_stm07_bs(A73,"W15273164",$E$1,1,100000000)-[1]!s_stm07_bs(A73,"W17642530",$E$1,1,100000000)-[1]!s_stm07_bs(A73,"W15910877",$E$1,1,100000000)-[1]!s_stm07_bs_39(A73,$E$1,1,100000000)-[1]!s_stm07_bs(A73,"W17700468",$E$1,1,100000000)-[1]!s_stm07_bs(A73,"W16504296",$E$1,1,100000000)-[1]!s_stm07_bs(A73,"W13769069",$E$1,1,100000000)</f>
        <v>0</v>
      </c>
      <c r="BW73" s="52">
        <f xml:space="preserve"> [1]!s_stm07_bs(A73,"W15273164",$F$1,1,100000000)-[1]!s_stm07_bs(A73,"W17642530",$F$1,1,100000000)-[1]!s_stm07_bs(A73,"W15910877",$F$1,1,100000000)-[1]!s_stm07_bs_39(A73,$F$1,1,100000000)-[1]!s_stm07_bs(A73,"W17700468",$F$1,1,100000000)-[1]!s_stm07_bs(A73,"W16504296",$F$1,1,100000000)-[1]!s_stm07_bs(A73,"W13769069",$F$1,1,100000000)</f>
        <v>0</v>
      </c>
      <c r="BX73" s="52">
        <f xml:space="preserve"> [1]!s_stm07_bs(A73,"W15273164",$G$1,1,100000000)-[1]!s_stm07_bs(A73,"W17642530",$G$1,1,100000000)-[1]!s_stm07_bs(A73,"W15910877",$G$1,1,100000000)-[1]!s_stm07_bs_39(A73,$G$1,1,100000000)-[1]!s_stm07_bs(A73,"W17700468",$G$1,1,100000000)-[1]!s_stm07_bs(A73,"W16504296",$G$1,1,100000000)-[1]!s_stm07_bs(A73,"W13769069",$G$1,1,100000000)</f>
        <v>0</v>
      </c>
      <c r="BY73" s="52">
        <f>IFERROR([1]!b_stm07_is(A73,20,$A$1,1,100000000)/AVERAGEIF(CA73:CE73,"&gt;0")*100,0)</f>
        <v>2.2965598321110203</v>
      </c>
      <c r="BZ73" s="52">
        <f>[1]!b_stm07_is(A73,20,$A$1,1,100000000)</f>
        <v>11.660439540799999</v>
      </c>
      <c r="CA73" s="52">
        <f>[1]!s_stmnote_bank_38(A73,$A$1,1,100000000)</f>
        <v>529.09751442720005</v>
      </c>
      <c r="CB73" s="52">
        <f>[1]!s_stmnote_bank_38(A73,$B$1,1,100000000)</f>
        <v>486.37261422010005</v>
      </c>
      <c r="CC73" s="52">
        <f>[1]!s_stmnote_bank_38(A73,$E$1,1,100000000)</f>
        <v>0</v>
      </c>
      <c r="CD73" s="52">
        <f>[1]!s_stmnote_bank_38(A73,$F$1,1,100000000)</f>
        <v>0</v>
      </c>
      <c r="CE73" s="52">
        <f>[1]!s_stmnote_bank_38(A73,$G$1,1,100000000)</f>
        <v>0</v>
      </c>
      <c r="CF73" s="52">
        <f>IF(BP73&lt;&gt;0,BP73,IFERROR(IF(([1]!b_stm07_is(A73,19,$A$1,1,100000000)-[1]!b_stm07_is(A73,20,$A$1,1,100000000))/AVERAGE([1]!s_stmnote_bank_35(A73,$A$1,1,100000000),[1]!s_stmnote_bank_35(A73,$B$1,1,100000000))*100=0,"",([1]!b_stm07_is(A73,19,$A$1,1,100000000)-[1]!b_stm07_is(A73,20,$A$1,1,100000000))/AVERAGE([1]!s_stmnote_bank_35(A73,$A$1,1,100000000),[1]!s_stmnote_bank_35(A73,$B$1,1,100000000))*100),""))</f>
        <v>2.37</v>
      </c>
      <c r="CG73" s="27" t="str">
        <f t="shared" si="30"/>
        <v>40 171</v>
      </c>
      <c r="CH73" s="80">
        <f t="shared" si="35"/>
        <v>0.94800000000000018</v>
      </c>
      <c r="CI73" s="27" t="str">
        <f t="shared" si="31"/>
        <v>48 169</v>
      </c>
      <c r="CJ73" s="55">
        <f>[1]!s_stmnote_bank_30(A73,$A$1,1)</f>
        <v>11.6196</v>
      </c>
      <c r="CK73" s="46"/>
      <c r="CL73" s="46"/>
      <c r="CM73" s="46"/>
      <c r="CN73" s="46"/>
      <c r="CO73" s="46"/>
      <c r="CP73" s="69">
        <f>[1]!b_stm07_bs($A73,141,$A$1,1,100000000)</f>
        <v>55.128355821000007</v>
      </c>
      <c r="CQ73" s="69">
        <f>[1]!b_stm07_bs($A73,141,$D$1,1,100000000)</f>
        <v>56.916562999999996</v>
      </c>
      <c r="CR73" s="68">
        <f>IF([1]!s_fa_roic_yearly($A73,$A$1)=0,"",[1]!s_fa_roic_yearly($A73,$A$1))</f>
        <v>8.7614999999999998</v>
      </c>
      <c r="CS73" s="27">
        <f>RANK(CR73,CR$5:CR$192,0)/COUNTIF(CR$5:CR$192,"&gt;0")</f>
        <v>0.4911242603550296</v>
      </c>
      <c r="CT73" s="68" t="str">
        <f>IF([1]!s_fa_roic_yearly($A73,$D$1)=0,"",[1]!s_fa_roic_yearly($A73,$D$1))</f>
        <v/>
      </c>
      <c r="CU73" s="27" t="e">
        <f>RANK(CT73,CT$5:CT$192,0)/COUNTIF(CT$5:CT$192,"&gt;0")</f>
        <v>#VALUE!</v>
      </c>
      <c r="CV73" s="78">
        <f>[1]!s_stm07_bs(A73,"W14578191",$A$1,1,100000000)</f>
        <v>350.27511757760004</v>
      </c>
      <c r="CW73" s="78">
        <f>[1]!s_stmnote_bank_682($A73,$A$1,1,2,100000000)</f>
        <v>113.83888664040001</v>
      </c>
      <c r="CX73" s="79">
        <f t="shared" si="32"/>
        <v>0.32499849668933478</v>
      </c>
    </row>
    <row r="74" spans="1:102" s="46" customFormat="1" ht="13.5">
      <c r="A74" s="8" t="s">
        <v>682</v>
      </c>
      <c r="B74" s="8" t="s">
        <v>683</v>
      </c>
      <c r="C74" s="9" t="s">
        <v>684</v>
      </c>
      <c r="D74" s="9" t="s">
        <v>1066</v>
      </c>
      <c r="E74" s="10" t="s">
        <v>456</v>
      </c>
      <c r="F74" s="11" t="s">
        <v>178</v>
      </c>
      <c r="G74" s="11" t="s">
        <v>206</v>
      </c>
      <c r="H74" s="11" t="s">
        <v>245</v>
      </c>
      <c r="I74" s="11"/>
      <c r="J74" s="11">
        <f>VLOOKUP(B74,[3]额度信息!$B:$T,19,0)</f>
        <v>0</v>
      </c>
      <c r="K74" s="11" t="s">
        <v>685</v>
      </c>
      <c r="L74" s="27">
        <f>IFERROR(([1]!b_stm07_bs($A74,47,$A$1,1,100000000))/[1]!b_stm07_bs($A74,109,$A$1,1,100000000),"")</f>
        <v>8.0791220150221305E-2</v>
      </c>
      <c r="M74" s="20">
        <v>21.12</v>
      </c>
      <c r="N74" s="18">
        <f>IFERROR(([1]!s_stmnote_bank_26($A74,$A$1,1,100000000)-[1]!s_stmnote_bank_26($A74,$B$1,1,100000000)+M74)/[1]!s_stmnote_bank_1n($A74,$B$1,1,100000000),"")</f>
        <v>5.4482712818925251E-3</v>
      </c>
      <c r="O74" s="27" t="str">
        <f t="shared" si="24"/>
        <v>14 50</v>
      </c>
      <c r="P74" s="21">
        <f t="shared" si="33"/>
        <v>2.5414012861575401E-2</v>
      </c>
      <c r="Q74" s="27" t="str">
        <f t="shared" si="25"/>
        <v>61 169</v>
      </c>
      <c r="R74" s="18">
        <v>1.29140128615754E-2</v>
      </c>
      <c r="S74" s="22">
        <v>1.2265340718425599E-3</v>
      </c>
      <c r="T74" s="22">
        <v>1.47658264164346E-2</v>
      </c>
      <c r="U74" s="22">
        <v>9.1274169024919295E-3</v>
      </c>
      <c r="V74" s="22"/>
      <c r="W74" s="22">
        <v>1.29846846830935E-3</v>
      </c>
      <c r="X74" s="22">
        <v>5.8867394403325796E-3</v>
      </c>
      <c r="Y74" s="22">
        <v>0.480877557070857</v>
      </c>
      <c r="Z74" s="25">
        <f>[1]!b_stm07_bs(A74,74,$A$1,1,100000000)</f>
        <v>12658.510700000001</v>
      </c>
      <c r="AA74" s="25">
        <f>[1]!b_stm07_bs(A74,109,$A$1,1,100000000)</f>
        <v>7593.6023599999999</v>
      </c>
      <c r="AB74" s="10">
        <f>[1]!s_stmnote_bank_5n(A74,$A$1,1)</f>
        <v>1.25</v>
      </c>
      <c r="AC74" s="25">
        <f>IF([1]!s_stmnote_bank_23n(A74,$A$1,1)=0,"",IFERROR([1]!s_stmnote_bank_23n(A74,$A$1,1),""))</f>
        <v>340.25</v>
      </c>
      <c r="AD74" s="27" t="str">
        <f t="shared" si="26"/>
        <v>121 167</v>
      </c>
      <c r="AE74" s="25">
        <f>[1]!s_stmnote_bank_capadequacyratio(A74,$A$1,1)</f>
        <v>14.77</v>
      </c>
      <c r="AF74" s="25">
        <f>IF([1]!s_stmnote_bank_capadequacyratio_ct1(A74,$A$1,1)=0,"",IFERROR([1]!s_stmnote_bank_capadequacyratio_ct1(A74,$A$1,1),""))</f>
        <v>12.47</v>
      </c>
      <c r="AG74" s="27" t="str">
        <f>RANK(AF74,AF$5:AF$192,1)&amp;" "&amp;COUNTIF(AF$5:AF$192,"&gt;0")</f>
        <v>129 167</v>
      </c>
      <c r="AH74" s="6">
        <f>IF(OR([1]!s_fa_roe(A74,20201231)=0,[1]!s_fa_roe(A74,20211231)="0",[1]!s_fa_roe(A74,20221231)="0"),"",IFERROR(([1]!s_fa_roe(A74,20221231)+[1]!s_fa_roe(A74,20201231)+[1]!s_fa_roe(A74,20211231))/3,""))</f>
        <v>9.4626333333333346</v>
      </c>
      <c r="AI74" s="27" t="str">
        <f t="shared" si="27"/>
        <v>109 173</v>
      </c>
      <c r="AJ74" s="28">
        <f>IFERROR(([1]!s_stmnote_bank_65(A74,$A$1,1,2,4,100000000)+[1]!s_stmnote_bank_65(A74,$A$1,1,2,6,100000000))/[1]!s_stmnote_bank_1n(A74,$A$1,1,100000000),"")</f>
        <v>2.0648288833686888E-2</v>
      </c>
      <c r="AK74" s="28">
        <f>IFERROR([1]!s_stmnote_bank_614(A74,$A$1,1,2,100000000)/[1]!s_stmnote_bank_647(A74,$A$1,1,2,100000000),"")</f>
        <v>0.1380444946026908</v>
      </c>
      <c r="AL74" s="28">
        <f>IFERROR(([1]!b_stm07_bs(A74,104,$A$1,1,100000000)+[1]!b_stm07_bs(A74,106,$A$1,1,100000000)+[1]!b_stm07_bs(A74,76,$A$1,1,100000000)+[1]!b_stm07_bs(A74,108,$A$1,1,100000000)+[1]!b_stm07_bs(A74,95,$A$1,1,100000000))/[1]!b_stm07_bs(A74,128,$A$1,1,100000000),"")</f>
        <v>0.26533682277005982</v>
      </c>
      <c r="AM74" s="28">
        <f>IFERROR(([1]!s_stmnote_bank_614(A74,$A$1,1,2,100000000)+[1]!b_stm07_bs(A74,104,$A$1,1,100000000)+[1]!b_stm07_bs(A74,106,$A$1,1,100000000)+[1]!b_stm07_bs(A74,76,$A$1,1,100000000)+[1]!b_stm07_bs(A74,108,$A$1,1,100000000)+[1]!b_stm07_bs(A74,95,$A$1,1,100000000))/[1]!b_stm07_bs(A74,128,$A$1,1,100000000),"")</f>
        <v>0.35571866649836859</v>
      </c>
      <c r="AN74" s="31" t="e">
        <f>IF(Z74&gt;#REF!,#REF!,IF(Z74&gt;#REF!,#REF!,IF(Z74&gt;#REF!,#REF!,IF(Z74&gt;#REF!,#REF!,IF(Z74&gt;#REF!,#REF!,IF(Z74&gt;#REF!,#REF!,IF(Z74&gt;#REF!,#REF!,#REF!)))))))</f>
        <v>#REF!</v>
      </c>
      <c r="AO74" s="31" t="e">
        <f>IF(AA74&gt;#REF!,#REF!,IF(AA74&gt;#REF!,#REF!,IF(AA74&gt;#REF!,#REF!,IF(AA74&gt;#REF!,#REF!,IF(AA74&gt;#REF!,#REF!,IF(AA74&gt;#REF!,#REF!,IF(AA74&gt;#REF!,#REF!,#REF!)))))))</f>
        <v>#REF!</v>
      </c>
      <c r="AP74" s="31" t="e">
        <f>IF(AB74&lt;#REF!,#REF!,IF(AB74&lt;#REF!,#REF!,IF(AB74&lt;#REF!,#REF!,IF(AB74&lt;#REF!,#REF!,IF(AB74&lt;#REF!,#REF!,IF(AB74&lt;#REF!,#REF!,#REF!))))))</f>
        <v>#REF!</v>
      </c>
      <c r="AQ74" s="31" t="e">
        <f>IF(AC74&gt;#REF!,#REF!,IF(AC74&gt;#REF!,#REF!,IF(AC74&gt;#REF!,#REF!,IF(AC74&gt;#REF!,#REF!,#REF!))))</f>
        <v>#REF!</v>
      </c>
      <c r="AR74" s="31" t="e">
        <f>IF(AE74&gt;#REF!,#REF!,IF(AE74&gt;#REF!,#REF!,IF(AE74&gt;#REF!,#REF!,IF(AE74&gt;#REF!,#REF!,#REF!))))</f>
        <v>#REF!</v>
      </c>
      <c r="AS74" s="31" t="e">
        <f>IF(AF74&gt;#REF!,#REF!,IF(AF74&gt;#REF!,#REF!,IF(AF74&gt;#REF!,#REF!,IF(AF74&gt;#REF!,#REF!,#REF!))))</f>
        <v>#REF!</v>
      </c>
      <c r="AT74" s="31" t="e">
        <f>IF(AH74&gt;#REF!,#REF!,IF(AH74&gt;#REF!,#REF!,IF(AH74&gt;#REF!,#REF!,IF(AH74&gt;#REF!,#REF!,IF(AH74&gt;#REF!,#REF!,#REF!)))))</f>
        <v>#REF!</v>
      </c>
      <c r="AU74" s="10" t="e">
        <f t="shared" si="28"/>
        <v>#REF!</v>
      </c>
      <c r="AV74" s="10" t="s">
        <v>141</v>
      </c>
      <c r="AW74" s="10" t="s">
        <v>141</v>
      </c>
      <c r="AX74" s="10" t="s">
        <v>261</v>
      </c>
      <c r="AY74" s="31" t="str">
        <f>IFERROR(VLOOKUP(AV74,#REF!,3,0),"")</f>
        <v/>
      </c>
      <c r="AZ74" s="31" t="str">
        <f>IFERROR(VLOOKUP(AW74,#REF!,3,0),"")</f>
        <v/>
      </c>
      <c r="BA74" s="31" t="str">
        <f>IFERROR(VLOOKUP(AX74,#REF!,3,0),"")</f>
        <v/>
      </c>
      <c r="BB74" s="31" t="str">
        <f>IFERROR(AY74*#REF!+AZ74*#REF!+BA74*#REF!,"")</f>
        <v/>
      </c>
      <c r="BC74" s="32" t="str">
        <f t="shared" si="29"/>
        <v/>
      </c>
      <c r="BD74" s="32" t="str">
        <f>IFERROR(VLOOKUP(BC74*10,#REF!,2,1),"")</f>
        <v/>
      </c>
      <c r="BE74" s="11">
        <v>0</v>
      </c>
      <c r="BF74" s="11">
        <v>0</v>
      </c>
      <c r="BG74" s="10" t="s">
        <v>169</v>
      </c>
      <c r="BH74" s="11" t="s">
        <v>634</v>
      </c>
      <c r="BI74" s="10">
        <v>22.129999160766602</v>
      </c>
      <c r="BJ74" s="33" t="s">
        <v>686</v>
      </c>
      <c r="BK74" s="33" t="s">
        <v>613</v>
      </c>
      <c r="BL74" s="10">
        <f>IF([1]!s_stmnote_bank_17n(A74,$A$1,1)="0","",[1]!s_stmnote_bank_17n(A74,$A$1,1))</f>
        <v>2.73</v>
      </c>
      <c r="BM74" s="10">
        <f>IF([1]!s_stmnote_bank_18n(A74,$A$1,1)="0","",[1]!s_stmnote_bank_18n(A74,$A$1,1))</f>
        <v>24</v>
      </c>
      <c r="BN74" s="41">
        <v>3.97</v>
      </c>
      <c r="BO74" s="68">
        <v>2.13</v>
      </c>
      <c r="BP74" s="52">
        <f>[1]!s_stmnote_bank_5444(A74,$A$1,1)</f>
        <v>2.17</v>
      </c>
      <c r="BQ74" s="52">
        <f>[1]!s_stmnote_bank_129n($A74,$A$1,1)</f>
        <v>27.52</v>
      </c>
      <c r="BR74" s="52">
        <f t="shared" si="34"/>
        <v>4.493878607039842</v>
      </c>
      <c r="BS74" s="52">
        <f>[1]!b_stm07_is(A74,19,$A$1,1,100000000)</f>
        <v>517.49103000000002</v>
      </c>
      <c r="BT74" s="52">
        <f xml:space="preserve"> [1]!s_stm07_bs(A74,"W15273164",$A$1,1,100000000)-[1]!s_stm07_bs(A74,"W17642530",$A$1,1,100000000)-[1]!s_stm07_bs(A74,"W15910877",$A$1,1,100000000)-[1]!s_stm07_bs_39(A74,$A$1,1,100000000)-[1]!s_stm07_bs(A74,"W17700468",$A$1,1,100000000)-[1]!s_stm07_bs(A74,"W16504296",$A$1,1,100000000)-[1]!s_stm07_bs(A74,"W13769069",$A$1,1,100000000)</f>
        <v>12499.96299</v>
      </c>
      <c r="BU74" s="52">
        <f xml:space="preserve"> [1]!s_stm07_bs(A74,"W15273164",$B$1,1,100000000)-[1]!s_stm07_bs(A74,"W17642530",$B$1,1,100000000)-[1]!s_stm07_bs(A74,"W15910877",$B$1,1,100000000)-[1]!s_stm07_bs_39(A74,$B$1,1,100000000)-[1]!s_stm07_bs(A74,"W17700468",$B$1,1,100000000)-[1]!s_stm07_bs(A74,"W16504296",$B$1,1,100000000)-[1]!s_stm07_bs(A74,"W13769069",$B$1,1,100000000)</f>
        <v>11216.531349999999</v>
      </c>
      <c r="BV74" s="52">
        <f xml:space="preserve"> [1]!s_stm07_bs(A74,"W15273164",$E$1,1,100000000)-[1]!s_stm07_bs(A74,"W17642530",$E$1,1,100000000)-[1]!s_stm07_bs(A74,"W15910877",$E$1,1,100000000)-[1]!s_stm07_bs_39(A74,$E$1,1,100000000)-[1]!s_stm07_bs(A74,"W17700468",$E$1,1,100000000)-[1]!s_stm07_bs(A74,"W16504296",$E$1,1,100000000)-[1]!s_stm07_bs(A74,"W13769069",$E$1,1,100000000)</f>
        <v>12350.03861</v>
      </c>
      <c r="BW74" s="52">
        <f xml:space="preserve"> [1]!s_stm07_bs(A74,"W15273164",$F$1,1,100000000)-[1]!s_stm07_bs(A74,"W17642530",$F$1,1,100000000)-[1]!s_stm07_bs(A74,"W15910877",$F$1,1,100000000)-[1]!s_stm07_bs_39(A74,$F$1,1,100000000)-[1]!s_stm07_bs(A74,"W17700468",$F$1,1,100000000)-[1]!s_stm07_bs(A74,"W16504296",$F$1,1,100000000)-[1]!s_stm07_bs(A74,"W13769069",$F$1,1,100000000)</f>
        <v>12087.423349999999</v>
      </c>
      <c r="BX74" s="52">
        <f xml:space="preserve"> [1]!s_stm07_bs(A74,"W15273164",$G$1,1,100000000)-[1]!s_stm07_bs(A74,"W17642530",$G$1,1,100000000)-[1]!s_stm07_bs(A74,"W15910877",$G$1,1,100000000)-[1]!s_stm07_bs_39(A74,$G$1,1,100000000)-[1]!s_stm07_bs(A74,"W17700468",$G$1,1,100000000)-[1]!s_stm07_bs(A74,"W16504296",$G$1,1,100000000)-[1]!s_stm07_bs(A74,"W13769069",$G$1,1,100000000)</f>
        <v>11753.05509</v>
      </c>
      <c r="BY74" s="52">
        <f>IFERROR([1]!b_stm07_is(A74,20,$A$1,1,100000000)/AVERAGEIF(CA74:CE74,"&gt;0")*100,0)</f>
        <v>2.3183779865767637</v>
      </c>
      <c r="BZ74" s="52">
        <f>[1]!b_stm07_is(A74,20,$A$1,1,100000000)</f>
        <v>255.14303000000001</v>
      </c>
      <c r="CA74" s="52">
        <f>[1]!s_stmnote_bank_38(A74,$A$1,1,100000000)</f>
        <v>11476.39546</v>
      </c>
      <c r="CB74" s="52">
        <f>[1]!s_stmnote_bank_38(A74,$B$1,1,100000000)</f>
        <v>10290.043299999999</v>
      </c>
      <c r="CC74" s="52">
        <f>[1]!s_stmnote_bank_38(A74,$E$1,1,100000000)</f>
        <v>11328.257610000001</v>
      </c>
      <c r="CD74" s="52">
        <f>[1]!s_stmnote_bank_38(A74,$F$1,1,100000000)</f>
        <v>11129.084199999999</v>
      </c>
      <c r="CE74" s="52">
        <f>[1]!s_stmnote_bank_38(A74,$G$1,1,100000000)</f>
        <v>10802.412630000001</v>
      </c>
      <c r="CF74" s="52">
        <f>IF(BP74&lt;&gt;0,BP74,IFERROR(IF(([1]!b_stm07_is(A74,19,$A$1,1,100000000)-[1]!b_stm07_is(A74,20,$A$1,1,100000000))/AVERAGE([1]!s_stmnote_bank_35(A74,$A$1,1,100000000),[1]!s_stmnote_bank_35(A74,$B$1,1,100000000))*100=0,"",([1]!b_stm07_is(A74,19,$A$1,1,100000000)-[1]!b_stm07_is(A74,20,$A$1,1,100000000))/AVERAGE([1]!s_stmnote_bank_35(A74,$A$1,1,100000000),[1]!s_stmnote_bank_35(A74,$B$1,1,100000000))*100),""))</f>
        <v>2.17</v>
      </c>
      <c r="CG74" s="27" t="str">
        <f t="shared" si="30"/>
        <v>69 171</v>
      </c>
      <c r="CH74" s="80">
        <f t="shared" si="35"/>
        <v>0.85385964499959843</v>
      </c>
      <c r="CI74" s="27" t="str">
        <f t="shared" si="31"/>
        <v>57 169</v>
      </c>
      <c r="CJ74" s="55">
        <f>[1]!s_stmnote_bank_30(A74,$A$1,1)</f>
        <v>14.9375</v>
      </c>
      <c r="CP74" s="69">
        <f>[1]!b_stm07_bs($A74,141,$A$1,1,100000000)</f>
        <v>1060.4401499999999</v>
      </c>
      <c r="CQ74" s="69">
        <f>[1]!b_stm07_bs($A74,141,$D$1,1,100000000)</f>
        <v>1112.08413</v>
      </c>
      <c r="CR74" s="68">
        <f>IF([1]!s_fa_roic_yearly($A74,$A$1)=0,"",[1]!s_fa_roic_yearly($A74,$A$1))</f>
        <v>9.6689000000000007</v>
      </c>
      <c r="CS74" s="27">
        <f>RANK(CR74,CR$5:CR$192,0)/COUNTIF(CR$5:CR$192,"&gt;0")</f>
        <v>0.378698224852071</v>
      </c>
      <c r="CT74" s="68">
        <f>IF([1]!s_fa_roic_yearly($A74,$D$1)=0,"",[1]!s_fa_roic_yearly($A74,$D$1))</f>
        <v>11.9192</v>
      </c>
      <c r="CU74" s="27">
        <f>RANK(CT74,CT$5:CT$192,0)/COUNTIF(CT$5:CT$192,"&gt;0")</f>
        <v>0.28169014084507044</v>
      </c>
      <c r="CV74" s="78">
        <f>[1]!s_stm07_bs(A74,"W14578191",$A$1,1,100000000)</f>
        <v>5573.3499599999996</v>
      </c>
      <c r="CW74" s="78">
        <f>[1]!s_stmnote_bank_682($A74,$A$1,1,2,100000000)</f>
        <v>2755.5483399999998</v>
      </c>
      <c r="CX74" s="79">
        <f t="shared" si="32"/>
        <v>0.49441509321621713</v>
      </c>
    </row>
    <row r="75" spans="1:102" s="46" customFormat="1" ht="13.5">
      <c r="A75" s="8" t="s">
        <v>492</v>
      </c>
      <c r="B75" s="8" t="s">
        <v>493</v>
      </c>
      <c r="C75" s="9" t="s">
        <v>494</v>
      </c>
      <c r="D75" s="9" t="s">
        <v>1066</v>
      </c>
      <c r="E75" s="10"/>
      <c r="F75" s="11" t="s">
        <v>66</v>
      </c>
      <c r="G75" s="11" t="s">
        <v>67</v>
      </c>
      <c r="H75" s="11" t="s">
        <v>116</v>
      </c>
      <c r="I75" s="11"/>
      <c r="J75" s="11" t="e">
        <f>VLOOKUP(B75,[3]额度信息!$B:$T,19,0)</f>
        <v>#N/A</v>
      </c>
      <c r="K75" s="11"/>
      <c r="L75" s="27">
        <f>IFERROR(([1]!b_stm07_bs($A75,47,$A$1,1,100000000))/[1]!b_stm07_bs($A75,109,$A$1,1,100000000),"")</f>
        <v>9.0782348805325139E-2</v>
      </c>
      <c r="M75" s="20"/>
      <c r="N75" s="18"/>
      <c r="O75" s="27" t="e">
        <f t="shared" si="24"/>
        <v>#N/A</v>
      </c>
      <c r="P75" s="21">
        <f t="shared" si="33"/>
        <v>2.7030748658982903E-2</v>
      </c>
      <c r="Q75" s="27" t="str">
        <f t="shared" si="25"/>
        <v>70 169</v>
      </c>
      <c r="R75" s="18">
        <v>1.4530748658982901E-2</v>
      </c>
      <c r="S75" s="22"/>
      <c r="T75" s="22"/>
      <c r="U75" s="22"/>
      <c r="V75" s="22"/>
      <c r="W75" s="22"/>
      <c r="X75" s="22"/>
      <c r="Y75" s="22"/>
      <c r="Z75" s="25">
        <f>[1]!b_stm07_bs(A75,74,$A$1,1,100000000)</f>
        <v>1368.67516</v>
      </c>
      <c r="AA75" s="25">
        <f>[1]!b_stm07_bs(A75,109,$A$1,1,100000000)</f>
        <v>1023.58896</v>
      </c>
      <c r="AB75" s="10">
        <f>[1]!s_stmnote_bank_5n(A75,$A$1,1)</f>
        <v>1.25</v>
      </c>
      <c r="AC75" s="25">
        <f>IF([1]!s_stmnote_bank_23n(A75,$A$1,1)=0,"",IFERROR([1]!s_stmnote_bank_23n(A75,$A$1,1),""))</f>
        <v>252.9</v>
      </c>
      <c r="AD75" s="27" t="str">
        <f t="shared" si="26"/>
        <v>91 167</v>
      </c>
      <c r="AE75" s="25">
        <f>[1]!s_stmnote_bank_capadequacyratio(A75,$A$1,1)</f>
        <v>18.850000000000001</v>
      </c>
      <c r="AF75" s="25">
        <f>IF([1]!s_stmnote_bank_capadequacyratio_ct1(A75,$A$1,1)=0,"",IFERROR([1]!s_stmnote_bank_capadequacyratio_ct1(A75,$A$1,1),""))</f>
        <v>15.41</v>
      </c>
      <c r="AG75" s="27" t="str">
        <f>RANK(AF75,AF$5:AF$192,1)&amp;" "&amp;COUNTIF(AF$5:AF$192,"&gt;0")</f>
        <v>158 167</v>
      </c>
      <c r="AH75" s="6">
        <f>IF(OR([1]!s_fa_roe(A75,20201231)=0,[1]!s_fa_roe(A75,20211231)="0",[1]!s_fa_roe(A75,20221231)="0"),"",IFERROR(([1]!s_fa_roe(A75,20221231)+[1]!s_fa_roe(A75,20201231)+[1]!s_fa_roe(A75,20211231))/3,""))</f>
        <v>10.483533333333332</v>
      </c>
      <c r="AI75" s="27" t="str">
        <f t="shared" si="27"/>
        <v>128 173</v>
      </c>
      <c r="AJ75" s="28">
        <f>IFERROR(([1]!s_stmnote_bank_65(A75,$A$1,1,2,4,100000000)+[1]!s_stmnote_bank_65(A75,$A$1,1,2,6,100000000))/[1]!s_stmnote_bank_1n(A75,$A$1,1,100000000),"")</f>
        <v>1.6938009682491463E-2</v>
      </c>
      <c r="AK75" s="28">
        <f>IFERROR([1]!s_stmnote_bank_614(A75,$A$1,1,2,100000000)/[1]!s_stmnote_bank_647(A75,$A$1,1,2,100000000),"")</f>
        <v>0.2363532713531051</v>
      </c>
      <c r="AL75" s="28">
        <f>IFERROR(([1]!b_stm07_bs(A75,104,$A$1,1,100000000)+[1]!b_stm07_bs(A75,106,$A$1,1,100000000)+[1]!b_stm07_bs(A75,76,$A$1,1,100000000)+[1]!b_stm07_bs(A75,108,$A$1,1,100000000)+[1]!b_stm07_bs(A75,95,$A$1,1,100000000))/[1]!b_stm07_bs(A75,128,$A$1,1,100000000),"")</f>
        <v>8.4661209110792862E-2</v>
      </c>
      <c r="AM75" s="28">
        <f>IFERROR(([1]!s_stmnote_bank_614(A75,$A$1,1,2,100000000)+[1]!b_stm07_bs(A75,104,$A$1,1,100000000)+[1]!b_stm07_bs(A75,106,$A$1,1,100000000)+[1]!b_stm07_bs(A75,76,$A$1,1,100000000)+[1]!b_stm07_bs(A75,108,$A$1,1,100000000)+[1]!b_stm07_bs(A75,95,$A$1,1,100000000))/[1]!b_stm07_bs(A75,128,$A$1,1,100000000),"")</f>
        <v>0.27736622624915663</v>
      </c>
      <c r="AN75" s="31" t="e">
        <f>IF(Z75&gt;#REF!,#REF!,IF(Z75&gt;#REF!,#REF!,IF(Z75&gt;#REF!,#REF!,IF(Z75&gt;#REF!,#REF!,IF(Z75&gt;#REF!,#REF!,IF(Z75&gt;#REF!,#REF!,IF(Z75&gt;#REF!,#REF!,#REF!)))))))</f>
        <v>#REF!</v>
      </c>
      <c r="AO75" s="31" t="e">
        <f>IF(AA75&gt;#REF!,#REF!,IF(AA75&gt;#REF!,#REF!,IF(AA75&gt;#REF!,#REF!,IF(AA75&gt;#REF!,#REF!,IF(AA75&gt;#REF!,#REF!,IF(AA75&gt;#REF!,#REF!,IF(AA75&gt;#REF!,#REF!,#REF!)))))))</f>
        <v>#REF!</v>
      </c>
      <c r="AP75" s="31" t="e">
        <f>IF(AB75&lt;#REF!,#REF!,IF(AB75&lt;#REF!,#REF!,IF(AB75&lt;#REF!,#REF!,IF(AB75&lt;#REF!,#REF!,IF(AB75&lt;#REF!,#REF!,IF(AB75&lt;#REF!,#REF!,#REF!))))))</f>
        <v>#REF!</v>
      </c>
      <c r="AQ75" s="31" t="e">
        <f>IF(AC75&gt;#REF!,#REF!,IF(AC75&gt;#REF!,#REF!,IF(AC75&gt;#REF!,#REF!,IF(AC75&gt;#REF!,#REF!,#REF!))))</f>
        <v>#REF!</v>
      </c>
      <c r="AR75" s="31" t="e">
        <f>IF(AE75&gt;#REF!,#REF!,IF(AE75&gt;#REF!,#REF!,IF(AE75&gt;#REF!,#REF!,IF(AE75&gt;#REF!,#REF!,#REF!))))</f>
        <v>#REF!</v>
      </c>
      <c r="AS75" s="31" t="e">
        <f>IF(AF75&gt;#REF!,#REF!,IF(AF75&gt;#REF!,#REF!,IF(AF75&gt;#REF!,#REF!,IF(AF75&gt;#REF!,#REF!,#REF!))))</f>
        <v>#REF!</v>
      </c>
      <c r="AT75" s="31" t="e">
        <f>IF(AH75&gt;#REF!,#REF!,IF(AH75&gt;#REF!,#REF!,IF(AH75&gt;#REF!,#REF!,IF(AH75&gt;#REF!,#REF!,IF(AH75&gt;#REF!,#REF!,#REF!)))))</f>
        <v>#REF!</v>
      </c>
      <c r="AU75" s="10" t="e">
        <f t="shared" si="28"/>
        <v>#REF!</v>
      </c>
      <c r="AV75" s="10"/>
      <c r="AW75" s="10"/>
      <c r="AX75" s="10"/>
      <c r="AY75" s="31" t="str">
        <f>IFERROR(VLOOKUP(AV75,#REF!,3,0),"")</f>
        <v/>
      </c>
      <c r="AZ75" s="31" t="str">
        <f>IFERROR(VLOOKUP(AW75,#REF!,3,0),"")</f>
        <v/>
      </c>
      <c r="BA75" s="31" t="str">
        <f>IFERROR(VLOOKUP(AX75,#REF!,3,0),"")</f>
        <v/>
      </c>
      <c r="BB75" s="31" t="str">
        <f>IFERROR(AY75*#REF!+AZ75*#REF!+BA75*#REF!,"")</f>
        <v/>
      </c>
      <c r="BC75" s="32" t="str">
        <f t="shared" si="29"/>
        <v/>
      </c>
      <c r="BD75" s="32" t="str">
        <f>IFERROR(VLOOKUP(BC75*10,#REF!,2,1),"")</f>
        <v/>
      </c>
      <c r="BE75" s="10"/>
      <c r="BF75" s="10"/>
      <c r="BG75" s="10"/>
      <c r="BH75" s="11" t="s">
        <v>495</v>
      </c>
      <c r="BI75" s="10">
        <v>6.7199997901916504</v>
      </c>
      <c r="BJ75" s="33" t="s">
        <v>111</v>
      </c>
      <c r="BK75" s="33" t="s">
        <v>447</v>
      </c>
      <c r="BL75" s="10">
        <f>IF([1]!s_stmnote_bank_17n(A75,$A$1,1)="0","",[1]!s_stmnote_bank_17n(A75,$A$1,1))</f>
        <v>1.19</v>
      </c>
      <c r="BM75" s="10">
        <f>IF([1]!s_stmnote_bank_18n(A75,$A$1,1)="0","",[1]!s_stmnote_bank_18n(A75,$A$1,1))</f>
        <v>9.5500000000000007</v>
      </c>
      <c r="BN75" s="41" t="s">
        <v>67</v>
      </c>
      <c r="BO75" s="68" t="s">
        <v>67</v>
      </c>
      <c r="BP75" s="52">
        <f>[1]!s_stmnote_bank_5444(A75,$A$1,1)</f>
        <v>2.34</v>
      </c>
      <c r="BQ75" s="52">
        <f>[1]!s_stmnote_bank_129n($A75,$A$1,1)</f>
        <v>32.22</v>
      </c>
      <c r="BR75" s="52">
        <f t="shared" si="34"/>
        <v>4.5370010488954788</v>
      </c>
      <c r="BS75" s="52">
        <f>[1]!b_stm07_is(A75,19,$A$1,1,100000000)</f>
        <v>58.651969999999999</v>
      </c>
      <c r="BT75" s="52">
        <f xml:space="preserve"> [1]!s_stm07_bs(A75,"W15273164",$A$1,1,100000000)-[1]!s_stm07_bs(A75,"W17642530",$A$1,1,100000000)-[1]!s_stm07_bs(A75,"W15910877",$A$1,1,100000000)-[1]!s_stm07_bs_39(A75,$A$1,1,100000000)-[1]!s_stm07_bs(A75,"W17700468",$A$1,1,100000000)-[1]!s_stm07_bs(A75,"W16504296",$A$1,1,100000000)-[1]!s_stm07_bs(A75,"W13769069",$A$1,1,100000000)</f>
        <v>1344.2352300000002</v>
      </c>
      <c r="BU75" s="52">
        <f xml:space="preserve"> [1]!s_stm07_bs(A75,"W15273164",$B$1,1,100000000)-[1]!s_stm07_bs(A75,"W17642530",$B$1,1,100000000)-[1]!s_stm07_bs(A75,"W15910877",$B$1,1,100000000)-[1]!s_stm07_bs_39(A75,$B$1,1,100000000)-[1]!s_stm07_bs(A75,"W17700468",$B$1,1,100000000)-[1]!s_stm07_bs(A75,"W16504296",$B$1,1,100000000)-[1]!s_stm07_bs(A75,"W13769069",$B$1,1,100000000)</f>
        <v>1273.409730742</v>
      </c>
      <c r="BV75" s="52">
        <f xml:space="preserve"> [1]!s_stm07_bs(A75,"W15273164",$E$1,1,100000000)-[1]!s_stm07_bs(A75,"W17642530",$E$1,1,100000000)-[1]!s_stm07_bs(A75,"W15910877",$E$1,1,100000000)-[1]!s_stm07_bs_39(A75,$E$1,1,100000000)-[1]!s_stm07_bs(A75,"W17700468",$E$1,1,100000000)-[1]!s_stm07_bs(A75,"W16504296",$E$1,1,100000000)-[1]!s_stm07_bs(A75,"W13769069",$E$1,1,100000000)</f>
        <v>1354.4567699999998</v>
      </c>
      <c r="BW75" s="52">
        <f xml:space="preserve"> [1]!s_stm07_bs(A75,"W15273164",$F$1,1,100000000)-[1]!s_stm07_bs(A75,"W17642530",$F$1,1,100000000)-[1]!s_stm07_bs(A75,"W15910877",$F$1,1,100000000)-[1]!s_stm07_bs_39(A75,$F$1,1,100000000)-[1]!s_stm07_bs(A75,"W17700468",$F$1,1,100000000)-[1]!s_stm07_bs(A75,"W16504296",$F$1,1,100000000)-[1]!s_stm07_bs(A75,"W13769069",$F$1,1,100000000)</f>
        <v>1339.0839499999997</v>
      </c>
      <c r="BX75" s="52">
        <f xml:space="preserve"> [1]!s_stm07_bs(A75,"W15273164",$G$1,1,100000000)-[1]!s_stm07_bs(A75,"W17642530",$G$1,1,100000000)-[1]!s_stm07_bs(A75,"W15910877",$G$1,1,100000000)-[1]!s_stm07_bs_39(A75,$G$1,1,100000000)-[1]!s_stm07_bs(A75,"W17700468",$G$1,1,100000000)-[1]!s_stm07_bs(A75,"W16504296",$G$1,1,100000000)-[1]!s_stm07_bs(A75,"W13769069",$G$1,1,100000000)</f>
        <v>1306.1196823404</v>
      </c>
      <c r="BY75" s="52">
        <f>IFERROR([1]!b_stm07_is(A75,20,$A$1,1,100000000)/AVERAGEIF(CA75:CE75,"&gt;0")*100,0)</f>
        <v>2.3606535453425885</v>
      </c>
      <c r="BZ75" s="52">
        <f>[1]!b_stm07_is(A75,20,$A$1,1,100000000)</f>
        <v>28.695589999999999</v>
      </c>
      <c r="CA75" s="52">
        <f>[1]!s_stmnote_bank_38(A75,$A$1,1,100000000)</f>
        <v>1224.15059</v>
      </c>
      <c r="CB75" s="52">
        <f>[1]!s_stmnote_bank_38(A75,$B$1,1,100000000)</f>
        <v>1178.4615067633999</v>
      </c>
      <c r="CC75" s="52">
        <f>[1]!s_stmnote_bank_38(A75,$E$1,1,100000000)</f>
        <v>1238.8487600000001</v>
      </c>
      <c r="CD75" s="52">
        <f>[1]!s_stmnote_bank_38(A75,$F$1,1,100000000)</f>
        <v>1227.26315</v>
      </c>
      <c r="CE75" s="52">
        <f>[1]!s_stmnote_bank_38(A75,$G$1,1,100000000)</f>
        <v>1209.1670197733999</v>
      </c>
      <c r="CF75" s="52">
        <f>IF(BP75&lt;&gt;0,BP75,IFERROR(IF(([1]!b_stm07_is(A75,19,$A$1,1,100000000)-[1]!b_stm07_is(A75,20,$A$1,1,100000000))/AVERAGE([1]!s_stmnote_bank_35(A75,$A$1,1,100000000),[1]!s_stmnote_bank_35(A75,$B$1,1,100000000))*100=0,"",([1]!b_stm07_is(A75,19,$A$1,1,100000000)-[1]!b_stm07_is(A75,20,$A$1,1,100000000))/AVERAGE([1]!s_stmnote_bank_35(A75,$A$1,1,100000000),[1]!s_stmnote_bank_35(A75,$B$1,1,100000000))*100),""))</f>
        <v>2.34</v>
      </c>
      <c r="CG75" s="27" t="str">
        <f t="shared" si="30"/>
        <v>46 171</v>
      </c>
      <c r="CH75" s="80">
        <f t="shared" si="35"/>
        <v>0.86568079542346199</v>
      </c>
      <c r="CI75" s="27" t="str">
        <f t="shared" si="31"/>
        <v>56 169</v>
      </c>
      <c r="CJ75" s="55">
        <f>[1]!s_stmnote_bank_30(A75,$A$1,1)</f>
        <v>9.5038999999999998</v>
      </c>
      <c r="CP75" s="69">
        <f>[1]!b_stm07_bs($A75,141,$A$1,1,100000000)</f>
        <v>138.16095999999999</v>
      </c>
      <c r="CQ75" s="69">
        <f>[1]!b_stm07_bs($A75,141,$D$1,1,100000000)</f>
        <v>142.91374999999999</v>
      </c>
      <c r="CR75" s="68">
        <f>IF([1]!s_fa_roic_yearly($A75,$A$1)=0,"",[1]!s_fa_roic_yearly($A75,$A$1))</f>
        <v>10.334</v>
      </c>
      <c r="CS75" s="27">
        <f>RANK(CR75,CR$5:CR$192,0)/COUNTIF(CR$5:CR$192,"&gt;0")</f>
        <v>0.30177514792899407</v>
      </c>
      <c r="CT75" s="68">
        <f>IF([1]!s_fa_roic_yearly($A75,$D$1)=0,"",[1]!s_fa_roic_yearly($A75,$D$1))</f>
        <v>9.0557999999999996</v>
      </c>
      <c r="CU75" s="27">
        <f>RANK(CT75,CT$5:CT$192,0)/COUNTIF(CT$5:CT$192,"&gt;0")</f>
        <v>0.58450704225352113</v>
      </c>
      <c r="CV75" s="78">
        <f>[1]!s_stm07_bs(A75,"W14578191",$A$1,1,100000000)</f>
        <v>824.97234000000003</v>
      </c>
      <c r="CW75" s="78">
        <f>[1]!s_stmnote_bank_682($A75,$A$1,1,2,100000000)</f>
        <v>517.09857999999997</v>
      </c>
      <c r="CX75" s="79">
        <f t="shared" si="32"/>
        <v>0.62680717271078445</v>
      </c>
    </row>
    <row r="76" spans="1:102" s="46" customFormat="1" ht="13.5">
      <c r="A76" s="8" t="s">
        <v>802</v>
      </c>
      <c r="B76" s="8" t="s">
        <v>70</v>
      </c>
      <c r="C76" s="9" t="s">
        <v>803</v>
      </c>
      <c r="D76" s="9" t="s">
        <v>1063</v>
      </c>
      <c r="E76" s="10" t="s">
        <v>803</v>
      </c>
      <c r="F76" s="11" t="s">
        <v>178</v>
      </c>
      <c r="G76" s="11" t="s">
        <v>66</v>
      </c>
      <c r="H76" s="11" t="s">
        <v>178</v>
      </c>
      <c r="I76" s="11"/>
      <c r="J76" s="11">
        <f>VLOOKUP(B76,[3]额度信息!$B:$T,19,0)</f>
        <v>0</v>
      </c>
      <c r="K76" s="11" t="s">
        <v>804</v>
      </c>
      <c r="L76" s="27">
        <f>IFERROR(([1]!b_stm07_bs($A76,47,$A$1,1,100000000))/[1]!b_stm07_bs($A76,109,$A$1,1,100000000),"")</f>
        <v>0.10436807870476578</v>
      </c>
      <c r="M76" s="20">
        <v>463.13</v>
      </c>
      <c r="N76" s="18">
        <f>IFERROR(([1]!s_stmnote_bank_26($A76,$A$1,1,100000000)-[1]!s_stmnote_bank_26($A76,$B$1,1,100000000)+M76)/[1]!s_stmnote_bank_1n($A76,$B$1,1,100000000),"")</f>
        <v>7.7646559141402883E-3</v>
      </c>
      <c r="O76" s="27" t="str">
        <f t="shared" si="24"/>
        <v>21 50</v>
      </c>
      <c r="P76" s="21">
        <f t="shared" si="33"/>
        <v>2.9202654548868501E-2</v>
      </c>
      <c r="Q76" s="27" t="str">
        <f t="shared" si="25"/>
        <v>80 169</v>
      </c>
      <c r="R76" s="18">
        <v>1.44026545488685E-2</v>
      </c>
      <c r="S76" s="22">
        <v>3.00077232460111E-2</v>
      </c>
      <c r="T76" s="22">
        <v>1.35001243805813E-2</v>
      </c>
      <c r="U76" s="22">
        <v>2.19298654084355E-2</v>
      </c>
      <c r="V76" s="22"/>
      <c r="W76" s="22">
        <v>1.7131846702334399E-3</v>
      </c>
      <c r="X76" s="22">
        <v>5.5218348875292695E-4</v>
      </c>
      <c r="Y76" s="22">
        <v>0.43818681318681302</v>
      </c>
      <c r="Z76" s="25">
        <f>[1]!b_stm07_bs(A76,74,$A$1,1,100000000)</f>
        <v>116657.57</v>
      </c>
      <c r="AA76" s="25">
        <f>[1]!b_stm07_bs(A76,109,$A$1,1,100000000)</f>
        <v>70397.77</v>
      </c>
      <c r="AB76" s="10">
        <f>[1]!s_stmnote_bank_5n(A76,$A$1,1)</f>
        <v>1.48</v>
      </c>
      <c r="AC76" s="25">
        <f>IF([1]!s_stmnote_bank_23n(A76,$A$1,1)=0,"",IFERROR([1]!s_stmnote_bank_23n(A76,$A$1,1),""))</f>
        <v>166.5</v>
      </c>
      <c r="AD76" s="27" t="str">
        <f t="shared" si="26"/>
        <v>34 167</v>
      </c>
      <c r="AE76" s="25">
        <f>[1]!s_stmnote_bank_capadequacyratio(A76,$A$1,1)</f>
        <v>15.45</v>
      </c>
      <c r="AF76" s="25">
        <f>IF([1]!s_stmnote_bank_capadequacyratio_ct1(A76,$A$1,1)=0,"",IFERROR([1]!s_stmnote_bank_capadequacyratio_ct1(A76,$A$1,1),""))</f>
        <v>10.62</v>
      </c>
      <c r="AG76" s="27" t="str">
        <f>RANK(AF76,AF$5:AF$192,0)&amp;" "&amp;COUNTIF(AF$5:AF$192,"&gt;0")</f>
        <v>69 167</v>
      </c>
      <c r="AH76" s="6">
        <f>IF(OR([1]!s_fa_roe(A76,20201231)=0,[1]!s_fa_roe(A76,20211231)="0",[1]!s_fa_roe(A76,20221231)="0"),"",IFERROR(([1]!s_fa_roe(A76,20221231)+[1]!s_fa_roe(A76,20201231)+[1]!s_fa_roe(A76,20211231))/3,""))</f>
        <v>9.4222666666666672</v>
      </c>
      <c r="AI76" s="27" t="str">
        <f t="shared" si="27"/>
        <v>105 173</v>
      </c>
      <c r="AJ76" s="28">
        <f>IFERROR(([1]!s_stmnote_bank_65(A76,$A$1,1,2,4,100000000)+[1]!s_stmnote_bank_65(A76,$A$1,1,2,6,100000000))/[1]!s_stmnote_bank_1n(A76,$A$1,1,100000000),"")</f>
        <v>8.803563807084934E-2</v>
      </c>
      <c r="AK76" s="28">
        <f>IFERROR([1]!s_stmnote_bank_614(A76,$A$1,1,2,100000000)/[1]!s_stmnote_bank_647(A76,$A$1,1,2,100000000),"")</f>
        <v>0.29637944099004759</v>
      </c>
      <c r="AL76" s="28">
        <f>IFERROR(([1]!b_stm07_bs(A76,104,$A$1,1,100000000)+[1]!b_stm07_bs(A76,106,$A$1,1,100000000)+[1]!b_stm07_bs(A76,76,$A$1,1,100000000)+[1]!b_stm07_bs(A76,108,$A$1,1,100000000)+[1]!b_stm07_bs(A76,95,$A$1,1,100000000))/[1]!b_stm07_bs(A76,128,$A$1,1,100000000),"")</f>
        <v>0.20227148358505351</v>
      </c>
      <c r="AM76" s="28">
        <f>IFERROR(([1]!s_stmnote_bank_614(A76,$A$1,1,2,100000000)+[1]!b_stm07_bs(A76,104,$A$1,1,100000000)+[1]!b_stm07_bs(A76,106,$A$1,1,100000000)+[1]!b_stm07_bs(A76,76,$A$1,1,100000000)+[1]!b_stm07_bs(A76,108,$A$1,1,100000000)+[1]!b_stm07_bs(A76,95,$A$1,1,100000000))/[1]!b_stm07_bs(A76,128,$A$1,1,100000000),"")</f>
        <v>0.39515803917118192</v>
      </c>
      <c r="AN76" s="31" t="e">
        <f>IF(Z76&gt;#REF!,#REF!,IF(Z76&gt;#REF!,#REF!,IF(Z76&gt;#REF!,#REF!,IF(Z76&gt;#REF!,#REF!,IF(Z76&gt;#REF!,#REF!,IF(Z76&gt;#REF!,#REF!,IF(Z76&gt;#REF!,#REF!,#REF!)))))))</f>
        <v>#REF!</v>
      </c>
      <c r="AO76" s="31" t="e">
        <f>IF(AA76&gt;#REF!,#REF!,IF(AA76&gt;#REF!,#REF!,IF(AA76&gt;#REF!,#REF!,IF(AA76&gt;#REF!,#REF!,IF(AA76&gt;#REF!,#REF!,IF(AA76&gt;#REF!,#REF!,IF(AA76&gt;#REF!,#REF!,#REF!)))))))</f>
        <v>#REF!</v>
      </c>
      <c r="AP76" s="31" t="e">
        <f>IF(AB76&lt;#REF!,#REF!,IF(AB76&lt;#REF!,#REF!,IF(AB76&lt;#REF!,#REF!,IF(AB76&lt;#REF!,#REF!,IF(AB76&lt;#REF!,#REF!,IF(AB76&lt;#REF!,#REF!,#REF!))))))</f>
        <v>#REF!</v>
      </c>
      <c r="AQ76" s="31" t="e">
        <f>IF(AC76&gt;#REF!,#REF!,IF(AC76&gt;#REF!,#REF!,IF(AC76&gt;#REF!,#REF!,IF(AC76&gt;#REF!,#REF!,#REF!))))</f>
        <v>#REF!</v>
      </c>
      <c r="AR76" s="31" t="e">
        <f>IF(AE76&gt;#REF!,#REF!,IF(AE76&gt;#REF!,#REF!,IF(AE76&gt;#REF!,#REF!,IF(AE76&gt;#REF!,#REF!,#REF!))))</f>
        <v>#REF!</v>
      </c>
      <c r="AS76" s="31" t="e">
        <f>IF(AF76&gt;#REF!,#REF!,IF(AF76&gt;#REF!,#REF!,IF(AF76&gt;#REF!,#REF!,IF(AF76&gt;#REF!,#REF!,#REF!))))</f>
        <v>#REF!</v>
      </c>
      <c r="AT76" s="31" t="e">
        <f>IF(AH76&gt;#REF!,#REF!,IF(AH76&gt;#REF!,#REF!,IF(AH76&gt;#REF!,#REF!,IF(AH76&gt;#REF!,#REF!,IF(AH76&gt;#REF!,#REF!,#REF!)))))</f>
        <v>#REF!</v>
      </c>
      <c r="AU76" s="10" t="e">
        <f t="shared" si="28"/>
        <v>#REF!</v>
      </c>
      <c r="AV76" s="10" t="s">
        <v>395</v>
      </c>
      <c r="AW76" s="10" t="s">
        <v>69</v>
      </c>
      <c r="AX76" s="10" t="s">
        <v>62</v>
      </c>
      <c r="AY76" s="31" t="str">
        <f>IFERROR(VLOOKUP(AV76,#REF!,3,0),"")</f>
        <v/>
      </c>
      <c r="AZ76" s="31" t="str">
        <f>IFERROR(VLOOKUP(AW76,#REF!,3,0),"")</f>
        <v/>
      </c>
      <c r="BA76" s="31" t="str">
        <f>IFERROR(VLOOKUP(AX76,#REF!,3,0),"")</f>
        <v/>
      </c>
      <c r="BB76" s="31" t="str">
        <f>IFERROR(AY76*#REF!+AZ76*#REF!+BA76*#REF!,"")</f>
        <v/>
      </c>
      <c r="BC76" s="32" t="str">
        <f t="shared" si="29"/>
        <v/>
      </c>
      <c r="BD76" s="32" t="str">
        <f>IFERROR(VLOOKUP(BC76*10,#REF!,2,1),"")</f>
        <v/>
      </c>
      <c r="BE76" s="11">
        <v>2</v>
      </c>
      <c r="BF76" s="11">
        <v>0</v>
      </c>
      <c r="BG76" s="10"/>
      <c r="BH76" s="11" t="s">
        <v>805</v>
      </c>
      <c r="BI76" s="10">
        <v>23.879999160766602</v>
      </c>
      <c r="BJ76" s="33" t="s">
        <v>71</v>
      </c>
      <c r="BK76" s="33" t="s">
        <v>72</v>
      </c>
      <c r="BL76" s="10">
        <f>IF([1]!s_stmnote_bank_17n(A76,$A$1,1)="0","",[1]!s_stmnote_bank_17n(A76,$A$1,1))</f>
        <v>3.21</v>
      </c>
      <c r="BM76" s="10">
        <f>IF([1]!s_stmnote_bank_18n(A76,$A$1,1)="0","",[1]!s_stmnote_bank_18n(A76,$A$1,1))</f>
        <v>15.98</v>
      </c>
      <c r="BN76" s="41">
        <v>3.63</v>
      </c>
      <c r="BO76" s="68">
        <v>2.2599999999999998</v>
      </c>
      <c r="BP76" s="52">
        <f>[1]!s_stmnote_bank_5444(A76,$A$1,1)</f>
        <v>1.56</v>
      </c>
      <c r="BQ76" s="52">
        <f>[1]!s_stmnote_bank_129n($A76,$A$1,1)</f>
        <v>29</v>
      </c>
      <c r="BR76" s="52">
        <f t="shared" si="34"/>
        <v>3.548983685154365</v>
      </c>
      <c r="BS76" s="52">
        <f>[1]!b_stm07_is(A76,19,$A$1,1,100000000)</f>
        <v>3776.46</v>
      </c>
      <c r="BT76" s="52">
        <f xml:space="preserve"> [1]!s_stm07_bs(A76,"W15273164",$A$1,1,100000000)-[1]!s_stm07_bs(A76,"W17642530",$A$1,1,100000000)-[1]!s_stm07_bs(A76,"W15910877",$A$1,1,100000000)-[1]!s_stm07_bs_39(A76,$A$1,1,100000000)-[1]!s_stm07_bs(A76,"W17700468",$A$1,1,100000000)-[1]!s_stm07_bs(A76,"W16504296",$A$1,1,100000000)-[1]!s_stm07_bs(A76,"W13769069",$A$1,1,100000000)</f>
        <v>113542.25</v>
      </c>
      <c r="BU76" s="52">
        <f xml:space="preserve"> [1]!s_stm07_bs(A76,"W15273164",$B$1,1,100000000)-[1]!s_stm07_bs(A76,"W17642530",$B$1,1,100000000)-[1]!s_stm07_bs(A76,"W15910877",$B$1,1,100000000)-[1]!s_stm07_bs_39(A76,$B$1,1,100000000)-[1]!s_stm07_bs(A76,"W17700468",$B$1,1,100000000)-[1]!s_stm07_bs(A76,"W16504296",$B$1,1,100000000)-[1]!s_stm07_bs(A76,"W13769069",$B$1,1,100000000)</f>
        <v>104128.42</v>
      </c>
      <c r="BV76" s="52">
        <f xml:space="preserve"> [1]!s_stm07_bs(A76,"W15273164",$E$1,1,100000000)-[1]!s_stm07_bs(A76,"W17642530",$E$1,1,100000000)-[1]!s_stm07_bs(A76,"W15910877",$E$1,1,100000000)-[1]!s_stm07_bs_39(A76,$E$1,1,100000000)-[1]!s_stm07_bs(A76,"W17700468",$E$1,1,100000000)-[1]!s_stm07_bs(A76,"W16504296",$E$1,1,100000000)-[1]!s_stm07_bs(A76,"W13769069",$E$1,1,100000000)</f>
        <v>111834.39</v>
      </c>
      <c r="BW76" s="52">
        <f xml:space="preserve"> [1]!s_stm07_bs(A76,"W15273164",$F$1,1,100000000)-[1]!s_stm07_bs(A76,"W17642530",$F$1,1,100000000)-[1]!s_stm07_bs(A76,"W15910877",$F$1,1,100000000)-[1]!s_stm07_bs_39(A76,$F$1,1,100000000)-[1]!s_stm07_bs(A76,"W17700468",$F$1,1,100000000)-[1]!s_stm07_bs(A76,"W16504296",$F$1,1,100000000)-[1]!s_stm07_bs(A76,"W13769069",$F$1,1,100000000)</f>
        <v>111316.17</v>
      </c>
      <c r="BX76" s="52">
        <f xml:space="preserve"> [1]!s_stm07_bs(A76,"W15273164",$G$1,1,100000000)-[1]!s_stm07_bs(A76,"W17642530",$G$1,1,100000000)-[1]!s_stm07_bs(A76,"W15910877",$G$1,1,100000000)-[1]!s_stm07_bs_39(A76,$G$1,1,100000000)-[1]!s_stm07_bs(A76,"W17700468",$G$1,1,100000000)-[1]!s_stm07_bs(A76,"W16504296",$G$1,1,100000000)-[1]!s_stm07_bs(A76,"W13769069",$G$1,1,100000000)</f>
        <v>108843.26000000001</v>
      </c>
      <c r="BY76" s="52">
        <f>IFERROR([1]!b_stm07_is(A76,20,$A$1,1,100000000)/AVERAGEIF(CA76:CE76,"&gt;0")*100,0)</f>
        <v>2.3180400844585685</v>
      </c>
      <c r="BZ76" s="52">
        <f>[1]!b_stm07_is(A76,20,$A$1,1,100000000)</f>
        <v>2159.5300000000002</v>
      </c>
      <c r="CA76" s="52">
        <f>[1]!s_stmnote_bank_38(A76,$A$1,1,100000000)</f>
        <v>95411.18</v>
      </c>
      <c r="CB76" s="52">
        <f>[1]!s_stmnote_bank_38(A76,$B$1,1,100000000)</f>
        <v>89218.55</v>
      </c>
      <c r="CC76" s="52">
        <f>[1]!s_stmnote_bank_38(A76,$E$1,1,100000000)</f>
        <v>94105.35</v>
      </c>
      <c r="CD76" s="52">
        <f>[1]!s_stmnote_bank_38(A76,$F$1,1,100000000)</f>
        <v>94168.87</v>
      </c>
      <c r="CE76" s="52">
        <f>[1]!s_stmnote_bank_38(A76,$G$1,1,100000000)</f>
        <v>92905.51</v>
      </c>
      <c r="CF76" s="52">
        <f>IF(BP76&lt;&gt;0,BP76,IFERROR(IF(([1]!b_stm07_is(A76,19,$A$1,1,100000000)-[1]!b_stm07_is(A76,20,$A$1,1,100000000))/AVERAGE([1]!s_stmnote_bank_35(A76,$A$1,1,100000000),[1]!s_stmnote_bank_35(A76,$B$1,1,100000000))*100=0,"",([1]!b_stm07_is(A76,19,$A$1,1,100000000)-[1]!b_stm07_is(A76,20,$A$1,1,100000000))/AVERAGE([1]!s_stmnote_bank_35(A76,$A$1,1,100000000),[1]!s_stmnote_bank_35(A76,$B$1,1,100000000))*100),""))</f>
        <v>1.56</v>
      </c>
      <c r="CG76" s="27" t="str">
        <f t="shared" si="30"/>
        <v>150 171</v>
      </c>
      <c r="CH76" s="80">
        <f t="shared" si="35"/>
        <v>0.53419801182438897</v>
      </c>
      <c r="CI76" s="27" t="str">
        <f t="shared" si="31"/>
        <v>111 169</v>
      </c>
      <c r="CJ76" s="55">
        <f>[1]!s_stmnote_bank_30(A76,$A$1,1)</f>
        <v>39.978099999999998</v>
      </c>
      <c r="CK76" s="57">
        <v>2919.05</v>
      </c>
      <c r="CL76" s="56">
        <v>973.11</v>
      </c>
      <c r="CM76" s="64">
        <f>CK76/(5/8*[1]!s_stmnote_bank_1n($A76,$A$1,1,100000000)+[1]!s_stmnote_bank_1n($A76,$B$1,1,100000000)*3/8)</f>
        <v>4.6382652072986204E-2</v>
      </c>
      <c r="CN76" s="46">
        <v>1634.57</v>
      </c>
      <c r="CO76" s="61">
        <f>CN76/(5/8*[1]!b_stm07_bs($A76,109,$A$1,1,100000000)+[1]!b_stm07_bs($A76,109,$B$1,1,100000000)*3/8)</f>
        <v>2.3766543152939679E-2</v>
      </c>
      <c r="CP76" s="69">
        <f>[1]!b_stm07_bs($A76,141,$A$1,1,100000000)</f>
        <v>9772.36</v>
      </c>
      <c r="CQ76" s="69">
        <f>[1]!b_stm07_bs($A76,141,$D$1,1,100000000)</f>
        <v>9889.36</v>
      </c>
      <c r="CR76" s="68">
        <f>IF([1]!s_fa_roic_yearly($A76,$A$1)=0,"",[1]!s_fa_roic_yearly($A76,$A$1))</f>
        <v>9.5650999999999993</v>
      </c>
      <c r="CS76" s="27" t="str">
        <f>RANK(CR76,CR$5:CR$192,1)&amp;" "&amp;COUNTIF(CR$5:CR$192,"&gt;0")</f>
        <v>101 169</v>
      </c>
      <c r="CT76" s="68">
        <f>IF([1]!s_fa_roic_yearly($A76,$D$1)=0,"",[1]!s_fa_roic_yearly($A76,$D$1))</f>
        <v>9.0747999999999998</v>
      </c>
      <c r="CU76" s="27" t="str">
        <f>RANK(CT76,CT$5:CT$192,1)&amp;" "&amp;COUNTIF(CT$5:CT$192,"&gt;0")</f>
        <v>61 142</v>
      </c>
      <c r="CV76" s="78">
        <f>[1]!s_stm07_bs(A76,"W14578191",$A$1,1,100000000)</f>
        <v>64122.01</v>
      </c>
      <c r="CW76" s="78">
        <f>[1]!s_stmnote_bank_682($A76,$A$1,1,2,100000000)</f>
        <v>22850.959999999999</v>
      </c>
      <c r="CX76" s="79">
        <f t="shared" si="32"/>
        <v>0.35636686997179279</v>
      </c>
    </row>
    <row r="77" spans="1:102" s="46" customFormat="1" ht="13.5">
      <c r="A77" s="8" t="s">
        <v>443</v>
      </c>
      <c r="B77" s="8" t="s">
        <v>444</v>
      </c>
      <c r="C77" s="9" t="s">
        <v>445</v>
      </c>
      <c r="D77" s="9" t="s">
        <v>1066</v>
      </c>
      <c r="E77" s="10"/>
      <c r="F77" s="11" t="s">
        <v>90</v>
      </c>
      <c r="G77" s="11" t="s">
        <v>67</v>
      </c>
      <c r="H77" s="11" t="s">
        <v>103</v>
      </c>
      <c r="I77" s="11"/>
      <c r="J77" s="11" t="e">
        <f>VLOOKUP(B77,[3]额度信息!$B:$T,19,0)</f>
        <v>#N/A</v>
      </c>
      <c r="K77" s="11"/>
      <c r="L77" s="27">
        <f>IFERROR(([1]!b_stm07_bs($A77,47,$A$1,1,100000000))/[1]!b_stm07_bs($A77,109,$A$1,1,100000000),"")</f>
        <v>6.5207751670501898E-2</v>
      </c>
      <c r="M77" s="20"/>
      <c r="N77" s="18"/>
      <c r="O77" s="27" t="e">
        <f t="shared" si="24"/>
        <v>#N/A</v>
      </c>
      <c r="P77" s="21">
        <f t="shared" si="33"/>
        <v>2.6232568108726002E-2</v>
      </c>
      <c r="Q77" s="27" t="str">
        <f t="shared" si="25"/>
        <v>66 169</v>
      </c>
      <c r="R77" s="18">
        <v>1.7232568108726001E-2</v>
      </c>
      <c r="S77" s="22"/>
      <c r="T77" s="22"/>
      <c r="U77" s="22"/>
      <c r="V77" s="22"/>
      <c r="W77" s="22"/>
      <c r="X77" s="22"/>
      <c r="Y77" s="22"/>
      <c r="Z77" s="25">
        <f>[1]!b_stm07_bs(A77,74,$A$1,1,100000000)</f>
        <v>718.93633919729996</v>
      </c>
      <c r="AA77" s="25">
        <f>[1]!b_stm07_bs(A77,109,$A$1,1,100000000)</f>
        <v>609.47443471629992</v>
      </c>
      <c r="AB77" s="10">
        <f>[1]!s_stmnote_bank_5n(A77,$A$1,1)</f>
        <v>0.9</v>
      </c>
      <c r="AC77" s="25">
        <f>IF([1]!s_stmnote_bank_23n(A77,$A$1,1)=0,"",IFERROR([1]!s_stmnote_bank_23n(A77,$A$1,1),""))</f>
        <v>338.23</v>
      </c>
      <c r="AD77" s="27" t="str">
        <f t="shared" si="26"/>
        <v>119 167</v>
      </c>
      <c r="AE77" s="25">
        <f>[1]!s_stmnote_bank_capadequacyratio(A77,$A$1,1)</f>
        <v>14.56</v>
      </c>
      <c r="AF77" s="25">
        <f>IF([1]!s_stmnote_bank_capadequacyratio_ct1(A77,$A$1,1)=0,"",IFERROR([1]!s_stmnote_bank_capadequacyratio_ct1(A77,$A$1,1),""))</f>
        <v>11.67</v>
      </c>
      <c r="AG77" s="27" t="str">
        <f>RANK(AF77,AF$5:AF$192,1)&amp;" "&amp;COUNTIF(AF$5:AF$192,"&gt;0")</f>
        <v>116 167</v>
      </c>
      <c r="AH77" s="6">
        <f>IF(OR([1]!s_fa_roe(A77,20201231)=0,[1]!s_fa_roe(A77,20211231)="0",[1]!s_fa_roe(A77,20221231)="0"),"",IFERROR(([1]!s_fa_roe(A77,20221231)+[1]!s_fa_roe(A77,20201231)+[1]!s_fa_roe(A77,20211231))/3,""))</f>
        <v>8.8096666666666668</v>
      </c>
      <c r="AI77" s="27" t="str">
        <f t="shared" si="27"/>
        <v>91 173</v>
      </c>
      <c r="AJ77" s="28">
        <f>IFERROR(([1]!s_stmnote_bank_65(A77,$A$1,1,2,4,100000000)+[1]!s_stmnote_bank_65(A77,$A$1,1,2,6,100000000))/[1]!s_stmnote_bank_1n(A77,$A$1,1,100000000),"")</f>
        <v>0.10064927097159856</v>
      </c>
      <c r="AK77" s="28">
        <f>IFERROR([1]!s_stmnote_bank_614(A77,$A$1,1,2,100000000)/[1]!s_stmnote_bank_647(A77,$A$1,1,2,100000000),"")</f>
        <v>0.17574411357378528</v>
      </c>
      <c r="AL77" s="28">
        <f>IFERROR(([1]!b_stm07_bs(A77,104,$A$1,1,100000000)+[1]!b_stm07_bs(A77,106,$A$1,1,100000000)+[1]!b_stm07_bs(A77,76,$A$1,1,100000000)+[1]!b_stm07_bs(A77,108,$A$1,1,100000000)+[1]!b_stm07_bs(A77,95,$A$1,1,100000000))/[1]!b_stm07_bs(A77,128,$A$1,1,100000000),"")</f>
        <v>4.2947278730488654E-2</v>
      </c>
      <c r="AM77" s="28">
        <f>IFERROR(([1]!s_stmnote_bank_614(A77,$A$1,1,2,100000000)+[1]!b_stm07_bs(A77,104,$A$1,1,100000000)+[1]!b_stm07_bs(A77,106,$A$1,1,100000000)+[1]!b_stm07_bs(A77,76,$A$1,1,100000000)+[1]!b_stm07_bs(A77,108,$A$1,1,100000000)+[1]!b_stm07_bs(A77,95,$A$1,1,100000000))/[1]!b_stm07_bs(A77,128,$A$1,1,100000000),"")</f>
        <v>0.20613350351574722</v>
      </c>
      <c r="AN77" s="31" t="e">
        <f>IF(Z77&gt;#REF!,#REF!,IF(Z77&gt;#REF!,#REF!,IF(Z77&gt;#REF!,#REF!,IF(Z77&gt;#REF!,#REF!,IF(Z77&gt;#REF!,#REF!,IF(Z77&gt;#REF!,#REF!,IF(Z77&gt;#REF!,#REF!,#REF!)))))))</f>
        <v>#REF!</v>
      </c>
      <c r="AO77" s="31" t="e">
        <f>IF(AA77&gt;#REF!,#REF!,IF(AA77&gt;#REF!,#REF!,IF(AA77&gt;#REF!,#REF!,IF(AA77&gt;#REF!,#REF!,IF(AA77&gt;#REF!,#REF!,IF(AA77&gt;#REF!,#REF!,IF(AA77&gt;#REF!,#REF!,#REF!)))))))</f>
        <v>#REF!</v>
      </c>
      <c r="AP77" s="31" t="e">
        <f>IF(AB77&lt;#REF!,#REF!,IF(AB77&lt;#REF!,#REF!,IF(AB77&lt;#REF!,#REF!,IF(AB77&lt;#REF!,#REF!,IF(AB77&lt;#REF!,#REF!,IF(AB77&lt;#REF!,#REF!,#REF!))))))</f>
        <v>#REF!</v>
      </c>
      <c r="AQ77" s="31" t="e">
        <f>IF(AC77&gt;#REF!,#REF!,IF(AC77&gt;#REF!,#REF!,IF(AC77&gt;#REF!,#REF!,IF(AC77&gt;#REF!,#REF!,#REF!))))</f>
        <v>#REF!</v>
      </c>
      <c r="AR77" s="31" t="e">
        <f>IF(AE77&gt;#REF!,#REF!,IF(AE77&gt;#REF!,#REF!,IF(AE77&gt;#REF!,#REF!,IF(AE77&gt;#REF!,#REF!,#REF!))))</f>
        <v>#REF!</v>
      </c>
      <c r="AS77" s="31" t="e">
        <f>IF(AF77&gt;#REF!,#REF!,IF(AF77&gt;#REF!,#REF!,IF(AF77&gt;#REF!,#REF!,IF(AF77&gt;#REF!,#REF!,#REF!))))</f>
        <v>#REF!</v>
      </c>
      <c r="AT77" s="31" t="e">
        <f>IF(AH77&gt;#REF!,#REF!,IF(AH77&gt;#REF!,#REF!,IF(AH77&gt;#REF!,#REF!,IF(AH77&gt;#REF!,#REF!,IF(AH77&gt;#REF!,#REF!,#REF!)))))</f>
        <v>#REF!</v>
      </c>
      <c r="AU77" s="10" t="e">
        <f t="shared" si="28"/>
        <v>#REF!</v>
      </c>
      <c r="AV77" s="10"/>
      <c r="AW77" s="10"/>
      <c r="AX77" s="10"/>
      <c r="AY77" s="31" t="str">
        <f>IFERROR(VLOOKUP(AV77,#REF!,3,0),"")</f>
        <v/>
      </c>
      <c r="AZ77" s="31" t="str">
        <f>IFERROR(VLOOKUP(AW77,#REF!,3,0),"")</f>
        <v/>
      </c>
      <c r="BA77" s="31" t="str">
        <f>IFERROR(VLOOKUP(AX77,#REF!,3,0),"")</f>
        <v/>
      </c>
      <c r="BB77" s="31" t="str">
        <f>IFERROR(AY77*#REF!+AZ77*#REF!+BA77*#REF!,"")</f>
        <v/>
      </c>
      <c r="BC77" s="32" t="str">
        <f t="shared" si="29"/>
        <v/>
      </c>
      <c r="BD77" s="32" t="str">
        <f>IFERROR(VLOOKUP(BC77*10,#REF!,2,1),"")</f>
        <v/>
      </c>
      <c r="BE77" s="10"/>
      <c r="BF77" s="10"/>
      <c r="BG77" s="10"/>
      <c r="BH77" s="11" t="s">
        <v>446</v>
      </c>
      <c r="BI77" s="10">
        <v>8.6400003433227504</v>
      </c>
      <c r="BJ77" s="11" t="s">
        <v>111</v>
      </c>
      <c r="BK77" s="33" t="s">
        <v>447</v>
      </c>
      <c r="BL77" s="10">
        <f>IF([1]!s_stmnote_bank_17n(A77,$A$1,1)="0","",[1]!s_stmnote_bank_17n(A77,$A$1,1))</f>
        <v>2.0099999999999998</v>
      </c>
      <c r="BM77" s="10">
        <f>IF([1]!s_stmnote_bank_18n(A77,$A$1,1)="0","",[1]!s_stmnote_bank_18n(A77,$A$1,1))</f>
        <v>14.27</v>
      </c>
      <c r="BN77" s="41" t="s">
        <v>67</v>
      </c>
      <c r="BO77" s="68" t="s">
        <v>67</v>
      </c>
      <c r="BP77" s="52">
        <f>[1]!s_stmnote_bank_5444(A77,$A$1,1)</f>
        <v>2.12</v>
      </c>
      <c r="BQ77" s="52">
        <f>[1]!s_stmnote_bank_129n($A77,$A$1,1)</f>
        <v>31.78</v>
      </c>
      <c r="BR77" s="52">
        <f t="shared" si="34"/>
        <v>4.520454388520827</v>
      </c>
      <c r="BS77" s="52">
        <f>[1]!b_stm07_is(A77,19,$A$1,1,100000000)</f>
        <v>30.043802747399997</v>
      </c>
      <c r="BT77" s="52">
        <f xml:space="preserve"> [1]!s_stm07_bs(A77,"W15273164",$A$1,1,100000000)-[1]!s_stm07_bs(A77,"W17642530",$A$1,1,100000000)-[1]!s_stm07_bs(A77,"W15910877",$A$1,1,100000000)-[1]!s_stm07_bs_39(A77,$A$1,1,100000000)-[1]!s_stm07_bs(A77,"W17700468",$A$1,1,100000000)-[1]!s_stm07_bs(A77,"W16504296",$A$1,1,100000000)-[1]!s_stm07_bs(A77,"W13769069",$A$1,1,100000000)</f>
        <v>712.08037635549988</v>
      </c>
      <c r="BU77" s="52">
        <f xml:space="preserve"> [1]!s_stm07_bs(A77,"W15273164",$B$1,1,100000000)-[1]!s_stm07_bs(A77,"W17642530",$B$1,1,100000000)-[1]!s_stm07_bs(A77,"W15910877",$B$1,1,100000000)-[1]!s_stm07_bs_39(A77,$B$1,1,100000000)-[1]!s_stm07_bs(A77,"W17700468",$B$1,1,100000000)-[1]!s_stm07_bs(A77,"W16504296",$B$1,1,100000000)-[1]!s_stm07_bs(A77,"W13769069",$B$1,1,100000000)</f>
        <v>644.31738514450001</v>
      </c>
      <c r="BV77" s="52">
        <f xml:space="preserve"> [1]!s_stm07_bs(A77,"W15273164",$E$1,1,100000000)-[1]!s_stm07_bs(A77,"W17642530",$E$1,1,100000000)-[1]!s_stm07_bs(A77,"W15910877",$E$1,1,100000000)-[1]!s_stm07_bs_39(A77,$E$1,1,100000000)-[1]!s_stm07_bs(A77,"W17700468",$E$1,1,100000000)-[1]!s_stm07_bs(A77,"W16504296",$E$1,1,100000000)-[1]!s_stm07_bs(A77,"W13769069",$E$1,1,100000000)</f>
        <v>709.40917550989991</v>
      </c>
      <c r="BW77" s="52">
        <f xml:space="preserve"> [1]!s_stm07_bs(A77,"W15273164",$F$1,1,100000000)-[1]!s_stm07_bs(A77,"W17642530",$F$1,1,100000000)-[1]!s_stm07_bs(A77,"W15910877",$F$1,1,100000000)-[1]!s_stm07_bs_39(A77,$F$1,1,100000000)-[1]!s_stm07_bs(A77,"W17700468",$F$1,1,100000000)-[1]!s_stm07_bs(A77,"W16504296",$F$1,1,100000000)-[1]!s_stm07_bs(A77,"W13769069",$F$1,1,100000000)</f>
        <v>711.61797991119988</v>
      </c>
      <c r="BX77" s="52">
        <f xml:space="preserve"> [1]!s_stm07_bs(A77,"W15273164",$G$1,1,100000000)-[1]!s_stm07_bs(A77,"W17642530",$G$1,1,100000000)-[1]!s_stm07_bs(A77,"W15910877",$G$1,1,100000000)-[1]!s_stm07_bs_39(A77,$G$1,1,100000000)-[1]!s_stm07_bs(A77,"W17700468",$G$1,1,100000000)-[1]!s_stm07_bs(A77,"W16504296",$G$1,1,100000000)-[1]!s_stm07_bs(A77,"W13769069",$G$1,1,100000000)</f>
        <v>715.13248743600002</v>
      </c>
      <c r="BY77" s="52">
        <f>IFERROR([1]!b_stm07_is(A77,20,$A$1,1,100000000)/AVERAGEIF(CA77:CE77,"&gt;0")*100,0)</f>
        <v>2.5673350737132163</v>
      </c>
      <c r="BZ77" s="52">
        <f>[1]!b_stm07_is(A77,20,$A$1,1,100000000)</f>
        <v>16.448098362899998</v>
      </c>
      <c r="CA77" s="52">
        <f>[1]!s_stmnote_bank_38(A77,$A$1,1,100000000)</f>
        <v>652.08676580960002</v>
      </c>
      <c r="CB77" s="52">
        <f>[1]!s_stmnote_bank_38(A77,$B$1,1,100000000)</f>
        <v>579.17394508519999</v>
      </c>
      <c r="CC77" s="52">
        <f>[1]!s_stmnote_bank_38(A77,$E$1,1,100000000)</f>
        <v>651.60733996099998</v>
      </c>
      <c r="CD77" s="52">
        <f>[1]!s_stmnote_bank_38(A77,$F$1,1,100000000)</f>
        <v>658.12020784649997</v>
      </c>
      <c r="CE77" s="52">
        <f>[1]!s_stmnote_bank_38(A77,$G$1,1,100000000)</f>
        <v>662.35253839719996</v>
      </c>
      <c r="CF77" s="52">
        <f>IF(BP77&lt;&gt;0,BP77,IFERROR(IF(([1]!b_stm07_is(A77,19,$A$1,1,100000000)-[1]!b_stm07_is(A77,20,$A$1,1,100000000))/AVERAGE([1]!s_stmnote_bank_35(A77,$A$1,1,100000000),[1]!s_stmnote_bank_35(A77,$B$1,1,100000000))*100=0,"",([1]!b_stm07_is(A77,19,$A$1,1,100000000)-[1]!b_stm07_is(A77,20,$A$1,1,100000000))/AVERAGE([1]!s_stmnote_bank_35(A77,$A$1,1,100000000),[1]!s_stmnote_bank_35(A77,$B$1,1,100000000))*100),""))</f>
        <v>2.12</v>
      </c>
      <c r="CG77" s="27" t="str">
        <f t="shared" si="30"/>
        <v>77 171</v>
      </c>
      <c r="CH77" s="80">
        <f t="shared" si="35"/>
        <v>0.80815572124438828</v>
      </c>
      <c r="CI77" s="27" t="str">
        <f t="shared" si="31"/>
        <v>67 169</v>
      </c>
      <c r="CJ77" s="55">
        <f>[1]!s_stmnote_bank_30(A77,$A$1,1)</f>
        <v>13.3645</v>
      </c>
      <c r="CP77" s="69">
        <f>[1]!b_stm07_bs($A77,141,$A$1,1,100000000)</f>
        <v>62.560199507500002</v>
      </c>
      <c r="CQ77" s="69">
        <f>[1]!b_stm07_bs($A77,141,$D$1,1,100000000)</f>
        <v>65.7068329154</v>
      </c>
      <c r="CR77" s="68">
        <f>IF([1]!s_fa_roic_yearly($A77,$A$1)=0,"",[1]!s_fa_roic_yearly($A77,$A$1))</f>
        <v>8.7578999999999994</v>
      </c>
      <c r="CS77" s="27">
        <f>RANK(CR77,CR$5:CR$192,0)/COUNTIF(CR$5:CR$192,"&gt;0")</f>
        <v>0.49704142011834318</v>
      </c>
      <c r="CT77" s="68">
        <f>IF([1]!s_fa_roic_yearly($A77,$D$1)=0,"",[1]!s_fa_roic_yearly($A77,$D$1))</f>
        <v>10.953799999999999</v>
      </c>
      <c r="CU77" s="27">
        <f>RANK(CT77,CT$5:CT$192,0)/COUNTIF(CT$5:CT$192,"&gt;0")</f>
        <v>0.38028169014084506</v>
      </c>
      <c r="CV77" s="78">
        <f>[1]!s_stm07_bs(A77,"W14578191",$A$1,1,100000000)</f>
        <v>435.18614057680003</v>
      </c>
      <c r="CW77" s="78">
        <f>[1]!s_stmnote_bank_682($A77,$A$1,1,2,100000000)</f>
        <v>209.14392851540001</v>
      </c>
      <c r="CX77" s="79">
        <f t="shared" si="32"/>
        <v>0.48058499344257277</v>
      </c>
    </row>
    <row r="78" spans="1:102" s="46" customFormat="1" ht="13.5">
      <c r="A78" s="8" t="s">
        <v>734</v>
      </c>
      <c r="B78" s="8" t="s">
        <v>735</v>
      </c>
      <c r="C78" s="9" t="s">
        <v>736</v>
      </c>
      <c r="D78" s="9" t="s">
        <v>1064</v>
      </c>
      <c r="E78" s="10" t="s">
        <v>736</v>
      </c>
      <c r="F78" s="11" t="s">
        <v>178</v>
      </c>
      <c r="G78" s="11" t="s">
        <v>580</v>
      </c>
      <c r="H78" s="11" t="s">
        <v>66</v>
      </c>
      <c r="I78" s="11"/>
      <c r="J78" s="11">
        <f>VLOOKUP(B78,[3]额度信息!$B:$T,19,0)</f>
        <v>0</v>
      </c>
      <c r="K78" s="11" t="s">
        <v>737</v>
      </c>
      <c r="L78" s="27">
        <f>IFERROR(([1]!b_stm07_bs($A78,47,$A$1,1,100000000))/[1]!b_stm07_bs($A78,109,$A$1,1,100000000),"")</f>
        <v>9.0894742742593945E-2</v>
      </c>
      <c r="M78" s="20">
        <v>577.91</v>
      </c>
      <c r="N78" s="18">
        <f>IFERROR(([1]!s_stmnote_bank_26($A78,$A$1,1,100000000)-[1]!s_stmnote_bank_26($A78,$B$1,1,100000000)+M78)/[1]!s_stmnote_bank_1n($A78,$B$1,1,100000000),"")</f>
        <v>1.1579352814372008E-2</v>
      </c>
      <c r="O78" s="27" t="str">
        <f t="shared" si="24"/>
        <v>29 50</v>
      </c>
      <c r="P78" s="21">
        <f t="shared" si="33"/>
        <v>3.0273517011814199E-2</v>
      </c>
      <c r="Q78" s="27" t="str">
        <f t="shared" si="25"/>
        <v>87 169</v>
      </c>
      <c r="R78" s="18">
        <v>1.63735170118142E-2</v>
      </c>
      <c r="S78" s="22">
        <v>1.3381923360862901E-2</v>
      </c>
      <c r="T78" s="22">
        <v>5.3431434575409104E-3</v>
      </c>
      <c r="U78" s="22">
        <v>1.4331603830480899E-2</v>
      </c>
      <c r="V78" s="22"/>
      <c r="W78" s="22">
        <v>1.9809266885322399E-3</v>
      </c>
      <c r="X78" s="22">
        <v>2.1753036215638899E-2</v>
      </c>
      <c r="Y78" s="22">
        <v>0.45359537147580098</v>
      </c>
      <c r="Z78" s="25">
        <f>[1]!b_stm07_bs(A78,74,$A$1,1,100000000)</f>
        <v>80428.84</v>
      </c>
      <c r="AA78" s="25">
        <f>[1]!b_stm07_bs(A78,109,$A$1,1,100000000)</f>
        <v>47899.69</v>
      </c>
      <c r="AB78" s="10">
        <f>[1]!s_stmnote_bank_5n(A78,$A$1,1)</f>
        <v>1.39</v>
      </c>
      <c r="AC78" s="25">
        <f>IF([1]!s_stmnote_bank_23n(A78,$A$1,1)=0,"",IFERROR([1]!s_stmnote_bank_23n(A78,$A$1,1),""))</f>
        <v>180.07</v>
      </c>
      <c r="AD78" s="27" t="str">
        <f t="shared" si="26"/>
        <v>47 167</v>
      </c>
      <c r="AE78" s="25">
        <f>[1]!s_stmnote_bank_capadequacyratio(A78,$A$1,1)</f>
        <v>13.53</v>
      </c>
      <c r="AF78" s="25">
        <f>IF([1]!s_stmnote_bank_capadequacyratio_ct1(A78,$A$1,1)=0,"",IFERROR([1]!s_stmnote_bank_capadequacyratio_ct1(A78,$A$1,1),""))</f>
        <v>8.85</v>
      </c>
      <c r="AG78" s="27" t="str">
        <f>RANK(AF78,AF$5:AF$192,0)&amp;" "&amp;COUNTIF(AF$5:AF$192,"&gt;0")</f>
        <v>128 167</v>
      </c>
      <c r="AH78" s="6">
        <f>IF(OR([1]!s_fa_roe(A78,20201231)=0,[1]!s_fa_roe(A78,20211231)="0",[1]!s_fa_roe(A78,20221231)="0"),"",IFERROR(([1]!s_fa_roe(A78,20221231)+[1]!s_fa_roe(A78,20201231)+[1]!s_fa_roe(A78,20211231))/3,""))</f>
        <v>9.448266666666667</v>
      </c>
      <c r="AI78" s="27" t="str">
        <f t="shared" si="27"/>
        <v>107 173</v>
      </c>
      <c r="AJ78" s="28">
        <f>IFERROR(([1]!s_stmnote_bank_65(A78,$A$1,1,2,4,100000000)+[1]!s_stmnote_bank_65(A78,$A$1,1,2,6,100000000))/[1]!s_stmnote_bank_1n(A78,$A$1,1,100000000),"")</f>
        <v>8.0402902077834515E-2</v>
      </c>
      <c r="AK78" s="28">
        <f>IFERROR([1]!s_stmnote_bank_614(A78,$A$1,1,2,100000000)/[1]!s_stmnote_bank_647(A78,$A$1,1,2,100000000),"")</f>
        <v>0.41456881161613524</v>
      </c>
      <c r="AL78" s="28">
        <f>IFERROR(([1]!b_stm07_bs(A78,104,$A$1,1,100000000)+[1]!b_stm07_bs(A78,106,$A$1,1,100000000)+[1]!b_stm07_bs(A78,76,$A$1,1,100000000)+[1]!b_stm07_bs(A78,108,$A$1,1,100000000)+[1]!b_stm07_bs(A78,95,$A$1,1,100000000))/[1]!b_stm07_bs(A78,128,$A$1,1,100000000),"")</f>
        <v>0.31225938338906561</v>
      </c>
      <c r="AM78" s="28">
        <f>IFERROR(([1]!s_stmnote_bank_614(A78,$A$1,1,2,100000000)+[1]!b_stm07_bs(A78,104,$A$1,1,100000000)+[1]!b_stm07_bs(A78,106,$A$1,1,100000000)+[1]!b_stm07_bs(A78,76,$A$1,1,100000000)+[1]!b_stm07_bs(A78,108,$A$1,1,100000000)+[1]!b_stm07_bs(A78,95,$A$1,1,100000000))/[1]!b_stm07_bs(A78,128,$A$1,1,100000000),"")</f>
        <v>0.57760688884090261</v>
      </c>
      <c r="AN78" s="31" t="e">
        <f>IF(Z78&gt;#REF!,#REF!,IF(Z78&gt;#REF!,#REF!,IF(Z78&gt;#REF!,#REF!,IF(Z78&gt;#REF!,#REF!,IF(Z78&gt;#REF!,#REF!,IF(Z78&gt;#REF!,#REF!,IF(Z78&gt;#REF!,#REF!,#REF!)))))))</f>
        <v>#REF!</v>
      </c>
      <c r="AO78" s="31" t="e">
        <f>IF(AA78&gt;#REF!,#REF!,IF(AA78&gt;#REF!,#REF!,IF(AA78&gt;#REF!,#REF!,IF(AA78&gt;#REF!,#REF!,IF(AA78&gt;#REF!,#REF!,IF(AA78&gt;#REF!,#REF!,IF(AA78&gt;#REF!,#REF!,#REF!)))))))</f>
        <v>#REF!</v>
      </c>
      <c r="AP78" s="31" t="e">
        <f>IF(AB78&lt;#REF!,#REF!,IF(AB78&lt;#REF!,#REF!,IF(AB78&lt;#REF!,#REF!,IF(AB78&lt;#REF!,#REF!,IF(AB78&lt;#REF!,#REF!,IF(AB78&lt;#REF!,#REF!,#REF!))))))</f>
        <v>#REF!</v>
      </c>
      <c r="AQ78" s="31" t="e">
        <f>IF(AC78&gt;#REF!,#REF!,IF(AC78&gt;#REF!,#REF!,IF(AC78&gt;#REF!,#REF!,IF(AC78&gt;#REF!,#REF!,#REF!))))</f>
        <v>#REF!</v>
      </c>
      <c r="AR78" s="31" t="e">
        <f>IF(AE78&gt;#REF!,#REF!,IF(AE78&gt;#REF!,#REF!,IF(AE78&gt;#REF!,#REF!,IF(AE78&gt;#REF!,#REF!,#REF!))))</f>
        <v>#REF!</v>
      </c>
      <c r="AS78" s="31" t="e">
        <f>IF(AF78&gt;#REF!,#REF!,IF(AF78&gt;#REF!,#REF!,IF(AF78&gt;#REF!,#REF!,IF(AF78&gt;#REF!,#REF!,#REF!))))</f>
        <v>#REF!</v>
      </c>
      <c r="AT78" s="31" t="e">
        <f>IF(AH78&gt;#REF!,#REF!,IF(AH78&gt;#REF!,#REF!,IF(AH78&gt;#REF!,#REF!,IF(AH78&gt;#REF!,#REF!,IF(AH78&gt;#REF!,#REF!,#REF!)))))</f>
        <v>#REF!</v>
      </c>
      <c r="AU78" s="10" t="e">
        <f t="shared" si="28"/>
        <v>#REF!</v>
      </c>
      <c r="AV78" s="10" t="s">
        <v>395</v>
      </c>
      <c r="AW78" s="10" t="s">
        <v>141</v>
      </c>
      <c r="AX78" s="10" t="s">
        <v>261</v>
      </c>
      <c r="AY78" s="31" t="str">
        <f>IFERROR(VLOOKUP(AV78,#REF!,3,0),"")</f>
        <v/>
      </c>
      <c r="AZ78" s="31" t="str">
        <f>IFERROR(VLOOKUP(AW78,#REF!,3,0),"")</f>
        <v/>
      </c>
      <c r="BA78" s="31" t="str">
        <f>IFERROR(VLOOKUP(AX78,#REF!,3,0),"")</f>
        <v/>
      </c>
      <c r="BB78" s="31" t="str">
        <f>IFERROR(AY78*#REF!+AZ78*#REF!+BA78*#REF!,"")</f>
        <v/>
      </c>
      <c r="BC78" s="32" t="str">
        <f t="shared" si="29"/>
        <v/>
      </c>
      <c r="BD78" s="32" t="str">
        <f>IFERROR(VLOOKUP(BC78*10,#REF!,2,1),"")</f>
        <v/>
      </c>
      <c r="BE78" s="11">
        <v>2</v>
      </c>
      <c r="BF78" s="11">
        <v>0</v>
      </c>
      <c r="BG78" s="10"/>
      <c r="BH78" s="11" t="s">
        <v>738</v>
      </c>
      <c r="BI78" s="10">
        <v>65.370002746582003</v>
      </c>
      <c r="BJ78" s="33" t="s">
        <v>71</v>
      </c>
      <c r="BK78" s="33" t="s">
        <v>72</v>
      </c>
      <c r="BL78" s="10">
        <f>IF([1]!s_stmnote_bank_17n(A78,$A$1,1)="0","",[1]!s_stmnote_bank_17n(A78,$A$1,1))</f>
        <v>1.23</v>
      </c>
      <c r="BM78" s="10">
        <f>IF([1]!s_stmnote_bank_18n(A78,$A$1,1)="0","",[1]!s_stmnote_bank_18n(A78,$A$1,1))</f>
        <v>10.15</v>
      </c>
      <c r="BN78" s="41">
        <v>4.1100000000000003</v>
      </c>
      <c r="BO78" s="52">
        <v>2.19</v>
      </c>
      <c r="BP78" s="52">
        <f>[1]!s_stmnote_bank_5444(A78,$A$1,1)</f>
        <v>2.0499999999999998</v>
      </c>
      <c r="BQ78" s="52">
        <f>[1]!s_stmnote_bank_129n($A78,$A$1,1)</f>
        <v>29.2</v>
      </c>
      <c r="BR78" s="52">
        <f t="shared" si="34"/>
        <v>4.0950013290547398</v>
      </c>
      <c r="BS78" s="52">
        <f>[1]!b_stm07_is(A78,19,$A$1,1,100000000)</f>
        <v>3061.65</v>
      </c>
      <c r="BT78" s="52">
        <f xml:space="preserve"> [1]!s_stm07_bs(A78,"W15273164",$A$1,1,100000000)-[1]!s_stm07_bs(A78,"W17642530",$A$1,1,100000000)-[1]!s_stm07_bs(A78,"W15910877",$A$1,1,100000000)-[1]!s_stm07_bs_39(A78,$A$1,1,100000000)-[1]!s_stm07_bs(A78,"W17700468",$A$1,1,100000000)-[1]!s_stm07_bs(A78,"W16504296",$A$1,1,100000000)-[1]!s_stm07_bs(A78,"W13769069",$A$1,1,100000000)</f>
        <v>78977.22</v>
      </c>
      <c r="BU78" s="52">
        <f xml:space="preserve"> [1]!s_stm07_bs(A78,"W15273164",$B$1,1,100000000)-[1]!s_stm07_bs(A78,"W17642530",$B$1,1,100000000)-[1]!s_stm07_bs(A78,"W15910877",$B$1,1,100000000)-[1]!s_stm07_bs_39(A78,$B$1,1,100000000)-[1]!s_stm07_bs(A78,"W17700468",$B$1,1,100000000)-[1]!s_stm07_bs(A78,"W16504296",$B$1,1,100000000)-[1]!s_stm07_bs(A78,"W13769069",$B$1,1,100000000)</f>
        <v>73640.100000000006</v>
      </c>
      <c r="BV78" s="52">
        <f xml:space="preserve"> [1]!s_stm07_bs(A78,"W15273164",$E$1,1,100000000)-[1]!s_stm07_bs(A78,"W17642530",$E$1,1,100000000)-[1]!s_stm07_bs(A78,"W15910877",$E$1,1,100000000)-[1]!s_stm07_bs_39(A78,$E$1,1,100000000)-[1]!s_stm07_bs(A78,"W17700468",$E$1,1,100000000)-[1]!s_stm07_bs(A78,"W16504296",$E$1,1,100000000)-[1]!s_stm07_bs(A78,"W13769069",$E$1,1,100000000)</f>
        <v>77244.7</v>
      </c>
      <c r="BW78" s="52">
        <f xml:space="preserve"> [1]!s_stm07_bs(A78,"W15273164",$F$1,1,100000000)-[1]!s_stm07_bs(A78,"W17642530",$F$1,1,100000000)-[1]!s_stm07_bs(A78,"W15910877",$F$1,1,100000000)-[1]!s_stm07_bs_39(A78,$F$1,1,100000000)-[1]!s_stm07_bs(A78,"W17700468",$F$1,1,100000000)-[1]!s_stm07_bs(A78,"W16504296",$F$1,1,100000000)-[1]!s_stm07_bs(A78,"W13769069",$F$1,1,100000000)</f>
        <v>76433.67</v>
      </c>
      <c r="BX78" s="52">
        <f xml:space="preserve"> [1]!s_stm07_bs(A78,"W15273164",$G$1,1,100000000)-[1]!s_stm07_bs(A78,"W17642530",$G$1,1,100000000)-[1]!s_stm07_bs(A78,"W15910877",$G$1,1,100000000)-[1]!s_stm07_bs_39(A78,$G$1,1,100000000)-[1]!s_stm07_bs(A78,"W17700468",$G$1,1,100000000)-[1]!s_stm07_bs(A78,"W16504296",$G$1,1,100000000)-[1]!s_stm07_bs(A78,"W13769069",$G$1,1,100000000)</f>
        <v>76282.990000000005</v>
      </c>
      <c r="BY78" s="52">
        <f>IFERROR([1]!b_stm07_is(A78,20,$A$1,1,100000000)/AVERAGEIF(CA78:CE78,"&gt;0")*100,0)</f>
        <v>2.2316728822634317</v>
      </c>
      <c r="BZ78" s="52">
        <f>[1]!b_stm07_is(A78,20,$A$1,1,100000000)</f>
        <v>1582.69</v>
      </c>
      <c r="CA78" s="52">
        <f>[1]!s_stmnote_bank_38(A78,$A$1,1,100000000)</f>
        <v>72899.67</v>
      </c>
      <c r="CB78" s="52">
        <f>[1]!s_stmnote_bank_38(A78,$B$1,1,100000000)</f>
        <v>68349.570000000007</v>
      </c>
      <c r="CC78" s="52">
        <f>[1]!s_stmnote_bank_38(A78,$E$1,1,100000000)</f>
        <v>71412.289999999994</v>
      </c>
      <c r="CD78" s="52">
        <f>[1]!s_stmnote_bank_38(A78,$F$1,1,100000000)</f>
        <v>70897</v>
      </c>
      <c r="CE78" s="52">
        <f>[1]!s_stmnote_bank_38(A78,$G$1,1,100000000)</f>
        <v>71038.69</v>
      </c>
      <c r="CF78" s="52">
        <f>IF(BP78&lt;&gt;0,BP78,IFERROR(IF(([1]!b_stm07_is(A78,19,$A$1,1,100000000)-[1]!b_stm07_is(A78,20,$A$1,1,100000000))/AVERAGE([1]!s_stmnote_bank_35(A78,$A$1,1,100000000),[1]!s_stmnote_bank_35(A78,$B$1,1,100000000))*100=0,"",([1]!b_stm07_is(A78,19,$A$1,1,100000000)-[1]!b_stm07_is(A78,20,$A$1,1,100000000))/AVERAGE([1]!s_stmnote_bank_35(A78,$A$1,1,100000000),[1]!s_stmnote_bank_35(A78,$B$1,1,100000000))*100),""))</f>
        <v>2.0499999999999998</v>
      </c>
      <c r="CG78" s="27" t="str">
        <f t="shared" si="30"/>
        <v>85 171</v>
      </c>
      <c r="CH78" s="80">
        <f t="shared" si="35"/>
        <v>0.67715951179375355</v>
      </c>
      <c r="CI78" s="27" t="str">
        <f t="shared" si="31"/>
        <v>84 169</v>
      </c>
      <c r="CJ78" s="55">
        <f>[1]!s_stmnote_bank_30(A78,$A$1,1)</f>
        <v>27.699400000000001</v>
      </c>
      <c r="CK78" s="65">
        <v>2396.56</v>
      </c>
      <c r="CL78" s="48">
        <f>402.07+185.8</f>
        <v>587.87</v>
      </c>
      <c r="CM78" s="64">
        <f>CK78/(5/8*[1]!s_stmnote_bank_1n($A78,$A$1,1,100000000)+[1]!s_stmnote_bank_1n($A78,$B$1,1,100000000)*3/8)</f>
        <v>5.0855700271455258E-2</v>
      </c>
      <c r="CN78" s="48"/>
      <c r="CO78" s="48"/>
      <c r="CP78" s="69">
        <f>[1]!b_stm07_bs($A78,141,$A$1,1,100000000)</f>
        <v>6426.26</v>
      </c>
      <c r="CQ78" s="69">
        <f>[1]!b_stm07_bs($A78,141,$D$1,1,100000000)</f>
        <v>6612.89</v>
      </c>
      <c r="CR78" s="68">
        <f>IF([1]!s_fa_roic_yearly($A78,$A$1)=0,"",[1]!s_fa_roic_yearly($A78,$A$1))</f>
        <v>9.5042000000000009</v>
      </c>
      <c r="CS78" s="27" t="str">
        <f>RANK(CR78,CR$5:CR$192,1)&amp;" "&amp;COUNTIF(CR$5:CR$192,"&gt;0")</f>
        <v>98 169</v>
      </c>
      <c r="CT78" s="68">
        <f>IF([1]!s_fa_roic_yearly($A78,$D$1)=0,"",[1]!s_fa_roic_yearly($A78,$D$1))</f>
        <v>10.2654</v>
      </c>
      <c r="CU78" s="27" t="str">
        <f>RANK(CT78,CT$5:CT$192,1)&amp;" "&amp;COUNTIF(CT$5:CT$192,"&gt;0")</f>
        <v>72 142</v>
      </c>
      <c r="CV78" s="78">
        <f>[1]!s_stm07_bs(A78,"W14578191",$A$1,1,100000000)</f>
        <v>47480.76</v>
      </c>
      <c r="CW78" s="78">
        <f>[1]!s_stmnote_bank_682($A78,$A$1,1,2,100000000)</f>
        <v>20538.240000000002</v>
      </c>
      <c r="CX78" s="79">
        <f t="shared" si="32"/>
        <v>0.43255920924601882</v>
      </c>
    </row>
    <row r="79" spans="1:102" s="46" customFormat="1" ht="13.5">
      <c r="A79" s="8" t="s">
        <v>256</v>
      </c>
      <c r="B79" s="8" t="s">
        <v>257</v>
      </c>
      <c r="C79" s="9" t="s">
        <v>258</v>
      </c>
      <c r="D79" s="9" t="s">
        <v>1066</v>
      </c>
      <c r="E79" s="10" t="s">
        <v>258</v>
      </c>
      <c r="F79" s="11" t="s">
        <v>178</v>
      </c>
      <c r="G79" s="11" t="s">
        <v>206</v>
      </c>
      <c r="H79" s="11" t="s">
        <v>259</v>
      </c>
      <c r="I79" s="11"/>
      <c r="J79" s="11">
        <f>VLOOKUP(B79,[3]额度信息!$B:$T,19,0)</f>
        <v>0</v>
      </c>
      <c r="K79" s="11" t="s">
        <v>260</v>
      </c>
      <c r="L79" s="27">
        <f>IFERROR(([1]!b_stm07_bs($A79,47,$A$1,1,100000000))/[1]!b_stm07_bs($A79,109,$A$1,1,100000000),"")</f>
        <v>7.8833555698677157E-2</v>
      </c>
      <c r="M79" s="20"/>
      <c r="N79" s="18"/>
      <c r="O79" s="27" t="e">
        <f t="shared" si="24"/>
        <v>#N/A</v>
      </c>
      <c r="P79" s="21">
        <f t="shared" si="33"/>
        <v>3.297790806399567E-2</v>
      </c>
      <c r="Q79" s="27" t="str">
        <f t="shared" si="25"/>
        <v>96 169</v>
      </c>
      <c r="R79" s="18">
        <f>IFERROR([1]!s_stmnote_bank($A79,"34",$A$1,100000000)/[1]!s_stmnote_bank_1n(A79,$A$1,1,100000000),"")</f>
        <v>2.4577908063995672E-2</v>
      </c>
      <c r="S79" s="22"/>
      <c r="T79" s="22"/>
      <c r="U79" s="22"/>
      <c r="V79" s="22"/>
      <c r="W79" s="22"/>
      <c r="X79" s="22"/>
      <c r="Y79" s="22"/>
      <c r="Z79" s="25">
        <f>[1]!b_stm07_bs(A79,74,$A$1,1,100000000)</f>
        <v>5868.5420295046997</v>
      </c>
      <c r="AA79" s="25">
        <f>[1]!b_stm07_bs(A79,109,$A$1,1,100000000)</f>
        <v>4623.2745276084997</v>
      </c>
      <c r="AB79" s="10">
        <f>[1]!s_stmnote_bank_5n(A79,$A$1,1)</f>
        <v>0.84</v>
      </c>
      <c r="AC79" s="25">
        <f>IF([1]!s_stmnote_bank_23n(A79,$A$1,1)=0,"",IFERROR([1]!s_stmnote_bank_23n(A79,$A$1,1),""))</f>
        <v>365.08</v>
      </c>
      <c r="AD79" s="27" t="str">
        <f t="shared" si="26"/>
        <v>127 167</v>
      </c>
      <c r="AE79" s="25">
        <f>[1]!s_stmnote_bank_capadequacyratio(A79,$A$1,1)</f>
        <v>16.059999999999999</v>
      </c>
      <c r="AF79" s="25">
        <f>IF([1]!s_stmnote_bank_capadequacyratio_ct1(A79,$A$1,1)=0,"",IFERROR([1]!s_stmnote_bank_capadequacyratio_ct1(A79,$A$1,1),""))</f>
        <v>13.2</v>
      </c>
      <c r="AG79" s="27" t="str">
        <f>RANK(AF79,AF$5:AF$192,1)&amp;" "&amp;COUNTIF(AF$5:AF$192,"&gt;0")</f>
        <v>142 167</v>
      </c>
      <c r="AH79" s="6">
        <f>IF(OR([1]!s_fa_roe(A79,20201231)=0,[1]!s_fa_roe(A79,20211231)="0",[1]!s_fa_roe(A79,20221231)="0"),"",IFERROR(([1]!s_fa_roe(A79,20221231)+[1]!s_fa_roe(A79,20201231)+[1]!s_fa_roe(A79,20211231))/3,""))</f>
        <v>12.845666666666666</v>
      </c>
      <c r="AI79" s="27" t="str">
        <f t="shared" si="27"/>
        <v>156 173</v>
      </c>
      <c r="AJ79" s="28">
        <f>IFERROR(([1]!s_stmnote_bank_65(A79,$A$1,1,2,4,100000000)+[1]!s_stmnote_bank_65(A79,$A$1,1,2,6,100000000))/[1]!s_stmnote_bank_1n(A79,$A$1,1,100000000),"")</f>
        <v>0.1319665402367026</v>
      </c>
      <c r="AK79" s="28">
        <f>IFERROR([1]!s_stmnote_bank_614(A79,$A$1,1,2,100000000)/[1]!s_stmnote_bank_647(A79,$A$1,1,2,100000000),"")</f>
        <v>0.19216198130986945</v>
      </c>
      <c r="AL79" s="28">
        <f>IFERROR(([1]!b_stm07_bs(A79,104,$A$1,1,100000000)+[1]!b_stm07_bs(A79,106,$A$1,1,100000000)+[1]!b_stm07_bs(A79,76,$A$1,1,100000000)+[1]!b_stm07_bs(A79,108,$A$1,1,100000000)+[1]!b_stm07_bs(A79,95,$A$1,1,100000000))/[1]!b_stm07_bs(A79,128,$A$1,1,100000000),"")</f>
        <v>0.10184240038803762</v>
      </c>
      <c r="AM79" s="28">
        <f>IFERROR(([1]!s_stmnote_bank_614(A79,$A$1,1,2,100000000)+[1]!b_stm07_bs(A79,104,$A$1,1,100000000)+[1]!b_stm07_bs(A79,106,$A$1,1,100000000)+[1]!b_stm07_bs(A79,76,$A$1,1,100000000)+[1]!b_stm07_bs(A79,108,$A$1,1,100000000)+[1]!b_stm07_bs(A79,95,$A$1,1,100000000))/[1]!b_stm07_bs(A79,128,$A$1,1,100000000),"")</f>
        <v>0.26825210446616798</v>
      </c>
      <c r="AN79" s="31" t="e">
        <f>IF(Z79&gt;#REF!,#REF!,IF(Z79&gt;#REF!,#REF!,IF(Z79&gt;#REF!,#REF!,IF(Z79&gt;#REF!,#REF!,IF(Z79&gt;#REF!,#REF!,IF(Z79&gt;#REF!,#REF!,IF(Z79&gt;#REF!,#REF!,#REF!)))))))</f>
        <v>#REF!</v>
      </c>
      <c r="AO79" s="31" t="e">
        <f>IF(AA79&gt;#REF!,#REF!,IF(AA79&gt;#REF!,#REF!,IF(AA79&gt;#REF!,#REF!,IF(AA79&gt;#REF!,#REF!,IF(AA79&gt;#REF!,#REF!,IF(AA79&gt;#REF!,#REF!,IF(AA79&gt;#REF!,#REF!,#REF!)))))))</f>
        <v>#REF!</v>
      </c>
      <c r="AP79" s="31" t="e">
        <f>IF(AB79&lt;#REF!,#REF!,IF(AB79&lt;#REF!,#REF!,IF(AB79&lt;#REF!,#REF!,IF(AB79&lt;#REF!,#REF!,IF(AB79&lt;#REF!,#REF!,IF(AB79&lt;#REF!,#REF!,#REF!))))))</f>
        <v>#REF!</v>
      </c>
      <c r="AQ79" s="31" t="e">
        <f>IF(AC79&gt;#REF!,#REF!,IF(AC79&gt;#REF!,#REF!,IF(AC79&gt;#REF!,#REF!,IF(AC79&gt;#REF!,#REF!,#REF!))))</f>
        <v>#REF!</v>
      </c>
      <c r="AR79" s="31" t="e">
        <f>IF(AE79&gt;#REF!,#REF!,IF(AE79&gt;#REF!,#REF!,IF(AE79&gt;#REF!,#REF!,IF(AE79&gt;#REF!,#REF!,#REF!))))</f>
        <v>#REF!</v>
      </c>
      <c r="AS79" s="31" t="e">
        <f>IF(AF79&gt;#REF!,#REF!,IF(AF79&gt;#REF!,#REF!,IF(AF79&gt;#REF!,#REF!,IF(AF79&gt;#REF!,#REF!,#REF!))))</f>
        <v>#REF!</v>
      </c>
      <c r="AT79" s="31" t="e">
        <f>IF(AH79&gt;#REF!,#REF!,IF(AH79&gt;#REF!,#REF!,IF(AH79&gt;#REF!,#REF!,IF(AH79&gt;#REF!,#REF!,IF(AH79&gt;#REF!,#REF!,#REF!)))))</f>
        <v>#REF!</v>
      </c>
      <c r="AU79" s="10" t="e">
        <f t="shared" si="28"/>
        <v>#REF!</v>
      </c>
      <c r="AV79" s="10" t="s">
        <v>60</v>
      </c>
      <c r="AW79" s="10" t="s">
        <v>227</v>
      </c>
      <c r="AX79" s="10" t="s">
        <v>261</v>
      </c>
      <c r="AY79" s="31" t="str">
        <f>IFERROR(VLOOKUP(AV79,#REF!,3,0),"")</f>
        <v/>
      </c>
      <c r="AZ79" s="31" t="str">
        <f>IFERROR(VLOOKUP(AW79,#REF!,3,0),"")</f>
        <v/>
      </c>
      <c r="BA79" s="31" t="str">
        <f>IFERROR(VLOOKUP(AX79,#REF!,3,0),"")</f>
        <v/>
      </c>
      <c r="BB79" s="31" t="str">
        <f>IFERROR(AY79*#REF!+AZ79*#REF!+BA79*#REF!,"")</f>
        <v/>
      </c>
      <c r="BC79" s="32" t="str">
        <f t="shared" si="29"/>
        <v/>
      </c>
      <c r="BD79" s="32" t="str">
        <f>IFERROR(VLOOKUP(BC79*10,#REF!,2,1),"")</f>
        <v/>
      </c>
      <c r="BE79" s="11">
        <v>0</v>
      </c>
      <c r="BF79" s="11">
        <v>-1</v>
      </c>
      <c r="BG79" s="10" t="s">
        <v>262</v>
      </c>
      <c r="BH79" s="11" t="s">
        <v>263</v>
      </c>
      <c r="BI79" s="10">
        <v>13</v>
      </c>
      <c r="BJ79" s="11" t="s">
        <v>249</v>
      </c>
      <c r="BK79" s="33" t="s">
        <v>250</v>
      </c>
      <c r="BL79" s="10">
        <f>IF([1]!s_stmnote_bank_17n(A79,$A$1,1)="0","",[1]!s_stmnote_bank_17n(A79,$A$1,1))</f>
        <v>2.71</v>
      </c>
      <c r="BM79" s="10">
        <f>IF([1]!s_stmnote_bank_18n(A79,$A$1,1)="0","",[1]!s_stmnote_bank_18n(A79,$A$1,1))</f>
        <v>18.579999999999998</v>
      </c>
      <c r="BN79" s="41">
        <v>4.17</v>
      </c>
      <c r="BO79" s="68">
        <v>2.17</v>
      </c>
      <c r="BP79" s="52">
        <f>[1]!s_stmnote_bank_5444(A79,$A$1,1)</f>
        <v>2.13</v>
      </c>
      <c r="BQ79" s="52">
        <f>[1]!s_stmnote_bank_129n($A79,$A$1,1)</f>
        <v>32.340000000000003</v>
      </c>
      <c r="BR79" s="52">
        <f t="shared" si="34"/>
        <v>3.9724064334460176</v>
      </c>
      <c r="BS79" s="52">
        <f>[1]!b_stm07_is(A79,19,$A$1,1,100000000)</f>
        <v>208.26426296790001</v>
      </c>
      <c r="BT79" s="52">
        <f xml:space="preserve"> [1]!s_stm07_bs(A79,"W15273164",$A$1,1,100000000)-[1]!s_stm07_bs(A79,"W17642530",$A$1,1,100000000)-[1]!s_stm07_bs(A79,"W15910877",$A$1,1,100000000)-[1]!s_stm07_bs_39(A79,$A$1,1,100000000)-[1]!s_stm07_bs(A79,"W17700468",$A$1,1,100000000)-[1]!s_stm07_bs(A79,"W16504296",$A$1,1,100000000)-[1]!s_stm07_bs(A79,"W13769069",$A$1,1,100000000)</f>
        <v>5796.7820613595004</v>
      </c>
      <c r="BU79" s="52">
        <f xml:space="preserve"> [1]!s_stm07_bs(A79,"W15273164",$B$1,1,100000000)-[1]!s_stm07_bs(A79,"W17642530",$B$1,1,100000000)-[1]!s_stm07_bs(A79,"W15910877",$B$1,1,100000000)-[1]!s_stm07_bs_39(A79,$B$1,1,100000000)-[1]!s_stm07_bs(A79,"W17700468",$B$1,1,100000000)-[1]!s_stm07_bs(A79,"W16504296",$B$1,1,100000000)-[1]!s_stm07_bs(A79,"W13769069",$B$1,1,100000000)</f>
        <v>5119.2176910312</v>
      </c>
      <c r="BV79" s="52">
        <f xml:space="preserve"> [1]!s_stm07_bs(A79,"W15273164",$E$1,1,100000000)-[1]!s_stm07_bs(A79,"W17642530",$E$1,1,100000000)-[1]!s_stm07_bs(A79,"W15910877",$E$1,1,100000000)-[1]!s_stm07_bs_39(A79,$E$1,1,100000000)-[1]!s_stm07_bs(A79,"W17700468",$E$1,1,100000000)-[1]!s_stm07_bs(A79,"W16504296",$E$1,1,100000000)-[1]!s_stm07_bs(A79,"W13769069",$E$1,1,100000000)</f>
        <v>5497.0171230235001</v>
      </c>
      <c r="BW79" s="52">
        <f xml:space="preserve"> [1]!s_stm07_bs(A79,"W15273164",$F$1,1,100000000)-[1]!s_stm07_bs(A79,"W17642530",$F$1,1,100000000)-[1]!s_stm07_bs(A79,"W15910877",$F$1,1,100000000)-[1]!s_stm07_bs_39(A79,$F$1,1,100000000)-[1]!s_stm07_bs(A79,"W17700468",$F$1,1,100000000)-[1]!s_stm07_bs(A79,"W16504296",$F$1,1,100000000)-[1]!s_stm07_bs(A79,"W13769069",$F$1,1,100000000)</f>
        <v>5494.3954257788992</v>
      </c>
      <c r="BX79" s="52">
        <f xml:space="preserve"> [1]!s_stm07_bs(A79,"W15273164",$G$1,1,100000000)-[1]!s_stm07_bs(A79,"W17642530",$G$1,1,100000000)-[1]!s_stm07_bs(A79,"W15910877",$G$1,1,100000000)-[1]!s_stm07_bs_39(A79,$G$1,1,100000000)-[1]!s_stm07_bs(A79,"W17700468",$G$1,1,100000000)-[1]!s_stm07_bs(A79,"W16504296",$G$1,1,100000000)-[1]!s_stm07_bs(A79,"W13769069",$G$1,1,100000000)</f>
        <v>5107.0457790188002</v>
      </c>
      <c r="BY79" s="52">
        <f>IFERROR([1]!b_stm07_is(A79,20,$A$1,1,100000000)/AVERAGEIF(CA79:CE79,"&gt;0")*100,0)</f>
        <v>2.1141166096906612</v>
      </c>
      <c r="BZ79" s="52">
        <f>[1]!b_stm07_is(A79,20,$A$1,1,100000000)</f>
        <v>104.5964406124</v>
      </c>
      <c r="CA79" s="52">
        <f>[1]!s_stmnote_bank_38(A79,$A$1,1,100000000)</f>
        <v>5273.4602774203004</v>
      </c>
      <c r="CB79" s="52">
        <f>[1]!s_stmnote_bank_38(A79,$B$1,1,100000000)</f>
        <v>4645.9800773802999</v>
      </c>
      <c r="CC79" s="52">
        <f>[1]!s_stmnote_bank_38(A79,$E$1,1,100000000)</f>
        <v>5058.1458988283002</v>
      </c>
      <c r="CD79" s="52">
        <f>[1]!s_stmnote_bank_38(A79,$F$1,1,100000000)</f>
        <v>5075.4555760315006</v>
      </c>
      <c r="CE79" s="52">
        <f>[1]!s_stmnote_bank_38(A79,$G$1,1,100000000)</f>
        <v>4684.5814719475002</v>
      </c>
      <c r="CF79" s="52">
        <f>IF(BP79&lt;&gt;0,BP79,IFERROR(IF(([1]!b_stm07_is(A79,19,$A$1,1,100000000)-[1]!b_stm07_is(A79,20,$A$1,1,100000000))/AVERAGE([1]!s_stmnote_bank_35(A79,$A$1,1,100000000),[1]!s_stmnote_bank_35(A79,$B$1,1,100000000))*100=0,"",([1]!b_stm07_is(A79,19,$A$1,1,100000000)-[1]!b_stm07_is(A79,20,$A$1,1,100000000))/AVERAGE([1]!s_stmnote_bank_35(A79,$A$1,1,100000000),[1]!s_stmnote_bank_35(A79,$B$1,1,100000000))*100),""))</f>
        <v>2.13</v>
      </c>
      <c r="CG79" s="27" t="str">
        <f t="shared" si="30"/>
        <v>74 171</v>
      </c>
      <c r="CH79" s="80">
        <f t="shared" si="35"/>
        <v>0.64588693614725445</v>
      </c>
      <c r="CI79" s="27" t="str">
        <f t="shared" si="31"/>
        <v>89 169</v>
      </c>
      <c r="CJ79" s="55">
        <f>[1]!s_stmnote_bank_30(A79,$A$1,1)</f>
        <v>18.886600000000001</v>
      </c>
      <c r="CP79" s="69">
        <f>[1]!b_stm07_bs($A79,141,$A$1,1,100000000)</f>
        <v>529.80533571440003</v>
      </c>
      <c r="CQ79" s="69">
        <f>[1]!b_stm07_bs($A79,141,$D$1,1,100000000)</f>
        <v>545.91503353400003</v>
      </c>
      <c r="CR79" s="68">
        <f>IF([1]!s_fa_roic_yearly($A79,$A$1)=0,"",[1]!s_fa_roic_yearly($A79,$A$1))</f>
        <v>13.5167</v>
      </c>
      <c r="CS79" s="27">
        <f>RANK(CR79,CR$5:CR$192,0)/COUNTIF(CR$5:CR$192,"&gt;0")</f>
        <v>0.10059171597633136</v>
      </c>
      <c r="CT79" s="68">
        <f>IF([1]!s_fa_roic_yearly($A79,$D$1)=0,"",[1]!s_fa_roic_yearly($A79,$D$1))</f>
        <v>12.14</v>
      </c>
      <c r="CU79" s="27">
        <f>RANK(CT79,CT$5:CT$192,0)/COUNTIF(CT$5:CT$192,"&gt;0")</f>
        <v>0.27464788732394368</v>
      </c>
      <c r="CV79" s="78">
        <f>[1]!s_stm07_bs(A79,"W14578191",$A$1,1,100000000)</f>
        <v>2915.9286440819001</v>
      </c>
      <c r="CW79" s="78">
        <f>[1]!s_stmnote_bank_682($A79,$A$1,1,2,100000000)</f>
        <v>1209.5508509203999</v>
      </c>
      <c r="CX79" s="79">
        <f t="shared" si="32"/>
        <v>0.41480811040259019</v>
      </c>
    </row>
    <row r="80" spans="1:102" s="46" customFormat="1" ht="13.5">
      <c r="A80" s="8" t="s">
        <v>313</v>
      </c>
      <c r="B80" s="8" t="s">
        <v>314</v>
      </c>
      <c r="C80" s="9" t="s">
        <v>315</v>
      </c>
      <c r="D80" s="9" t="s">
        <v>1066</v>
      </c>
      <c r="E80" s="10" t="s">
        <v>315</v>
      </c>
      <c r="F80" s="11" t="s">
        <v>178</v>
      </c>
      <c r="G80" s="11" t="s">
        <v>139</v>
      </c>
      <c r="H80" s="11" t="s">
        <v>245</v>
      </c>
      <c r="I80" s="11"/>
      <c r="J80" s="11">
        <f>VLOOKUP(B80,[3]额度信息!$B:$T,19,0)</f>
        <v>0</v>
      </c>
      <c r="K80" s="11" t="s">
        <v>316</v>
      </c>
      <c r="L80" s="27">
        <f>IFERROR(([1]!b_stm07_bs($A80,47,$A$1,1,100000000))/[1]!b_stm07_bs($A80,109,$A$1,1,100000000),"")</f>
        <v>7.3430869365680024E-2</v>
      </c>
      <c r="M80" s="20"/>
      <c r="N80" s="18"/>
      <c r="O80" s="27" t="e">
        <f t="shared" si="24"/>
        <v>#N/A</v>
      </c>
      <c r="P80" s="21">
        <f t="shared" si="33"/>
        <v>2.3013596750063009E-2</v>
      </c>
      <c r="Q80" s="27" t="str">
        <f t="shared" si="25"/>
        <v>52 169</v>
      </c>
      <c r="R80" s="18">
        <f>IFERROR([1]!s_stmnote_bank($A80,"34",$A$1,100000000)/[1]!s_stmnote_bank_1n(A80,$A$1,1,100000000),"")</f>
        <v>6.5135967500630065E-3</v>
      </c>
      <c r="S80" s="22"/>
      <c r="T80" s="22"/>
      <c r="U80" s="22"/>
      <c r="V80" s="22"/>
      <c r="W80" s="22"/>
      <c r="X80" s="22"/>
      <c r="Y80" s="22"/>
      <c r="Z80" s="25">
        <f>[1]!b_stm07_bs(A80,74,$A$1,1,100000000)</f>
        <v>6181.7126699999999</v>
      </c>
      <c r="AA80" s="25">
        <f>[1]!b_stm07_bs(A80,109,$A$1,1,100000000)</f>
        <v>4619.4463299999998</v>
      </c>
      <c r="AB80" s="10">
        <f>[1]!s_stmnote_bank_5n(A80,$A$1,1)</f>
        <v>1.65</v>
      </c>
      <c r="AC80" s="25">
        <f>IF([1]!s_stmnote_bank_23n(A80,$A$1,1)=0,"",IFERROR([1]!s_stmnote_bank_23n(A80,$A$1,1),""))</f>
        <v>235.97</v>
      </c>
      <c r="AD80" s="27" t="str">
        <f t="shared" si="26"/>
        <v>86 167</v>
      </c>
      <c r="AE80" s="25">
        <f>[1]!s_stmnote_bank_capadequacyratio(A80,$A$1,1)</f>
        <v>14.15</v>
      </c>
      <c r="AF80" s="25">
        <f>IF([1]!s_stmnote_bank_capadequacyratio_ct1(A80,$A$1,1)=0,"",IFERROR([1]!s_stmnote_bank_capadequacyratio_ct1(A80,$A$1,1),""))</f>
        <v>11.33</v>
      </c>
      <c r="AG80" s="27" t="str">
        <f>RANK(AF80,AF$5:AF$192,0)&amp;" "&amp;COUNTIF(AF$5:AF$192,"&gt;0")</f>
        <v>58 167</v>
      </c>
      <c r="AH80" s="6">
        <f>IF(OR([1]!s_fa_roe(A80,20201231)=0,[1]!s_fa_roe(A80,20211231)="0",[1]!s_fa_roe(A80,20221231)="0"),"",IFERROR(([1]!s_fa_roe(A80,20221231)+[1]!s_fa_roe(A80,20201231)+[1]!s_fa_roe(A80,20211231))/3,""))</f>
        <v>9.6835333333333313</v>
      </c>
      <c r="AI80" s="27" t="str">
        <f t="shared" si="27"/>
        <v>112 173</v>
      </c>
      <c r="AJ80" s="28">
        <f>IFERROR(([1]!s_stmnote_bank_65(A80,$A$1,1,2,4,100000000)+[1]!s_stmnote_bank_65(A80,$A$1,1,2,6,100000000))/[1]!s_stmnote_bank_1n(A80,$A$1,1,100000000),"")</f>
        <v>0.15920064223736474</v>
      </c>
      <c r="AK80" s="28">
        <f>IFERROR([1]!s_stmnote_bank_614(A80,$A$1,1,2,100000000)/[1]!s_stmnote_bank_647(A80,$A$1,1,2,100000000),"")</f>
        <v>0.18591665508104302</v>
      </c>
      <c r="AL80" s="28">
        <f>IFERROR(([1]!b_stm07_bs(A80,104,$A$1,1,100000000)+[1]!b_stm07_bs(A80,106,$A$1,1,100000000)+[1]!b_stm07_bs(A80,76,$A$1,1,100000000)+[1]!b_stm07_bs(A80,108,$A$1,1,100000000)+[1]!b_stm07_bs(A80,95,$A$1,1,100000000))/[1]!b_stm07_bs(A80,128,$A$1,1,100000000),"")</f>
        <v>0.1207332316087011</v>
      </c>
      <c r="AM80" s="28">
        <f>IFERROR(([1]!s_stmnote_bank_614(A80,$A$1,1,2,100000000)+[1]!b_stm07_bs(A80,104,$A$1,1,100000000)+[1]!b_stm07_bs(A80,106,$A$1,1,100000000)+[1]!b_stm07_bs(A80,76,$A$1,1,100000000)+[1]!b_stm07_bs(A80,108,$A$1,1,100000000)+[1]!b_stm07_bs(A80,95,$A$1,1,100000000))/[1]!b_stm07_bs(A80,128,$A$1,1,100000000),"")</f>
        <v>0.27177203887852169</v>
      </c>
      <c r="AN80" s="31" t="e">
        <f>IF(Z80&gt;#REF!,#REF!,IF(Z80&gt;#REF!,#REF!,IF(Z80&gt;#REF!,#REF!,IF(Z80&gt;#REF!,#REF!,IF(Z80&gt;#REF!,#REF!,IF(Z80&gt;#REF!,#REF!,IF(Z80&gt;#REF!,#REF!,#REF!)))))))</f>
        <v>#REF!</v>
      </c>
      <c r="AO80" s="31" t="e">
        <f>IF(AA80&gt;#REF!,#REF!,IF(AA80&gt;#REF!,#REF!,IF(AA80&gt;#REF!,#REF!,IF(AA80&gt;#REF!,#REF!,IF(AA80&gt;#REF!,#REF!,IF(AA80&gt;#REF!,#REF!,IF(AA80&gt;#REF!,#REF!,#REF!)))))))</f>
        <v>#REF!</v>
      </c>
      <c r="AP80" s="31" t="e">
        <f>IF(AB80&lt;#REF!,#REF!,IF(AB80&lt;#REF!,#REF!,IF(AB80&lt;#REF!,#REF!,IF(AB80&lt;#REF!,#REF!,IF(AB80&lt;#REF!,#REF!,IF(AB80&lt;#REF!,#REF!,#REF!))))))</f>
        <v>#REF!</v>
      </c>
      <c r="AQ80" s="31" t="e">
        <f>IF(AC80&gt;#REF!,#REF!,IF(AC80&gt;#REF!,#REF!,IF(AC80&gt;#REF!,#REF!,IF(AC80&gt;#REF!,#REF!,#REF!))))</f>
        <v>#REF!</v>
      </c>
      <c r="AR80" s="31" t="e">
        <f>IF(AE80&gt;#REF!,#REF!,IF(AE80&gt;#REF!,#REF!,IF(AE80&gt;#REF!,#REF!,IF(AE80&gt;#REF!,#REF!,#REF!))))</f>
        <v>#REF!</v>
      </c>
      <c r="AS80" s="31" t="e">
        <f>IF(AF80&gt;#REF!,#REF!,IF(AF80&gt;#REF!,#REF!,IF(AF80&gt;#REF!,#REF!,IF(AF80&gt;#REF!,#REF!,#REF!))))</f>
        <v>#REF!</v>
      </c>
      <c r="AT80" s="31" t="e">
        <f>IF(AH80&gt;#REF!,#REF!,IF(AH80&gt;#REF!,#REF!,IF(AH80&gt;#REF!,#REF!,IF(AH80&gt;#REF!,#REF!,IF(AH80&gt;#REF!,#REF!,#REF!)))))</f>
        <v>#REF!</v>
      </c>
      <c r="AU80" s="10" t="e">
        <f t="shared" si="28"/>
        <v>#REF!</v>
      </c>
      <c r="AV80" s="10" t="s">
        <v>141</v>
      </c>
      <c r="AW80" s="10" t="s">
        <v>61</v>
      </c>
      <c r="AX80" s="10" t="s">
        <v>68</v>
      </c>
      <c r="AY80" s="31" t="str">
        <f>IFERROR(VLOOKUP(AV80,#REF!,3,0),"")</f>
        <v/>
      </c>
      <c r="AZ80" s="31" t="str">
        <f>IFERROR(VLOOKUP(AW80,#REF!,3,0),"")</f>
        <v/>
      </c>
      <c r="BA80" s="31" t="str">
        <f>IFERROR(VLOOKUP(AX80,#REF!,3,0),"")</f>
        <v/>
      </c>
      <c r="BB80" s="31" t="str">
        <f>IFERROR(AY80*#REF!+AZ80*#REF!+BA80*#REF!,"")</f>
        <v/>
      </c>
      <c r="BC80" s="32" t="str">
        <f t="shared" si="29"/>
        <v/>
      </c>
      <c r="BD80" s="32" t="str">
        <f>IFERROR(VLOOKUP(BC80*10,#REF!,2,1),"")</f>
        <v/>
      </c>
      <c r="BE80" s="11">
        <v>1</v>
      </c>
      <c r="BF80" s="11"/>
      <c r="BG80" s="10" t="s">
        <v>317</v>
      </c>
      <c r="BH80" s="11" t="s">
        <v>318</v>
      </c>
      <c r="BI80" s="10">
        <v>35</v>
      </c>
      <c r="BJ80" s="33" t="s">
        <v>319</v>
      </c>
      <c r="BK80" s="33" t="s">
        <v>320</v>
      </c>
      <c r="BL80" s="10">
        <f>IF([1]!s_stmnote_bank_17n(A80,$A$1,1)="0","",[1]!s_stmnote_bank_17n(A80,$A$1,1))</f>
        <v>5.51</v>
      </c>
      <c r="BM80" s="10">
        <f>IF([1]!s_stmnote_bank_18n(A80,$A$1,1)="0","",[1]!s_stmnote_bank_18n(A80,$A$1,1))</f>
        <v>0</v>
      </c>
      <c r="BN80" s="41" t="s">
        <v>67</v>
      </c>
      <c r="BO80" s="68" t="s">
        <v>67</v>
      </c>
      <c r="BP80" s="52">
        <f>[1]!s_stmnote_bank_5444(A80,$A$1,1)</f>
        <v>2.1800000000000002</v>
      </c>
      <c r="BQ80" s="52">
        <f>[1]!s_stmnote_bank_129n($A80,$A$1,1)</f>
        <v>28.26</v>
      </c>
      <c r="BR80" s="52">
        <f t="shared" si="34"/>
        <v>4.6708472626269382</v>
      </c>
      <c r="BS80" s="52">
        <f>[1]!b_stm07_is(A80,19,$A$1,1,100000000)</f>
        <v>250.77661000000001</v>
      </c>
      <c r="BT80" s="52">
        <f xml:space="preserve"> [1]!s_stm07_bs(A80,"W15273164",$A$1,1,100000000)-[1]!s_stm07_bs(A80,"W17642530",$A$1,1,100000000)-[1]!s_stm07_bs(A80,"W15910877",$A$1,1,100000000)-[1]!s_stm07_bs_39(A80,$A$1,1,100000000)-[1]!s_stm07_bs(A80,"W17700468",$A$1,1,100000000)-[1]!s_stm07_bs(A80,"W16504296",$A$1,1,100000000)-[1]!s_stm07_bs(A80,"W13769069",$A$1,1,100000000)</f>
        <v>6106.746619999999</v>
      </c>
      <c r="BU80" s="52">
        <f xml:space="preserve"> [1]!s_stm07_bs(A80,"W15273164",$B$1,1,100000000)-[1]!s_stm07_bs(A80,"W17642530",$B$1,1,100000000)-[1]!s_stm07_bs(A80,"W15910877",$B$1,1,100000000)-[1]!s_stm07_bs_39(A80,$B$1,1,100000000)-[1]!s_stm07_bs(A80,"W17700468",$B$1,1,100000000)-[1]!s_stm07_bs(A80,"W16504296",$B$1,1,100000000)-[1]!s_stm07_bs(A80,"W13769069",$B$1,1,100000000)</f>
        <v>5135.9896199999994</v>
      </c>
      <c r="BV80" s="52">
        <f xml:space="preserve"> [1]!s_stm07_bs(A80,"W15273164",$E$1,1,100000000)-[1]!s_stm07_bs(A80,"W17642530",$E$1,1,100000000)-[1]!s_stm07_bs(A80,"W15910877",$E$1,1,100000000)-[1]!s_stm07_bs_39(A80,$E$1,1,100000000)-[1]!s_stm07_bs(A80,"W17700468",$E$1,1,100000000)-[1]!s_stm07_bs(A80,"W16504296",$E$1,1,100000000)-[1]!s_stm07_bs(A80,"W13769069",$E$1,1,100000000)</f>
        <v>6030.2319524382019</v>
      </c>
      <c r="BW80" s="52">
        <f xml:space="preserve"> [1]!s_stm07_bs(A80,"W15273164",$F$1,1,100000000)-[1]!s_stm07_bs(A80,"W17642530",$F$1,1,100000000)-[1]!s_stm07_bs(A80,"W15910877",$F$1,1,100000000)-[1]!s_stm07_bs_39(A80,$F$1,1,100000000)-[1]!s_stm07_bs(A80,"W17700468",$F$1,1,100000000)-[1]!s_stm07_bs(A80,"W16504296",$F$1,1,100000000)-[1]!s_stm07_bs(A80,"W13769069",$F$1,1,100000000)</f>
        <v>5931.4701600000008</v>
      </c>
      <c r="BX80" s="52">
        <f xml:space="preserve"> [1]!s_stm07_bs(A80,"W15273164",$G$1,1,100000000)-[1]!s_stm07_bs(A80,"W17642530",$G$1,1,100000000)-[1]!s_stm07_bs(A80,"W15910877",$G$1,1,100000000)-[1]!s_stm07_bs_39(A80,$G$1,1,100000000)-[1]!s_stm07_bs(A80,"W17700468",$G$1,1,100000000)-[1]!s_stm07_bs(A80,"W16504296",$G$1,1,100000000)-[1]!s_stm07_bs(A80,"W13769069",$G$1,1,100000000)</f>
        <v>0</v>
      </c>
      <c r="BY80" s="52">
        <f>IFERROR([1]!b_stm07_is(A80,20,$A$1,1,100000000)/AVERAGEIF(CA80:CE80,"&gt;0")*100,0)</f>
        <v>2.4845423569789413</v>
      </c>
      <c r="BZ80" s="52">
        <f>[1]!b_stm07_is(A80,20,$A$1,1,100000000)</f>
        <v>132.11095</v>
      </c>
      <c r="CA80" s="52">
        <f>[1]!s_stmnote_bank_38(A80,$A$1,1,100000000)</f>
        <v>5643.1621400000004</v>
      </c>
      <c r="CB80" s="52">
        <f>[1]!s_stmnote_bank_38(A80,$B$1,1,100000000)</f>
        <v>4589.0784400000002</v>
      </c>
      <c r="CC80" s="52">
        <f>[1]!s_stmnote_bank_38(A80,$E$1,1,100000000)</f>
        <v>5559.8105879018995</v>
      </c>
      <c r="CD80" s="52">
        <f>[1]!s_stmnote_bank_38(A80,$F$1,1,100000000)</f>
        <v>5477.2098900000001</v>
      </c>
      <c r="CE80" s="52">
        <f>[1]!s_stmnote_bank_38(A80,$G$1,1,100000000)</f>
        <v>0</v>
      </c>
      <c r="CF80" s="52">
        <f>IF(BP80&lt;&gt;0,BP80,IFERROR(IF(([1]!b_stm07_is(A80,19,$A$1,1,100000000)-[1]!b_stm07_is(A80,20,$A$1,1,100000000))/AVERAGE([1]!s_stmnote_bank_35(A80,$A$1,1,100000000),[1]!s_stmnote_bank_35(A80,$B$1,1,100000000))*100=0,"",([1]!b_stm07_is(A80,19,$A$1,1,100000000)-[1]!b_stm07_is(A80,20,$A$1,1,100000000))/AVERAGE([1]!s_stmnote_bank_35(A80,$A$1,1,100000000),[1]!s_stmnote_bank_35(A80,$B$1,1,100000000))*100),""))</f>
        <v>2.1800000000000002</v>
      </c>
      <c r="CG80" s="27" t="str">
        <f t="shared" si="30"/>
        <v>68 171</v>
      </c>
      <c r="CH80" s="80">
        <f t="shared" si="35"/>
        <v>0.94726609824430485</v>
      </c>
      <c r="CI80" s="27" t="str">
        <f t="shared" si="31"/>
        <v>49 169</v>
      </c>
      <c r="CJ80" s="55">
        <f>[1]!s_stmnote_bank_30(A80,$A$1,1)</f>
        <v>14.3596</v>
      </c>
      <c r="CP80" s="69">
        <f>[1]!b_stm07_bs($A80,141,$A$1,1,100000000)</f>
        <v>495.54482000000002</v>
      </c>
      <c r="CQ80" s="69">
        <f>[1]!b_stm07_bs($A80,141,$D$1,1,100000000)</f>
        <v>526.77002477619999</v>
      </c>
      <c r="CR80" s="68">
        <f>IF([1]!s_fa_roic_yearly($A80,$A$1)=0,"",[1]!s_fa_roic_yearly($A80,$A$1))</f>
        <v>9.6929999999999996</v>
      </c>
      <c r="CS80" s="27" t="str">
        <f>RANK(CR80,CR$5:CR$192,1)&amp;" "&amp;COUNTIF(CR$5:CR$192,"&gt;0")</f>
        <v>107 169</v>
      </c>
      <c r="CT80" s="68">
        <f>IF([1]!s_fa_roic_yearly($A80,$D$1)=0,"",[1]!s_fa_roic_yearly($A80,$D$1))</f>
        <v>12.436</v>
      </c>
      <c r="CU80" s="27" t="str">
        <f>RANK(CT80,CT$5:CT$192,1)&amp;" "&amp;COUNTIF(CT$5:CT$192,"&gt;0")</f>
        <v>109 142</v>
      </c>
      <c r="CV80" s="78">
        <f>[1]!s_stm07_bs(A80,"W14578191",$A$1,1,100000000)</f>
        <v>2940.52846</v>
      </c>
      <c r="CW80" s="78">
        <f>[1]!s_stmnote_bank_682($A80,$A$1,1,2,100000000)</f>
        <v>745.83708000000001</v>
      </c>
      <c r="CX80" s="79">
        <f t="shared" si="32"/>
        <v>0.25364049018590351</v>
      </c>
    </row>
    <row r="81" spans="1:102" s="46" customFormat="1" ht="13.5">
      <c r="A81" s="8" t="s">
        <v>331</v>
      </c>
      <c r="B81" s="8" t="s">
        <v>332</v>
      </c>
      <c r="C81" s="9" t="s">
        <v>333</v>
      </c>
      <c r="D81" s="9" t="s">
        <v>1061</v>
      </c>
      <c r="E81" s="10"/>
      <c r="F81" s="11" t="s">
        <v>66</v>
      </c>
      <c r="G81" s="11" t="s">
        <v>67</v>
      </c>
      <c r="H81" s="11" t="s">
        <v>103</v>
      </c>
      <c r="I81" s="11"/>
      <c r="J81" s="11" t="e">
        <f>VLOOKUP(B81,[3]额度信息!$B:$T,19,0)</f>
        <v>#N/A</v>
      </c>
      <c r="K81" s="11"/>
      <c r="L81" s="27">
        <f>IFERROR(([1]!b_stm07_bs($A81,47,$A$1,1,100000000))/[1]!b_stm07_bs($A81,109,$A$1,1,100000000),"")</f>
        <v>0.10488534899605619</v>
      </c>
      <c r="M81" s="20"/>
      <c r="N81" s="18"/>
      <c r="O81" s="27" t="e">
        <f t="shared" si="24"/>
        <v>#N/A</v>
      </c>
      <c r="P81" s="21">
        <f t="shared" si="33"/>
        <v>2.3700000000000002E-2</v>
      </c>
      <c r="Q81" s="27" t="str">
        <f t="shared" si="25"/>
        <v>55 169</v>
      </c>
      <c r="R81" s="18">
        <f>IFERROR([1]!s_stmnote_bank($A81,"34",$A$1,100000000)/[1]!s_stmnote_bank_1n(A81,$A$1,1,100000000),"")</f>
        <v>0</v>
      </c>
      <c r="S81" s="22"/>
      <c r="T81" s="22"/>
      <c r="U81" s="22"/>
      <c r="V81" s="22"/>
      <c r="W81" s="22"/>
      <c r="X81" s="22"/>
      <c r="Y81" s="22"/>
      <c r="Z81" s="25">
        <f>[1]!b_stm07_bs(A81,74,$A$1,1,100000000)</f>
        <v>2262.1835999999998</v>
      </c>
      <c r="AA81" s="25">
        <f>[1]!b_stm07_bs(A81,109,$A$1,1,100000000)</f>
        <v>1636.3131900000001</v>
      </c>
      <c r="AB81" s="10">
        <f>[1]!s_stmnote_bank_5n(A81,$A$1,1)</f>
        <v>2.37</v>
      </c>
      <c r="AC81" s="25">
        <f>IF([1]!s_stmnote_bank_23n(A81,$A$1,1)=0,"",IFERROR([1]!s_stmnote_bank_23n(A81,$A$1,1),""))</f>
        <v>222.87</v>
      </c>
      <c r="AD81" s="27" t="str">
        <f t="shared" si="26"/>
        <v>78 167</v>
      </c>
      <c r="AE81" s="25">
        <f>[1]!s_stmnote_bank_capadequacyratio(A81,$A$1,1)</f>
        <v>11.4</v>
      </c>
      <c r="AF81" s="25">
        <f>IF([1]!s_stmnote_bank_capadequacyratio_ct1(A81,$A$1,1)=0,"",IFERROR([1]!s_stmnote_bank_capadequacyratio_ct1(A81,$A$1,1),""))</f>
        <v>9.81</v>
      </c>
      <c r="AG81" s="27" t="str">
        <f>RANK(AF81,AF$5:AF$192,1)&amp;" "&amp;COUNTIF(AF$5:AF$192,"&gt;0")</f>
        <v>75 167</v>
      </c>
      <c r="AH81" s="6">
        <f>IF(OR([1]!s_fa_roe(A81,20201231)=0,[1]!s_fa_roe(A81,20211231)="0",[1]!s_fa_roe(A81,20221231)="0"),"",IFERROR(([1]!s_fa_roe(A81,20221231)+[1]!s_fa_roe(A81,20201231)+[1]!s_fa_roe(A81,20211231))/3,""))</f>
        <v>4.3089666666666666</v>
      </c>
      <c r="AI81" s="27" t="str">
        <f t="shared" si="27"/>
        <v>27 173</v>
      </c>
      <c r="AJ81" s="28">
        <f>IFERROR(([1]!s_stmnote_bank_65(A81,$A$1,1,2,4,100000000)+[1]!s_stmnote_bank_65(A81,$A$1,1,2,6,100000000))/[1]!s_stmnote_bank_1n(A81,$A$1,1,100000000),"")</f>
        <v>0.12132381556345886</v>
      </c>
      <c r="AK81" s="28">
        <f>IFERROR([1]!s_stmnote_bank_614(A81,$A$1,1,2,100000000)/[1]!s_stmnote_bank_647(A81,$A$1,1,2,100000000),"")</f>
        <v>0</v>
      </c>
      <c r="AL81" s="28">
        <f>IFERROR(([1]!b_stm07_bs(A81,104,$A$1,1,100000000)+[1]!b_stm07_bs(A81,106,$A$1,1,100000000)+[1]!b_stm07_bs(A81,76,$A$1,1,100000000)+[1]!b_stm07_bs(A81,108,$A$1,1,100000000)+[1]!b_stm07_bs(A81,95,$A$1,1,100000000))/[1]!b_stm07_bs(A81,128,$A$1,1,100000000),"")</f>
        <v>0.1881080568922226</v>
      </c>
      <c r="AM81" s="28">
        <f>IFERROR(([1]!s_stmnote_bank_614(A81,$A$1,1,2,100000000)+[1]!b_stm07_bs(A81,104,$A$1,1,100000000)+[1]!b_stm07_bs(A81,106,$A$1,1,100000000)+[1]!b_stm07_bs(A81,76,$A$1,1,100000000)+[1]!b_stm07_bs(A81,108,$A$1,1,100000000)+[1]!b_stm07_bs(A81,95,$A$1,1,100000000))/[1]!b_stm07_bs(A81,128,$A$1,1,100000000),"")</f>
        <v>0.1881080568922226</v>
      </c>
      <c r="AN81" s="31" t="e">
        <f>IF(Z81&gt;#REF!,#REF!,IF(Z81&gt;#REF!,#REF!,IF(Z81&gt;#REF!,#REF!,IF(Z81&gt;#REF!,#REF!,IF(Z81&gt;#REF!,#REF!,IF(Z81&gt;#REF!,#REF!,IF(Z81&gt;#REF!,#REF!,#REF!)))))))</f>
        <v>#REF!</v>
      </c>
      <c r="AO81" s="31" t="e">
        <f>IF(AA81&gt;#REF!,#REF!,IF(AA81&gt;#REF!,#REF!,IF(AA81&gt;#REF!,#REF!,IF(AA81&gt;#REF!,#REF!,IF(AA81&gt;#REF!,#REF!,IF(AA81&gt;#REF!,#REF!,IF(AA81&gt;#REF!,#REF!,#REF!)))))))</f>
        <v>#REF!</v>
      </c>
      <c r="AP81" s="31" t="e">
        <f>IF(AB81&lt;#REF!,#REF!,IF(AB81&lt;#REF!,#REF!,IF(AB81&lt;#REF!,#REF!,IF(AB81&lt;#REF!,#REF!,IF(AB81&lt;#REF!,#REF!,IF(AB81&lt;#REF!,#REF!,#REF!))))))</f>
        <v>#REF!</v>
      </c>
      <c r="AQ81" s="31" t="e">
        <f>IF(AC81&gt;#REF!,#REF!,IF(AC81&gt;#REF!,#REF!,IF(AC81&gt;#REF!,#REF!,IF(AC81&gt;#REF!,#REF!,#REF!))))</f>
        <v>#REF!</v>
      </c>
      <c r="AR81" s="31" t="e">
        <f>IF(AE81&gt;#REF!,#REF!,IF(AE81&gt;#REF!,#REF!,IF(AE81&gt;#REF!,#REF!,IF(AE81&gt;#REF!,#REF!,#REF!))))</f>
        <v>#REF!</v>
      </c>
      <c r="AS81" s="31" t="e">
        <f>IF(AF81&gt;#REF!,#REF!,IF(AF81&gt;#REF!,#REF!,IF(AF81&gt;#REF!,#REF!,IF(AF81&gt;#REF!,#REF!,#REF!))))</f>
        <v>#REF!</v>
      </c>
      <c r="AT81" s="31" t="e">
        <f>IF(AH81&gt;#REF!,#REF!,IF(AH81&gt;#REF!,#REF!,IF(AH81&gt;#REF!,#REF!,IF(AH81&gt;#REF!,#REF!,IF(AH81&gt;#REF!,#REF!,#REF!)))))</f>
        <v>#REF!</v>
      </c>
      <c r="AU81" s="10" t="e">
        <f t="shared" si="28"/>
        <v>#REF!</v>
      </c>
      <c r="AV81" s="10"/>
      <c r="AW81" s="10"/>
      <c r="AX81" s="10"/>
      <c r="AY81" s="31" t="str">
        <f>IFERROR(VLOOKUP(AV81,#REF!,3,0),"")</f>
        <v/>
      </c>
      <c r="AZ81" s="31" t="str">
        <f>IFERROR(VLOOKUP(AW81,#REF!,3,0),"")</f>
        <v/>
      </c>
      <c r="BA81" s="31" t="str">
        <f>IFERROR(VLOOKUP(AX81,#REF!,3,0),"")</f>
        <v/>
      </c>
      <c r="BB81" s="31" t="str">
        <f>IFERROR(AY81*#REF!+AZ81*#REF!+BA81*#REF!,"")</f>
        <v/>
      </c>
      <c r="BC81" s="32" t="str">
        <f t="shared" si="29"/>
        <v/>
      </c>
      <c r="BD81" s="32" t="str">
        <f>IFERROR(VLOOKUP(BC81*10,#REF!,2,1),"")</f>
        <v/>
      </c>
      <c r="BE81" s="10"/>
      <c r="BF81" s="10"/>
      <c r="BG81" s="10"/>
      <c r="BH81" s="11" t="s">
        <v>334</v>
      </c>
      <c r="BI81" s="10">
        <v>9.9799995422363299</v>
      </c>
      <c r="BJ81" s="33" t="s">
        <v>319</v>
      </c>
      <c r="BK81" s="33" t="s">
        <v>335</v>
      </c>
      <c r="BL81" s="10">
        <f>IF([1]!s_stmnote_bank_17n(A81,$A$1,1)="0","",[1]!s_stmnote_bank_17n(A81,$A$1,1))</f>
        <v>0</v>
      </c>
      <c r="BM81" s="10">
        <f>IF([1]!s_stmnote_bank_18n(A81,$A$1,1)="0","",[1]!s_stmnote_bank_18n(A81,$A$1,1))</f>
        <v>0</v>
      </c>
      <c r="BN81" s="41" t="s">
        <v>67</v>
      </c>
      <c r="BO81" s="42" t="s">
        <v>67</v>
      </c>
      <c r="BP81" s="52">
        <f>[1]!s_stmnote_bank_5444(A81,$A$1,1)</f>
        <v>1.37</v>
      </c>
      <c r="BQ81" s="52">
        <f>[1]!s_stmnote_bank_129n($A81,$A$1,1)</f>
        <v>49.4</v>
      </c>
      <c r="BR81" s="52">
        <f t="shared" si="34"/>
        <v>4.4775223230817716</v>
      </c>
      <c r="BS81" s="52">
        <f>[1]!b_stm07_is(A81,19,$A$1,1,100000000)</f>
        <v>96.312970000000007</v>
      </c>
      <c r="BT81" s="52">
        <f xml:space="preserve"> [1]!s_stm07_bs(A81,"W15273164",$A$1,1,100000000)-[1]!s_stm07_bs(A81,"W17642530",$A$1,1,100000000)-[1]!s_stm07_bs(A81,"W15910877",$A$1,1,100000000)-[1]!s_stm07_bs_39(A81,$A$1,1,100000000)-[1]!s_stm07_bs(A81,"W17700468",$A$1,1,100000000)-[1]!s_stm07_bs(A81,"W16504296",$A$1,1,100000000)-[1]!s_stm07_bs(A81,"W13769069",$A$1,1,100000000)</f>
        <v>2034.3415199999999</v>
      </c>
      <c r="BU81" s="52">
        <f xml:space="preserve"> [1]!s_stm07_bs(A81,"W15273164",$B$1,1,100000000)-[1]!s_stm07_bs(A81,"W17642530",$B$1,1,100000000)-[1]!s_stm07_bs(A81,"W15910877",$B$1,1,100000000)-[1]!s_stm07_bs_39(A81,$B$1,1,100000000)-[1]!s_stm07_bs(A81,"W17700468",$B$1,1,100000000)-[1]!s_stm07_bs(A81,"W16504296",$B$1,1,100000000)-[1]!s_stm07_bs(A81,"W13769069",$B$1,1,100000000)</f>
        <v>2155.4728100000002</v>
      </c>
      <c r="BV81" s="52">
        <f xml:space="preserve"> [1]!s_stm07_bs(A81,"W15273164",$E$1,1,100000000)-[1]!s_stm07_bs(A81,"W17642530",$E$1,1,100000000)-[1]!s_stm07_bs(A81,"W15910877",$E$1,1,100000000)-[1]!s_stm07_bs_39(A81,$E$1,1,100000000)-[1]!s_stm07_bs(A81,"W17700468",$E$1,1,100000000)-[1]!s_stm07_bs(A81,"W16504296",$E$1,1,100000000)-[1]!s_stm07_bs(A81,"W13769069",$E$1,1,100000000)</f>
        <v>2163.6869697716998</v>
      </c>
      <c r="BW81" s="52">
        <f xml:space="preserve"> [1]!s_stm07_bs(A81,"W15273164",$F$1,1,100000000)-[1]!s_stm07_bs(A81,"W17642530",$F$1,1,100000000)-[1]!s_stm07_bs(A81,"W15910877",$F$1,1,100000000)-[1]!s_stm07_bs_39(A81,$F$1,1,100000000)-[1]!s_stm07_bs(A81,"W17700468",$F$1,1,100000000)-[1]!s_stm07_bs(A81,"W16504296",$F$1,1,100000000)-[1]!s_stm07_bs(A81,"W13769069",$F$1,1,100000000)</f>
        <v>2208.9185816132999</v>
      </c>
      <c r="BX81" s="52">
        <f xml:space="preserve"> [1]!s_stm07_bs(A81,"W15273164",$G$1,1,100000000)-[1]!s_stm07_bs(A81,"W17642530",$G$1,1,100000000)-[1]!s_stm07_bs(A81,"W15910877",$G$1,1,100000000)-[1]!s_stm07_bs_39(A81,$G$1,1,100000000)-[1]!s_stm07_bs(A81,"W17700468",$G$1,1,100000000)-[1]!s_stm07_bs(A81,"W16504296",$G$1,1,100000000)-[1]!s_stm07_bs(A81,"W13769069",$G$1,1,100000000)</f>
        <v>2193.8277910588999</v>
      </c>
      <c r="BY81" s="52">
        <f>IFERROR([1]!b_stm07_is(A81,20,$A$1,1,100000000)/AVERAGEIF(CA81:CE81,"&gt;0")*100,0)</f>
        <v>3.5129915360135313</v>
      </c>
      <c r="BZ81" s="52">
        <f>[1]!b_stm07_is(A81,20,$A$1,1,100000000)</f>
        <v>68.247339999999994</v>
      </c>
      <c r="CA81" s="52">
        <f>[1]!s_stmnote_bank_38(A81,$A$1,1,100000000)</f>
        <v>2092.5098800000001</v>
      </c>
      <c r="CB81" s="52">
        <f>[1]!s_stmnote_bank_38(A81,$B$1,1,100000000)</f>
        <v>2033.1338000000001</v>
      </c>
      <c r="CC81" s="52">
        <f>[1]!s_stmnote_bank_38(A81,$E$1,1,100000000)</f>
        <v>1858.2518313410999</v>
      </c>
      <c r="CD81" s="52">
        <f>[1]!s_stmnote_bank_38(A81,$F$1,1,100000000)</f>
        <v>1883.7768964412001</v>
      </c>
      <c r="CE81" s="52">
        <f>[1]!s_stmnote_bank_38(A81,$G$1,1,100000000)</f>
        <v>1845.8921283631</v>
      </c>
      <c r="CF81" s="52">
        <f>IF(BP81&lt;&gt;0,BP81,IFERROR(IF(([1]!b_stm07_is(A81,19,$A$1,1,100000000)-[1]!b_stm07_is(A81,20,$A$1,1,100000000))/AVERAGE([1]!s_stmnote_bank_35(A81,$A$1,1,100000000),[1]!s_stmnote_bank_35(A81,$B$1,1,100000000))*100=0,"",([1]!b_stm07_is(A81,19,$A$1,1,100000000)-[1]!b_stm07_is(A81,20,$A$1,1,100000000))/AVERAGE([1]!s_stmnote_bank_35(A81,$A$1,1,100000000),[1]!s_stmnote_bank_35(A81,$B$1,1,100000000))*100),""))</f>
        <v>1.37</v>
      </c>
      <c r="CG81" s="27" t="str">
        <f t="shared" si="30"/>
        <v>160 171</v>
      </c>
      <c r="CH81" s="80">
        <f t="shared" si="35"/>
        <v>0.57805907172995774</v>
      </c>
      <c r="CI81" s="27" t="str">
        <f t="shared" si="31"/>
        <v>102 169</v>
      </c>
      <c r="CJ81" s="55">
        <f>[1]!s_stmnote_bank_30(A81,$A$1,1)</f>
        <v>29.250699999999998</v>
      </c>
      <c r="CP81" s="69">
        <f>[1]!b_stm07_bs($A81,141,$A$1,1,100000000)</f>
        <v>136.78729000000001</v>
      </c>
      <c r="CQ81" s="69">
        <f>[1]!b_stm07_bs($A81,141,$D$1,1,100000000)</f>
        <v>137.9265821868</v>
      </c>
      <c r="CR81" s="68">
        <f>IF([1]!s_fa_roic_yearly($A81,$A$1)=0,"",[1]!s_fa_roic_yearly($A81,$A$1))</f>
        <v>5.6203000000000003</v>
      </c>
      <c r="CS81" s="27">
        <f>RANK(CR81,CR$5:CR$192,0)/COUNTIF(CR$5:CR$192,"&gt;0")</f>
        <v>0.78106508875739644</v>
      </c>
      <c r="CT81" s="68">
        <f>IF([1]!s_fa_roic_yearly($A81,$D$1)=0,"",[1]!s_fa_roic_yearly($A81,$D$1))</f>
        <v>5.7610000000000001</v>
      </c>
      <c r="CU81" s="27">
        <f>RANK(CT81,CT$5:CT$192,0)/COUNTIF(CT$5:CT$192,"&gt;0")</f>
        <v>0.86619718309859151</v>
      </c>
      <c r="CV81" s="78">
        <f>[1]!s_stm07_bs(A81,"W14578191",$A$1,1,100000000)</f>
        <v>1314.0193400000001</v>
      </c>
      <c r="CW81" s="78">
        <f>[1]!s_stmnote_bank_682($A81,$A$1,1,2,100000000)</f>
        <v>368.2398</v>
      </c>
      <c r="CX81" s="79">
        <f t="shared" si="32"/>
        <v>0.28023925431721575</v>
      </c>
    </row>
    <row r="82" spans="1:102" ht="13.5">
      <c r="A82" s="8" t="s">
        <v>488</v>
      </c>
      <c r="B82" s="8" t="s">
        <v>489</v>
      </c>
      <c r="C82" s="9" t="s">
        <v>490</v>
      </c>
      <c r="D82" s="9" t="s">
        <v>1066</v>
      </c>
      <c r="E82" s="10"/>
      <c r="F82" s="11" t="s">
        <v>90</v>
      </c>
      <c r="G82" s="11" t="s">
        <v>67</v>
      </c>
      <c r="H82" s="11" t="s">
        <v>103</v>
      </c>
      <c r="I82" s="11"/>
      <c r="J82" s="11" t="e">
        <f>VLOOKUP(B82,[3]额度信息!$B:$T,19,0)</f>
        <v>#N/A</v>
      </c>
      <c r="K82" s="11"/>
      <c r="L82" s="27">
        <f>IFERROR(([1]!b_stm07_bs($A82,47,$A$1,1,100000000))/[1]!b_stm07_bs($A82,109,$A$1,1,100000000),"")</f>
        <v>6.0794296818268471E-2</v>
      </c>
      <c r="M82" s="20"/>
      <c r="N82" s="18"/>
      <c r="O82" s="27" t="e">
        <f t="shared" si="24"/>
        <v>#N/A</v>
      </c>
      <c r="P82" s="21">
        <f t="shared" si="33"/>
        <v>3.3716012133642864E-2</v>
      </c>
      <c r="Q82" s="27" t="str">
        <f t="shared" si="25"/>
        <v>98 169</v>
      </c>
      <c r="R82" s="18">
        <f>IFERROR([1]!s_stmnote_bank($A82,"34",$A$1,100000000)/[1]!s_stmnote_bank_1n(A82,$A$1,1,100000000),"")</f>
        <v>2.4516012133642864E-2</v>
      </c>
      <c r="S82" s="22"/>
      <c r="T82" s="22"/>
      <c r="U82" s="22"/>
      <c r="V82" s="22"/>
      <c r="W82" s="22"/>
      <c r="X82" s="22"/>
      <c r="Y82" s="22"/>
      <c r="Z82" s="25">
        <f>[1]!b_stm07_bs(A82,74,$A$1,1,100000000)</f>
        <v>619.79742751430001</v>
      </c>
      <c r="AA82" s="25">
        <f>[1]!b_stm07_bs(A82,109,$A$1,1,100000000)</f>
        <v>514.66611366410007</v>
      </c>
      <c r="AB82" s="10">
        <f>[1]!s_stmnote_bank_5n(A82,$A$1,1)</f>
        <v>0.92</v>
      </c>
      <c r="AC82" s="25">
        <f>IF([1]!s_stmnote_bank_23n(A82,$A$1,1)=0,"",IFERROR([1]!s_stmnote_bank_23n(A82,$A$1,1),""))</f>
        <v>657.50220000000002</v>
      </c>
      <c r="AD82" s="27" t="str">
        <f t="shared" si="26"/>
        <v>161 167</v>
      </c>
      <c r="AE82" s="25">
        <f>[1]!s_stmnote_bank_capadequacyratio(A82,$A$1,1)</f>
        <v>15.4559</v>
      </c>
      <c r="AF82" s="25">
        <f>IF([1]!s_stmnote_bank_capadequacyratio_ct1(A82,$A$1,1)=0,"",IFERROR([1]!s_stmnote_bank_capadequacyratio_ct1(A82,$A$1,1),""))</f>
        <v>13.113899999999999</v>
      </c>
      <c r="AG82" s="27" t="str">
        <f>RANK(AF82,AF$5:AF$192,1)&amp;" "&amp;COUNTIF(AF$5:AF$192,"&gt;0")</f>
        <v>141 167</v>
      </c>
      <c r="AH82" s="6">
        <f>IF(OR([1]!s_fa_roe(A82,20201231)=0,[1]!s_fa_roe(A82,20211231)="0",[1]!s_fa_roe(A82,20221231)="0"),"",IFERROR(([1]!s_fa_roe(A82,20221231)+[1]!s_fa_roe(A82,20201231)+[1]!s_fa_roe(A82,20211231))/3,""))</f>
        <v>8.8103999999999996</v>
      </c>
      <c r="AI82" s="27" t="str">
        <f t="shared" si="27"/>
        <v>92 173</v>
      </c>
      <c r="AJ82" s="28">
        <f>IFERROR(([1]!s_stmnote_bank_65(A82,$A$1,1,2,4,100000000)+[1]!s_stmnote_bank_65(A82,$A$1,1,2,6,100000000))/[1]!s_stmnote_bank_1n(A82,$A$1,1,100000000),"")</f>
        <v>0</v>
      </c>
      <c r="AK82" s="28">
        <f>IFERROR([1]!s_stmnote_bank_614(A82,$A$1,1,2,100000000)/[1]!s_stmnote_bank_647(A82,$A$1,1,2,100000000),"")</f>
        <v>0.22174861214407704</v>
      </c>
      <c r="AL82" s="28">
        <f>IFERROR(([1]!b_stm07_bs(A82,104,$A$1,1,100000000)+[1]!b_stm07_bs(A82,106,$A$1,1,100000000)+[1]!b_stm07_bs(A82,76,$A$1,1,100000000)+[1]!b_stm07_bs(A82,108,$A$1,1,100000000)+[1]!b_stm07_bs(A82,95,$A$1,1,100000000))/[1]!b_stm07_bs(A82,128,$A$1,1,100000000),"")</f>
        <v>6.7452751521160578E-2</v>
      </c>
      <c r="AM82" s="28">
        <f>IFERROR(([1]!s_stmnote_bank_614(A82,$A$1,1,2,100000000)+[1]!b_stm07_bs(A82,104,$A$1,1,100000000)+[1]!b_stm07_bs(A82,106,$A$1,1,100000000)+[1]!b_stm07_bs(A82,76,$A$1,1,100000000)+[1]!b_stm07_bs(A82,108,$A$1,1,100000000)+[1]!b_stm07_bs(A82,95,$A$1,1,100000000))/[1]!b_stm07_bs(A82,128,$A$1,1,100000000),"")</f>
        <v>0.26912770421379562</v>
      </c>
      <c r="AN82" s="31" t="e">
        <f>IF(Z82&gt;#REF!,#REF!,IF(Z82&gt;#REF!,#REF!,IF(Z82&gt;#REF!,#REF!,IF(Z82&gt;#REF!,#REF!,IF(Z82&gt;#REF!,#REF!,IF(Z82&gt;#REF!,#REF!,IF(Z82&gt;#REF!,#REF!,#REF!)))))))</f>
        <v>#REF!</v>
      </c>
      <c r="AO82" s="31" t="e">
        <f>IF(AA82&gt;#REF!,#REF!,IF(AA82&gt;#REF!,#REF!,IF(AA82&gt;#REF!,#REF!,IF(AA82&gt;#REF!,#REF!,IF(AA82&gt;#REF!,#REF!,IF(AA82&gt;#REF!,#REF!,IF(AA82&gt;#REF!,#REF!,#REF!)))))))</f>
        <v>#REF!</v>
      </c>
      <c r="AP82" s="31" t="e">
        <f>IF(AB82&lt;#REF!,#REF!,IF(AB82&lt;#REF!,#REF!,IF(AB82&lt;#REF!,#REF!,IF(AB82&lt;#REF!,#REF!,IF(AB82&lt;#REF!,#REF!,IF(AB82&lt;#REF!,#REF!,#REF!))))))</f>
        <v>#REF!</v>
      </c>
      <c r="AQ82" s="31" t="e">
        <f>IF(AC82&gt;#REF!,#REF!,IF(AC82&gt;#REF!,#REF!,IF(AC82&gt;#REF!,#REF!,IF(AC82&gt;#REF!,#REF!,#REF!))))</f>
        <v>#REF!</v>
      </c>
      <c r="AR82" s="31" t="e">
        <f>IF(AE82&gt;#REF!,#REF!,IF(AE82&gt;#REF!,#REF!,IF(AE82&gt;#REF!,#REF!,IF(AE82&gt;#REF!,#REF!,#REF!))))</f>
        <v>#REF!</v>
      </c>
      <c r="AS82" s="31" t="e">
        <f>IF(AF82&gt;#REF!,#REF!,IF(AF82&gt;#REF!,#REF!,IF(AF82&gt;#REF!,#REF!,IF(AF82&gt;#REF!,#REF!,#REF!))))</f>
        <v>#REF!</v>
      </c>
      <c r="AT82" s="31" t="e">
        <f>IF(AH82&gt;#REF!,#REF!,IF(AH82&gt;#REF!,#REF!,IF(AH82&gt;#REF!,#REF!,IF(AH82&gt;#REF!,#REF!,IF(AH82&gt;#REF!,#REF!,#REF!)))))</f>
        <v>#REF!</v>
      </c>
      <c r="AU82" s="10" t="e">
        <f t="shared" si="28"/>
        <v>#REF!</v>
      </c>
      <c r="AV82" s="10"/>
      <c r="AW82" s="10"/>
      <c r="AX82" s="10"/>
      <c r="AY82" s="31" t="str">
        <f>IFERROR(VLOOKUP(AV82,#REF!,3,0),"")</f>
        <v/>
      </c>
      <c r="AZ82" s="31" t="str">
        <f>IFERROR(VLOOKUP(AW82,#REF!,3,0),"")</f>
        <v/>
      </c>
      <c r="BA82" s="31" t="str">
        <f>IFERROR(VLOOKUP(AX82,#REF!,3,0),"")</f>
        <v/>
      </c>
      <c r="BB82" s="31" t="str">
        <f>IFERROR(AY82*#REF!+AZ82*#REF!+BA82*#REF!,"")</f>
        <v/>
      </c>
      <c r="BC82" s="32" t="str">
        <f t="shared" si="29"/>
        <v/>
      </c>
      <c r="BD82" s="32" t="str">
        <f>IFERROR(VLOOKUP(BC82*10,#REF!,2,1),"")</f>
        <v/>
      </c>
      <c r="BE82" s="10"/>
      <c r="BF82" s="10"/>
      <c r="BG82" s="10"/>
      <c r="BH82" s="11" t="s">
        <v>491</v>
      </c>
      <c r="BI82" s="10">
        <v>4.1900000572204599</v>
      </c>
      <c r="BJ82" s="11" t="s">
        <v>111</v>
      </c>
      <c r="BK82" s="33" t="s">
        <v>447</v>
      </c>
      <c r="BL82" s="10">
        <f>IF([1]!s_stmnote_bank_17n(A82,$A$1,1)="0","",[1]!s_stmnote_bank_17n(A82,$A$1,1))</f>
        <v>0</v>
      </c>
      <c r="BM82" s="10">
        <f>IF([1]!s_stmnote_bank_18n(A82,$A$1,1)="0","",[1]!s_stmnote_bank_18n(A82,$A$1,1))</f>
        <v>0</v>
      </c>
      <c r="BN82" s="41"/>
      <c r="BO82" s="52"/>
      <c r="BP82" s="52">
        <f>[1]!s_stmnote_bank_5444(A82,$A$1,1)</f>
        <v>0</v>
      </c>
      <c r="BQ82" s="52">
        <f>[1]!s_stmnote_bank_129n($A82,$A$1,1)</f>
        <v>26.3124</v>
      </c>
      <c r="BR82" s="52">
        <f t="shared" si="34"/>
        <v>4.7658127783887112</v>
      </c>
      <c r="BS82" s="52">
        <f>[1]!b_stm07_is(A82,19,$A$1,1,100000000)</f>
        <v>27.715497087500001</v>
      </c>
      <c r="BT82" s="52">
        <f xml:space="preserve"> [1]!s_stm07_bs(A82,"W15273164",$A$1,1,100000000)-[1]!s_stm07_bs(A82,"W17642530",$A$1,1,100000000)-[1]!s_stm07_bs(A82,"W15910877",$A$1,1,100000000)-[1]!s_stm07_bs_39(A82,$A$1,1,100000000)-[1]!s_stm07_bs(A82,"W17700468",$A$1,1,100000000)-[1]!s_stm07_bs(A82,"W16504296",$A$1,1,100000000)-[1]!s_stm07_bs(A82,"W13769069",$A$1,1,100000000)</f>
        <v>612.94058530589996</v>
      </c>
      <c r="BU82" s="52">
        <f xml:space="preserve"> [1]!s_stm07_bs(A82,"W15273164",$B$1,1,100000000)-[1]!s_stm07_bs(A82,"W17642530",$B$1,1,100000000)-[1]!s_stm07_bs(A82,"W15910877",$B$1,1,100000000)-[1]!s_stm07_bs_39(A82,$B$1,1,100000000)-[1]!s_stm07_bs(A82,"W17700468",$B$1,1,100000000)-[1]!s_stm07_bs(A82,"W16504296",$B$1,1,100000000)-[1]!s_stm07_bs(A82,"W13769069",$B$1,1,100000000)</f>
        <v>570.10384223069991</v>
      </c>
      <c r="BV82" s="52">
        <f xml:space="preserve"> [1]!s_stm07_bs(A82,"W15273164",$E$1,1,100000000)-[1]!s_stm07_bs(A82,"W17642530",$E$1,1,100000000)-[1]!s_stm07_bs(A82,"W15910877",$E$1,1,100000000)-[1]!s_stm07_bs_39(A82,$E$1,1,100000000)-[1]!s_stm07_bs(A82,"W17700468",$E$1,1,100000000)-[1]!s_stm07_bs(A82,"W16504296",$E$1,1,100000000)-[1]!s_stm07_bs(A82,"W13769069",$E$1,1,100000000)</f>
        <v>601.63451979939998</v>
      </c>
      <c r="BW82" s="52">
        <f xml:space="preserve"> [1]!s_stm07_bs(A82,"W15273164",$F$1,1,100000000)-[1]!s_stm07_bs(A82,"W17642530",$F$1,1,100000000)-[1]!s_stm07_bs(A82,"W15910877",$F$1,1,100000000)-[1]!s_stm07_bs_39(A82,$F$1,1,100000000)-[1]!s_stm07_bs(A82,"W17700468",$F$1,1,100000000)-[1]!s_stm07_bs(A82,"W16504296",$F$1,1,100000000)-[1]!s_stm07_bs(A82,"W13769069",$F$1,1,100000000)</f>
        <v>602.22532666350014</v>
      </c>
      <c r="BX82" s="52">
        <f xml:space="preserve"> [1]!s_stm07_bs(A82,"W15273164",$G$1,1,100000000)-[1]!s_stm07_bs(A82,"W17642530",$G$1,1,100000000)-[1]!s_stm07_bs(A82,"W15910877",$G$1,1,100000000)-[1]!s_stm07_bs_39(A82,$G$1,1,100000000)-[1]!s_stm07_bs(A82,"W17700468",$G$1,1,100000000)-[1]!s_stm07_bs(A82,"W16504296",$G$1,1,100000000)-[1]!s_stm07_bs(A82,"W13769069",$G$1,1,100000000)</f>
        <v>617.54330244610003</v>
      </c>
      <c r="BY82" s="52">
        <f>IFERROR([1]!b_stm07_is(A82,20,$A$1,1,100000000)/AVERAGEIF(CA82:CE82,"&gt;0")*100,0)</f>
        <v>2.6177391066965301</v>
      </c>
      <c r="BZ82" s="52">
        <f>[1]!b_stm07_is(A82,20,$A$1,1,100000000)</f>
        <v>14.4694693675</v>
      </c>
      <c r="CA82" s="52">
        <f>[1]!s_stmnote_bank_38(A82,$A$1,1,100000000)</f>
        <v>562.80887036269996</v>
      </c>
      <c r="CB82" s="52">
        <f>[1]!s_stmnote_bank_38(A82,$B$1,1,100000000)</f>
        <v>522.15948626519992</v>
      </c>
      <c r="CC82" s="52">
        <f>[1]!s_stmnote_bank_38(A82,$E$1,1,100000000)</f>
        <v>553.65299275739994</v>
      </c>
      <c r="CD82" s="52">
        <f>[1]!s_stmnote_bank_38(A82,$F$1,1,100000000)</f>
        <v>554.95167768099998</v>
      </c>
      <c r="CE82" s="52">
        <f>[1]!s_stmnote_bank_38(A82,$G$1,1,100000000)</f>
        <v>570.16101550600001</v>
      </c>
      <c r="CF82" s="52">
        <f>IF(BP82&lt;&gt;0,BP82,IFERROR(IF(([1]!b_stm07_is(A82,19,$A$1,1,100000000)-[1]!b_stm07_is(A82,20,$A$1,1,100000000))/AVERAGE([1]!s_stmnote_bank_35(A82,$A$1,1,100000000),[1]!s_stmnote_bank_35(A82,$B$1,1,100000000))*100=0,"",([1]!b_stm07_is(A82,19,$A$1,1,100000000)-[1]!b_stm07_is(A82,20,$A$1,1,100000000))/AVERAGE([1]!s_stmnote_bank_35(A82,$A$1,1,100000000),[1]!s_stmnote_bank_35(A82,$B$1,1,100000000))*100),""))</f>
        <v>2.3986754674807713</v>
      </c>
      <c r="CG82" s="27" t="str">
        <f t="shared" si="30"/>
        <v>38 171</v>
      </c>
      <c r="CH82" s="80">
        <f t="shared" si="35"/>
        <v>0.71143510625543394</v>
      </c>
      <c r="CI82" s="27" t="str">
        <f t="shared" si="31"/>
        <v>79 169</v>
      </c>
      <c r="CJ82" s="55">
        <f>[1]!s_stmnote_bank_30(A82,$A$1,1)</f>
        <v>21.5092</v>
      </c>
      <c r="CK82" s="46"/>
      <c r="CL82" s="46"/>
      <c r="CM82" s="46"/>
      <c r="CN82" s="46"/>
      <c r="CO82" s="46"/>
      <c r="CP82" s="69">
        <f>[1]!b_stm07_bs($A82,141,$A$1,1,100000000)</f>
        <v>53.904167598500003</v>
      </c>
      <c r="CQ82" s="69">
        <f>[1]!b_stm07_bs($A82,141,$D$1,1,100000000)</f>
        <v>56.3566400857</v>
      </c>
      <c r="CR82" s="68">
        <f>IF([1]!s_fa_roic_yearly($A82,$A$1)=0,"",[1]!s_fa_roic_yearly($A82,$A$1))</f>
        <v>8.6428999999999991</v>
      </c>
      <c r="CS82" s="27">
        <f>RANK(CR82,CR$5:CR$192,0)/COUNTIF(CR$5:CR$192,"&gt;0")</f>
        <v>0.52662721893491127</v>
      </c>
      <c r="CT82" s="68">
        <f>IF([1]!s_fa_roic_yearly($A82,$D$1)=0,"",[1]!s_fa_roic_yearly($A82,$D$1))</f>
        <v>12.361800000000001</v>
      </c>
      <c r="CU82" s="27">
        <f>RANK(CT82,CT$5:CT$192,0)/COUNTIF(CT$5:CT$192,"&gt;0")</f>
        <v>0.24647887323943662</v>
      </c>
      <c r="CV82" s="78">
        <f>[1]!s_stm07_bs(A82,"W14578191",$A$1,1,100000000)</f>
        <v>354.89766370320001</v>
      </c>
      <c r="CW82" s="78">
        <f>[1]!s_stmnote_bank_682($A82,$A$1,1,2,100000000)</f>
        <v>0</v>
      </c>
      <c r="CX82" s="79" t="str">
        <f t="shared" si="32"/>
        <v/>
      </c>
    </row>
    <row r="83" spans="1:102" s="46" customFormat="1" ht="13.5">
      <c r="A83" s="8" t="s">
        <v>806</v>
      </c>
      <c r="B83" s="8" t="s">
        <v>807</v>
      </c>
      <c r="C83" s="9" t="s">
        <v>1076</v>
      </c>
      <c r="D83" s="9" t="s">
        <v>1064</v>
      </c>
      <c r="E83" s="10" t="s">
        <v>808</v>
      </c>
      <c r="F83" s="11" t="s">
        <v>178</v>
      </c>
      <c r="G83" s="11" t="s">
        <v>76</v>
      </c>
      <c r="H83" s="11" t="s">
        <v>66</v>
      </c>
      <c r="I83" s="11"/>
      <c r="J83" s="11">
        <f>VLOOKUP(B83,[3]额度信息!$B:$T,19,0)</f>
        <v>20</v>
      </c>
      <c r="K83" s="11" t="s">
        <v>809</v>
      </c>
      <c r="L83" s="27">
        <f>IFERROR(([1]!b_stm07_bs($A83,47,$A$1,1,100000000))/[1]!b_stm07_bs($A83,109,$A$1,1,100000000),"")</f>
        <v>0.10434078644569268</v>
      </c>
      <c r="M83" s="20">
        <v>651.36</v>
      </c>
      <c r="N83" s="18">
        <f>IFERROR(([1]!s_stmnote_bank_26($A83,$A$1,1,100000000)-[1]!s_stmnote_bank_26($A83,$B$1,1,100000000)+M83)/[1]!s_stmnote_bank_1n($A83,$B$1,1,100000000),"")</f>
        <v>2.4386255544674881E-2</v>
      </c>
      <c r="O83" s="27" t="str">
        <f t="shared" si="24"/>
        <v>47 50</v>
      </c>
      <c r="P83" s="21">
        <f t="shared" si="33"/>
        <v>2.8400381417420201E-2</v>
      </c>
      <c r="Q83" s="27" t="str">
        <f t="shared" si="25"/>
        <v>76 169</v>
      </c>
      <c r="R83" s="18">
        <v>1.8200381417420201E-2</v>
      </c>
      <c r="S83" s="22">
        <v>1.33814495604148E-2</v>
      </c>
      <c r="T83" s="22">
        <v>1.0114260019266101E-2</v>
      </c>
      <c r="U83" s="22">
        <v>2.2607288076288101E-2</v>
      </c>
      <c r="V83" s="22"/>
      <c r="W83" s="22">
        <v>8.0561935904278105E-3</v>
      </c>
      <c r="X83" s="22">
        <v>1.1806020362731399E-2</v>
      </c>
      <c r="Y83" s="22">
        <v>0.47040459540459501</v>
      </c>
      <c r="Z83" s="25">
        <f>[1]!b_stm07_bs(A83,74,$A$1,1,100000000)</f>
        <v>49213.8</v>
      </c>
      <c r="AA83" s="25">
        <f>[1]!b_stm07_bs(A83,109,$A$1,1,100000000)</f>
        <v>29905.18</v>
      </c>
      <c r="AB83" s="10">
        <f>[1]!s_stmnote_bank_5n(A83,$A$1,1)</f>
        <v>1.02</v>
      </c>
      <c r="AC83" s="25">
        <f>IF([1]!s_stmnote_bank_23n(A83,$A$1,1)=0,"",IFERROR([1]!s_stmnote_bank_23n(A83,$A$1,1),""))</f>
        <v>288.42</v>
      </c>
      <c r="AD83" s="27" t="str">
        <f t="shared" si="26"/>
        <v>102 167</v>
      </c>
      <c r="AE83" s="25">
        <f>[1]!s_stmnote_bank_capadequacyratio(A83,$A$1,1)</f>
        <v>13.34</v>
      </c>
      <c r="AF83" s="25">
        <f>IF([1]!s_stmnote_bank_capadequacyratio_ct1(A83,$A$1,1)=0,"",IFERROR([1]!s_stmnote_bank_capadequacyratio_ct1(A83,$A$1,1),""))</f>
        <v>8.6</v>
      </c>
      <c r="AG83" s="27" t="str">
        <f>RANK(AF83,AF$5:AF$192,0)&amp;" "&amp;COUNTIF(AF$5:AF$192,"&gt;0")</f>
        <v>141 167</v>
      </c>
      <c r="AH83" s="6">
        <f>IF(OR([1]!s_fa_roe(A83,20201231)=0,[1]!s_fa_roe(A83,20211231)="0",[1]!s_fa_roe(A83,20221231)="0"),"",IFERROR(([1]!s_fa_roe(A83,20221231)+[1]!s_fa_roe(A83,20201231)+[1]!s_fa_roe(A83,20211231))/3,""))</f>
        <v>9.6926333333333332</v>
      </c>
      <c r="AI83" s="27" t="str">
        <f t="shared" si="27"/>
        <v>113 173</v>
      </c>
      <c r="AJ83" s="28">
        <f>IFERROR(([1]!s_stmnote_bank_65(A83,$A$1,1,2,4,100000000)+[1]!s_stmnote_bank_65(A83,$A$1,1,2,6,100000000))/[1]!s_stmnote_bank_1n(A83,$A$1,1,100000000),"")</f>
        <v>0.1100054579023375</v>
      </c>
      <c r="AK83" s="28">
        <f>IFERROR([1]!s_stmnote_bank_614(A83,$A$1,1,2,100000000)/[1]!s_stmnote_bank_647(A83,$A$1,1,2,100000000),"")</f>
        <v>0.29623619809313129</v>
      </c>
      <c r="AL83" s="28">
        <f>IFERROR(([1]!b_stm07_bs(A83,104,$A$1,1,100000000)+[1]!b_stm07_bs(A83,106,$A$1,1,100000000)+[1]!b_stm07_bs(A83,76,$A$1,1,100000000)+[1]!b_stm07_bs(A83,108,$A$1,1,100000000)+[1]!b_stm07_bs(A83,95,$A$1,1,100000000))/[1]!b_stm07_bs(A83,128,$A$1,1,100000000),"")</f>
        <v>0.28559487857970467</v>
      </c>
      <c r="AM83" s="28">
        <f>IFERROR(([1]!s_stmnote_bank_614(A83,$A$1,1,2,100000000)+[1]!b_stm07_bs(A83,104,$A$1,1,100000000)+[1]!b_stm07_bs(A83,106,$A$1,1,100000000)+[1]!b_stm07_bs(A83,76,$A$1,1,100000000)+[1]!b_stm07_bs(A83,108,$A$1,1,100000000)+[1]!b_stm07_bs(A83,95,$A$1,1,100000000))/[1]!b_stm07_bs(A83,128,$A$1,1,100000000),"")</f>
        <v>0.47945506030581098</v>
      </c>
      <c r="AN83" s="31" t="e">
        <f>IF(Z83&gt;#REF!,#REF!,IF(Z83&gt;#REF!,#REF!,IF(Z83&gt;#REF!,#REF!,IF(Z83&gt;#REF!,#REF!,IF(Z83&gt;#REF!,#REF!,IF(Z83&gt;#REF!,#REF!,IF(Z83&gt;#REF!,#REF!,#REF!)))))))</f>
        <v>#REF!</v>
      </c>
      <c r="AO83" s="31" t="e">
        <f>IF(AA83&gt;#REF!,#REF!,IF(AA83&gt;#REF!,#REF!,IF(AA83&gt;#REF!,#REF!,IF(AA83&gt;#REF!,#REF!,IF(AA83&gt;#REF!,#REF!,IF(AA83&gt;#REF!,#REF!,IF(AA83&gt;#REF!,#REF!,#REF!)))))))</f>
        <v>#REF!</v>
      </c>
      <c r="AP83" s="31" t="e">
        <f>IF(AB83&lt;#REF!,#REF!,IF(AB83&lt;#REF!,#REF!,IF(AB83&lt;#REF!,#REF!,IF(AB83&lt;#REF!,#REF!,IF(AB83&lt;#REF!,#REF!,IF(AB83&lt;#REF!,#REF!,#REF!))))))</f>
        <v>#REF!</v>
      </c>
      <c r="AQ83" s="31" t="e">
        <f>IF(AC83&gt;#REF!,#REF!,IF(AC83&gt;#REF!,#REF!,IF(AC83&gt;#REF!,#REF!,IF(AC83&gt;#REF!,#REF!,#REF!))))</f>
        <v>#REF!</v>
      </c>
      <c r="AR83" s="31" t="e">
        <f>IF(AE83&gt;#REF!,#REF!,IF(AE83&gt;#REF!,#REF!,IF(AE83&gt;#REF!,#REF!,IF(AE83&gt;#REF!,#REF!,#REF!))))</f>
        <v>#REF!</v>
      </c>
      <c r="AS83" s="31" t="e">
        <f>IF(AF83&gt;#REF!,#REF!,IF(AF83&gt;#REF!,#REF!,IF(AF83&gt;#REF!,#REF!,IF(AF83&gt;#REF!,#REF!,#REF!))))</f>
        <v>#REF!</v>
      </c>
      <c r="AT83" s="31" t="e">
        <f>IF(AH83&gt;#REF!,#REF!,IF(AH83&gt;#REF!,#REF!,IF(AH83&gt;#REF!,#REF!,IF(AH83&gt;#REF!,#REF!,IF(AH83&gt;#REF!,#REF!,#REF!)))))</f>
        <v>#REF!</v>
      </c>
      <c r="AU83" s="10" t="e">
        <f t="shared" si="28"/>
        <v>#REF!</v>
      </c>
      <c r="AV83" s="10" t="s">
        <v>395</v>
      </c>
      <c r="AW83" s="10" t="s">
        <v>61</v>
      </c>
      <c r="AX83" s="10" t="s">
        <v>261</v>
      </c>
      <c r="AY83" s="31" t="str">
        <f>IFERROR(VLOOKUP(AV83,#REF!,3,0),"")</f>
        <v/>
      </c>
      <c r="AZ83" s="31" t="str">
        <f>IFERROR(VLOOKUP(AW83,#REF!,3,0),"")</f>
        <v/>
      </c>
      <c r="BA83" s="31" t="str">
        <f>IFERROR(VLOOKUP(AX83,#REF!,3,0),"")</f>
        <v/>
      </c>
      <c r="BB83" s="31" t="str">
        <f>IFERROR(AY83*#REF!+AZ83*#REF!+BA83*#REF!,"")</f>
        <v/>
      </c>
      <c r="BC83" s="32" t="str">
        <f t="shared" si="29"/>
        <v/>
      </c>
      <c r="BD83" s="32" t="str">
        <f>IFERROR(VLOOKUP(BC83*10,#REF!,2,1),"")</f>
        <v/>
      </c>
      <c r="BE83" s="11">
        <v>2</v>
      </c>
      <c r="BF83" s="11">
        <v>0</v>
      </c>
      <c r="BG83" s="10" t="s">
        <v>713</v>
      </c>
      <c r="BH83" s="11" t="s">
        <v>810</v>
      </c>
      <c r="BI83" s="10">
        <v>49.560001373291001</v>
      </c>
      <c r="BJ83" s="33" t="s">
        <v>71</v>
      </c>
      <c r="BK83" s="33" t="s">
        <v>72</v>
      </c>
      <c r="BL83" s="10">
        <f>IF([1]!s_stmnote_bank_17n(A83,$A$1,1)="0","",[1]!s_stmnote_bank_17n(A83,$A$1,1))</f>
        <v>2.25</v>
      </c>
      <c r="BM83" s="10">
        <f>IF([1]!s_stmnote_bank_18n(A83,$A$1,1)="0","",[1]!s_stmnote_bank_18n(A83,$A$1,1))</f>
        <v>12.66</v>
      </c>
      <c r="BN83" s="41">
        <v>4.83</v>
      </c>
      <c r="BO83" s="52">
        <v>2.16</v>
      </c>
      <c r="BP83" s="52">
        <f>[1]!s_stmnote_bank_5444(A83,$A$1,1)</f>
        <v>2.79</v>
      </c>
      <c r="BQ83" s="52">
        <f>[1]!s_stmnote_bank_129n($A83,$A$1,1)</f>
        <v>28.3</v>
      </c>
      <c r="BR83" s="52">
        <f t="shared" si="34"/>
        <v>4.7715760155637543</v>
      </c>
      <c r="BS83" s="52">
        <f>[1]!b_stm07_is(A83,19,$A$1,1,100000000)</f>
        <v>2135.36</v>
      </c>
      <c r="BT83" s="52">
        <f xml:space="preserve"> [1]!s_stm07_bs(A83,"W15273164",$A$1,1,100000000)-[1]!s_stm07_bs(A83,"W17642530",$A$1,1,100000000)-[1]!s_stm07_bs(A83,"W15910877",$A$1,1,100000000)-[1]!s_stm07_bs_39(A83,$A$1,1,100000000)-[1]!s_stm07_bs(A83,"W17700468",$A$1,1,100000000)-[1]!s_stm07_bs(A83,"W16504296",$A$1,1,100000000)-[1]!s_stm07_bs(A83,"W13769069",$A$1,1,100000000)</f>
        <v>48141.380000000005</v>
      </c>
      <c r="BU83" s="52">
        <f xml:space="preserve"> [1]!s_stm07_bs(A83,"W15273164",$B$1,1,100000000)-[1]!s_stm07_bs(A83,"W17642530",$B$1,1,100000000)-[1]!s_stm07_bs(A83,"W15910877",$B$1,1,100000000)-[1]!s_stm07_bs_39(A83,$B$1,1,100000000)-[1]!s_stm07_bs(A83,"W17700468",$B$1,1,100000000)-[1]!s_stm07_bs(A83,"W16504296",$B$1,1,100000000)-[1]!s_stm07_bs(A83,"W13769069",$B$1,1,100000000)</f>
        <v>43865.87</v>
      </c>
      <c r="BV83" s="52">
        <f xml:space="preserve"> [1]!s_stm07_bs(A83,"W15273164",$E$1,1,100000000)-[1]!s_stm07_bs(A83,"W17642530",$E$1,1,100000000)-[1]!s_stm07_bs(A83,"W15910877",$E$1,1,100000000)-[1]!s_stm07_bs_39(A83,$E$1,1,100000000)-[1]!s_stm07_bs(A83,"W17700468",$E$1,1,100000000)-[1]!s_stm07_bs(A83,"W16504296",$E$1,1,100000000)-[1]!s_stm07_bs(A83,"W13769069",$E$1,1,100000000)</f>
        <v>47436.950000000004</v>
      </c>
      <c r="BW83" s="52">
        <f xml:space="preserve"> [1]!s_stm07_bs(A83,"W15273164",$F$1,1,100000000)-[1]!s_stm07_bs(A83,"W17642530",$F$1,1,100000000)-[1]!s_stm07_bs(A83,"W15910877",$F$1,1,100000000)-[1]!s_stm07_bs_39(A83,$F$1,1,100000000)-[1]!s_stm07_bs(A83,"W17700468",$F$1,1,100000000)-[1]!s_stm07_bs(A83,"W16504296",$F$1,1,100000000)-[1]!s_stm07_bs(A83,"W13769069",$F$1,1,100000000)</f>
        <v>46194.909999999989</v>
      </c>
      <c r="BX83" s="52">
        <f xml:space="preserve"> [1]!s_stm07_bs(A83,"W15273164",$G$1,1,100000000)-[1]!s_stm07_bs(A83,"W17642530",$G$1,1,100000000)-[1]!s_stm07_bs(A83,"W15910877",$G$1,1,100000000)-[1]!s_stm07_bs_39(A83,$G$1,1,100000000)-[1]!s_stm07_bs(A83,"W17700468",$G$1,1,100000000)-[1]!s_stm07_bs(A83,"W16504296",$G$1,1,100000000)-[1]!s_stm07_bs(A83,"W13769069",$G$1,1,100000000)</f>
        <v>44801.71</v>
      </c>
      <c r="BY83" s="52">
        <f>IFERROR([1]!b_stm07_is(A83,20,$A$1,1,100000000)/AVERAGEIF(CA83:CE83,"&gt;0")*100,0)</f>
        <v>2.2009361157511029</v>
      </c>
      <c r="BZ83" s="52">
        <f>[1]!b_stm07_is(A83,20,$A$1,1,100000000)</f>
        <v>932</v>
      </c>
      <c r="CA83" s="52">
        <f>[1]!s_stmnote_bank_38(A83,$A$1,1,100000000)</f>
        <v>44312.63</v>
      </c>
      <c r="CB83" s="52">
        <f>[1]!s_stmnote_bank_38(A83,$B$1,1,100000000)</f>
        <v>40097.629999999997</v>
      </c>
      <c r="CC83" s="52">
        <f>[1]!s_stmnote_bank_38(A83,$E$1,1,100000000)</f>
        <v>43691.14</v>
      </c>
      <c r="CD83" s="52">
        <f>[1]!s_stmnote_bank_38(A83,$F$1,1,100000000)</f>
        <v>42538.71</v>
      </c>
      <c r="CE83" s="52">
        <f>[1]!s_stmnote_bank_38(A83,$G$1,1,100000000)</f>
        <v>41087.980000000003</v>
      </c>
      <c r="CF83" s="52">
        <f>IF(BP83&lt;&gt;0,BP83,IFERROR(IF(([1]!b_stm07_is(A83,19,$A$1,1,100000000)-[1]!b_stm07_is(A83,20,$A$1,1,100000000))/AVERAGE([1]!s_stmnote_bank_35(A83,$A$1,1,100000000),[1]!s_stmnote_bank_35(A83,$B$1,1,100000000))*100=0,"",([1]!b_stm07_is(A83,19,$A$1,1,100000000)-[1]!b_stm07_is(A83,20,$A$1,1,100000000))/AVERAGE([1]!s_stmnote_bank_35(A83,$A$1,1,100000000),[1]!s_stmnote_bank_35(A83,$B$1,1,100000000))*100),""))</f>
        <v>2.79</v>
      </c>
      <c r="CG83" s="27" t="str">
        <f t="shared" si="30"/>
        <v>17 171</v>
      </c>
      <c r="CH83" s="80">
        <f t="shared" si="35"/>
        <v>0.98238117263054514</v>
      </c>
      <c r="CI83" s="27" t="str">
        <f t="shared" si="31"/>
        <v>44 169</v>
      </c>
      <c r="CJ83" s="55">
        <f>[1]!s_stmnote_bank_30(A83,$A$1,1)</f>
        <v>28.956299999999999</v>
      </c>
      <c r="CK83" s="65">
        <v>1883.44</v>
      </c>
      <c r="CL83" s="48">
        <v>320.24</v>
      </c>
      <c r="CM83" s="64">
        <f>CK83/(5/8*[1]!s_stmnote_bank_1n($A83,$A$1,1,100000000)+[1]!s_stmnote_bank_1n($A83,$B$1,1,100000000)*3/8)</f>
        <v>6.4622728359177609E-2</v>
      </c>
      <c r="CN83" s="48"/>
      <c r="CO83" s="48"/>
      <c r="CP83" s="69">
        <f>[1]!b_stm07_bs($A83,141,$A$1,1,100000000)</f>
        <v>3954.48</v>
      </c>
      <c r="CQ83" s="69">
        <f>[1]!b_stm07_bs($A83,141,$D$1,1,100000000)</f>
        <v>4120.9799999999996</v>
      </c>
      <c r="CR83" s="68">
        <f>IF([1]!s_fa_roic_yearly($A83,$A$1)=0,"",[1]!s_fa_roic_yearly($A83,$A$1))</f>
        <v>9.5673999999999992</v>
      </c>
      <c r="CS83" s="27" t="str">
        <f>RANK(CR83,CR$5:CR$192,1)&amp;" "&amp;COUNTIF(CR$5:CR$192,"&gt;0")</f>
        <v>102 169</v>
      </c>
      <c r="CT83" s="68">
        <f>IF([1]!s_fa_roic_yearly($A83,$D$1)=0,"",[1]!s_fa_roic_yearly($A83,$D$1))</f>
        <v>10.940799999999999</v>
      </c>
      <c r="CU83" s="27" t="str">
        <f>RANK(CT83,CT$5:CT$192,1)&amp;" "&amp;COUNTIF(CT$5:CT$192,"&gt;0")</f>
        <v>88 142</v>
      </c>
      <c r="CV83" s="78">
        <f>[1]!s_stm07_bs(A83,"W14578191",$A$1,1,100000000)</f>
        <v>29847.53</v>
      </c>
      <c r="CW83" s="78">
        <f>[1]!s_stmnote_bank_682($A83,$A$1,1,2,100000000)</f>
        <v>19103.21</v>
      </c>
      <c r="CX83" s="79">
        <f t="shared" si="32"/>
        <v>0.64002649465466654</v>
      </c>
    </row>
    <row r="84" spans="1:102" s="46" customFormat="1" ht="13.5">
      <c r="A84" s="8" t="s">
        <v>119</v>
      </c>
      <c r="B84" s="8" t="str">
        <f>[1]!b_info_issuer(A84)</f>
        <v>浙江海宁农村商业银行股份有限公司</v>
      </c>
      <c r="C84" s="9" t="str">
        <f>[1]!b_issuer_issuershortened(A84)</f>
        <v>浙江海宁农商行</v>
      </c>
      <c r="D84" s="9" t="s">
        <v>1066</v>
      </c>
      <c r="E84" s="10"/>
      <c r="F84" s="11" t="s">
        <v>66</v>
      </c>
      <c r="G84" s="11" t="s">
        <v>67</v>
      </c>
      <c r="H84" s="11" t="s">
        <v>103</v>
      </c>
      <c r="I84" s="11"/>
      <c r="J84" s="11" t="e">
        <f>VLOOKUP(B84,[3]额度信息!$B:$T,19,0)</f>
        <v>#N/A</v>
      </c>
      <c r="K84" s="11"/>
      <c r="L84" s="27">
        <f>IFERROR(([1]!b_stm07_bs($A84,47,$A$1,1,100000000))/[1]!b_stm07_bs($A84,109,$A$1,1,100000000),"")</f>
        <v>5.6598191390472681E-2</v>
      </c>
      <c r="M84" s="20"/>
      <c r="N84" s="18"/>
      <c r="O84" s="27" t="e">
        <f t="shared" si="24"/>
        <v>#N/A</v>
      </c>
      <c r="P84" s="21">
        <f t="shared" si="33"/>
        <v>2.6981597109124893E-2</v>
      </c>
      <c r="Q84" s="27" t="str">
        <f t="shared" si="25"/>
        <v>69 169</v>
      </c>
      <c r="R84" s="18">
        <f>IFERROR([1]!s_stmnote_bank($A84,"34",$A$1,100000000)/[1]!s_stmnote_bank_1n(A84,$A$1,1,100000000),"")</f>
        <v>1.8281597109124893E-2</v>
      </c>
      <c r="S84" s="22"/>
      <c r="T84" s="22"/>
      <c r="U84" s="22"/>
      <c r="V84" s="22"/>
      <c r="W84" s="22"/>
      <c r="X84" s="22"/>
      <c r="Y84" s="22"/>
      <c r="Z84" s="25">
        <f>[1]!b_stm07_bs(A84,74,$A$1,1,100000000)</f>
        <v>699.36618110460006</v>
      </c>
      <c r="AA84" s="25">
        <f>[1]!b_stm07_bs(A84,109,$A$1,1,100000000)</f>
        <v>576.23041641910004</v>
      </c>
      <c r="AB84" s="10">
        <f>[1]!s_stmnote_bank_5n(A84,$A$1,1)</f>
        <v>0.87</v>
      </c>
      <c r="AC84" s="25">
        <f>IF([1]!s_stmnote_bank_23n(A84,$A$1,1)=0,"",IFERROR([1]!s_stmnote_bank_23n(A84,$A$1,1),""))</f>
        <v>486.57</v>
      </c>
      <c r="AD84" s="27" t="str">
        <f t="shared" si="26"/>
        <v>146 167</v>
      </c>
      <c r="AE84" s="25">
        <f>[1]!s_stmnote_bank_capadequacyratio(A84,$A$1,1)</f>
        <v>13.73</v>
      </c>
      <c r="AF84" s="25">
        <f>IF([1]!s_stmnote_bank_capadequacyratio_ct1(A84,$A$1,1)=0,"",IFERROR([1]!s_stmnote_bank_capadequacyratio_ct1(A84,$A$1,1),""))</f>
        <v>11.58</v>
      </c>
      <c r="AG84" s="27" t="str">
        <f>RANK(AF84,AF$5:AF$192,1)&amp;" "&amp;COUNTIF(AF$5:AF$192,"&gt;0")</f>
        <v>113 167</v>
      </c>
      <c r="AH84" s="6">
        <f>IF(OR([1]!s_fa_roe(A84,20201231)=0,[1]!s_fa_roe(A84,20211231)="0",[1]!s_fa_roe(A84,20221231)="0"),"",IFERROR(([1]!s_fa_roe(A84,20221231)+[1]!s_fa_roe(A84,20201231)+[1]!s_fa_roe(A84,20211231))/3,""))</f>
        <v>11.167400000000001</v>
      </c>
      <c r="AI84" s="27" t="str">
        <f t="shared" si="27"/>
        <v>141 173</v>
      </c>
      <c r="AJ84" s="28">
        <f>IFERROR(([1]!s_stmnote_bank_65(A84,$A$1,1,2,4,100000000)+[1]!s_stmnote_bank_65(A84,$A$1,1,2,6,100000000))/[1]!s_stmnote_bank_1n(A84,$A$1,1,100000000),"")</f>
        <v>3.126235633289564E-2</v>
      </c>
      <c r="AK84" s="28">
        <f>IFERROR([1]!s_stmnote_bank_614(A84,$A$1,1,2,100000000)/[1]!s_stmnote_bank_647(A84,$A$1,1,2,100000000),"")</f>
        <v>0.12804900951260209</v>
      </c>
      <c r="AL84" s="28">
        <f>IFERROR(([1]!b_stm07_bs(A84,104,$A$1,1,100000000)+[1]!b_stm07_bs(A84,106,$A$1,1,100000000)+[1]!b_stm07_bs(A84,76,$A$1,1,100000000)+[1]!b_stm07_bs(A84,108,$A$1,1,100000000)+[1]!b_stm07_bs(A84,95,$A$1,1,100000000))/[1]!b_stm07_bs(A84,128,$A$1,1,100000000),"")</f>
        <v>4.4285346796238252E-2</v>
      </c>
      <c r="AM84" s="28">
        <f>IFERROR(([1]!s_stmnote_bank_614(A84,$A$1,1,2,100000000)+[1]!b_stm07_bs(A84,104,$A$1,1,100000000)+[1]!b_stm07_bs(A84,106,$A$1,1,100000000)+[1]!b_stm07_bs(A84,76,$A$1,1,100000000)+[1]!b_stm07_bs(A84,108,$A$1,1,100000000)+[1]!b_stm07_bs(A84,95,$A$1,1,100000000))/[1]!b_stm07_bs(A84,128,$A$1,1,100000000),"")</f>
        <v>0.15948284767581145</v>
      </c>
      <c r="AN84" s="31" t="e">
        <f>IF(Z84&gt;#REF!,#REF!,IF(Z84&gt;#REF!,#REF!,IF(Z84&gt;#REF!,#REF!,IF(Z84&gt;#REF!,#REF!,IF(Z84&gt;#REF!,#REF!,IF(Z84&gt;#REF!,#REF!,IF(Z84&gt;#REF!,#REF!,#REF!)))))))</f>
        <v>#REF!</v>
      </c>
      <c r="AO84" s="31" t="e">
        <f>IF(AA84&gt;#REF!,#REF!,IF(AA84&gt;#REF!,#REF!,IF(AA84&gt;#REF!,#REF!,IF(AA84&gt;#REF!,#REF!,IF(AA84&gt;#REF!,#REF!,IF(AA84&gt;#REF!,#REF!,IF(AA84&gt;#REF!,#REF!,#REF!)))))))</f>
        <v>#REF!</v>
      </c>
      <c r="AP84" s="31" t="e">
        <f>IF(AB84&lt;#REF!,#REF!,IF(AB84&lt;#REF!,#REF!,IF(AB84&lt;#REF!,#REF!,IF(AB84&lt;#REF!,#REF!,IF(AB84&lt;#REF!,#REF!,IF(AB84&lt;#REF!,#REF!,#REF!))))))</f>
        <v>#REF!</v>
      </c>
      <c r="AQ84" s="31" t="e">
        <f>IF(AC84&gt;#REF!,#REF!,IF(AC84&gt;#REF!,#REF!,IF(AC84&gt;#REF!,#REF!,IF(AC84&gt;#REF!,#REF!,#REF!))))</f>
        <v>#REF!</v>
      </c>
      <c r="AR84" s="31" t="e">
        <f>IF(AE84&gt;#REF!,#REF!,IF(AE84&gt;#REF!,#REF!,IF(AE84&gt;#REF!,#REF!,IF(AE84&gt;#REF!,#REF!,#REF!))))</f>
        <v>#REF!</v>
      </c>
      <c r="AS84" s="31" t="e">
        <f>IF(AF84&gt;#REF!,#REF!,IF(AF84&gt;#REF!,#REF!,IF(AF84&gt;#REF!,#REF!,IF(AF84&gt;#REF!,#REF!,#REF!))))</f>
        <v>#REF!</v>
      </c>
      <c r="AT84" s="31" t="e">
        <f>IF(AH84&gt;#REF!,#REF!,IF(AH84&gt;#REF!,#REF!,IF(AH84&gt;#REF!,#REF!,IF(AH84&gt;#REF!,#REF!,IF(AH84&gt;#REF!,#REF!,#REF!)))))</f>
        <v>#REF!</v>
      </c>
      <c r="AU84" s="10" t="e">
        <f t="shared" si="28"/>
        <v>#REF!</v>
      </c>
      <c r="AV84" s="10"/>
      <c r="AW84" s="10"/>
      <c r="AX84" s="10"/>
      <c r="AY84" s="31" t="str">
        <f>IFERROR(VLOOKUP(AV84,#REF!,3,0),"")</f>
        <v/>
      </c>
      <c r="AZ84" s="31" t="str">
        <f>IFERROR(VLOOKUP(AW84,#REF!,3,0),"")</f>
        <v/>
      </c>
      <c r="BA84" s="31" t="str">
        <f>IFERROR(VLOOKUP(AX84,#REF!,3,0),"")</f>
        <v/>
      </c>
      <c r="BB84" s="31" t="str">
        <f>IFERROR(AY84*#REF!+AZ84*#REF!+BA84*#REF!,"")</f>
        <v/>
      </c>
      <c r="BC84" s="32" t="str">
        <f t="shared" si="29"/>
        <v/>
      </c>
      <c r="BD84" s="32" t="str">
        <f>IFERROR(VLOOKUP(BC84*10,#REF!,2,1),"")</f>
        <v/>
      </c>
      <c r="BE84" s="10"/>
      <c r="BF84" s="10"/>
      <c r="BG84" s="10"/>
      <c r="BH84" s="11" t="str">
        <f>[1]!b_issuer_shareholder(A84,"",1)</f>
        <v>宏达控股集团有限公司</v>
      </c>
      <c r="BI84" s="10">
        <f>[1]!b_issuer_propofshareholder(A84,"",1)</f>
        <v>7.4935002326965332</v>
      </c>
      <c r="BJ84" s="11" t="str">
        <f>LEFT(B84,2)</f>
        <v>浙江</v>
      </c>
      <c r="BK84" s="33" t="str">
        <f>[1]!s_info_city(A84)</f>
        <v>海宁市</v>
      </c>
      <c r="BL84" s="10">
        <f>IF([1]!s_stmnote_bank_17n(A84,$A$1,1)="0","",[1]!s_stmnote_bank_17n(A84,$A$1,1))</f>
        <v>3.73</v>
      </c>
      <c r="BM84" s="10">
        <f>IF([1]!s_stmnote_bank_18n(A84,$A$1,1)="0","",[1]!s_stmnote_bank_18n(A84,$A$1,1))</f>
        <v>20.89</v>
      </c>
      <c r="BN84" s="41" t="s">
        <v>67</v>
      </c>
      <c r="BO84" s="68" t="s">
        <v>67</v>
      </c>
      <c r="BP84" s="52">
        <f>[1]!s_stmnote_bank_5444(A84,$A$1,1)</f>
        <v>2.2400000000000002</v>
      </c>
      <c r="BQ84" s="52">
        <f>[1]!s_stmnote_bank_129n($A84,$A$1,1)</f>
        <v>28.27</v>
      </c>
      <c r="BR84" s="52">
        <f t="shared" si="34"/>
        <v>4.7867472021145012</v>
      </c>
      <c r="BS84" s="52">
        <f>[1]!b_stm07_is(A84,19,$A$1,1,100000000)</f>
        <v>30.0043353891</v>
      </c>
      <c r="BT84" s="52">
        <f xml:space="preserve"> [1]!s_stm07_bs(A84,"W15273164",$A$1,1,100000000)-[1]!s_stm07_bs(A84,"W17642530",$A$1,1,100000000)-[1]!s_stm07_bs(A84,"W15910877",$A$1,1,100000000)-[1]!s_stm07_bs_39(A84,$A$1,1,100000000)-[1]!s_stm07_bs(A84,"W17700468",$A$1,1,100000000)-[1]!s_stm07_bs(A84,"W16504296",$A$1,1,100000000)-[1]!s_stm07_bs(A84,"W13769069",$A$1,1,100000000)</f>
        <v>689.22784474520006</v>
      </c>
      <c r="BU84" s="52">
        <f xml:space="preserve"> [1]!s_stm07_bs(A84,"W15273164",$B$1,1,100000000)-[1]!s_stm07_bs(A84,"W17642530",$B$1,1,100000000)-[1]!s_stm07_bs(A84,"W15910877",$B$1,1,100000000)-[1]!s_stm07_bs_39(A84,$B$1,1,100000000)-[1]!s_stm07_bs(A84,"W17700468",$B$1,1,100000000)-[1]!s_stm07_bs(A84,"W16504296",$B$1,1,100000000)-[1]!s_stm07_bs(A84,"W13769069",$B$1,1,100000000)</f>
        <v>613.2164362922</v>
      </c>
      <c r="BV84" s="52">
        <f xml:space="preserve"> [1]!s_stm07_bs(A84,"W15273164",$E$1,1,100000000)-[1]!s_stm07_bs(A84,"W17642530",$E$1,1,100000000)-[1]!s_stm07_bs(A84,"W15910877",$E$1,1,100000000)-[1]!s_stm07_bs_39(A84,$E$1,1,100000000)-[1]!s_stm07_bs(A84,"W17700468",$E$1,1,100000000)-[1]!s_stm07_bs(A84,"W16504296",$E$1,1,100000000)-[1]!s_stm07_bs(A84,"W13769069",$E$1,1,100000000)</f>
        <v>692.4707440423</v>
      </c>
      <c r="BW84" s="52">
        <f xml:space="preserve"> [1]!s_stm07_bs(A84,"W15273164",$F$1,1,100000000)-[1]!s_stm07_bs(A84,"W17642530",$F$1,1,100000000)-[1]!s_stm07_bs(A84,"W15910877",$F$1,1,100000000)-[1]!s_stm07_bs_39(A84,$F$1,1,100000000)-[1]!s_stm07_bs(A84,"W17700468",$F$1,1,100000000)-[1]!s_stm07_bs(A84,"W16504296",$F$1,1,100000000)-[1]!s_stm07_bs(A84,"W13769069",$F$1,1,100000000)</f>
        <v>0</v>
      </c>
      <c r="BX84" s="52">
        <f xml:space="preserve"> [1]!s_stm07_bs(A84,"W15273164",$G$1,1,100000000)-[1]!s_stm07_bs(A84,"W17642530",$G$1,1,100000000)-[1]!s_stm07_bs(A84,"W15910877",$G$1,1,100000000)-[1]!s_stm07_bs_39(A84,$G$1,1,100000000)-[1]!s_stm07_bs(A84,"W17700468",$G$1,1,100000000)-[1]!s_stm07_bs(A84,"W16504296",$G$1,1,100000000)-[1]!s_stm07_bs(A84,"W13769069",$G$1,1,100000000)</f>
        <v>0</v>
      </c>
      <c r="BY84" s="52">
        <f>IFERROR([1]!b_stm07_is(A84,20,$A$1,1,100000000)/AVERAGEIF(CA84:CE84,"&gt;0")*100,0)</f>
        <v>2.4279829969518367</v>
      </c>
      <c r="BZ84" s="52">
        <f>[1]!b_stm07_is(A84,20,$A$1,1,100000000)</f>
        <v>14.8622390957</v>
      </c>
      <c r="CA84" s="52">
        <f>[1]!s_stmnote_bank_38(A84,$A$1,1,100000000)</f>
        <v>635.94858343550004</v>
      </c>
      <c r="CB84" s="52">
        <f>[1]!s_stmnote_bank_38(A84,$B$1,1,100000000)</f>
        <v>560.12528288850001</v>
      </c>
      <c r="CC84" s="52">
        <f>[1]!s_stmnote_bank_38(A84,$E$1,1,100000000)</f>
        <v>640.29473028790005</v>
      </c>
      <c r="CD84" s="52">
        <f>[1]!s_stmnote_bank_38(A84,$F$1,1,100000000)</f>
        <v>0</v>
      </c>
      <c r="CE84" s="52">
        <f>[1]!s_stmnote_bank_38(A84,$G$1,1,100000000)</f>
        <v>0</v>
      </c>
      <c r="CF84" s="52">
        <f>IF(BP84&lt;&gt;0,BP84,IFERROR(IF(([1]!b_stm07_is(A84,19,$A$1,1,100000000)-[1]!b_stm07_is(A84,20,$A$1,1,100000000))/AVERAGE([1]!s_stmnote_bank_35(A84,$A$1,1,100000000),[1]!s_stmnote_bank_35(A84,$B$1,1,100000000))*100=0,"",([1]!b_stm07_is(A84,19,$A$1,1,100000000)-[1]!b_stm07_is(A84,20,$A$1,1,100000000))/AVERAGE([1]!s_stmnote_bank_35(A84,$A$1,1,100000000),[1]!s_stmnote_bank_35(A84,$B$1,1,100000000))*100),""))</f>
        <v>2.2400000000000002</v>
      </c>
      <c r="CG84" s="27" t="str">
        <f t="shared" si="30"/>
        <v>61 171</v>
      </c>
      <c r="CH84" s="80">
        <f t="shared" si="35"/>
        <v>0.83019548136476173</v>
      </c>
      <c r="CI84" s="27" t="str">
        <f t="shared" si="31"/>
        <v>63 169</v>
      </c>
      <c r="CJ84" s="55">
        <f>[1]!s_stmnote_bank_30(A84,$A$1,1)</f>
        <v>9.1875999999999998</v>
      </c>
      <c r="CP84" s="69">
        <f>[1]!b_stm07_bs($A84,141,$A$1,1,100000000)</f>
        <v>58.851122096200001</v>
      </c>
      <c r="CQ84" s="69">
        <f>[1]!b_stm07_bs($A84,141,$D$1,1,100000000)</f>
        <v>61.7891284074</v>
      </c>
      <c r="CR84" s="68">
        <f>IF([1]!s_fa_roic_yearly($A84,$A$1)=0,"",[1]!s_fa_roic_yearly($A84,$A$1))</f>
        <v>11.4832</v>
      </c>
      <c r="CS84" s="27">
        <f>RANK(CR84,CR$5:CR$192,0)/COUNTIF(CR$5:CR$192,"&gt;0")</f>
        <v>0.19526627218934911</v>
      </c>
      <c r="CT84" s="68">
        <f>IF([1]!s_fa_roic_yearly($A84,$D$1)=0,"",[1]!s_fa_roic_yearly($A84,$D$1))</f>
        <v>9.6045999999999996</v>
      </c>
      <c r="CU84" s="27">
        <f>RANK(CT84,CT$5:CT$192,0)/COUNTIF(CT$5:CT$192,"&gt;0")</f>
        <v>0.54225352112676062</v>
      </c>
      <c r="CV84" s="78">
        <f>[1]!s_stm07_bs(A84,"W14578191",$A$1,1,100000000)</f>
        <v>432.28751301470004</v>
      </c>
      <c r="CW84" s="78">
        <f>[1]!s_stmnote_bank_682($A84,$A$1,1,2,100000000)</f>
        <v>70.341612999999995</v>
      </c>
      <c r="CX84" s="79">
        <f t="shared" si="32"/>
        <v>0.16271951162653178</v>
      </c>
    </row>
    <row r="85" spans="1:102" s="46" customFormat="1" ht="13.5">
      <c r="A85" s="8" t="s">
        <v>416</v>
      </c>
      <c r="B85" s="8" t="s">
        <v>417</v>
      </c>
      <c r="C85" s="9" t="s">
        <v>418</v>
      </c>
      <c r="D85" s="9" t="s">
        <v>1061</v>
      </c>
      <c r="E85" s="10"/>
      <c r="F85" s="11" t="s">
        <v>178</v>
      </c>
      <c r="G85" s="11" t="s">
        <v>67</v>
      </c>
      <c r="H85" s="11" t="s">
        <v>116</v>
      </c>
      <c r="I85" s="11"/>
      <c r="J85" s="11" t="e">
        <f>VLOOKUP(B85,[3]额度信息!$B:$T,19,0)</f>
        <v>#N/A</v>
      </c>
      <c r="K85" s="11"/>
      <c r="L85" s="27">
        <f>IFERROR(([1]!b_stm07_bs($A85,47,$A$1,1,100000000))/[1]!b_stm07_bs($A85,109,$A$1,1,100000000),"")</f>
        <v>9.0074984054932181E-2</v>
      </c>
      <c r="M85" s="20"/>
      <c r="N85" s="18"/>
      <c r="O85" s="27" t="e">
        <f t="shared" si="24"/>
        <v>#N/A</v>
      </c>
      <c r="P85" s="21">
        <f t="shared" si="33"/>
        <v>3.2130753042324163E-2</v>
      </c>
      <c r="Q85" s="27" t="str">
        <f t="shared" si="25"/>
        <v>94 169</v>
      </c>
      <c r="R85" s="18">
        <f>IFERROR([1]!s_stmnote_bank($A85,"34",$A$1,100000000)/[1]!s_stmnote_bank_1n(A85,$A$1,1,100000000),"")</f>
        <v>1.5230753042324165E-2</v>
      </c>
      <c r="S85" s="22"/>
      <c r="T85" s="22"/>
      <c r="U85" s="22"/>
      <c r="V85" s="22"/>
      <c r="W85" s="22"/>
      <c r="X85" s="22"/>
      <c r="Y85" s="22"/>
      <c r="Z85" s="25">
        <f>[1]!b_stm07_bs(A85,74,$A$1,1,100000000)</f>
        <v>4425.5790244600003</v>
      </c>
      <c r="AA85" s="25">
        <f>[1]!b_stm07_bs(A85,109,$A$1,1,100000000)</f>
        <v>3027.0904328299998</v>
      </c>
      <c r="AB85" s="10">
        <f>[1]!s_stmnote_bank_5n(A85,$A$1,1)</f>
        <v>1.69</v>
      </c>
      <c r="AC85" s="25">
        <f>IF([1]!s_stmnote_bank_23n(A85,$A$1,1)=0,"",IFERROR([1]!s_stmnote_bank_23n(A85,$A$1,1),""))</f>
        <v>144.26</v>
      </c>
      <c r="AD85" s="27" t="str">
        <f t="shared" si="26"/>
        <v>14 167</v>
      </c>
      <c r="AE85" s="25">
        <f>[1]!s_stmnote_bank_capadequacyratio(A85,$A$1,1)</f>
        <v>11.75</v>
      </c>
      <c r="AF85" s="25">
        <f>IF([1]!s_stmnote_bank_capadequacyratio_ct1(A85,$A$1,1)=0,"",IFERROR([1]!s_stmnote_bank_capadequacyratio_ct1(A85,$A$1,1),""))</f>
        <v>7.65</v>
      </c>
      <c r="AG85" s="27" t="str">
        <f>RANK(AF85,AF$5:AF$192,1)&amp;" "&amp;COUNTIF(AF$5:AF$192,"&gt;0")</f>
        <v>2 167</v>
      </c>
      <c r="AH85" s="6">
        <f>IF(OR([1]!s_fa_roe(A85,20201231)=0,[1]!s_fa_roe(A85,20211231)="0",[1]!s_fa_roe(A85,20221231)="0"),"",IFERROR(([1]!s_fa_roe(A85,20221231)+[1]!s_fa_roe(A85,20201231)+[1]!s_fa_roe(A85,20211231))/3,""))</f>
        <v>5.2452333333333341</v>
      </c>
      <c r="AI85" s="27" t="str">
        <f t="shared" si="27"/>
        <v>44 173</v>
      </c>
      <c r="AJ85" s="28">
        <f>IFERROR(([1]!s_stmnote_bank_65(A85,$A$1,1,2,4,100000000)+[1]!s_stmnote_bank_65(A85,$A$1,1,2,6,100000000))/[1]!s_stmnote_bank_1n(A85,$A$1,1,100000000),"")</f>
        <v>0.15203161103718241</v>
      </c>
      <c r="AK85" s="28">
        <f>IFERROR([1]!s_stmnote_bank_614(A85,$A$1,1,2,100000000)/[1]!s_stmnote_bank_647(A85,$A$1,1,2,100000000),"")</f>
        <v>0.28899906191178193</v>
      </c>
      <c r="AL85" s="28">
        <f>IFERROR(([1]!b_stm07_bs(A85,104,$A$1,1,100000000)+[1]!b_stm07_bs(A85,106,$A$1,1,100000000)+[1]!b_stm07_bs(A85,76,$A$1,1,100000000)+[1]!b_stm07_bs(A85,108,$A$1,1,100000000)+[1]!b_stm07_bs(A85,95,$A$1,1,100000000))/[1]!b_stm07_bs(A85,128,$A$1,1,100000000),"")</f>
        <v>0.19805345456304815</v>
      </c>
      <c r="AM85" s="28">
        <f>IFERROR(([1]!s_stmnote_bank_614(A85,$A$1,1,2,100000000)+[1]!b_stm07_bs(A85,104,$A$1,1,100000000)+[1]!b_stm07_bs(A85,106,$A$1,1,100000000)+[1]!b_stm07_bs(A85,76,$A$1,1,100000000)+[1]!b_stm07_bs(A85,108,$A$1,1,100000000)+[1]!b_stm07_bs(A85,95,$A$1,1,100000000))/[1]!b_stm07_bs(A85,128,$A$1,1,100000000),"")</f>
        <v>0.4081731574425454</v>
      </c>
      <c r="AN85" s="31" t="e">
        <f>IF(Z85&gt;#REF!,#REF!,IF(Z85&gt;#REF!,#REF!,IF(Z85&gt;#REF!,#REF!,IF(Z85&gt;#REF!,#REF!,IF(Z85&gt;#REF!,#REF!,IF(Z85&gt;#REF!,#REF!,IF(Z85&gt;#REF!,#REF!,#REF!)))))))</f>
        <v>#REF!</v>
      </c>
      <c r="AO85" s="31" t="e">
        <f>IF(AA85&gt;#REF!,#REF!,IF(AA85&gt;#REF!,#REF!,IF(AA85&gt;#REF!,#REF!,IF(AA85&gt;#REF!,#REF!,IF(AA85&gt;#REF!,#REF!,IF(AA85&gt;#REF!,#REF!,IF(AA85&gt;#REF!,#REF!,#REF!)))))))</f>
        <v>#REF!</v>
      </c>
      <c r="AP85" s="31" t="e">
        <f>IF(AB85&lt;#REF!,#REF!,IF(AB85&lt;#REF!,#REF!,IF(AB85&lt;#REF!,#REF!,IF(AB85&lt;#REF!,#REF!,IF(AB85&lt;#REF!,#REF!,IF(AB85&lt;#REF!,#REF!,#REF!))))))</f>
        <v>#REF!</v>
      </c>
      <c r="AQ85" s="31" t="e">
        <f>IF(AC85&gt;#REF!,#REF!,IF(AC85&gt;#REF!,#REF!,IF(AC85&gt;#REF!,#REF!,IF(AC85&gt;#REF!,#REF!,#REF!))))</f>
        <v>#REF!</v>
      </c>
      <c r="AR85" s="31" t="e">
        <f>IF(AE85&gt;#REF!,#REF!,IF(AE85&gt;#REF!,#REF!,IF(AE85&gt;#REF!,#REF!,IF(AE85&gt;#REF!,#REF!,#REF!))))</f>
        <v>#REF!</v>
      </c>
      <c r="AS85" s="31" t="e">
        <f>IF(AF85&gt;#REF!,#REF!,IF(AF85&gt;#REF!,#REF!,IF(AF85&gt;#REF!,#REF!,IF(AF85&gt;#REF!,#REF!,#REF!))))</f>
        <v>#REF!</v>
      </c>
      <c r="AT85" s="31" t="e">
        <f>IF(AH85&gt;#REF!,#REF!,IF(AH85&gt;#REF!,#REF!,IF(AH85&gt;#REF!,#REF!,IF(AH85&gt;#REF!,#REF!,IF(AH85&gt;#REF!,#REF!,#REF!)))))</f>
        <v>#REF!</v>
      </c>
      <c r="AU85" s="10" t="e">
        <f t="shared" si="28"/>
        <v>#REF!</v>
      </c>
      <c r="AV85" s="10"/>
      <c r="AW85" s="10"/>
      <c r="AX85" s="10"/>
      <c r="AY85" s="31" t="str">
        <f>IFERROR(VLOOKUP(AV85,#REF!,3,0),"")</f>
        <v/>
      </c>
      <c r="AZ85" s="31" t="str">
        <f>IFERROR(VLOOKUP(AW85,#REF!,3,0),"")</f>
        <v/>
      </c>
      <c r="BA85" s="31" t="str">
        <f>IFERROR(VLOOKUP(AX85,#REF!,3,0),"")</f>
        <v/>
      </c>
      <c r="BB85" s="31" t="str">
        <f>IFERROR(AY85*#REF!+AZ85*#REF!+BA85*#REF!,"")</f>
        <v/>
      </c>
      <c r="BC85" s="32" t="str">
        <f t="shared" si="29"/>
        <v/>
      </c>
      <c r="BD85" s="32" t="str">
        <f>IFERROR(VLOOKUP(BC85*10,#REF!,2,1),"")</f>
        <v/>
      </c>
      <c r="BE85" s="10"/>
      <c r="BF85" s="10"/>
      <c r="BG85" s="10"/>
      <c r="BH85" s="11" t="s">
        <v>419</v>
      </c>
      <c r="BI85" s="10">
        <v>19.9899997711182</v>
      </c>
      <c r="BJ85" s="33" t="s">
        <v>420</v>
      </c>
      <c r="BK85" s="33" t="s">
        <v>421</v>
      </c>
      <c r="BL85" s="10">
        <f>IF([1]!s_stmnote_bank_17n(A85,$A$1,1)="0","",[1]!s_stmnote_bank_17n(A85,$A$1,1))</f>
        <v>8.6999999999999993</v>
      </c>
      <c r="BM85" s="10">
        <f>IF([1]!s_stmnote_bank_18n(A85,$A$1,1)="0","",[1]!s_stmnote_bank_18n(A85,$A$1,1))</f>
        <v>0</v>
      </c>
      <c r="BN85" s="41" t="s">
        <v>67</v>
      </c>
      <c r="BO85" s="68" t="s">
        <v>67</v>
      </c>
      <c r="BP85" s="52">
        <f>[1]!s_stmnote_bank_5444(A85,$A$1,1)</f>
        <v>0</v>
      </c>
      <c r="BQ85" s="52">
        <f>[1]!s_stmnote_bank_129n($A85,$A$1,1)</f>
        <v>35.700000000000003</v>
      </c>
      <c r="BR85" s="52">
        <f t="shared" si="34"/>
        <v>5.0377550382835912</v>
      </c>
      <c r="BS85" s="52">
        <f>[1]!b_stm07_is(A85,19,$A$1,1,100000000)</f>
        <v>193.58638653</v>
      </c>
      <c r="BT85" s="52">
        <f xml:space="preserve"> [1]!s_stm07_bs(A85,"W15273164",$A$1,1,100000000)-[1]!s_stm07_bs(A85,"W17642530",$A$1,1,100000000)-[1]!s_stm07_bs(A85,"W15910877",$A$1,1,100000000)-[1]!s_stm07_bs_39(A85,$A$1,1,100000000)-[1]!s_stm07_bs(A85,"W17700468",$A$1,1,100000000)-[1]!s_stm07_bs(A85,"W16504296",$A$1,1,100000000)-[1]!s_stm07_bs(A85,"W13769069",$A$1,1,100000000)</f>
        <v>4348.3456024900006</v>
      </c>
      <c r="BU85" s="52">
        <f xml:space="preserve"> [1]!s_stm07_bs(A85,"W15273164",$B$1,1,100000000)-[1]!s_stm07_bs(A85,"W17642530",$B$1,1,100000000)-[1]!s_stm07_bs(A85,"W15910877",$B$1,1,100000000)-[1]!s_stm07_bs_39(A85,$B$1,1,100000000)-[1]!s_stm07_bs(A85,"W17700468",$B$1,1,100000000)-[1]!s_stm07_bs(A85,"W16504296",$B$1,1,100000000)-[1]!s_stm07_bs(A85,"W13769069",$B$1,1,100000000)</f>
        <v>3711.51893217</v>
      </c>
      <c r="BV85" s="52">
        <f xml:space="preserve"> [1]!s_stm07_bs(A85,"W15273164",$E$1,1,100000000)-[1]!s_stm07_bs(A85,"W17642530",$E$1,1,100000000)-[1]!s_stm07_bs(A85,"W15910877",$E$1,1,100000000)-[1]!s_stm07_bs_39(A85,$E$1,1,100000000)-[1]!s_stm07_bs(A85,"W17700468",$E$1,1,100000000)-[1]!s_stm07_bs(A85,"W16504296",$E$1,1,100000000)-[1]!s_stm07_bs(A85,"W13769069",$E$1,1,100000000)</f>
        <v>4198.3611944499999</v>
      </c>
      <c r="BW85" s="52">
        <f xml:space="preserve"> [1]!s_stm07_bs(A85,"W15273164",$F$1,1,100000000)-[1]!s_stm07_bs(A85,"W17642530",$F$1,1,100000000)-[1]!s_stm07_bs(A85,"W15910877",$F$1,1,100000000)-[1]!s_stm07_bs_39(A85,$F$1,1,100000000)-[1]!s_stm07_bs(A85,"W17700468",$F$1,1,100000000)-[1]!s_stm07_bs(A85,"W16504296",$F$1,1,100000000)-[1]!s_stm07_bs(A85,"W13769069",$F$1,1,100000000)</f>
        <v>4073.1389000000004</v>
      </c>
      <c r="BX85" s="52">
        <f xml:space="preserve"> [1]!s_stm07_bs(A85,"W15273164",$G$1,1,100000000)-[1]!s_stm07_bs(A85,"W17642530",$G$1,1,100000000)-[1]!s_stm07_bs(A85,"W15910877",$G$1,1,100000000)-[1]!s_stm07_bs_39(A85,$G$1,1,100000000)-[1]!s_stm07_bs(A85,"W17700468",$G$1,1,100000000)-[1]!s_stm07_bs(A85,"W16504296",$G$1,1,100000000)-[1]!s_stm07_bs(A85,"W13769069",$G$1,1,100000000)</f>
        <v>3851.6324999999997</v>
      </c>
      <c r="BY85" s="52">
        <f>IFERROR([1]!b_stm07_is(A85,20,$A$1,1,100000000)/AVERAGEIF(CA85:CE85,"&gt;0")*100,0)</f>
        <v>2.8431738109780156</v>
      </c>
      <c r="BZ85" s="52">
        <f>[1]!b_stm07_is(A85,20,$A$1,1,100000000)</f>
        <v>108.24215135999999</v>
      </c>
      <c r="CA85" s="52">
        <f>[1]!s_stmnote_bank_38(A85,$A$1,1,100000000)</f>
        <v>4140.4760413499998</v>
      </c>
      <c r="CB85" s="52">
        <f>[1]!s_stmnote_bank_38(A85,$B$1,1,100000000)</f>
        <v>3475.3305340100001</v>
      </c>
      <c r="CC85" s="52">
        <f>[1]!s_stmnote_bank_38(A85,$E$1,1,100000000)</f>
        <v>3959.53736093</v>
      </c>
      <c r="CD85" s="52">
        <f>[1]!s_stmnote_bank_38(A85,$F$1,1,100000000)</f>
        <v>3834.9609</v>
      </c>
      <c r="CE85" s="52">
        <f>[1]!s_stmnote_bank_38(A85,$G$1,1,100000000)</f>
        <v>3625.1390999999999</v>
      </c>
      <c r="CF85" s="52">
        <f>IF(BP85&lt;&gt;0,BP85,IFERROR(IF(([1]!b_stm07_is(A85,19,$A$1,1,100000000)-[1]!b_stm07_is(A85,20,$A$1,1,100000000))/AVERAGE([1]!s_stmnote_bank_35(A85,$A$1,1,100000000),[1]!s_stmnote_bank_35(A85,$B$1,1,100000000))*100=0,"",([1]!b_stm07_is(A85,19,$A$1,1,100000000)-[1]!b_stm07_is(A85,20,$A$1,1,100000000))/AVERAGE([1]!s_stmnote_bank_35(A85,$A$1,1,100000000),[1]!s_stmnote_bank_35(A85,$B$1,1,100000000))*100),""))</f>
        <v>2.2652297379372897</v>
      </c>
      <c r="CG85" s="27" t="str">
        <f t="shared" si="30"/>
        <v>59 171</v>
      </c>
      <c r="CH85" s="80">
        <f t="shared" si="35"/>
        <v>0.70500362532848848</v>
      </c>
      <c r="CI85" s="27" t="str">
        <f t="shared" si="31"/>
        <v>80 169</v>
      </c>
      <c r="CJ85" s="55">
        <f>[1]!s_stmnote_bank_30(A85,$A$1,1)</f>
        <v>10.273099999999999</v>
      </c>
      <c r="CP85" s="69">
        <f>[1]!b_stm07_bs($A85,141,$A$1,1,100000000)</f>
        <v>262.11275537</v>
      </c>
      <c r="CQ85" s="69">
        <f>[1]!b_stm07_bs($A85,141,$D$1,1,100000000)</f>
        <v>275.8229</v>
      </c>
      <c r="CR85" s="68">
        <f>IF([1]!s_fa_roic_yearly($A85,$A$1)=0,"",[1]!s_fa_roic_yearly($A85,$A$1))</f>
        <v>5.4633000000000003</v>
      </c>
      <c r="CS85" s="27">
        <f>RANK(CR85,CR$5:CR$192,0)/COUNTIF(CR$5:CR$192,"&gt;0")</f>
        <v>0.79881656804733725</v>
      </c>
      <c r="CT85" s="68">
        <f>IF([1]!s_fa_roic_yearly($A85,$D$1)=0,"",[1]!s_fa_roic_yearly($A85,$D$1))</f>
        <v>10.23</v>
      </c>
      <c r="CU85" s="27">
        <f>RANK(CT85,CT$5:CT$192,0)/COUNTIF(CT$5:CT$192,"&gt;0")</f>
        <v>0.50704225352112675</v>
      </c>
      <c r="CV85" s="78">
        <f>[1]!s_stm07_bs(A85,"W14578191",$A$1,1,100000000)</f>
        <v>2421.3048294800001</v>
      </c>
      <c r="CW85" s="78">
        <f>[1]!s_stmnote_bank_682($A85,$A$1,1,2,100000000)</f>
        <v>729.90161939999996</v>
      </c>
      <c r="CX85" s="79">
        <f t="shared" si="32"/>
        <v>0.30144970204216448</v>
      </c>
    </row>
    <row r="86" spans="1:102" s="46" customFormat="1" ht="13.5">
      <c r="A86" s="8" t="s">
        <v>391</v>
      </c>
      <c r="B86" s="8" t="s">
        <v>392</v>
      </c>
      <c r="C86" s="9" t="s">
        <v>393</v>
      </c>
      <c r="D86" s="9" t="s">
        <v>1063</v>
      </c>
      <c r="E86" s="10" t="s">
        <v>393</v>
      </c>
      <c r="F86" s="11" t="s">
        <v>178</v>
      </c>
      <c r="G86" s="11" t="s">
        <v>178</v>
      </c>
      <c r="H86" s="11" t="s">
        <v>178</v>
      </c>
      <c r="I86" s="11"/>
      <c r="J86" s="11">
        <f>VLOOKUP(B86,[3]额度信息!$B:$T,19,0)</f>
        <v>0</v>
      </c>
      <c r="K86" s="11" t="s">
        <v>394</v>
      </c>
      <c r="L86" s="27">
        <f>IFERROR(([1]!b_stm07_bs($A86,47,$A$1,1,100000000))/[1]!b_stm07_bs($A86,109,$A$1,1,100000000),"")</f>
        <v>0.12612347748183628</v>
      </c>
      <c r="M86" s="20">
        <v>618.29999999999995</v>
      </c>
      <c r="N86" s="18">
        <f>IFERROR(([1]!s_stmnote_bank_26($A86,$A$1,1,100000000)-[1]!s_stmnote_bank_26($A86,$B$1,1,100000000)+M86)/[1]!s_stmnote_bank_1n($A86,$B$1,1,100000000),"")</f>
        <v>4.4664232127944068E-3</v>
      </c>
      <c r="O86" s="27" t="str">
        <f t="shared" si="24"/>
        <v>7 50</v>
      </c>
      <c r="P86" s="21">
        <f t="shared" si="33"/>
        <v>2.67602903043745E-2</v>
      </c>
      <c r="Q86" s="27" t="str">
        <f t="shared" si="25"/>
        <v>67 169</v>
      </c>
      <c r="R86" s="18">
        <v>1.3460290304374499E-2</v>
      </c>
      <c r="S86" s="22">
        <v>1.6200682353450499E-2</v>
      </c>
      <c r="T86" s="22">
        <v>1.3200399443685101E-2</v>
      </c>
      <c r="U86" s="22">
        <v>1.19036349941137E-3</v>
      </c>
      <c r="V86" s="22"/>
      <c r="W86" s="22">
        <v>8.6630819751889001E-4</v>
      </c>
      <c r="X86" s="22">
        <v>4.95365701052617E-4</v>
      </c>
      <c r="Y86" s="22">
        <v>0.76448481052301898</v>
      </c>
      <c r="Z86" s="25">
        <f>[1]!b_stm07_bs(A86,74,$A$1,1,100000000)</f>
        <v>267224.08</v>
      </c>
      <c r="AA86" s="25">
        <f>[1]!b_stm07_bs(A86,109,$A$1,1,100000000)</f>
        <v>181428.87</v>
      </c>
      <c r="AB86" s="10">
        <f>[1]!s_stmnote_bank_5n(A86,$A$1,1)</f>
        <v>1.33</v>
      </c>
      <c r="AC86" s="25">
        <f>IF([1]!s_stmnote_bank_23n(A86,$A$1,1)=0,"",IFERROR([1]!s_stmnote_bank_23n(A86,$A$1,1),""))</f>
        <v>187.05</v>
      </c>
      <c r="AD86" s="27" t="str">
        <f t="shared" si="26"/>
        <v>55 167</v>
      </c>
      <c r="AE86" s="25">
        <f>[1]!s_stmnote_bank_capadequacyratio(A86,$A$1,1)</f>
        <v>16.53</v>
      </c>
      <c r="AF86" s="25">
        <f>IF([1]!s_stmnote_bank_capadequacyratio_ct1(A86,$A$1,1)=0,"",IFERROR([1]!s_stmnote_bank_capadequacyratio_ct1(A86,$A$1,1),""))</f>
        <v>11.3</v>
      </c>
      <c r="AG86" s="27" t="str">
        <f>RANK(AF86,AF$5:AF$192,0)&amp;" "&amp;COUNTIF(AF$5:AF$192,"&gt;0")</f>
        <v>59 167</v>
      </c>
      <c r="AH86" s="6">
        <f>IF(OR([1]!s_fa_roe(A86,20201231)=0,[1]!s_fa_roe(A86,20211231)="0",[1]!s_fa_roe(A86,20221231)="0"),"",IFERROR(([1]!s_fa_roe(A86,20221231)+[1]!s_fa_roe(A86,20201231)+[1]!s_fa_roe(A86,20211231))/3,""))</f>
        <v>9.9503666666666675</v>
      </c>
      <c r="AI86" s="27" t="str">
        <f t="shared" si="27"/>
        <v>118 173</v>
      </c>
      <c r="AJ86" s="28">
        <f>IFERROR(([1]!s_stmnote_bank_65(A86,$A$1,1,2,4,100000000)+[1]!s_stmnote_bank_65(A86,$A$1,1,2,6,100000000))/[1]!s_stmnote_bank_1n(A86,$A$1,1,100000000),"")</f>
        <v>9.6268234616230158E-2</v>
      </c>
      <c r="AK86" s="28">
        <f>IFERROR([1]!s_stmnote_bank_614(A86,$A$1,1,2,100000000)/[1]!s_stmnote_bank_647(A86,$A$1,1,2,100000000),"")</f>
        <v>0.29438976241740594</v>
      </c>
      <c r="AL86" s="28">
        <f>IFERROR(([1]!b_stm07_bs(A86,104,$A$1,1,100000000)+[1]!b_stm07_bs(A86,106,$A$1,1,100000000)+[1]!b_stm07_bs(A86,76,$A$1,1,100000000)+[1]!b_stm07_bs(A86,108,$A$1,1,100000000)+[1]!b_stm07_bs(A86,95,$A$1,1,100000000))/[1]!b_stm07_bs(A86,128,$A$1,1,100000000),"")</f>
        <v>0.1842962712522293</v>
      </c>
      <c r="AM86" s="28">
        <f>IFERROR(([1]!s_stmnote_bank_614(A86,$A$1,1,2,100000000)+[1]!b_stm07_bs(A86,104,$A$1,1,100000000)+[1]!b_stm07_bs(A86,106,$A$1,1,100000000)+[1]!b_stm07_bs(A86,76,$A$1,1,100000000)+[1]!b_stm07_bs(A86,108,$A$1,1,100000000)+[1]!b_stm07_bs(A86,95,$A$1,1,100000000))/[1]!b_stm07_bs(A86,128,$A$1,1,100000000),"")</f>
        <v>0.40075554363834842</v>
      </c>
      <c r="AN86" s="31" t="e">
        <f>IF(Z86&gt;#REF!,#REF!,IF(Z86&gt;#REF!,#REF!,IF(Z86&gt;#REF!,#REF!,IF(Z86&gt;#REF!,#REF!,IF(Z86&gt;#REF!,#REF!,IF(Z86&gt;#REF!,#REF!,IF(Z86&gt;#REF!,#REF!,#REF!)))))))</f>
        <v>#REF!</v>
      </c>
      <c r="AO86" s="31" t="e">
        <f>IF(AA86&gt;#REF!,#REF!,IF(AA86&gt;#REF!,#REF!,IF(AA86&gt;#REF!,#REF!,IF(AA86&gt;#REF!,#REF!,IF(AA86&gt;#REF!,#REF!,IF(AA86&gt;#REF!,#REF!,IF(AA86&gt;#REF!,#REF!,#REF!)))))))</f>
        <v>#REF!</v>
      </c>
      <c r="AP86" s="31" t="e">
        <f>IF(AB86&lt;#REF!,#REF!,IF(AB86&lt;#REF!,#REF!,IF(AB86&lt;#REF!,#REF!,IF(AB86&lt;#REF!,#REF!,IF(AB86&lt;#REF!,#REF!,IF(AB86&lt;#REF!,#REF!,#REF!))))))</f>
        <v>#REF!</v>
      </c>
      <c r="AQ86" s="31" t="e">
        <f>IF(AC86&gt;#REF!,#REF!,IF(AC86&gt;#REF!,#REF!,IF(AC86&gt;#REF!,#REF!,IF(AC86&gt;#REF!,#REF!,#REF!))))</f>
        <v>#REF!</v>
      </c>
      <c r="AR86" s="31" t="e">
        <f>IF(AE86&gt;#REF!,#REF!,IF(AE86&gt;#REF!,#REF!,IF(AE86&gt;#REF!,#REF!,IF(AE86&gt;#REF!,#REF!,#REF!))))</f>
        <v>#REF!</v>
      </c>
      <c r="AS86" s="31" t="e">
        <f>IF(AF86&gt;#REF!,#REF!,IF(AF86&gt;#REF!,#REF!,IF(AF86&gt;#REF!,#REF!,IF(AF86&gt;#REF!,#REF!,#REF!))))</f>
        <v>#REF!</v>
      </c>
      <c r="AT86" s="31" t="e">
        <f>IF(AH86&gt;#REF!,#REF!,IF(AH86&gt;#REF!,#REF!,IF(AH86&gt;#REF!,#REF!,IF(AH86&gt;#REF!,#REF!,IF(AH86&gt;#REF!,#REF!,#REF!)))))</f>
        <v>#REF!</v>
      </c>
      <c r="AU86" s="10" t="e">
        <f t="shared" si="28"/>
        <v>#REF!</v>
      </c>
      <c r="AV86" s="10" t="s">
        <v>395</v>
      </c>
      <c r="AW86" s="10" t="s">
        <v>69</v>
      </c>
      <c r="AX86" s="10" t="s">
        <v>62</v>
      </c>
      <c r="AY86" s="31" t="str">
        <f>IFERROR(VLOOKUP(AV86,#REF!,3,0),"")</f>
        <v/>
      </c>
      <c r="AZ86" s="31" t="str">
        <f>IFERROR(VLOOKUP(AW86,#REF!,3,0),"")</f>
        <v/>
      </c>
      <c r="BA86" s="31" t="str">
        <f>IFERROR(VLOOKUP(AX86,#REF!,3,0),"")</f>
        <v/>
      </c>
      <c r="BB86" s="31" t="str">
        <f>IFERROR(AY86*#REF!+AZ86*#REF!+BA86*#REF!,"")</f>
        <v/>
      </c>
      <c r="BC86" s="32" t="str">
        <f t="shared" si="29"/>
        <v/>
      </c>
      <c r="BD86" s="32" t="str">
        <f>IFERROR(VLOOKUP(BC86*10,#REF!,2,1),"")</f>
        <v/>
      </c>
      <c r="BE86" s="11">
        <v>2</v>
      </c>
      <c r="BF86" s="11">
        <v>0</v>
      </c>
      <c r="BG86" s="10"/>
      <c r="BH86" s="11" t="s">
        <v>396</v>
      </c>
      <c r="BI86" s="10">
        <v>64.019996643066406</v>
      </c>
      <c r="BJ86" s="33" t="s">
        <v>71</v>
      </c>
      <c r="BK86" s="33" t="s">
        <v>72</v>
      </c>
      <c r="BL86" s="10">
        <f>IF([1]!s_stmnote_bank_17n(A86,$A$1,1)="0","",[1]!s_stmnote_bank_17n(A86,$A$1,1))</f>
        <v>2.2999999999999998</v>
      </c>
      <c r="BM86" s="10">
        <f>IF([1]!s_stmnote_bank_18n(A86,$A$1,1)="0","",[1]!s_stmnote_bank_18n(A86,$A$1,1))</f>
        <v>12.8</v>
      </c>
      <c r="BN86" s="41">
        <v>3.36</v>
      </c>
      <c r="BO86" s="68">
        <v>1.75</v>
      </c>
      <c r="BP86" s="52">
        <f>[1]!s_stmnote_bank_5444(A86,$A$1,1)</f>
        <v>1.75</v>
      </c>
      <c r="BQ86" s="52">
        <f>[1]!s_stmnote_bank_129n($A86,$A$1,1)</f>
        <v>28.17</v>
      </c>
      <c r="BR86" s="52">
        <f t="shared" si="34"/>
        <v>3.2465638834563806</v>
      </c>
      <c r="BS86" s="52">
        <f>[1]!b_stm07_is(A86,19,$A$1,1,100000000)</f>
        <v>7894.88</v>
      </c>
      <c r="BT86" s="52">
        <f xml:space="preserve"> [1]!s_stm07_bs(A86,"W15273164",$A$1,1,100000000)-[1]!s_stm07_bs(A86,"W17642530",$A$1,1,100000000)-[1]!s_stm07_bs(A86,"W15910877",$A$1,1,100000000)-[1]!s_stm07_bs_39(A86,$A$1,1,100000000)-[1]!s_stm07_bs(A86,"W17700468",$A$1,1,100000000)-[1]!s_stm07_bs(A86,"W16504296",$A$1,1,100000000)-[1]!s_stm07_bs(A86,"W13769069",$A$1,1,100000000)</f>
        <v>260658.11000000002</v>
      </c>
      <c r="BU86" s="52">
        <f xml:space="preserve"> [1]!s_stm07_bs(A86,"W15273164",$B$1,1,100000000)-[1]!s_stm07_bs(A86,"W17642530",$B$1,1,100000000)-[1]!s_stm07_bs(A86,"W15910877",$B$1,1,100000000)-[1]!s_stm07_bs_39(A86,$B$1,1,100000000)-[1]!s_stm07_bs(A86,"W17700468",$B$1,1,100000000)-[1]!s_stm07_bs(A86,"W16504296",$B$1,1,100000000)-[1]!s_stm07_bs(A86,"W13769069",$B$1,1,100000000)</f>
        <v>237322.05</v>
      </c>
      <c r="BV86" s="52">
        <f xml:space="preserve"> [1]!s_stm07_bs(A86,"W15273164",$E$1,1,100000000)-[1]!s_stm07_bs(A86,"W17642530",$E$1,1,100000000)-[1]!s_stm07_bs(A86,"W15910877",$E$1,1,100000000)-[1]!s_stm07_bs_39(A86,$E$1,1,100000000)-[1]!s_stm07_bs(A86,"W17700468",$E$1,1,100000000)-[1]!s_stm07_bs(A86,"W16504296",$E$1,1,100000000)-[1]!s_stm07_bs(A86,"W13769069",$E$1,1,100000000)</f>
        <v>255640.96000000002</v>
      </c>
      <c r="BW86" s="52">
        <f xml:space="preserve"> [1]!s_stm07_bs(A86,"W15273164",$F$1,1,100000000)-[1]!s_stm07_bs(A86,"W17642530",$F$1,1,100000000)-[1]!s_stm07_bs(A86,"W15910877",$F$1,1,100000000)-[1]!s_stm07_bs_39(A86,$F$1,1,100000000)-[1]!s_stm07_bs(A86,"W17700468",$F$1,1,100000000)-[1]!s_stm07_bs(A86,"W16504296",$F$1,1,100000000)-[1]!s_stm07_bs(A86,"W13769069",$F$1,1,100000000)</f>
        <v>256223.93</v>
      </c>
      <c r="BX86" s="52">
        <f xml:space="preserve"> [1]!s_stm07_bs(A86,"W15273164",$G$1,1,100000000)-[1]!s_stm07_bs(A86,"W17642530",$G$1,1,100000000)-[1]!s_stm07_bs(A86,"W15910877",$G$1,1,100000000)-[1]!s_stm07_bs_39(A86,$G$1,1,100000000)-[1]!s_stm07_bs(A86,"W17700468",$G$1,1,100000000)-[1]!s_stm07_bs(A86,"W16504296",$G$1,1,100000000)-[1]!s_stm07_bs(A86,"W13769069",$G$1,1,100000000)</f>
        <v>251615.99999999997</v>
      </c>
      <c r="BY86" s="52">
        <f>IFERROR([1]!b_stm07_is(A86,20,$A$1,1,100000000)/AVERAGEIF(CA86:CE86,"&gt;0")*100,0)</f>
        <v>1.5944760842853993</v>
      </c>
      <c r="BZ86" s="52">
        <f>[1]!b_stm07_is(A86,20,$A$1,1,100000000)</f>
        <v>3643.46</v>
      </c>
      <c r="CA86" s="52">
        <f>[1]!s_stmnote_bank_38(A86,$A$1,1,100000000)</f>
        <v>235900.86</v>
      </c>
      <c r="CB86" s="52">
        <f>[1]!s_stmnote_bank_38(A86,$B$1,1,100000000)</f>
        <v>213582.49</v>
      </c>
      <c r="CC86" s="52">
        <f>[1]!s_stmnote_bank_38(A86,$E$1,1,100000000)</f>
        <v>231898.9</v>
      </c>
      <c r="CD86" s="52">
        <f>[1]!s_stmnote_bank_38(A86,$F$1,1,100000000)</f>
        <v>232982.12</v>
      </c>
      <c r="CE86" s="52">
        <f>[1]!s_stmnote_bank_38(A86,$G$1,1,100000000)</f>
        <v>228161.39</v>
      </c>
      <c r="CF86" s="52">
        <f>IF(BP86&lt;&gt;0,BP86,IFERROR(IF(([1]!b_stm07_is(A86,19,$A$1,1,100000000)-[1]!b_stm07_is(A86,20,$A$1,1,100000000))/AVERAGE([1]!s_stmnote_bank_35(A86,$A$1,1,100000000),[1]!s_stmnote_bank_35(A86,$B$1,1,100000000))*100=0,"",([1]!b_stm07_is(A86,19,$A$1,1,100000000)-[1]!b_stm07_is(A86,20,$A$1,1,100000000))/AVERAGE([1]!s_stmnote_bank_35(A86,$A$1,1,100000000),[1]!s_stmnote_bank_35(A86,$B$1,1,100000000))*100),""))</f>
        <v>1.75</v>
      </c>
      <c r="CG86" s="27" t="str">
        <f t="shared" si="30"/>
        <v>132 171</v>
      </c>
      <c r="CH86" s="80">
        <f t="shared" si="35"/>
        <v>0.65395404163979787</v>
      </c>
      <c r="CI86" s="27" t="str">
        <f t="shared" si="31"/>
        <v>87 169</v>
      </c>
      <c r="CJ86" s="55">
        <f>[1]!s_stmnote_bank_30(A86,$A$1,1)</f>
        <v>29.793500000000002</v>
      </c>
      <c r="CK86" s="65">
        <v>6527.29</v>
      </c>
      <c r="CL86" s="65">
        <v>1659.54</v>
      </c>
      <c r="CM86" s="64">
        <f>CK86/(5/8*[1]!s_stmnote_bank_1n($A86,$A$1,1,100000000)+[1]!s_stmnote_bank_1n($A86,$B$1,1,100000000)*3/8)</f>
        <v>4.3182357677943276E-2</v>
      </c>
      <c r="CN86" s="48"/>
      <c r="CO86" s="48"/>
      <c r="CP86" s="69">
        <f>[1]!b_stm07_bs($A86,141,$A$1,1,100000000)</f>
        <v>23505.53</v>
      </c>
      <c r="CQ86" s="69">
        <f>[1]!b_stm07_bs($A86,141,$D$1,1,100000000)</f>
        <v>24447.52</v>
      </c>
      <c r="CR86" s="68">
        <f>IF([1]!s_fa_roic_yearly($A86,$A$1)=0,"",[1]!s_fa_roic_yearly($A86,$A$1))</f>
        <v>10.1586</v>
      </c>
      <c r="CS86" s="27" t="str">
        <f>RANK(CR86,CR$5:CR$192,1)&amp;" "&amp;COUNTIF(CR$5:CR$192,"&gt;0")</f>
        <v>114 169</v>
      </c>
      <c r="CT86" s="68">
        <f>IF([1]!s_fa_roic_yearly($A86,$D$1)=0,"",[1]!s_fa_roic_yearly($A86,$D$1))</f>
        <v>10.565</v>
      </c>
      <c r="CU86" s="27" t="str">
        <f>RANK(CT86,CT$5:CT$192,1)&amp;" "&amp;COUNTIF(CT$5:CT$192,"&gt;0")</f>
        <v>81 142</v>
      </c>
      <c r="CV86" s="78">
        <f>[1]!s_stm07_bs(A86,"W14578191",$A$1,1,100000000)</f>
        <v>153224.84</v>
      </c>
      <c r="CW86" s="78">
        <f>[1]!s_stmnote_bank_682($A86,$A$1,1,2,100000000)</f>
        <v>60937.5</v>
      </c>
      <c r="CX86" s="79">
        <f t="shared" si="32"/>
        <v>0.39769987686069702</v>
      </c>
    </row>
    <row r="87" spans="1:102" s="46" customFormat="1" ht="13.5">
      <c r="A87" s="8" t="s">
        <v>768</v>
      </c>
      <c r="B87" s="8" t="s">
        <v>769</v>
      </c>
      <c r="C87" s="9" t="s">
        <v>770</v>
      </c>
      <c r="D87" s="9" t="s">
        <v>1066</v>
      </c>
      <c r="E87" s="10" t="s">
        <v>770</v>
      </c>
      <c r="F87" s="11" t="s">
        <v>66</v>
      </c>
      <c r="G87" s="11" t="s">
        <v>346</v>
      </c>
      <c r="H87" s="11" t="s">
        <v>116</v>
      </c>
      <c r="I87" s="11"/>
      <c r="J87" s="11">
        <f>VLOOKUP(B87,[3]额度信息!$B:$T,19,0)</f>
        <v>0</v>
      </c>
      <c r="K87" s="11" t="s">
        <v>771</v>
      </c>
      <c r="L87" s="27">
        <f>IFERROR(([1]!b_stm07_bs($A87,47,$A$1,1,100000000))/[1]!b_stm07_bs($A87,109,$A$1,1,100000000),"")</f>
        <v>9.3472410174944578E-2</v>
      </c>
      <c r="M87" s="20"/>
      <c r="N87" s="18"/>
      <c r="O87" s="27" t="e">
        <f t="shared" si="24"/>
        <v>#N/A</v>
      </c>
      <c r="P87" s="21">
        <f t="shared" si="33"/>
        <v>2.6039476304661701E-2</v>
      </c>
      <c r="Q87" s="27" t="str">
        <f t="shared" si="25"/>
        <v>64 169</v>
      </c>
      <c r="R87" s="18">
        <v>1.70394763046617E-2</v>
      </c>
      <c r="S87" s="22"/>
      <c r="T87" s="22"/>
      <c r="U87" s="22"/>
      <c r="V87" s="22"/>
      <c r="W87" s="22"/>
      <c r="X87" s="22"/>
      <c r="Y87" s="22"/>
      <c r="Z87" s="25">
        <f>[1]!b_stm07_bs(A87,74,$A$1,1,100000000)</f>
        <v>1698.2460492303001</v>
      </c>
      <c r="AA87" s="25">
        <f>[1]!b_stm07_bs(A87,109,$A$1,1,100000000)</f>
        <v>1184.2822252108001</v>
      </c>
      <c r="AB87" s="10">
        <f>[1]!s_stmnote_bank_5n(A87,$A$1,1)</f>
        <v>0.9</v>
      </c>
      <c r="AC87" s="25">
        <f>IF([1]!s_stmnote_bank_23n(A87,$A$1,1)=0,"",IFERROR([1]!s_stmnote_bank_23n(A87,$A$1,1),""))</f>
        <v>439.38</v>
      </c>
      <c r="AD87" s="27" t="str">
        <f t="shared" si="26"/>
        <v>139 167</v>
      </c>
      <c r="AE87" s="25">
        <f>[1]!s_stmnote_bank_capadequacyratio(A87,$A$1,1)</f>
        <v>17.37</v>
      </c>
      <c r="AF87" s="25">
        <f>IF([1]!s_stmnote_bank_capadequacyratio_ct1(A87,$A$1,1)=0,"",IFERROR([1]!s_stmnote_bank_capadequacyratio_ct1(A87,$A$1,1),""))</f>
        <v>14.67</v>
      </c>
      <c r="AG87" s="27" t="str">
        <f>RANK(AF87,AF$5:AF$192,1)&amp;" "&amp;COUNTIF(AF$5:AF$192,"&gt;0")</f>
        <v>152 167</v>
      </c>
      <c r="AH87" s="6">
        <f>IF(OR([1]!s_fa_roe(A87,20201231)=0,[1]!s_fa_roe(A87,20211231)="0",[1]!s_fa_roe(A87,20221231)="0"),"",IFERROR(([1]!s_fa_roe(A87,20221231)+[1]!s_fa_roe(A87,20201231)+[1]!s_fa_roe(A87,20211231))/3,""))</f>
        <v>14.341633333333334</v>
      </c>
      <c r="AI87" s="27" t="str">
        <f t="shared" si="27"/>
        <v>167 173</v>
      </c>
      <c r="AJ87" s="28">
        <f>IFERROR(([1]!s_stmnote_bank_65(A87,$A$1,1,2,4,100000000)+[1]!s_stmnote_bank_65(A87,$A$1,1,2,6,100000000))/[1]!s_stmnote_bank_1n(A87,$A$1,1,100000000),"")</f>
        <v>7.1394268840597103E-2</v>
      </c>
      <c r="AK87" s="28">
        <f>IFERROR([1]!s_stmnote_bank_614(A87,$A$1,1,2,100000000)/[1]!s_stmnote_bank_647(A87,$A$1,1,2,100000000),"")</f>
        <v>0.14581840732791668</v>
      </c>
      <c r="AL87" s="28">
        <f>IFERROR(([1]!b_stm07_bs(A87,104,$A$1,1,100000000)+[1]!b_stm07_bs(A87,106,$A$1,1,100000000)+[1]!b_stm07_bs(A87,76,$A$1,1,100000000)+[1]!b_stm07_bs(A87,108,$A$1,1,100000000)+[1]!b_stm07_bs(A87,95,$A$1,1,100000000))/[1]!b_stm07_bs(A87,128,$A$1,1,100000000),"")</f>
        <v>0.20611522425883236</v>
      </c>
      <c r="AM87" s="28">
        <f>IFERROR(([1]!s_stmnote_bank_614(A87,$A$1,1,2,100000000)+[1]!b_stm07_bs(A87,104,$A$1,1,100000000)+[1]!b_stm07_bs(A87,106,$A$1,1,100000000)+[1]!b_stm07_bs(A87,76,$A$1,1,100000000)+[1]!b_stm07_bs(A87,108,$A$1,1,100000000)+[1]!b_stm07_bs(A87,95,$A$1,1,100000000))/[1]!b_stm07_bs(A87,128,$A$1,1,100000000),"")</f>
        <v>0.3170540230947842</v>
      </c>
      <c r="AN87" s="31" t="e">
        <f>IF(Z87&gt;#REF!,#REF!,IF(Z87&gt;#REF!,#REF!,IF(Z87&gt;#REF!,#REF!,IF(Z87&gt;#REF!,#REF!,IF(Z87&gt;#REF!,#REF!,IF(Z87&gt;#REF!,#REF!,IF(Z87&gt;#REF!,#REF!,#REF!)))))))</f>
        <v>#REF!</v>
      </c>
      <c r="AO87" s="31" t="e">
        <f>IF(AA87&gt;#REF!,#REF!,IF(AA87&gt;#REF!,#REF!,IF(AA87&gt;#REF!,#REF!,IF(AA87&gt;#REF!,#REF!,IF(AA87&gt;#REF!,#REF!,IF(AA87&gt;#REF!,#REF!,IF(AA87&gt;#REF!,#REF!,#REF!)))))))</f>
        <v>#REF!</v>
      </c>
      <c r="AP87" s="31" t="e">
        <f>IF(AB87&lt;#REF!,#REF!,IF(AB87&lt;#REF!,#REF!,IF(AB87&lt;#REF!,#REF!,IF(AB87&lt;#REF!,#REF!,IF(AB87&lt;#REF!,#REF!,IF(AB87&lt;#REF!,#REF!,#REF!))))))</f>
        <v>#REF!</v>
      </c>
      <c r="AQ87" s="31" t="e">
        <f>IF(AC87&gt;#REF!,#REF!,IF(AC87&gt;#REF!,#REF!,IF(AC87&gt;#REF!,#REF!,IF(AC87&gt;#REF!,#REF!,#REF!))))</f>
        <v>#REF!</v>
      </c>
      <c r="AR87" s="31" t="e">
        <f>IF(AE87&gt;#REF!,#REF!,IF(AE87&gt;#REF!,#REF!,IF(AE87&gt;#REF!,#REF!,IF(AE87&gt;#REF!,#REF!,#REF!))))</f>
        <v>#REF!</v>
      </c>
      <c r="AS87" s="31" t="e">
        <f>IF(AF87&gt;#REF!,#REF!,IF(AF87&gt;#REF!,#REF!,IF(AF87&gt;#REF!,#REF!,IF(AF87&gt;#REF!,#REF!,#REF!))))</f>
        <v>#REF!</v>
      </c>
      <c r="AT87" s="31" t="e">
        <f>IF(AH87&gt;#REF!,#REF!,IF(AH87&gt;#REF!,#REF!,IF(AH87&gt;#REF!,#REF!,IF(AH87&gt;#REF!,#REF!,IF(AH87&gt;#REF!,#REF!,#REF!)))))</f>
        <v>#REF!</v>
      </c>
      <c r="AU87" s="10" t="e">
        <f t="shared" si="28"/>
        <v>#REF!</v>
      </c>
      <c r="AV87" s="10" t="s">
        <v>141</v>
      </c>
      <c r="AW87" s="10" t="s">
        <v>61</v>
      </c>
      <c r="AX87" s="10" t="s">
        <v>261</v>
      </c>
      <c r="AY87" s="31" t="str">
        <f>IFERROR(VLOOKUP(AV87,#REF!,3,0),"")</f>
        <v/>
      </c>
      <c r="AZ87" s="31" t="str">
        <f>IFERROR(VLOOKUP(AW87,#REF!,3,0),"")</f>
        <v/>
      </c>
      <c r="BA87" s="31" t="str">
        <f>IFERROR(VLOOKUP(AX87,#REF!,3,0),"")</f>
        <v/>
      </c>
      <c r="BB87" s="31" t="str">
        <f>IFERROR(AY87*#REF!+AZ87*#REF!+BA87*#REF!,"")</f>
        <v/>
      </c>
      <c r="BC87" s="32" t="str">
        <f t="shared" si="29"/>
        <v/>
      </c>
      <c r="BD87" s="32" t="str">
        <f>IFERROR(VLOOKUP(BC87*10,#REF!,2,1),"")</f>
        <v/>
      </c>
      <c r="BE87" s="11">
        <v>0</v>
      </c>
      <c r="BF87" s="11">
        <v>-1</v>
      </c>
      <c r="BG87" s="10" t="s">
        <v>772</v>
      </c>
      <c r="BH87" s="11" t="s">
        <v>773</v>
      </c>
      <c r="BI87" s="10">
        <v>8.4899997711181605</v>
      </c>
      <c r="BJ87" s="33" t="s">
        <v>280</v>
      </c>
      <c r="BK87" s="33" t="s">
        <v>774</v>
      </c>
      <c r="BL87" s="10">
        <f>IF([1]!s_stmnote_bank_17n(A87,$A$1,1)="0","",[1]!s_stmnote_bank_17n(A87,$A$1,1))</f>
        <v>6.57</v>
      </c>
      <c r="BM87" s="10">
        <f>IF([1]!s_stmnote_bank_18n(A87,$A$1,1)="0","",[1]!s_stmnote_bank_18n(A87,$A$1,1))</f>
        <v>24.25</v>
      </c>
      <c r="BN87" s="41" t="s">
        <v>67</v>
      </c>
      <c r="BO87" s="68" t="s">
        <v>67</v>
      </c>
      <c r="BP87" s="52">
        <f>[1]!s_stmnote_bank_5444(A87,$A$1,1)</f>
        <v>1.89</v>
      </c>
      <c r="BQ87" s="52">
        <f>[1]!s_stmnote_bank_129n($A87,$A$1,1)</f>
        <v>36.39</v>
      </c>
      <c r="BR87" s="52">
        <f t="shared" si="34"/>
        <v>3.9192615682828023</v>
      </c>
      <c r="BS87" s="52">
        <f>[1]!b_stm07_is(A87,19,$A$1,1,100000000)</f>
        <v>58.117861205399997</v>
      </c>
      <c r="BT87" s="52">
        <f xml:space="preserve"> [1]!s_stm07_bs(A87,"W15273164",$A$1,1,100000000)-[1]!s_stm07_bs(A87,"W17642530",$A$1,1,100000000)-[1]!s_stm07_bs(A87,"W15910877",$A$1,1,100000000)-[1]!s_stm07_bs_39(A87,$A$1,1,100000000)-[1]!s_stm07_bs(A87,"W17700468",$A$1,1,100000000)-[1]!s_stm07_bs(A87,"W16504296",$A$1,1,100000000)-[1]!s_stm07_bs(A87,"W13769069",$A$1,1,100000000)</f>
        <v>1675.4438831868997</v>
      </c>
      <c r="BU87" s="52">
        <f xml:space="preserve"> [1]!s_stm07_bs(A87,"W15273164",$B$1,1,100000000)-[1]!s_stm07_bs(A87,"W17642530",$B$1,1,100000000)-[1]!s_stm07_bs(A87,"W15910877",$B$1,1,100000000)-[1]!s_stm07_bs_39(A87,$B$1,1,100000000)-[1]!s_stm07_bs(A87,"W17700468",$B$1,1,100000000)-[1]!s_stm07_bs(A87,"W16504296",$B$1,1,100000000)-[1]!s_stm07_bs(A87,"W13769069",$B$1,1,100000000)</f>
        <v>1424.4460693909</v>
      </c>
      <c r="BV87" s="52">
        <f xml:space="preserve"> [1]!s_stm07_bs(A87,"W15273164",$E$1,1,100000000)-[1]!s_stm07_bs(A87,"W17642530",$E$1,1,100000000)-[1]!s_stm07_bs(A87,"W15910877",$E$1,1,100000000)-[1]!s_stm07_bs_39(A87,$E$1,1,100000000)-[1]!s_stm07_bs(A87,"W17700468",$E$1,1,100000000)-[1]!s_stm07_bs(A87,"W16504296",$E$1,1,100000000)-[1]!s_stm07_bs(A87,"W13769069",$E$1,1,100000000)</f>
        <v>1641.994808615</v>
      </c>
      <c r="BW87" s="52">
        <f xml:space="preserve"> [1]!s_stm07_bs(A87,"W15273164",$F$1,1,100000000)-[1]!s_stm07_bs(A87,"W17642530",$F$1,1,100000000)-[1]!s_stm07_bs(A87,"W15910877",$F$1,1,100000000)-[1]!s_stm07_bs_39(A87,$F$1,1,100000000)-[1]!s_stm07_bs(A87,"W17700468",$F$1,1,100000000)-[1]!s_stm07_bs(A87,"W16504296",$F$1,1,100000000)-[1]!s_stm07_bs(A87,"W13769069",$F$1,1,100000000)</f>
        <v>1602.1294541732002</v>
      </c>
      <c r="BX87" s="52">
        <f xml:space="preserve"> [1]!s_stm07_bs(A87,"W15273164",$G$1,1,100000000)-[1]!s_stm07_bs(A87,"W17642530",$G$1,1,100000000)-[1]!s_stm07_bs(A87,"W15910877",$G$1,1,100000000)-[1]!s_stm07_bs_39(A87,$G$1,1,100000000)-[1]!s_stm07_bs(A87,"W17700468",$G$1,1,100000000)-[1]!s_stm07_bs(A87,"W16504296",$G$1,1,100000000)-[1]!s_stm07_bs(A87,"W13769069",$G$1,1,100000000)</f>
        <v>1518.1703031934003</v>
      </c>
      <c r="BY87" s="52">
        <f>IFERROR([1]!b_stm07_is(A87,20,$A$1,1,100000000)/AVERAGEIF(CA87:CE87,"&gt;0")*100,0)</f>
        <v>2.2076644831459911</v>
      </c>
      <c r="BZ87" s="52">
        <f>[1]!b_stm07_is(A87,20,$A$1,1,100000000)</f>
        <v>31.319366995700001</v>
      </c>
      <c r="CA87" s="52">
        <f>[1]!s_stmnote_bank_38(A87,$A$1,1,100000000)</f>
        <v>1546.0233213525</v>
      </c>
      <c r="CB87" s="52">
        <f>[1]!s_stmnote_bank_38(A87,$B$1,1,100000000)</f>
        <v>1328.9724396547999</v>
      </c>
      <c r="CC87" s="52">
        <f>[1]!s_stmnote_bank_38(A87,$E$1,1,100000000)</f>
        <v>1431.7303982304002</v>
      </c>
      <c r="CD87" s="52">
        <f>[1]!s_stmnote_bank_38(A87,$F$1,1,100000000)</f>
        <v>1429.5877787408999</v>
      </c>
      <c r="CE87" s="52">
        <f>[1]!s_stmnote_bank_38(A87,$G$1,1,100000000)</f>
        <v>1357.0118900179</v>
      </c>
      <c r="CF87" s="52">
        <f>IF(BP87&lt;&gt;0,BP87,IFERROR(IF(([1]!b_stm07_is(A87,19,$A$1,1,100000000)-[1]!b_stm07_is(A87,20,$A$1,1,100000000))/AVERAGE([1]!s_stmnote_bank_35(A87,$A$1,1,100000000),[1]!s_stmnote_bank_35(A87,$B$1,1,100000000))*100=0,"",([1]!b_stm07_is(A87,19,$A$1,1,100000000)-[1]!b_stm07_is(A87,20,$A$1,1,100000000))/AVERAGE([1]!s_stmnote_bank_35(A87,$A$1,1,100000000),[1]!s_stmnote_bank_35(A87,$B$1,1,100000000))*100),""))</f>
        <v>1.89</v>
      </c>
      <c r="CG87" s="27" t="str">
        <f t="shared" si="30"/>
        <v>113 171</v>
      </c>
      <c r="CH87" s="80">
        <f t="shared" si="35"/>
        <v>0.72582104873654618</v>
      </c>
      <c r="CI87" s="27" t="str">
        <f t="shared" si="31"/>
        <v>75 169</v>
      </c>
      <c r="CJ87" s="55">
        <f>[1]!s_stmnote_bank_30(A87,$A$1,1)</f>
        <v>25.002400000000002</v>
      </c>
      <c r="CP87" s="69">
        <f>[1]!b_stm07_bs($A87,141,$A$1,1,100000000)</f>
        <v>141.62068714790001</v>
      </c>
      <c r="CQ87" s="69">
        <f>[1]!b_stm07_bs($A87,141,$D$1,1,100000000)</f>
        <v>145.12694451620001</v>
      </c>
      <c r="CR87" s="68">
        <f>IF([1]!s_fa_roic_yearly($A87,$A$1)=0,"",[1]!s_fa_roic_yearly($A87,$A$1))</f>
        <v>14.218400000000001</v>
      </c>
      <c r="CS87" s="27">
        <f>RANK(CR87,CR$5:CR$192,0)/COUNTIF(CR$5:CR$192,"&gt;0")</f>
        <v>7.1005917159763315E-2</v>
      </c>
      <c r="CT87" s="68">
        <f>IF([1]!s_fa_roic_yearly($A87,$D$1)=0,"",[1]!s_fa_roic_yearly($A87,$D$1))</f>
        <v>14.3406</v>
      </c>
      <c r="CU87" s="27">
        <f>RANK(CT87,CT$5:CT$192,0)/COUNTIF(CT$5:CT$192,"&gt;0")</f>
        <v>0.12676056338028169</v>
      </c>
      <c r="CV87" s="78">
        <f>[1]!s_stm07_bs(A87,"W14578191",$A$1,1,100000000)</f>
        <v>827.39006296000002</v>
      </c>
      <c r="CW87" s="78">
        <f>[1]!s_stmnote_bank_682($A87,$A$1,1,2,100000000)</f>
        <v>436.00097292830003</v>
      </c>
      <c r="CX87" s="79">
        <f t="shared" si="32"/>
        <v>0.52695940215730919</v>
      </c>
    </row>
    <row r="88" spans="1:102" s="46" customFormat="1" ht="13.5">
      <c r="A88" s="8" t="s">
        <v>853</v>
      </c>
      <c r="B88" s="8" t="s">
        <v>854</v>
      </c>
      <c r="C88" s="9" t="s">
        <v>855</v>
      </c>
      <c r="D88" s="9" t="s">
        <v>1061</v>
      </c>
      <c r="E88" s="10"/>
      <c r="F88" s="11" t="s">
        <v>178</v>
      </c>
      <c r="G88" s="11" t="s">
        <v>856</v>
      </c>
      <c r="H88" s="11" t="s">
        <v>259</v>
      </c>
      <c r="I88" s="11"/>
      <c r="J88" s="11" t="e">
        <f>VLOOKUP(B88,[3]额度信息!$B:$T,19,0)</f>
        <v>#N/A</v>
      </c>
      <c r="K88" s="11" t="s">
        <v>857</v>
      </c>
      <c r="L88" s="27">
        <f>IFERROR(([1]!b_stm07_bs($A88,47,$A$1,1,100000000))/[1]!b_stm07_bs($A88,109,$A$1,1,100000000),"")</f>
        <v>9.1869930944115191E-2</v>
      </c>
      <c r="M88" s="20">
        <v>74.150000000000006</v>
      </c>
      <c r="N88" s="18">
        <f>IFERROR(([1]!s_stmnote_bank_26($A88,$A$1,1,100000000)-[1]!s_stmnote_bank_26($A88,$B$1,1,100000000)+M88)/[1]!s_stmnote_bank_1n($A88,$B$1,1,100000000),"")</f>
        <v>1.2473190202336724E-2</v>
      </c>
      <c r="O88" s="27" t="str">
        <f t="shared" si="24"/>
        <v>32 50</v>
      </c>
      <c r="P88" s="21">
        <f t="shared" si="33"/>
        <v>1.3478191628696691E-2</v>
      </c>
      <c r="Q88" s="27" t="str">
        <f t="shared" si="25"/>
        <v>15 169</v>
      </c>
      <c r="R88" s="18">
        <v>5.7781916286966904E-3</v>
      </c>
      <c r="S88" s="22">
        <v>1.39789407668437E-2</v>
      </c>
      <c r="T88" s="22">
        <v>1.2848923807028999E-3</v>
      </c>
      <c r="U88" s="22">
        <v>5.1068912221265701E-2</v>
      </c>
      <c r="V88" s="22"/>
      <c r="W88" s="22">
        <v>7.3189563650791895E-4</v>
      </c>
      <c r="X88" s="22">
        <v>2.0375116620733301E-4</v>
      </c>
      <c r="Y88" s="22">
        <v>1.1140350877192999</v>
      </c>
      <c r="Z88" s="25">
        <f>[1]!b_stm07_bs(A88,74,$A$1,1,100000000)</f>
        <v>20156.07</v>
      </c>
      <c r="AA88" s="25">
        <f>[1]!b_stm07_bs(A88,109,$A$1,1,100000000)</f>
        <v>10623.28</v>
      </c>
      <c r="AB88" s="10">
        <f>[1]!s_stmnote_bank_5n(A88,$A$1,1)</f>
        <v>0.77</v>
      </c>
      <c r="AC88" s="25">
        <f>IF([1]!s_stmnote_bank_23n(A88,$A$1,1)=0,"",IFERROR([1]!s_stmnote_bank_23n(A88,$A$1,1),""))</f>
        <v>525.52</v>
      </c>
      <c r="AD88" s="27" t="str">
        <f t="shared" si="26"/>
        <v>149 167</v>
      </c>
      <c r="AE88" s="25">
        <f>[1]!s_stmnote_bank_capadequacyratio(A88,$A$1,1)</f>
        <v>15.44</v>
      </c>
      <c r="AF88" s="25">
        <f>IF([1]!s_stmnote_bank_capadequacyratio_ct1(A88,$A$1,1)=0,"",IFERROR([1]!s_stmnote_bank_capadequacyratio_ct1(A88,$A$1,1),""))</f>
        <v>10.16</v>
      </c>
      <c r="AG88" s="27" t="str">
        <f>RANK(AF88,AF$5:AF$192,1)&amp;" "&amp;COUNTIF(AF$5:AF$192,"&gt;0")</f>
        <v>87 167</v>
      </c>
      <c r="AH88" s="6">
        <f>IF(OR([1]!s_fa_roe(A88,20201231)=0,[1]!s_fa_roe(A88,20211231)="0",[1]!s_fa_roe(A88,20221231)="0"),"",IFERROR(([1]!s_fa_roe(A88,20221231)+[1]!s_fa_roe(A88,20201231)+[1]!s_fa_roe(A88,20211231))/3,""))</f>
        <v>14.301833333333335</v>
      </c>
      <c r="AI88" s="27" t="str">
        <f t="shared" si="27"/>
        <v>165 173</v>
      </c>
      <c r="AJ88" s="28">
        <f>IFERROR(([1]!s_stmnote_bank_65(A88,$A$1,1,2,4,100000000)+[1]!s_stmnote_bank_65(A88,$A$1,1,2,6,100000000))/[1]!s_stmnote_bank_1n(A88,$A$1,1,100000000),"")</f>
        <v>8.0715513574102046E-2</v>
      </c>
      <c r="AK88" s="28">
        <f>IFERROR([1]!s_stmnote_bank_614(A88,$A$1,1,2,100000000)/[1]!s_stmnote_bank_647(A88,$A$1,1,2,100000000),"")</f>
        <v>0.34007258138812613</v>
      </c>
      <c r="AL88" s="28">
        <f>IFERROR(([1]!b_stm07_bs(A88,104,$A$1,1,100000000)+[1]!b_stm07_bs(A88,106,$A$1,1,100000000)+[1]!b_stm07_bs(A88,76,$A$1,1,100000000)+[1]!b_stm07_bs(A88,108,$A$1,1,100000000)+[1]!b_stm07_bs(A88,95,$A$1,1,100000000))/[1]!b_stm07_bs(A88,128,$A$1,1,100000000),"")</f>
        <v>0.3488307022861728</v>
      </c>
      <c r="AM88" s="28">
        <f>IFERROR(([1]!s_stmnote_bank_614(A88,$A$1,1,2,100000000)+[1]!b_stm07_bs(A88,104,$A$1,1,100000000)+[1]!b_stm07_bs(A88,106,$A$1,1,100000000)+[1]!b_stm07_bs(A88,76,$A$1,1,100000000)+[1]!b_stm07_bs(A88,108,$A$1,1,100000000)+[1]!b_stm07_bs(A88,95,$A$1,1,100000000))/[1]!b_stm07_bs(A88,128,$A$1,1,100000000),"")</f>
        <v>0.54075644012913759</v>
      </c>
      <c r="AN88" s="31" t="e">
        <f>IF(Z88&gt;#REF!,#REF!,IF(Z88&gt;#REF!,#REF!,IF(Z88&gt;#REF!,#REF!,IF(Z88&gt;#REF!,#REF!,IF(Z88&gt;#REF!,#REF!,IF(Z88&gt;#REF!,#REF!,IF(Z88&gt;#REF!,#REF!,#REF!)))))))</f>
        <v>#REF!</v>
      </c>
      <c r="AO88" s="31" t="e">
        <f>IF(AA88&gt;#REF!,#REF!,IF(AA88&gt;#REF!,#REF!,IF(AA88&gt;#REF!,#REF!,IF(AA88&gt;#REF!,#REF!,IF(AA88&gt;#REF!,#REF!,IF(AA88&gt;#REF!,#REF!,IF(AA88&gt;#REF!,#REF!,#REF!)))))))</f>
        <v>#REF!</v>
      </c>
      <c r="AP88" s="31" t="e">
        <f>IF(AB88&lt;#REF!,#REF!,IF(AB88&lt;#REF!,#REF!,IF(AB88&lt;#REF!,#REF!,IF(AB88&lt;#REF!,#REF!,IF(AB88&lt;#REF!,#REF!,IF(AB88&lt;#REF!,#REF!,#REF!))))))</f>
        <v>#REF!</v>
      </c>
      <c r="AQ88" s="31" t="e">
        <f>IF(AC88&gt;#REF!,#REF!,IF(AC88&gt;#REF!,#REF!,IF(AC88&gt;#REF!,#REF!,IF(AC88&gt;#REF!,#REF!,#REF!))))</f>
        <v>#REF!</v>
      </c>
      <c r="AR88" s="31" t="e">
        <f>IF(AE88&gt;#REF!,#REF!,IF(AE88&gt;#REF!,#REF!,IF(AE88&gt;#REF!,#REF!,IF(AE88&gt;#REF!,#REF!,#REF!))))</f>
        <v>#REF!</v>
      </c>
      <c r="AS88" s="31" t="e">
        <f>IF(AF88&gt;#REF!,#REF!,IF(AF88&gt;#REF!,#REF!,IF(AF88&gt;#REF!,#REF!,IF(AF88&gt;#REF!,#REF!,#REF!))))</f>
        <v>#REF!</v>
      </c>
      <c r="AT88" s="31" t="e">
        <f>IF(AH88&gt;#REF!,#REF!,IF(AH88&gt;#REF!,#REF!,IF(AH88&gt;#REF!,#REF!,IF(AH88&gt;#REF!,#REF!,IF(AH88&gt;#REF!,#REF!,#REF!)))))</f>
        <v>#REF!</v>
      </c>
      <c r="AU88" s="10" t="e">
        <f t="shared" si="28"/>
        <v>#REF!</v>
      </c>
      <c r="AV88" s="10" t="s">
        <v>60</v>
      </c>
      <c r="AW88" s="10" t="s">
        <v>69</v>
      </c>
      <c r="AX88" s="10" t="s">
        <v>141</v>
      </c>
      <c r="AY88" s="31" t="str">
        <f>IFERROR(VLOOKUP(AV88,#REF!,3,0),"")</f>
        <v/>
      </c>
      <c r="AZ88" s="31" t="str">
        <f>IFERROR(VLOOKUP(AW88,#REF!,3,0),"")</f>
        <v/>
      </c>
      <c r="BA88" s="31" t="str">
        <f>IFERROR(VLOOKUP(AX88,#REF!,3,0),"")</f>
        <v/>
      </c>
      <c r="BB88" s="31" t="str">
        <f>IFERROR(AY88*#REF!+AZ88*#REF!+BA88*#REF!,"")</f>
        <v/>
      </c>
      <c r="BC88" s="32" t="str">
        <f t="shared" si="29"/>
        <v/>
      </c>
      <c r="BD88" s="32" t="str">
        <f>IFERROR(VLOOKUP(BC88*10,#REF!,2,1),"")</f>
        <v/>
      </c>
      <c r="BE88" s="31">
        <v>1</v>
      </c>
      <c r="BF88" s="10"/>
      <c r="BG88" s="10"/>
      <c r="BH88" s="11" t="s">
        <v>858</v>
      </c>
      <c r="BI88" s="10">
        <v>18.7399997711182</v>
      </c>
      <c r="BJ88" s="33" t="s">
        <v>111</v>
      </c>
      <c r="BK88" s="33" t="s">
        <v>118</v>
      </c>
      <c r="BL88" s="10">
        <f>IF([1]!s_stmnote_bank_17n(A88,$A$1,1)="0","",[1]!s_stmnote_bank_17n(A88,$A$1,1))</f>
        <v>0</v>
      </c>
      <c r="BM88" s="10">
        <f>IF([1]!s_stmnote_bank_18n(A88,$A$1,1)="0","",[1]!s_stmnote_bank_18n(A88,$A$1,1))</f>
        <v>0</v>
      </c>
      <c r="BN88" s="41">
        <v>4.25</v>
      </c>
      <c r="BO88" s="68">
        <v>2.0499999999999998</v>
      </c>
      <c r="BP88" s="52">
        <f>[1]!s_stmnote_bank_5444(A88,$A$1,1)</f>
        <v>2.21</v>
      </c>
      <c r="BQ88" s="52">
        <f>[1]!s_stmnote_bank_129n($A88,$A$1,1)</f>
        <v>36.950000000000003</v>
      </c>
      <c r="BR88" s="52">
        <f t="shared" si="34"/>
        <v>4.0275735619710336</v>
      </c>
      <c r="BS88" s="52">
        <f>[1]!b_stm07_is(A88,19,$A$1,1,100000000)</f>
        <v>677.62</v>
      </c>
      <c r="BT88" s="52">
        <f xml:space="preserve"> [1]!s_stm07_bs(A88,"W15273164",$A$1,1,100000000)-[1]!s_stm07_bs(A88,"W17642530",$A$1,1,100000000)-[1]!s_stm07_bs(A88,"W15910877",$A$1,1,100000000)-[1]!s_stm07_bs_39(A88,$A$1,1,100000000)-[1]!s_stm07_bs(A88,"W17700468",$A$1,1,100000000)-[1]!s_stm07_bs(A88,"W16504296",$A$1,1,100000000)-[1]!s_stm07_bs(A88,"W13769069",$A$1,1,100000000)</f>
        <v>19938.79</v>
      </c>
      <c r="BU88" s="52">
        <f xml:space="preserve"> [1]!s_stm07_bs(A88,"W15273164",$B$1,1,100000000)-[1]!s_stm07_bs(A88,"W17642530",$B$1,1,100000000)-[1]!s_stm07_bs(A88,"W15910877",$B$1,1,100000000)-[1]!s_stm07_bs_39(A88,$B$1,1,100000000)-[1]!s_stm07_bs(A88,"W17700468",$B$1,1,100000000)-[1]!s_stm07_bs(A88,"W16504296",$B$1,1,100000000)-[1]!s_stm07_bs(A88,"W13769069",$B$1,1,100000000)</f>
        <v>16049.15</v>
      </c>
      <c r="BV88" s="52">
        <f xml:space="preserve"> [1]!s_stm07_bs(A88,"W15273164",$E$1,1,100000000)-[1]!s_stm07_bs(A88,"W17642530",$E$1,1,100000000)-[1]!s_stm07_bs(A88,"W15910877",$E$1,1,100000000)-[1]!s_stm07_bs_39(A88,$E$1,1,100000000)-[1]!s_stm07_bs(A88,"W17700468",$E$1,1,100000000)-[1]!s_stm07_bs(A88,"W16504296",$E$1,1,100000000)-[1]!s_stm07_bs(A88,"W13769069",$E$1,1,100000000)</f>
        <v>18836.13</v>
      </c>
      <c r="BW88" s="52">
        <f xml:space="preserve"> [1]!s_stm07_bs(A88,"W15273164",$F$1,1,100000000)-[1]!s_stm07_bs(A88,"W17642530",$F$1,1,100000000)-[1]!s_stm07_bs(A88,"W15910877",$F$1,1,100000000)-[1]!s_stm07_bs_39(A88,$F$1,1,100000000)-[1]!s_stm07_bs(A88,"W17700468",$F$1,1,100000000)-[1]!s_stm07_bs(A88,"W16504296",$F$1,1,100000000)-[1]!s_stm07_bs(A88,"W13769069",$F$1,1,100000000)</f>
        <v>18058.389999999996</v>
      </c>
      <c r="BX88" s="52">
        <f xml:space="preserve"> [1]!s_stm07_bs(A88,"W15273164",$G$1,1,100000000)-[1]!s_stm07_bs(A88,"W17642530",$G$1,1,100000000)-[1]!s_stm07_bs(A88,"W15910877",$G$1,1,100000000)-[1]!s_stm07_bs_39(A88,$G$1,1,100000000)-[1]!s_stm07_bs(A88,"W17700468",$G$1,1,100000000)-[1]!s_stm07_bs(A88,"W16504296",$G$1,1,100000000)-[1]!s_stm07_bs(A88,"W13769069",$G$1,1,100000000)</f>
        <v>16971.849999999999</v>
      </c>
      <c r="BY88" s="52">
        <f>IFERROR([1]!b_stm07_is(A88,20,$A$1,1,100000000)/AVERAGEIF(CA88:CE88,"&gt;0")*100,0)</f>
        <v>2.171072192035592</v>
      </c>
      <c r="BZ88" s="52">
        <f>[1]!b_stm07_is(A88,20,$A$1,1,100000000)</f>
        <v>350.65</v>
      </c>
      <c r="CA88" s="52">
        <f>[1]!s_stmnote_bank_38(A88,$A$1,1,100000000)</f>
        <v>17948.509999999998</v>
      </c>
      <c r="CB88" s="52">
        <f>[1]!s_stmnote_bank_38(A88,$B$1,1,100000000)</f>
        <v>14297.53</v>
      </c>
      <c r="CC88" s="52">
        <f>[1]!s_stmnote_bank_38(A88,$E$1,1,100000000)</f>
        <v>17029.919999999998</v>
      </c>
      <c r="CD88" s="52">
        <f>[1]!s_stmnote_bank_38(A88,$F$1,1,100000000)</f>
        <v>16284.35</v>
      </c>
      <c r="CE88" s="52">
        <f>[1]!s_stmnote_bank_38(A88,$G$1,1,100000000)</f>
        <v>15194.72</v>
      </c>
      <c r="CF88" s="52">
        <f>IF(BP88&lt;&gt;0,BP88,IFERROR(IF(([1]!b_stm07_is(A88,19,$A$1,1,100000000)-[1]!b_stm07_is(A88,20,$A$1,1,100000000))/AVERAGE([1]!s_stmnote_bank_35(A88,$A$1,1,100000000),[1]!s_stmnote_bank_35(A88,$B$1,1,100000000))*100=0,"",([1]!b_stm07_is(A88,19,$A$1,1,100000000)-[1]!b_stm07_is(A88,20,$A$1,1,100000000))/AVERAGE([1]!s_stmnote_bank_35(A88,$A$1,1,100000000),[1]!s_stmnote_bank_35(A88,$B$1,1,100000000))*100),""))</f>
        <v>2.21</v>
      </c>
      <c r="CG88" s="27" t="str">
        <f t="shared" si="30"/>
        <v>65 171</v>
      </c>
      <c r="CH88" s="80">
        <f t="shared" si="35"/>
        <v>1.6396858427911383</v>
      </c>
      <c r="CI88" s="27" t="str">
        <f t="shared" si="31"/>
        <v>19 169</v>
      </c>
      <c r="CJ88" s="55">
        <f>[1]!s_stmnote_bank_30(A88,$A$1,1)</f>
        <v>38.043399999999998</v>
      </c>
      <c r="CK88" s="46">
        <v>521.64</v>
      </c>
      <c r="CL88" s="46">
        <f>175.66+60.62</f>
        <v>236.28</v>
      </c>
      <c r="CM88" s="59">
        <f>CK88/(5/8*[1]!s_stmnote_bank_1n($A88,$A$1,1,100000000)+[1]!s_stmnote_bank_1n($A88,$B$1,1,100000000)*3/8)</f>
        <v>6.5443356976738726E-2</v>
      </c>
      <c r="CP88" s="69">
        <f>[1]!b_stm07_bs($A88,141,$A$1,1,100000000)</f>
        <v>1500</v>
      </c>
      <c r="CQ88" s="69">
        <f>[1]!b_stm07_bs($A88,141,$D$1,1,100000000)</f>
        <v>1620.72</v>
      </c>
      <c r="CR88" s="68">
        <f>IF([1]!s_fa_roic_yearly($A88,$A$1)=0,"",[1]!s_fa_roic_yearly($A88,$A$1))</f>
        <v>14.591799999999999</v>
      </c>
      <c r="CS88" s="27">
        <f>RANK(CR88,CR$5:CR$192,0)/COUNTIF(CR$5:CR$192,"&gt;0")</f>
        <v>5.9171597633136092E-2</v>
      </c>
      <c r="CT88" s="68">
        <f>IF([1]!s_fa_roic_yearly($A88,$D$1)=0,"",[1]!s_fa_roic_yearly($A88,$D$1))</f>
        <v>14.5128</v>
      </c>
      <c r="CU88" s="27">
        <f>RANK(CT88,CT$5:CT$192,0)/COUNTIF(CT$5:CT$192,"&gt;0")</f>
        <v>0.11267605633802817</v>
      </c>
      <c r="CV88" s="78">
        <f>[1]!s_stm07_bs(A88,"W14578191",$A$1,1,100000000)</f>
        <v>8324.43</v>
      </c>
      <c r="CW88" s="78">
        <f>[1]!s_stmnote_bank_682($A88,$A$1,1,2,100000000)</f>
        <v>3331.28</v>
      </c>
      <c r="CX88" s="79">
        <f t="shared" si="32"/>
        <v>0.40018115354444689</v>
      </c>
    </row>
    <row r="89" spans="1:102" s="46" customFormat="1" ht="13.5">
      <c r="A89" s="8" t="s">
        <v>762</v>
      </c>
      <c r="B89" s="8" t="s">
        <v>763</v>
      </c>
      <c r="C89" s="9" t="s">
        <v>764</v>
      </c>
      <c r="D89" s="9" t="s">
        <v>1061</v>
      </c>
      <c r="E89" s="10" t="s">
        <v>764</v>
      </c>
      <c r="F89" s="11" t="s">
        <v>178</v>
      </c>
      <c r="G89" s="11" t="s">
        <v>346</v>
      </c>
      <c r="H89" s="11" t="s">
        <v>245</v>
      </c>
      <c r="I89" s="11" t="s">
        <v>245</v>
      </c>
      <c r="J89" s="11">
        <f>VLOOKUP(B89,[3]额度信息!$B:$T,19,0)</f>
        <v>0</v>
      </c>
      <c r="K89" s="11" t="s">
        <v>765</v>
      </c>
      <c r="L89" s="27">
        <f>IFERROR(([1]!b_stm07_bs($A89,47,$A$1,1,100000000))/[1]!b_stm07_bs($A89,109,$A$1,1,100000000),"")</f>
        <v>7.1438261497399708E-2</v>
      </c>
      <c r="M89" s="20">
        <v>3.53</v>
      </c>
      <c r="N89" s="18">
        <f>IFERROR(([1]!s_stmnote_bank_26($A89,$A$1,1,100000000)-[1]!s_stmnote_bank_26($A89,$B$1,1,100000000)+M89)/[1]!s_stmnote_bank_1n($A89,$B$1,1,100000000),"")</f>
        <v>6.9113809731381249E-4</v>
      </c>
      <c r="O89" s="27" t="str">
        <f t="shared" si="24"/>
        <v>1 50</v>
      </c>
      <c r="P89" s="21">
        <f t="shared" si="33"/>
        <v>1.8561484397660921E-2</v>
      </c>
      <c r="Q89" s="27" t="str">
        <f t="shared" si="25"/>
        <v>37 169</v>
      </c>
      <c r="R89" s="18">
        <v>7.4614843976609198E-3</v>
      </c>
      <c r="S89" s="18">
        <f>IFERROR((28.9)/[1]!s_stmnote_bank_1n(A89,$A$1,1,100000000),"")</f>
        <v>1.3550131368438518E-2</v>
      </c>
      <c r="T89" s="18">
        <f>IFERROR((22.1)/[1]!s_stmnote_bank_1n(A89,$A$1,1,100000000),"")</f>
        <v>1.0361865164100044E-2</v>
      </c>
      <c r="U89" s="18">
        <f>IFERROR((100.1)/[1]!b_stm07_bs($A89,74,$A$1,1,100000000),"")</f>
        <v>2.2095714746854837E-2</v>
      </c>
      <c r="V89" s="22"/>
      <c r="W89" s="18">
        <f>IFERROR((0.68+2.07)/([1]!s_stm07_bs_fininv($A89,$A$1,1,100000000)+[1]!s_stm07_bs_71($A89,$A$1,1,100000000)),"")</f>
        <v>1.4229640081627254E-3</v>
      </c>
      <c r="X89" s="18">
        <f>IFERROR((2.6+0.49)/([1]!s_stm07_bs_fininv($A89,$A$1,1,100000000)+[1]!s_stm07_bs_71($A89,$A$1,1,100000000)),"")</f>
        <v>1.5988941037173897E-3</v>
      </c>
      <c r="Y89" s="18">
        <f>(1.44+0.36)/(2.6+0.49)</f>
        <v>0.58252427184466016</v>
      </c>
      <c r="Z89" s="25">
        <f>[1]!b_stm07_bs(A89,74,$A$1,1,100000000)</f>
        <v>4530.2902009199997</v>
      </c>
      <c r="AA89" s="25">
        <f>[1]!b_stm07_bs(A89,109,$A$1,1,100000000)</f>
        <v>2783.4325364599999</v>
      </c>
      <c r="AB89" s="10">
        <f>[1]!s_stmnote_bank_5n(A89,$A$1,1)</f>
        <v>1.1100000000000001</v>
      </c>
      <c r="AC89" s="25">
        <f>IF([1]!s_stmnote_bank_23n(A89,$A$1,1)=0,"",IFERROR([1]!s_stmnote_bank_23n(A89,$A$1,1),""))</f>
        <v>422.91</v>
      </c>
      <c r="AD89" s="27" t="str">
        <f t="shared" si="26"/>
        <v>136 167</v>
      </c>
      <c r="AE89" s="25">
        <f>[1]!s_stmnote_bank_capadequacyratio(A89,$A$1,1)</f>
        <v>13.06</v>
      </c>
      <c r="AF89" s="25">
        <f>IF([1]!s_stmnote_bank_capadequacyratio_ct1(A89,$A$1,1)=0,"",IFERROR([1]!s_stmnote_bank_capadequacyratio_ct1(A89,$A$1,1),""))</f>
        <v>10.37</v>
      </c>
      <c r="AG89" s="27" t="str">
        <f>RANK(AF89,AF$5:AF$192,0)&amp;" "&amp;COUNTIF(AF$5:AF$192,"&gt;0")</f>
        <v>75 167</v>
      </c>
      <c r="AH89" s="6">
        <f>IF(OR([1]!s_fa_roe(A89,20201231)=0,[1]!s_fa_roe(A89,20211231)="0",[1]!s_fa_roe(A89,20221231)="0"),"",IFERROR(([1]!s_fa_roe(A89,20221231)+[1]!s_fa_roe(A89,20201231)+[1]!s_fa_roe(A89,20211231))/3,""))</f>
        <v>9.9708666666666659</v>
      </c>
      <c r="AI89" s="27" t="str">
        <f t="shared" si="27"/>
        <v>119 173</v>
      </c>
      <c r="AJ89" s="28">
        <f>IFERROR(([1]!s_stmnote_bank_65(A89,$A$1,1,2,4,100000000)+[1]!s_stmnote_bank_65(A89,$A$1,1,2,6,100000000))/[1]!s_stmnote_bank_1n(A89,$A$1,1,100000000),"")</f>
        <v>0.10358088999424406</v>
      </c>
      <c r="AK89" s="28">
        <f>IFERROR([1]!s_stmnote_bank_614(A89,$A$1,1,2,100000000)/[1]!s_stmnote_bank_647(A89,$A$1,1,2,100000000),"")</f>
        <v>0.27218623946595233</v>
      </c>
      <c r="AL89" s="28">
        <f>IFERROR(([1]!b_stm07_bs(A89,104,$A$1,1,100000000)+[1]!b_stm07_bs(A89,106,$A$1,1,100000000)+[1]!b_stm07_bs(A89,76,$A$1,1,100000000)+[1]!b_stm07_bs(A89,108,$A$1,1,100000000)+[1]!b_stm07_bs(A89,95,$A$1,1,100000000))/[1]!b_stm07_bs(A89,128,$A$1,1,100000000),"")</f>
        <v>0.26407401378651496</v>
      </c>
      <c r="AM89" s="28">
        <f>IFERROR(([1]!s_stmnote_bank_614(A89,$A$1,1,2,100000000)+[1]!b_stm07_bs(A89,104,$A$1,1,100000000)+[1]!b_stm07_bs(A89,106,$A$1,1,100000000)+[1]!b_stm07_bs(A89,76,$A$1,1,100000000)+[1]!b_stm07_bs(A89,108,$A$1,1,100000000)+[1]!b_stm07_bs(A89,95,$A$1,1,100000000))/[1]!b_stm07_bs(A89,128,$A$1,1,100000000),"")</f>
        <v>0.44047280290888896</v>
      </c>
      <c r="AN89" s="31" t="e">
        <f>IF(Z89&gt;#REF!,#REF!,IF(Z89&gt;#REF!,#REF!,IF(Z89&gt;#REF!,#REF!,IF(Z89&gt;#REF!,#REF!,IF(Z89&gt;#REF!,#REF!,IF(Z89&gt;#REF!,#REF!,IF(Z89&gt;#REF!,#REF!,#REF!)))))))</f>
        <v>#REF!</v>
      </c>
      <c r="AO89" s="31" t="e">
        <f>IF(AA89&gt;#REF!,#REF!,IF(AA89&gt;#REF!,#REF!,IF(AA89&gt;#REF!,#REF!,IF(AA89&gt;#REF!,#REF!,IF(AA89&gt;#REF!,#REF!,IF(AA89&gt;#REF!,#REF!,IF(AA89&gt;#REF!,#REF!,#REF!)))))))</f>
        <v>#REF!</v>
      </c>
      <c r="AP89" s="31" t="e">
        <f>IF(AB89&lt;#REF!,#REF!,IF(AB89&lt;#REF!,#REF!,IF(AB89&lt;#REF!,#REF!,IF(AB89&lt;#REF!,#REF!,IF(AB89&lt;#REF!,#REF!,IF(AB89&lt;#REF!,#REF!,#REF!))))))</f>
        <v>#REF!</v>
      </c>
      <c r="AQ89" s="31" t="e">
        <f>IF(AC89&gt;#REF!,#REF!,IF(AC89&gt;#REF!,#REF!,IF(AC89&gt;#REF!,#REF!,IF(AC89&gt;#REF!,#REF!,#REF!))))</f>
        <v>#REF!</v>
      </c>
      <c r="AR89" s="31" t="e">
        <f>IF(AE89&gt;#REF!,#REF!,IF(AE89&gt;#REF!,#REF!,IF(AE89&gt;#REF!,#REF!,IF(AE89&gt;#REF!,#REF!,#REF!))))</f>
        <v>#REF!</v>
      </c>
      <c r="AS89" s="31" t="e">
        <f>IF(AF89&gt;#REF!,#REF!,IF(AF89&gt;#REF!,#REF!,IF(AF89&gt;#REF!,#REF!,IF(AF89&gt;#REF!,#REF!,#REF!))))</f>
        <v>#REF!</v>
      </c>
      <c r="AT89" s="31" t="e">
        <f>IF(AH89&gt;#REF!,#REF!,IF(AH89&gt;#REF!,#REF!,IF(AH89&gt;#REF!,#REF!,IF(AH89&gt;#REF!,#REF!,IF(AH89&gt;#REF!,#REF!,#REF!)))))</f>
        <v>#REF!</v>
      </c>
      <c r="AU89" s="10" t="e">
        <f t="shared" si="28"/>
        <v>#REF!</v>
      </c>
      <c r="AV89" s="10" t="s">
        <v>60</v>
      </c>
      <c r="AW89" s="10" t="s">
        <v>69</v>
      </c>
      <c r="AX89" s="10" t="s">
        <v>261</v>
      </c>
      <c r="AY89" s="31" t="str">
        <f>IFERROR(VLOOKUP(AV89,#REF!,3,0),"")</f>
        <v/>
      </c>
      <c r="AZ89" s="31" t="str">
        <f>IFERROR(VLOOKUP(AW89,#REF!,3,0),"")</f>
        <v/>
      </c>
      <c r="BA89" s="31" t="str">
        <f>IFERROR(VLOOKUP(AX89,#REF!,3,0),"")</f>
        <v/>
      </c>
      <c r="BB89" s="31" t="str">
        <f>IFERROR(AY89*#REF!+AZ89*#REF!+BA89*#REF!,"")</f>
        <v/>
      </c>
      <c r="BC89" s="32" t="str">
        <f t="shared" si="29"/>
        <v/>
      </c>
      <c r="BD89" s="32" t="str">
        <f>IFERROR(VLOOKUP(BC89*10,#REF!,2,1),"")</f>
        <v/>
      </c>
      <c r="BE89" s="11">
        <v>0</v>
      </c>
      <c r="BF89" s="11">
        <v>0</v>
      </c>
      <c r="BG89" s="10" t="s">
        <v>766</v>
      </c>
      <c r="BH89" s="11" t="s">
        <v>767</v>
      </c>
      <c r="BI89" s="10">
        <v>9</v>
      </c>
      <c r="BJ89" s="33" t="s">
        <v>92</v>
      </c>
      <c r="BK89" s="33" t="s">
        <v>576</v>
      </c>
      <c r="BL89" s="10">
        <f>IF([1]!s_stmnote_bank_17n(A89,$A$1,1)="0","",[1]!s_stmnote_bank_17n(A89,$A$1,1))</f>
        <v>2.34</v>
      </c>
      <c r="BM89" s="10">
        <f>IF([1]!s_stmnote_bank_18n(A89,$A$1,1)="0","",[1]!s_stmnote_bank_18n(A89,$A$1,1))</f>
        <v>13</v>
      </c>
      <c r="BN89" s="41">
        <v>4.2300000000000004</v>
      </c>
      <c r="BO89" s="68">
        <v>2.2999999999999998</v>
      </c>
      <c r="BP89" s="52">
        <f>[1]!s_stmnote_bank_5444(A89,$A$1,1)</f>
        <v>1.91</v>
      </c>
      <c r="BQ89" s="52">
        <f>[1]!s_stmnote_bank_129n($A89,$A$1,1)</f>
        <v>32.020000000000003</v>
      </c>
      <c r="BR89" s="52">
        <f t="shared" si="34"/>
        <v>4.3159053695394771</v>
      </c>
      <c r="BS89" s="52">
        <f>[1]!b_stm07_is(A89,19,$A$1,1,100000000)</f>
        <v>172.08727227</v>
      </c>
      <c r="BT89" s="52">
        <f xml:space="preserve"> [1]!s_stm07_bs(A89,"W15273164",$A$1,1,100000000)-[1]!s_stm07_bs(A89,"W17642530",$A$1,1,100000000)-[1]!s_stm07_bs(A89,"W15910877",$A$1,1,100000000)-[1]!s_stm07_bs_39(A89,$A$1,1,100000000)-[1]!s_stm07_bs(A89,"W17700468",$A$1,1,100000000)-[1]!s_stm07_bs(A89,"W16504296",$A$1,1,100000000)-[1]!s_stm07_bs(A89,"W13769069",$A$1,1,100000000)</f>
        <v>4466.8002507199999</v>
      </c>
      <c r="BU89" s="52">
        <f xml:space="preserve"> [1]!s_stm07_bs(A89,"W15273164",$B$1,1,100000000)-[1]!s_stm07_bs(A89,"W17642530",$B$1,1,100000000)-[1]!s_stm07_bs(A89,"W15910877",$B$1,1,100000000)-[1]!s_stm07_bs_39(A89,$B$1,1,100000000)-[1]!s_stm07_bs(A89,"W17700468",$B$1,1,100000000)-[1]!s_stm07_bs(A89,"W16504296",$B$1,1,100000000)-[1]!s_stm07_bs(A89,"W13769069",$B$1,1,100000000)</f>
        <v>3822.3557875799997</v>
      </c>
      <c r="BV89" s="52">
        <f xml:space="preserve"> [1]!s_stm07_bs(A89,"W15273164",$E$1,1,100000000)-[1]!s_stm07_bs(A89,"W17642530",$E$1,1,100000000)-[1]!s_stm07_bs(A89,"W15910877",$E$1,1,100000000)-[1]!s_stm07_bs_39(A89,$E$1,1,100000000)-[1]!s_stm07_bs(A89,"W17700468",$E$1,1,100000000)-[1]!s_stm07_bs(A89,"W16504296",$E$1,1,100000000)-[1]!s_stm07_bs(A89,"W13769069",$E$1,1,100000000)</f>
        <v>4378.2683219299997</v>
      </c>
      <c r="BW89" s="52">
        <f xml:space="preserve"> [1]!s_stm07_bs(A89,"W15273164",$F$1,1,100000000)-[1]!s_stm07_bs(A89,"W17642530",$F$1,1,100000000)-[1]!s_stm07_bs(A89,"W15910877",$F$1,1,100000000)-[1]!s_stm07_bs_39(A89,$F$1,1,100000000)-[1]!s_stm07_bs(A89,"W17700468",$F$1,1,100000000)-[1]!s_stm07_bs(A89,"W16504296",$F$1,1,100000000)-[1]!s_stm07_bs(A89,"W13769069",$F$1,1,100000000)</f>
        <v>4331.86755945</v>
      </c>
      <c r="BX89" s="52">
        <f xml:space="preserve"> [1]!s_stm07_bs(A89,"W15273164",$G$1,1,100000000)-[1]!s_stm07_bs(A89,"W17642530",$G$1,1,100000000)-[1]!s_stm07_bs(A89,"W15910877",$G$1,1,100000000)-[1]!s_stm07_bs_39(A89,$G$1,1,100000000)-[1]!s_stm07_bs(A89,"W17700468",$G$1,1,100000000)-[1]!s_stm07_bs(A89,"W16504296",$G$1,1,100000000)-[1]!s_stm07_bs(A89,"W13769069",$G$1,1,100000000)</f>
        <v>4257.0338695700002</v>
      </c>
      <c r="BY89" s="52">
        <f>IFERROR([1]!b_stm07_is(A89,20,$A$1,1,100000000)/AVERAGEIF(CA89:CE89,"&gt;0")*100,0)</f>
        <v>2.4531996904068252</v>
      </c>
      <c r="BZ89" s="52">
        <f>[1]!b_stm07_is(A89,20,$A$1,1,100000000)</f>
        <v>96.758982160000002</v>
      </c>
      <c r="CA89" s="52">
        <f>[1]!s_stmnote_bank_38(A89,$A$1,1,100000000)</f>
        <v>4143.79563315</v>
      </c>
      <c r="CB89" s="52">
        <f>[1]!s_stmnote_bank_38(A89,$B$1,1,100000000)</f>
        <v>3522.2012984900002</v>
      </c>
      <c r="CC89" s="52">
        <f>[1]!s_stmnote_bank_38(A89,$E$1,1,100000000)</f>
        <v>4069.7824841400002</v>
      </c>
      <c r="CD89" s="52">
        <f>[1]!s_stmnote_bank_38(A89,$F$1,1,100000000)</f>
        <v>4033.1864784499999</v>
      </c>
      <c r="CE89" s="52">
        <f>[1]!s_stmnote_bank_38(A89,$G$1,1,100000000)</f>
        <v>3952.009642</v>
      </c>
      <c r="CF89" s="52">
        <f>IF(BP89&lt;&gt;0,BP89,IFERROR(IF(([1]!b_stm07_is(A89,19,$A$1,1,100000000)-[1]!b_stm07_is(A89,20,$A$1,1,100000000))/AVERAGE([1]!s_stmnote_bank_35(A89,$A$1,1,100000000),[1]!s_stmnote_bank_35(A89,$B$1,1,100000000))*100=0,"",([1]!b_stm07_is(A89,19,$A$1,1,100000000)-[1]!b_stm07_is(A89,20,$A$1,1,100000000))/AVERAGE([1]!s_stmnote_bank_35(A89,$A$1,1,100000000),[1]!s_stmnote_bank_35(A89,$B$1,1,100000000))*100),""))</f>
        <v>1.91</v>
      </c>
      <c r="CG89" s="27" t="str">
        <f t="shared" si="30"/>
        <v>107 171</v>
      </c>
      <c r="CH89" s="80">
        <f t="shared" si="35"/>
        <v>1.029012528890574</v>
      </c>
      <c r="CI89" s="27" t="str">
        <f t="shared" si="31"/>
        <v>39 169</v>
      </c>
      <c r="CJ89" s="55">
        <f>[1]!s_stmnote_bank_30(A89,$A$1,1)</f>
        <v>30.441099999999999</v>
      </c>
      <c r="CK89" s="48"/>
      <c r="CL89" s="48"/>
      <c r="CM89" s="48"/>
      <c r="CN89" s="48"/>
      <c r="CO89" s="48"/>
      <c r="CP89" s="69">
        <f>[1]!b_stm07_bs($A89,141,$A$1,1,100000000)</f>
        <v>342.88827766999998</v>
      </c>
      <c r="CQ89" s="69">
        <f>[1]!b_stm07_bs($A89,141,$D$1,1,100000000)</f>
        <v>388.05728797</v>
      </c>
      <c r="CR89" s="68">
        <f>IF([1]!s_fa_roic_yearly($A89,$A$1)=0,"",[1]!s_fa_roic_yearly($A89,$A$1))</f>
        <v>9.9611000000000001</v>
      </c>
      <c r="CS89" s="27" t="str">
        <f>RANK(CR89,CR$5:CR$192,1)&amp;" "&amp;COUNTIF(CR$5:CR$192,"&gt;0")</f>
        <v>111 169</v>
      </c>
      <c r="CT89" s="68">
        <f>IF([1]!s_fa_roic_yearly($A89,$D$1)=0,"",[1]!s_fa_roic_yearly($A89,$D$1))</f>
        <v>12.503</v>
      </c>
      <c r="CU89" s="27" t="str">
        <f>RANK(CT89,CT$5:CT$192,1)&amp;" "&amp;COUNTIF(CT$5:CT$192,"&gt;0")</f>
        <v>110 142</v>
      </c>
      <c r="CV89" s="78">
        <f>[1]!s_stm07_bs(A89,"W14578191",$A$1,1,100000000)</f>
        <v>2037.5226636100001</v>
      </c>
      <c r="CW89" s="78">
        <f>[1]!s_stmnote_bank_682($A89,$A$1,1,2,100000000)</f>
        <v>764.72036809999997</v>
      </c>
      <c r="CX89" s="79">
        <f t="shared" si="32"/>
        <v>0.37531870528747857</v>
      </c>
    </row>
    <row r="90" spans="1:102" s="46" customFormat="1" ht="13.5">
      <c r="A90" s="8" t="s">
        <v>521</v>
      </c>
      <c r="B90" s="8" t="s">
        <v>522</v>
      </c>
      <c r="C90" s="9" t="s">
        <v>523</v>
      </c>
      <c r="D90" s="9" t="s">
        <v>1063</v>
      </c>
      <c r="E90" s="10" t="s">
        <v>456</v>
      </c>
      <c r="F90" s="11" t="s">
        <v>178</v>
      </c>
      <c r="G90" s="11" t="s">
        <v>178</v>
      </c>
      <c r="H90" s="11" t="s">
        <v>178</v>
      </c>
      <c r="I90" s="11"/>
      <c r="J90" s="11">
        <f>VLOOKUP(B90,[3]额度信息!$B:$T,19,0)</f>
        <v>129.90900605670001</v>
      </c>
      <c r="K90" s="11" t="s">
        <v>524</v>
      </c>
      <c r="L90" s="27">
        <f>IFERROR(([1]!b_stm07_bs($A90,47,$A$1,1,100000000))/[1]!b_stm07_bs($A90,109,$A$1,1,100000000),"")</f>
        <v>0.10596578912424255</v>
      </c>
      <c r="M90" s="20">
        <v>832.3</v>
      </c>
      <c r="N90" s="18">
        <f>IFERROR(([1]!s_stmnote_bank_26($A90,$A$1,1,100000000)-[1]!s_stmnote_bank_26($A90,$B$1,1,100000000)+M90)/[1]!s_stmnote_bank_1n($A90,$B$1,1,100000000),"")</f>
        <v>6.0715027317765234E-3</v>
      </c>
      <c r="O90" s="27" t="str">
        <f t="shared" si="24"/>
        <v>18 50</v>
      </c>
      <c r="P90" s="21">
        <f t="shared" si="33"/>
        <v>2.8892256311895299E-2</v>
      </c>
      <c r="Q90" s="27" t="str">
        <f t="shared" si="25"/>
        <v>78 169</v>
      </c>
      <c r="R90" s="18">
        <v>1.4592256311895299E-2</v>
      </c>
      <c r="S90" s="22">
        <v>1.7003333363586101E-2</v>
      </c>
      <c r="T90" s="22">
        <v>1.3743641153773901E-2</v>
      </c>
      <c r="U90" s="22">
        <v>2.06549058547817E-3</v>
      </c>
      <c r="V90" s="22"/>
      <c r="W90" s="22">
        <v>7.8382709718606105E-5</v>
      </c>
      <c r="X90" s="22">
        <v>1.9139231931290199E-4</v>
      </c>
      <c r="Y90" s="22">
        <v>0.84484649122806998</v>
      </c>
      <c r="Z90" s="25">
        <f>[1]!b_stm07_bs(A90,74,$A$1,1,100000000)</f>
        <v>290691.55</v>
      </c>
      <c r="AA90" s="25">
        <f>[1]!b_stm07_bs(A90,109,$A$1,1,100000000)</f>
        <v>219071.27</v>
      </c>
      <c r="AB90" s="10">
        <f>[1]!s_stmnote_bank_5n(A90,$A$1,1)</f>
        <v>1.43</v>
      </c>
      <c r="AC90" s="25">
        <f>IF([1]!s_stmnote_bank_23n(A90,$A$1,1)=0,"",IFERROR([1]!s_stmnote_bank_23n(A90,$A$1,1),""))</f>
        <v>299.73</v>
      </c>
      <c r="AD90" s="27" t="str">
        <f t="shared" si="26"/>
        <v>108 167</v>
      </c>
      <c r="AE90" s="25">
        <f>[1]!s_stmnote_bank_capadequacyratio(A90,$A$1,1)</f>
        <v>17.13</v>
      </c>
      <c r="AF90" s="25">
        <f>IF([1]!s_stmnote_bank_capadequacyratio_ct1(A90,$A$1,1)=0,"",IFERROR([1]!s_stmnote_bank_capadequacyratio_ct1(A90,$A$1,1),""))</f>
        <v>11.44</v>
      </c>
      <c r="AG90" s="27" t="str">
        <f>RANK(AF90,AF$5:AF$192,0)&amp;" "&amp;COUNTIF(AF$5:AF$192,"&gt;0")</f>
        <v>56 167</v>
      </c>
      <c r="AH90" s="6">
        <f>IF(OR([1]!s_fa_roe(A90,20201231)=0,[1]!s_fa_roe(A90,20211231)="0",[1]!s_fa_roe(A90,20221231)="0"),"",IFERROR(([1]!s_fa_roe(A90,20221231)+[1]!s_fa_roe(A90,20201231)+[1]!s_fa_roe(A90,20211231))/3,""))</f>
        <v>10.345533333333334</v>
      </c>
      <c r="AI90" s="27" t="str">
        <f t="shared" si="27"/>
        <v>125 173</v>
      </c>
      <c r="AJ90" s="28">
        <f>IFERROR(([1]!s_stmnote_bank_65(A90,$A$1,1,2,4,100000000)+[1]!s_stmnote_bank_65(A90,$A$1,1,2,6,100000000))/[1]!s_stmnote_bank_1n(A90,$A$1,1,100000000),"")</f>
        <v>6.8847518334765809E-2</v>
      </c>
      <c r="AK90" s="28">
        <f>IFERROR([1]!s_stmnote_bank_614(A90,$A$1,1,2,100000000)/[1]!s_stmnote_bank_647(A90,$A$1,1,2,100000000),"")</f>
        <v>0.24927515991445051</v>
      </c>
      <c r="AL90" s="28">
        <f>IFERROR(([1]!b_stm07_bs(A90,104,$A$1,1,100000000)+[1]!b_stm07_bs(A90,106,$A$1,1,100000000)+[1]!b_stm07_bs(A90,76,$A$1,1,100000000)+[1]!b_stm07_bs(A90,108,$A$1,1,100000000)+[1]!b_stm07_bs(A90,95,$A$1,1,100000000))/[1]!b_stm07_bs(A90,128,$A$1,1,100000000),"")</f>
        <v>0.13033051588956923</v>
      </c>
      <c r="AM90" s="28">
        <f>IFERROR(([1]!s_stmnote_bank_614(A90,$A$1,1,2,100000000)+[1]!b_stm07_bs(A90,104,$A$1,1,100000000)+[1]!b_stm07_bs(A90,106,$A$1,1,100000000)+[1]!b_stm07_bs(A90,76,$A$1,1,100000000)+[1]!b_stm07_bs(A90,108,$A$1,1,100000000)+[1]!b_stm07_bs(A90,95,$A$1,1,100000000))/[1]!b_stm07_bs(A90,128,$A$1,1,100000000),"")</f>
        <v>0.33234384562235464</v>
      </c>
      <c r="AN90" s="31" t="e">
        <f>IF(Z90&gt;#REF!,#REF!,IF(Z90&gt;#REF!,#REF!,IF(Z90&gt;#REF!,#REF!,IF(Z90&gt;#REF!,#REF!,IF(Z90&gt;#REF!,#REF!,IF(Z90&gt;#REF!,#REF!,IF(Z90&gt;#REF!,#REF!,#REF!)))))))</f>
        <v>#REF!</v>
      </c>
      <c r="AO90" s="31" t="e">
        <f>IF(AA90&gt;#REF!,#REF!,IF(AA90&gt;#REF!,#REF!,IF(AA90&gt;#REF!,#REF!,IF(AA90&gt;#REF!,#REF!,IF(AA90&gt;#REF!,#REF!,IF(AA90&gt;#REF!,#REF!,IF(AA90&gt;#REF!,#REF!,#REF!)))))))</f>
        <v>#REF!</v>
      </c>
      <c r="AP90" s="31" t="e">
        <f>IF(AB90&lt;#REF!,#REF!,IF(AB90&lt;#REF!,#REF!,IF(AB90&lt;#REF!,#REF!,IF(AB90&lt;#REF!,#REF!,IF(AB90&lt;#REF!,#REF!,IF(AB90&lt;#REF!,#REF!,#REF!))))))</f>
        <v>#REF!</v>
      </c>
      <c r="AQ90" s="31" t="e">
        <f>IF(AC90&gt;#REF!,#REF!,IF(AC90&gt;#REF!,#REF!,IF(AC90&gt;#REF!,#REF!,IF(AC90&gt;#REF!,#REF!,#REF!))))</f>
        <v>#REF!</v>
      </c>
      <c r="AR90" s="31" t="e">
        <f>IF(AE90&gt;#REF!,#REF!,IF(AE90&gt;#REF!,#REF!,IF(AE90&gt;#REF!,#REF!,IF(AE90&gt;#REF!,#REF!,#REF!))))</f>
        <v>#REF!</v>
      </c>
      <c r="AS90" s="31" t="e">
        <f>IF(AF90&gt;#REF!,#REF!,IF(AF90&gt;#REF!,#REF!,IF(AF90&gt;#REF!,#REF!,IF(AF90&gt;#REF!,#REF!,#REF!))))</f>
        <v>#REF!</v>
      </c>
      <c r="AT90" s="31" t="e">
        <f>IF(AH90&gt;#REF!,#REF!,IF(AH90&gt;#REF!,#REF!,IF(AH90&gt;#REF!,#REF!,IF(AH90&gt;#REF!,#REF!,IF(AH90&gt;#REF!,#REF!,#REF!)))))</f>
        <v>#REF!</v>
      </c>
      <c r="AU90" s="10" t="e">
        <f t="shared" si="28"/>
        <v>#REF!</v>
      </c>
      <c r="AV90" s="10" t="s">
        <v>395</v>
      </c>
      <c r="AW90" s="10" t="s">
        <v>69</v>
      </c>
      <c r="AX90" s="10" t="s">
        <v>62</v>
      </c>
      <c r="AY90" s="31" t="str">
        <f>IFERROR(VLOOKUP(AV90,#REF!,3,0),"")</f>
        <v/>
      </c>
      <c r="AZ90" s="31" t="str">
        <f>IFERROR(VLOOKUP(AW90,#REF!,3,0),"")</f>
        <v/>
      </c>
      <c r="BA90" s="31" t="str">
        <f>IFERROR(VLOOKUP(AX90,#REF!,3,0),"")</f>
        <v/>
      </c>
      <c r="BB90" s="31" t="str">
        <f>IFERROR(AY90*#REF!+AZ90*#REF!+BA90*#REF!,"")</f>
        <v/>
      </c>
      <c r="BC90" s="32" t="str">
        <f t="shared" si="29"/>
        <v/>
      </c>
      <c r="BD90" s="32" t="str">
        <f>IFERROR(VLOOKUP(BC90*10,#REF!,2,1),"")</f>
        <v/>
      </c>
      <c r="BE90" s="11">
        <v>2</v>
      </c>
      <c r="BF90" s="11">
        <v>0</v>
      </c>
      <c r="BG90" s="10"/>
      <c r="BH90" s="11" t="s">
        <v>396</v>
      </c>
      <c r="BI90" s="10">
        <v>40.029998779296903</v>
      </c>
      <c r="BJ90" s="33" t="s">
        <v>71</v>
      </c>
      <c r="BK90" s="33" t="s">
        <v>72</v>
      </c>
      <c r="BL90" s="10">
        <f>IF([1]!s_stmnote_bank_17n(A90,$A$1,1)="0","",[1]!s_stmnote_bank_17n(A90,$A$1,1))</f>
        <v>2.44</v>
      </c>
      <c r="BM90" s="10">
        <f>IF([1]!s_stmnote_bank_18n(A90,$A$1,1)="0","",[1]!s_stmnote_bank_18n(A90,$A$1,1))</f>
        <v>11.67</v>
      </c>
      <c r="BN90" s="41">
        <v>3.57</v>
      </c>
      <c r="BO90" s="68">
        <v>1.84</v>
      </c>
      <c r="BP90" s="52">
        <f>[1]!s_stmnote_bank_5444(A90,$A$1,1)</f>
        <v>2.12</v>
      </c>
      <c r="BQ90" s="52">
        <f>[1]!s_stmnote_bank_129n($A90,$A$1,1)</f>
        <v>30.46</v>
      </c>
      <c r="BR90" s="52">
        <f t="shared" si="34"/>
        <v>3.7000153225490542</v>
      </c>
      <c r="BS90" s="52">
        <f>[1]!b_stm07_is(A90,19,$A$1,1,100000000)</f>
        <v>10080.14</v>
      </c>
      <c r="BT90" s="52">
        <f xml:space="preserve"> [1]!s_stm07_bs(A90,"W15273164",$A$1,1,100000000)-[1]!s_stm07_bs(A90,"W17642530",$A$1,1,100000000)-[1]!s_stm07_bs(A90,"W15910877",$A$1,1,100000000)-[1]!s_stm07_bs_39(A90,$A$1,1,100000000)-[1]!s_stm07_bs(A90,"W17700468",$A$1,1,100000000)-[1]!s_stm07_bs(A90,"W16504296",$A$1,1,100000000)-[1]!s_stm07_bs(A90,"W13769069",$A$1,1,100000000)</f>
        <v>286358.12</v>
      </c>
      <c r="BU90" s="52">
        <f xml:space="preserve"> [1]!s_stm07_bs(A90,"W15273164",$B$1,1,100000000)-[1]!s_stm07_bs(A90,"W17642530",$B$1,1,100000000)-[1]!s_stm07_bs(A90,"W15910877",$B$1,1,100000000)-[1]!s_stm07_bs_39(A90,$B$1,1,100000000)-[1]!s_stm07_bs(A90,"W17700468",$B$1,1,100000000)-[1]!s_stm07_bs(A90,"W16504296",$B$1,1,100000000)-[1]!s_stm07_bs(A90,"W13769069",$B$1,1,100000000)</f>
        <v>267678.64999999997</v>
      </c>
      <c r="BV90" s="52">
        <f xml:space="preserve"> [1]!s_stm07_bs(A90,"W15273164",$E$1,1,100000000)-[1]!s_stm07_bs(A90,"W17642530",$E$1,1,100000000)-[1]!s_stm07_bs(A90,"W15910877",$E$1,1,100000000)-[1]!s_stm07_bs_39(A90,$E$1,1,100000000)-[1]!s_stm07_bs(A90,"W17700468",$E$1,1,100000000)-[1]!s_stm07_bs(A90,"W16504296",$E$1,1,100000000)-[1]!s_stm07_bs(A90,"W13769069",$E$1,1,100000000)</f>
        <v>284729.05</v>
      </c>
      <c r="BW90" s="52">
        <f xml:space="preserve"> [1]!s_stm07_bs(A90,"W15273164",$F$1,1,100000000)-[1]!s_stm07_bs(A90,"W17642530",$F$1,1,100000000)-[1]!s_stm07_bs(A90,"W15910877",$F$1,1,100000000)-[1]!s_stm07_bs_39(A90,$F$1,1,100000000)-[1]!s_stm07_bs(A90,"W17700468",$F$1,1,100000000)-[1]!s_stm07_bs(A90,"W16504296",$F$1,1,100000000)-[1]!s_stm07_bs(A90,"W13769069",$F$1,1,100000000)</f>
        <v>281578.26</v>
      </c>
      <c r="BX90" s="52">
        <f xml:space="preserve"> [1]!s_stm07_bs(A90,"W15273164",$G$1,1,100000000)-[1]!s_stm07_bs(A90,"W17642530",$G$1,1,100000000)-[1]!s_stm07_bs(A90,"W15910877",$G$1,1,100000000)-[1]!s_stm07_bs_39(A90,$G$1,1,100000000)-[1]!s_stm07_bs(A90,"W17700468",$G$1,1,100000000)-[1]!s_stm07_bs(A90,"W16504296",$G$1,1,100000000)-[1]!s_stm07_bs(A90,"W13769069",$G$1,1,100000000)</f>
        <v>280598.85000000003</v>
      </c>
      <c r="BY90" s="52">
        <f>IFERROR([1]!b_stm07_is(A90,20,$A$1,1,100000000)/AVERAGEIF(CA90:CE90,"&gt;0")*100,0)</f>
        <v>1.6764990541357379</v>
      </c>
      <c r="BZ90" s="52">
        <f>[1]!b_stm07_is(A90,20,$A$1,1,100000000)</f>
        <v>4300.2700000000004</v>
      </c>
      <c r="CA90" s="52">
        <f>[1]!s_stmnote_bank_38(A90,$A$1,1,100000000)</f>
        <v>261273.61</v>
      </c>
      <c r="CB90" s="52">
        <f>[1]!s_stmnote_bank_38(A90,$B$1,1,100000000)</f>
        <v>244040.95</v>
      </c>
      <c r="CC90" s="52">
        <f>[1]!s_stmnote_bank_38(A90,$E$1,1,100000000)</f>
        <v>261345.84</v>
      </c>
      <c r="CD90" s="52">
        <f>[1]!s_stmnote_bank_38(A90,$F$1,1,100000000)</f>
        <v>258776.4</v>
      </c>
      <c r="CE90" s="52">
        <f>[1]!s_stmnote_bank_38(A90,$G$1,1,100000000)</f>
        <v>257078.09</v>
      </c>
      <c r="CF90" s="52">
        <f>IF(BP90&lt;&gt;0,BP90,IFERROR(IF(([1]!b_stm07_is(A90,19,$A$1,1,100000000)-[1]!b_stm07_is(A90,20,$A$1,1,100000000))/AVERAGE([1]!s_stmnote_bank_35(A90,$A$1,1,100000000),[1]!s_stmnote_bank_35(A90,$B$1,1,100000000))*100=0,"",([1]!b_stm07_is(A90,19,$A$1,1,100000000)-[1]!b_stm07_is(A90,20,$A$1,1,100000000))/AVERAGE([1]!s_stmnote_bank_35(A90,$A$1,1,100000000),[1]!s_stmnote_bank_35(A90,$B$1,1,100000000))*100),""))</f>
        <v>2.12</v>
      </c>
      <c r="CG90" s="27" t="str">
        <f t="shared" si="30"/>
        <v>77 171</v>
      </c>
      <c r="CH90" s="80">
        <f t="shared" si="35"/>
        <v>0.73376062330139646</v>
      </c>
      <c r="CI90" s="27" t="str">
        <f t="shared" si="31"/>
        <v>74 169</v>
      </c>
      <c r="CJ90" s="55">
        <f>[1]!s_stmnote_bank_30(A90,$A$1,1)</f>
        <v>19.714500000000001</v>
      </c>
      <c r="CK90" s="62">
        <v>7618.27</v>
      </c>
      <c r="CL90" s="63">
        <v>2311.14</v>
      </c>
      <c r="CM90" s="64">
        <f>CK90/(5/8*[1]!s_stmnote_bank_1n($A90,$A$1,1,100000000)+[1]!s_stmnote_bank_1n($A90,$B$1,1,100000000)*3/8)</f>
        <v>4.6492865664616044E-2</v>
      </c>
      <c r="CP90" s="69">
        <f>[1]!b_stm07_bs($A90,141,$A$1,1,100000000)</f>
        <v>24213.59</v>
      </c>
      <c r="CQ90" s="69">
        <f>[1]!b_stm07_bs($A90,141,$D$1,1,100000000)</f>
        <v>25262.13</v>
      </c>
      <c r="CR90" s="68">
        <f>IF([1]!s_fa_roic_yearly($A90,$A$1)=0,"",[1]!s_fa_roic_yearly($A90,$A$1))</f>
        <v>10.4422</v>
      </c>
      <c r="CS90" s="27" t="str">
        <f>RANK(CR90,CR$5:CR$192,1)&amp;" "&amp;COUNTIF(CR$5:CR$192,"&gt;0")</f>
        <v>121 169</v>
      </c>
      <c r="CT90" s="68">
        <f>IF([1]!s_fa_roic_yearly($A90,$D$1)=0,"",[1]!s_fa_roic_yearly($A90,$D$1))</f>
        <v>10.4534</v>
      </c>
      <c r="CU90" s="27" t="str">
        <f>RANK(CT90,CT$5:CT$192,1)&amp;" "&amp;COUNTIF(CT$5:CT$192,"&gt;0")</f>
        <v>78 142</v>
      </c>
      <c r="CV90" s="78">
        <f>[1]!s_stm07_bs(A90,"W14578191",$A$1,1,100000000)</f>
        <v>164545.03</v>
      </c>
      <c r="CW90" s="78">
        <f>[1]!s_stmnote_bank_682($A90,$A$1,1,2,100000000)</f>
        <v>71365.679999999993</v>
      </c>
      <c r="CX90" s="79">
        <f t="shared" si="32"/>
        <v>0.43371519638119727</v>
      </c>
    </row>
    <row r="91" spans="1:102" s="46" customFormat="1" ht="13.5">
      <c r="A91" s="8" t="s">
        <v>677</v>
      </c>
      <c r="B91" s="8" t="s">
        <v>678</v>
      </c>
      <c r="C91" s="16" t="s">
        <v>679</v>
      </c>
      <c r="D91" s="9" t="s">
        <v>1063</v>
      </c>
      <c r="E91" s="10" t="s">
        <v>679</v>
      </c>
      <c r="F91" s="11" t="s">
        <v>178</v>
      </c>
      <c r="G91" s="11" t="s">
        <v>178</v>
      </c>
      <c r="H91" s="11" t="s">
        <v>178</v>
      </c>
      <c r="I91" s="11"/>
      <c r="J91" s="11">
        <f>VLOOKUP(B91,[3]额度信息!$B:$T,19,0)</f>
        <v>0</v>
      </c>
      <c r="K91" s="11" t="s">
        <v>680</v>
      </c>
      <c r="L91" s="27">
        <f>IFERROR(([1]!b_stm07_bs($A91,47,$A$1,1,100000000))/[1]!b_stm07_bs($A91,109,$A$1,1,100000000),"")</f>
        <v>0.10476046789552965</v>
      </c>
      <c r="M91" s="20">
        <v>533.13</v>
      </c>
      <c r="N91" s="18">
        <f>IFERROR(([1]!s_stmnote_bank_26($A91,$A$1,1,100000000)-[1]!s_stmnote_bank_26($A91,$B$1,1,100000000)+M91)/[1]!s_stmnote_bank_1n($A91,$B$1,1,100000000),"")</f>
        <v>9.7320659774278902E-3</v>
      </c>
      <c r="O91" s="27" t="str">
        <f t="shared" si="24"/>
        <v>25 50</v>
      </c>
      <c r="P91" s="21">
        <f t="shared" si="33"/>
        <v>1.3756809140310989E-2</v>
      </c>
      <c r="Q91" s="27" t="str">
        <f t="shared" si="25"/>
        <v>17 169</v>
      </c>
      <c r="R91" s="18">
        <v>5.5568091403109896E-3</v>
      </c>
      <c r="S91" s="22">
        <v>5.0293789568532097E-3</v>
      </c>
      <c r="T91" s="22">
        <v>8.4368026164309395E-3</v>
      </c>
      <c r="U91" s="22">
        <v>7.9345107320660802E-3</v>
      </c>
      <c r="V91" s="22"/>
      <c r="W91" s="22">
        <v>1.63241880909452E-3</v>
      </c>
      <c r="X91" s="22">
        <v>4.0650152382615597E-3</v>
      </c>
      <c r="Y91" s="22">
        <v>0.99756920329397802</v>
      </c>
      <c r="Z91" s="25">
        <f>[1]!b_stm07_bs(A91,74,$A$1,1,100000000)</f>
        <v>125878.73</v>
      </c>
      <c r="AA91" s="25">
        <f>[1]!b_stm07_bs(A91,109,$A$1,1,100000000)</f>
        <v>113540.73</v>
      </c>
      <c r="AB91" s="10">
        <f>[1]!s_stmnote_bank_5n(A91,$A$1,1)</f>
        <v>0.82</v>
      </c>
      <c r="AC91" s="25">
        <f>IF([1]!s_stmnote_bank_23n(A91,$A$1,1)=0,"",IFERROR([1]!s_stmnote_bank_23n(A91,$A$1,1),""))</f>
        <v>418.61</v>
      </c>
      <c r="AD91" s="27" t="str">
        <f t="shared" si="26"/>
        <v>135 167</v>
      </c>
      <c r="AE91" s="25">
        <f>[1]!s_stmnote_bank_capadequacyratio(A91,$A$1,1)</f>
        <v>14.78</v>
      </c>
      <c r="AF91" s="25">
        <f>IF([1]!s_stmnote_bank_capadequacyratio_ct1(A91,$A$1,1)=0,"",IFERROR([1]!s_stmnote_bank_capadequacyratio_ct1(A91,$A$1,1),""))</f>
        <v>9.92</v>
      </c>
      <c r="AG91" s="27" t="str">
        <f>RANK(AF91,AF$5:AF$192,0)&amp;" "&amp;COUNTIF(AF$5:AF$192,"&gt;0")</f>
        <v>85 167</v>
      </c>
      <c r="AH91" s="6">
        <f>IF(OR([1]!s_fa_roe(A91,20201231)=0,[1]!s_fa_roe(A91,20211231)="0",[1]!s_fa_roe(A91,20221231)="0"),"",IFERROR(([1]!s_fa_roe(A91,20221231)+[1]!s_fa_roe(A91,20201231)+[1]!s_fa_roe(A91,20211231))/3,""))</f>
        <v>10.495533333333334</v>
      </c>
      <c r="AI91" s="27" t="str">
        <f t="shared" si="27"/>
        <v>129 173</v>
      </c>
      <c r="AJ91" s="28">
        <f>IFERROR(([1]!s_stmnote_bank_65(A91,$A$1,1,2,4,100000000)+[1]!s_stmnote_bank_65(A91,$A$1,1,2,6,100000000))/[1]!s_stmnote_bank_1n(A91,$A$1,1,100000000),"")</f>
        <v>4.0086927702844347E-2</v>
      </c>
      <c r="AK91" s="28">
        <f>IFERROR([1]!s_stmnote_bank_614(A91,$A$1,1,2,100000000)/[1]!s_stmnote_bank_647(A91,$A$1,1,2,100000000),"")</f>
        <v>7.9123236216642245E-2</v>
      </c>
      <c r="AL91" s="28">
        <f>IFERROR(([1]!b_stm07_bs(A91,104,$A$1,1,100000000)+[1]!b_stm07_bs(A91,106,$A$1,1,100000000)+[1]!b_stm07_bs(A91,76,$A$1,1,100000000)+[1]!b_stm07_bs(A91,108,$A$1,1,100000000)+[1]!b_stm07_bs(A91,95,$A$1,1,100000000))/[1]!b_stm07_bs(A91,128,$A$1,1,100000000),"")</f>
        <v>2.6580256783989308E-2</v>
      </c>
      <c r="AM91" s="28">
        <f>IFERROR(([1]!s_stmnote_bank_614(A91,$A$1,1,2,100000000)+[1]!b_stm07_bs(A91,104,$A$1,1,100000000)+[1]!b_stm07_bs(A91,106,$A$1,1,100000000)+[1]!b_stm07_bs(A91,76,$A$1,1,100000000)+[1]!b_stm07_bs(A91,108,$A$1,1,100000000)+[1]!b_stm07_bs(A91,95,$A$1,1,100000000))/[1]!b_stm07_bs(A91,128,$A$1,1,100000000),"")</f>
        <v>0.10276294986467467</v>
      </c>
      <c r="AN91" s="31" t="e">
        <f>IF(Z91&gt;#REF!,#REF!,IF(Z91&gt;#REF!,#REF!,IF(Z91&gt;#REF!,#REF!,IF(Z91&gt;#REF!,#REF!,IF(Z91&gt;#REF!,#REF!,IF(Z91&gt;#REF!,#REF!,IF(Z91&gt;#REF!,#REF!,#REF!)))))))</f>
        <v>#REF!</v>
      </c>
      <c r="AO91" s="31" t="e">
        <f>IF(AA91&gt;#REF!,#REF!,IF(AA91&gt;#REF!,#REF!,IF(AA91&gt;#REF!,#REF!,IF(AA91&gt;#REF!,#REF!,IF(AA91&gt;#REF!,#REF!,IF(AA91&gt;#REF!,#REF!,IF(AA91&gt;#REF!,#REF!,#REF!)))))))</f>
        <v>#REF!</v>
      </c>
      <c r="AP91" s="31" t="e">
        <f>IF(AB91&lt;#REF!,#REF!,IF(AB91&lt;#REF!,#REF!,IF(AB91&lt;#REF!,#REF!,IF(AB91&lt;#REF!,#REF!,IF(AB91&lt;#REF!,#REF!,IF(AB91&lt;#REF!,#REF!,#REF!))))))</f>
        <v>#REF!</v>
      </c>
      <c r="AQ91" s="31" t="e">
        <f>IF(AC91&gt;#REF!,#REF!,IF(AC91&gt;#REF!,#REF!,IF(AC91&gt;#REF!,#REF!,IF(AC91&gt;#REF!,#REF!,#REF!))))</f>
        <v>#REF!</v>
      </c>
      <c r="AR91" s="31" t="e">
        <f>IF(AE91&gt;#REF!,#REF!,IF(AE91&gt;#REF!,#REF!,IF(AE91&gt;#REF!,#REF!,IF(AE91&gt;#REF!,#REF!,#REF!))))</f>
        <v>#REF!</v>
      </c>
      <c r="AS91" s="31" t="e">
        <f>IF(AF91&gt;#REF!,#REF!,IF(AF91&gt;#REF!,#REF!,IF(AF91&gt;#REF!,#REF!,IF(AF91&gt;#REF!,#REF!,#REF!))))</f>
        <v>#REF!</v>
      </c>
      <c r="AT91" s="31" t="e">
        <f>IF(AH91&gt;#REF!,#REF!,IF(AH91&gt;#REF!,#REF!,IF(AH91&gt;#REF!,#REF!,IF(AH91&gt;#REF!,#REF!,IF(AH91&gt;#REF!,#REF!,#REF!)))))</f>
        <v>#REF!</v>
      </c>
      <c r="AU91" s="10" t="e">
        <f t="shared" si="28"/>
        <v>#REF!</v>
      </c>
      <c r="AV91" s="10" t="s">
        <v>395</v>
      </c>
      <c r="AW91" s="10" t="s">
        <v>69</v>
      </c>
      <c r="AX91" s="10" t="s">
        <v>62</v>
      </c>
      <c r="AY91" s="31" t="str">
        <f>IFERROR(VLOOKUP(AV91,#REF!,3,0),"")</f>
        <v/>
      </c>
      <c r="AZ91" s="31" t="str">
        <f>IFERROR(VLOOKUP(AW91,#REF!,3,0),"")</f>
        <v/>
      </c>
      <c r="BA91" s="31" t="str">
        <f>IFERROR(VLOOKUP(AX91,#REF!,3,0),"")</f>
        <v/>
      </c>
      <c r="BB91" s="31" t="str">
        <f>IFERROR(AY91*#REF!+AZ91*#REF!+BA91*#REF!,"")</f>
        <v/>
      </c>
      <c r="BC91" s="32" t="str">
        <f t="shared" si="29"/>
        <v/>
      </c>
      <c r="BD91" s="32" t="str">
        <f>IFERROR(VLOOKUP(BC91*10,#REF!,2,1),"")</f>
        <v/>
      </c>
      <c r="BE91" s="11">
        <v>2</v>
      </c>
      <c r="BF91" s="11">
        <v>-1</v>
      </c>
      <c r="BG91" s="10" t="s">
        <v>169</v>
      </c>
      <c r="BH91" s="11" t="s">
        <v>681</v>
      </c>
      <c r="BI91" s="10">
        <v>67.387802124023395</v>
      </c>
      <c r="BJ91" s="33" t="s">
        <v>71</v>
      </c>
      <c r="BK91" s="33" t="s">
        <v>72</v>
      </c>
      <c r="BL91" s="10">
        <f>IF([1]!s_stmnote_bank_17n(A91,$A$1,1)="0","",[1]!s_stmnote_bank_17n(A91,$A$1,1))</f>
        <v>18.72</v>
      </c>
      <c r="BM91" s="10">
        <f>IF([1]!s_stmnote_bank_18n(A91,$A$1,1)="0","",[1]!s_stmnote_bank_18n(A91,$A$1,1))</f>
        <v>28.67</v>
      </c>
      <c r="BN91" s="41">
        <v>3.81</v>
      </c>
      <c r="BO91" s="68">
        <v>1.63</v>
      </c>
      <c r="BP91" s="52">
        <f>[1]!s_stmnote_bank_5444(A91,$A$1,1)</f>
        <v>2.36</v>
      </c>
      <c r="BQ91" s="52">
        <f>[1]!s_stmnote_bank_129n($A91,$A$1,1)</f>
        <v>59.01</v>
      </c>
      <c r="BR91" s="52">
        <f t="shared" si="34"/>
        <v>3.9275413257052985</v>
      </c>
      <c r="BS91" s="52">
        <f>[1]!b_stm07_is(A91,19,$A$1,1,100000000)</f>
        <v>4515.67</v>
      </c>
      <c r="BT91" s="52">
        <f xml:space="preserve"> [1]!s_stm07_bs(A91,"W15273164",$A$1,1,100000000)-[1]!s_stm07_bs(A91,"W17642530",$A$1,1,100000000)-[1]!s_stm07_bs(A91,"W15910877",$A$1,1,100000000)-[1]!s_stm07_bs_39(A91,$A$1,1,100000000)-[1]!s_stm07_bs(A91,"W17700468",$A$1,1,100000000)-[1]!s_stm07_bs(A91,"W16504296",$A$1,1,100000000)-[1]!s_stm07_bs(A91,"W13769069",$A$1,1,100000000)</f>
        <v>124280.98</v>
      </c>
      <c r="BU91" s="52">
        <f xml:space="preserve"> [1]!s_stm07_bs(A91,"W15273164",$B$1,1,100000000)-[1]!s_stm07_bs(A91,"W17642530",$B$1,1,100000000)-[1]!s_stm07_bs(A91,"W15910877",$B$1,1,100000000)-[1]!s_stm07_bs_39(A91,$B$1,1,100000000)-[1]!s_stm07_bs(A91,"W17700468",$B$1,1,100000000)-[1]!s_stm07_bs(A91,"W16504296",$B$1,1,100000000)-[1]!s_stm07_bs(A91,"W13769069",$B$1,1,100000000)</f>
        <v>112204.07</v>
      </c>
      <c r="BV91" s="52">
        <f xml:space="preserve"> [1]!s_stm07_bs(A91,"W15273164",$E$1,1,100000000)-[1]!s_stm07_bs(A91,"W17642530",$E$1,1,100000000)-[1]!s_stm07_bs(A91,"W15910877",$E$1,1,100000000)-[1]!s_stm07_bs_39(A91,$E$1,1,100000000)-[1]!s_stm07_bs(A91,"W17700468",$E$1,1,100000000)-[1]!s_stm07_bs(A91,"W16504296",$E$1,1,100000000)-[1]!s_stm07_bs(A91,"W13769069",$E$1,1,100000000)</f>
        <v>120736.13999999997</v>
      </c>
      <c r="BW91" s="52">
        <f xml:space="preserve"> [1]!s_stm07_bs(A91,"W15273164",$F$1,1,100000000)-[1]!s_stm07_bs(A91,"W17642530",$F$1,1,100000000)-[1]!s_stm07_bs(A91,"W15910877",$F$1,1,100000000)-[1]!s_stm07_bs_39(A91,$F$1,1,100000000)-[1]!s_stm07_bs(A91,"W17700468",$F$1,1,100000000)-[1]!s_stm07_bs(A91,"W16504296",$F$1,1,100000000)-[1]!s_stm07_bs(A91,"W13769069",$F$1,1,100000000)</f>
        <v>120624.21999999999</v>
      </c>
      <c r="BX91" s="52">
        <f xml:space="preserve"> [1]!s_stm07_bs(A91,"W15273164",$G$1,1,100000000)-[1]!s_stm07_bs(A91,"W17642530",$G$1,1,100000000)-[1]!s_stm07_bs(A91,"W15910877",$G$1,1,100000000)-[1]!s_stm07_bs_39(A91,$G$1,1,100000000)-[1]!s_stm07_bs(A91,"W17700468",$G$1,1,100000000)-[1]!s_stm07_bs(A91,"W16504296",$G$1,1,100000000)-[1]!s_stm07_bs(A91,"W13769069",$G$1,1,100000000)</f>
        <v>118085.96999999999</v>
      </c>
      <c r="BY91" s="52">
        <f>IFERROR([1]!b_stm07_is(A91,20,$A$1,1,100000000)/AVERAGEIF(CA91:CE91,"&gt;0")*100,0)</f>
        <v>1.6244499308571119</v>
      </c>
      <c r="BZ91" s="52">
        <f>[1]!b_stm07_is(A91,20,$A$1,1,100000000)</f>
        <v>1821.85</v>
      </c>
      <c r="CA91" s="52">
        <f>[1]!s_stmnote_bank_38(A91,$A$1,1,100000000)</f>
        <v>116848.32000000001</v>
      </c>
      <c r="CB91" s="52">
        <f>[1]!s_stmnote_bank_38(A91,$B$1,1,100000000)</f>
        <v>105830.8</v>
      </c>
      <c r="CC91" s="52">
        <f>[1]!s_stmnote_bank_38(A91,$E$1,1,100000000)</f>
        <v>113436.53</v>
      </c>
      <c r="CD91" s="52">
        <f>[1]!s_stmnote_bank_38(A91,$F$1,1,100000000)</f>
        <v>113534.05</v>
      </c>
      <c r="CE91" s="52">
        <f>[1]!s_stmnote_bank_38(A91,$G$1,1,100000000)</f>
        <v>111109.35</v>
      </c>
      <c r="CF91" s="52">
        <f>IF(BP91&lt;&gt;0,BP91,IFERROR(IF(([1]!b_stm07_is(A91,19,$A$1,1,100000000)-[1]!b_stm07_is(A91,20,$A$1,1,100000000))/AVERAGE([1]!s_stmnote_bank_35(A91,$A$1,1,100000000),[1]!s_stmnote_bank_35(A91,$B$1,1,100000000))*100=0,"",([1]!b_stm07_is(A91,19,$A$1,1,100000000)-[1]!b_stm07_is(A91,20,$A$1,1,100000000))/AVERAGE([1]!s_stmnote_bank_35(A91,$A$1,1,100000000),[1]!s_stmnote_bank_35(A91,$B$1,1,100000000))*100),""))</f>
        <v>2.36</v>
      </c>
      <c r="CG91" s="27" t="str">
        <f t="shared" si="30"/>
        <v>41 171</v>
      </c>
      <c r="CH91" s="80">
        <f t="shared" si="35"/>
        <v>1.7155140962773068</v>
      </c>
      <c r="CI91" s="27" t="str">
        <f t="shared" si="31"/>
        <v>17 169</v>
      </c>
      <c r="CJ91" s="55">
        <f>[1]!s_stmnote_bank_30(A91,$A$1,1)</f>
        <v>15.491199999999999</v>
      </c>
      <c r="CK91" s="57">
        <v>3092.4</v>
      </c>
      <c r="CL91" s="56">
        <f>1174.71+109.53</f>
        <v>1284.24</v>
      </c>
      <c r="CM91" s="64">
        <f>CK91/(5/8*[1]!s_stmnote_bank_1n($A91,$A$1,1,100000000)+[1]!s_stmnote_bank_1n($A91,$B$1,1,100000000)*3/8)</f>
        <v>5.0059825854566975E-2</v>
      </c>
      <c r="CP91" s="69">
        <f>[1]!b_stm07_bs($A91,141,$A$1,1,100000000)</f>
        <v>7955.49</v>
      </c>
      <c r="CQ91" s="69">
        <f>[1]!b_stm07_bs($A91,141,$D$1,1,100000000)</f>
        <v>8412.3799999999992</v>
      </c>
      <c r="CR91" s="68">
        <f>IF([1]!s_fa_roic_yearly($A91,$A$1)=0,"",[1]!s_fa_roic_yearly($A91,$A$1))</f>
        <v>10.392300000000001</v>
      </c>
      <c r="CS91" s="27" t="str">
        <f>RANK(CR91,CR$5:CR$192,1)&amp;" "&amp;COUNTIF(CR$5:CR$192,"&gt;0")</f>
        <v>120 169</v>
      </c>
      <c r="CT91" s="68">
        <f>IF([1]!s_fa_roic_yearly($A91,$D$1)=0,"",[1]!s_fa_roic_yearly($A91,$D$1))</f>
        <v>11.534800000000001</v>
      </c>
      <c r="CU91" s="27" t="str">
        <f>RANK(CT91,CT$5:CT$192,1)&amp;" "&amp;COUNTIF(CT$5:CT$192,"&gt;0")</f>
        <v>100 142</v>
      </c>
      <c r="CV91" s="78">
        <f>[1]!s_stm07_bs(A91,"W14578191",$A$1,1,100000000)</f>
        <v>62371.99</v>
      </c>
      <c r="CW91" s="78">
        <f>[1]!s_stmnote_bank_682($A91,$A$1,1,2,100000000)</f>
        <v>37561.53</v>
      </c>
      <c r="CX91" s="79">
        <f t="shared" si="32"/>
        <v>0.60221791865226681</v>
      </c>
    </row>
    <row r="92" spans="1:102" s="46" customFormat="1" ht="13.5">
      <c r="A92" s="8" t="s">
        <v>835</v>
      </c>
      <c r="B92" s="8" t="s">
        <v>836</v>
      </c>
      <c r="C92" s="9" t="s">
        <v>837</v>
      </c>
      <c r="D92" s="9" t="s">
        <v>1061</v>
      </c>
      <c r="E92" s="10" t="s">
        <v>837</v>
      </c>
      <c r="F92" s="11" t="s">
        <v>178</v>
      </c>
      <c r="G92" s="11" t="s">
        <v>206</v>
      </c>
      <c r="H92" s="11" t="s">
        <v>245</v>
      </c>
      <c r="I92" s="11"/>
      <c r="J92" s="11">
        <f>VLOOKUP(B92,[3]额度信息!$B:$T,19,0)</f>
        <v>0</v>
      </c>
      <c r="K92" s="11" t="s">
        <v>838</v>
      </c>
      <c r="L92" s="27">
        <f>IFERROR(([1]!b_stm07_bs($A92,47,$A$1,1,100000000))/[1]!b_stm07_bs($A92,109,$A$1,1,100000000),"")</f>
        <v>0.10983460436891805</v>
      </c>
      <c r="M92" s="20">
        <v>50.34</v>
      </c>
      <c r="N92" s="18">
        <f>IFERROR(([1]!s_stmnote_bank_26($A92,$A$1,1,100000000)-[1]!s_stmnote_bank_26($A92,$B$1,1,100000000)+M92)/[1]!s_stmnote_bank_1n($A92,$B$1,1,100000000),"")</f>
        <v>1.9828573689738994E-2</v>
      </c>
      <c r="O92" s="27" t="str">
        <f t="shared" si="24"/>
        <v>42 50</v>
      </c>
      <c r="P92" s="21">
        <f t="shared" si="33"/>
        <v>4.4996528119352897E-2</v>
      </c>
      <c r="Q92" s="27" t="str">
        <f t="shared" si="25"/>
        <v>124 169</v>
      </c>
      <c r="R92" s="18">
        <v>3.1996528119352899E-2</v>
      </c>
      <c r="S92" s="22">
        <v>3.75465815308057E-2</v>
      </c>
      <c r="T92" s="22">
        <v>5.67106853694285E-3</v>
      </c>
      <c r="U92" s="22">
        <v>3.1572372362036E-2</v>
      </c>
      <c r="V92" s="22"/>
      <c r="W92" s="22">
        <v>4.8286226627625604E-3</v>
      </c>
      <c r="X92" s="22">
        <v>2.8800883279156602E-3</v>
      </c>
      <c r="Y92" s="22">
        <v>1.2062146892655401</v>
      </c>
      <c r="Z92" s="25">
        <f>[1]!b_stm07_bs(A92,74,$A$1,1,100000000)</f>
        <v>6189.5361999999996</v>
      </c>
      <c r="AA92" s="25">
        <f>[1]!b_stm07_bs(A92,109,$A$1,1,100000000)</f>
        <v>3386.95343</v>
      </c>
      <c r="AB92" s="10">
        <f>[1]!s_stmnote_bank_5n(A92,$A$1,1)</f>
        <v>1.3</v>
      </c>
      <c r="AC92" s="25">
        <f>IF([1]!s_stmnote_bank_23n(A92,$A$1,1)=0,"",IFERROR([1]!s_stmnote_bank_23n(A92,$A$1,1),""))</f>
        <v>274.01</v>
      </c>
      <c r="AD92" s="27" t="str">
        <f t="shared" si="26"/>
        <v>99 167</v>
      </c>
      <c r="AE92" s="25">
        <f>[1]!s_stmnote_bank_capadequacyratio(A92,$A$1,1)</f>
        <v>12.99</v>
      </c>
      <c r="AF92" s="25">
        <f>IF([1]!s_stmnote_bank_capadequacyratio_ct1(A92,$A$1,1)=0,"",IFERROR([1]!s_stmnote_bank_capadequacyratio_ct1(A92,$A$1,1),""))</f>
        <v>9.36</v>
      </c>
      <c r="AG92" s="27" t="str">
        <f>RANK(AF92,AF$5:AF$192,0)&amp;" "&amp;COUNTIF(AF$5:AF$192,"&gt;0")</f>
        <v>111 167</v>
      </c>
      <c r="AH92" s="6">
        <f>IF(OR([1]!s_fa_roe(A92,20201231)=0,[1]!s_fa_roe(A92,20211231)="0",[1]!s_fa_roe(A92,20221231)="0"),"",IFERROR(([1]!s_fa_roe(A92,20221231)+[1]!s_fa_roe(A92,20201231)+[1]!s_fa_roe(A92,20211231))/3,""))</f>
        <v>10.738366666666666</v>
      </c>
      <c r="AI92" s="27" t="str">
        <f t="shared" si="27"/>
        <v>132 173</v>
      </c>
      <c r="AJ92" s="28">
        <f>IFERROR(([1]!s_stmnote_bank_65(A92,$A$1,1,2,4,100000000)+[1]!s_stmnote_bank_65(A92,$A$1,1,2,6,100000000))/[1]!s_stmnote_bank_1n(A92,$A$1,1,100000000),"")</f>
        <v>9.8150354217433192E-2</v>
      </c>
      <c r="AK92" s="28">
        <f>IFERROR([1]!s_stmnote_bank_614(A92,$A$1,1,2,100000000)/[1]!s_stmnote_bank_647(A92,$A$1,1,2,100000000),"")</f>
        <v>0.21226986470552023</v>
      </c>
      <c r="AL92" s="28">
        <f>IFERROR(([1]!b_stm07_bs(A92,104,$A$1,1,100000000)+[1]!b_stm07_bs(A92,106,$A$1,1,100000000)+[1]!b_stm07_bs(A92,76,$A$1,1,100000000)+[1]!b_stm07_bs(A92,108,$A$1,1,100000000)+[1]!b_stm07_bs(A92,95,$A$1,1,100000000))/[1]!b_stm07_bs(A92,128,$A$1,1,100000000),"")</f>
        <v>0.30798610004608951</v>
      </c>
      <c r="AM92" s="28">
        <f>IFERROR(([1]!s_stmnote_bank_614(A92,$A$1,1,2,100000000)+[1]!b_stm07_bs(A92,104,$A$1,1,100000000)+[1]!b_stm07_bs(A92,106,$A$1,1,100000000)+[1]!b_stm07_bs(A92,76,$A$1,1,100000000)+[1]!b_stm07_bs(A92,108,$A$1,1,100000000)+[1]!b_stm07_bs(A92,95,$A$1,1,100000000))/[1]!b_stm07_bs(A92,128,$A$1,1,100000000),"")</f>
        <v>0.43287477153274906</v>
      </c>
      <c r="AN92" s="31" t="e">
        <f>IF(Z92&gt;#REF!,#REF!,IF(Z92&gt;#REF!,#REF!,IF(Z92&gt;#REF!,#REF!,IF(Z92&gt;#REF!,#REF!,IF(Z92&gt;#REF!,#REF!,IF(Z92&gt;#REF!,#REF!,IF(Z92&gt;#REF!,#REF!,#REF!)))))))</f>
        <v>#REF!</v>
      </c>
      <c r="AO92" s="31" t="e">
        <f>IF(AA92&gt;#REF!,#REF!,IF(AA92&gt;#REF!,#REF!,IF(AA92&gt;#REF!,#REF!,IF(AA92&gt;#REF!,#REF!,IF(AA92&gt;#REF!,#REF!,IF(AA92&gt;#REF!,#REF!,IF(AA92&gt;#REF!,#REF!,#REF!)))))))</f>
        <v>#REF!</v>
      </c>
      <c r="AP92" s="31" t="e">
        <f>IF(AB92&lt;#REF!,#REF!,IF(AB92&lt;#REF!,#REF!,IF(AB92&lt;#REF!,#REF!,IF(AB92&lt;#REF!,#REF!,IF(AB92&lt;#REF!,#REF!,IF(AB92&lt;#REF!,#REF!,#REF!))))))</f>
        <v>#REF!</v>
      </c>
      <c r="AQ92" s="31" t="e">
        <f>IF(AC92&gt;#REF!,#REF!,IF(AC92&gt;#REF!,#REF!,IF(AC92&gt;#REF!,#REF!,IF(AC92&gt;#REF!,#REF!,#REF!))))</f>
        <v>#REF!</v>
      </c>
      <c r="AR92" s="31" t="e">
        <f>IF(AE92&gt;#REF!,#REF!,IF(AE92&gt;#REF!,#REF!,IF(AE92&gt;#REF!,#REF!,IF(AE92&gt;#REF!,#REF!,#REF!))))</f>
        <v>#REF!</v>
      </c>
      <c r="AS92" s="31" t="e">
        <f>IF(AF92&gt;#REF!,#REF!,IF(AF92&gt;#REF!,#REF!,IF(AF92&gt;#REF!,#REF!,IF(AF92&gt;#REF!,#REF!,#REF!))))</f>
        <v>#REF!</v>
      </c>
      <c r="AT92" s="31" t="e">
        <f>IF(AH92&gt;#REF!,#REF!,IF(AH92&gt;#REF!,#REF!,IF(AH92&gt;#REF!,#REF!,IF(AH92&gt;#REF!,#REF!,IF(AH92&gt;#REF!,#REF!,#REF!)))))</f>
        <v>#REF!</v>
      </c>
      <c r="AU92" s="10" t="e">
        <f t="shared" si="28"/>
        <v>#REF!</v>
      </c>
      <c r="AV92" s="10" t="s">
        <v>141</v>
      </c>
      <c r="AW92" s="10" t="s">
        <v>227</v>
      </c>
      <c r="AX92" s="10" t="s">
        <v>261</v>
      </c>
      <c r="AY92" s="31" t="str">
        <f>IFERROR(VLOOKUP(AV92,#REF!,3,0),"")</f>
        <v/>
      </c>
      <c r="AZ92" s="31" t="str">
        <f>IFERROR(VLOOKUP(AW92,#REF!,3,0),"")</f>
        <v/>
      </c>
      <c r="BA92" s="31" t="str">
        <f>IFERROR(VLOOKUP(AX92,#REF!,3,0),"")</f>
        <v/>
      </c>
      <c r="BB92" s="31" t="str">
        <f>IFERROR(AY92*#REF!+AZ92*#REF!+BA92*#REF!,"")</f>
        <v/>
      </c>
      <c r="BC92" s="32" t="str">
        <f t="shared" si="29"/>
        <v/>
      </c>
      <c r="BD92" s="32" t="str">
        <f>IFERROR(VLOOKUP(BC92*10,#REF!,2,1),"")</f>
        <v/>
      </c>
      <c r="BE92" s="11">
        <v>0</v>
      </c>
      <c r="BF92" s="11">
        <v>0</v>
      </c>
      <c r="BG92" s="10"/>
      <c r="BH92" s="11" t="s">
        <v>634</v>
      </c>
      <c r="BI92" s="10">
        <v>33.759998321533203</v>
      </c>
      <c r="BJ92" s="33" t="s">
        <v>686</v>
      </c>
      <c r="BK92" s="33" t="s">
        <v>613</v>
      </c>
      <c r="BL92" s="10">
        <f>IF([1]!s_stmnote_bank_17n(A92,$A$1,1)="0","",[1]!s_stmnote_bank_17n(A92,$A$1,1))</f>
        <v>3.3</v>
      </c>
      <c r="BM92" s="10">
        <f>IF([1]!s_stmnote_bank_18n(A92,$A$1,1)="0","",[1]!s_stmnote_bank_18n(A92,$A$1,1))</f>
        <v>23.9</v>
      </c>
      <c r="BN92" s="41">
        <v>4.4400000000000004</v>
      </c>
      <c r="BO92" s="68">
        <v>2.85</v>
      </c>
      <c r="BP92" s="52">
        <f>[1]!s_stmnote_bank_5444(A92,$A$1,1)</f>
        <v>2.06</v>
      </c>
      <c r="BQ92" s="52">
        <f>[1]!s_stmnote_bank_129n($A92,$A$1,1)</f>
        <v>21.44</v>
      </c>
      <c r="BR92" s="52">
        <f t="shared" si="34"/>
        <v>4.8342621692332619</v>
      </c>
      <c r="BS92" s="52">
        <f>[1]!b_stm07_is(A92,19,$A$1,1,100000000)</f>
        <v>274.10536000000002</v>
      </c>
      <c r="BT92" s="52">
        <f xml:space="preserve"> [1]!s_stm07_bs(A92,"W15273164",$A$1,1,100000000)-[1]!s_stm07_bs(A92,"W17642530",$A$1,1,100000000)-[1]!s_stm07_bs(A92,"W15910877",$A$1,1,100000000)-[1]!s_stm07_bs_39(A92,$A$1,1,100000000)-[1]!s_stm07_bs(A92,"W17700468",$A$1,1,100000000)-[1]!s_stm07_bs(A92,"W16504296",$A$1,1,100000000)-[1]!s_stm07_bs(A92,"W13769069",$A$1,1,100000000)</f>
        <v>6103.9755800000003</v>
      </c>
      <c r="BU92" s="52">
        <f xml:space="preserve"> [1]!s_stm07_bs(A92,"W15273164",$B$1,1,100000000)-[1]!s_stm07_bs(A92,"W17642530",$B$1,1,100000000)-[1]!s_stm07_bs(A92,"W15910877",$B$1,1,100000000)-[1]!s_stm07_bs_39(A92,$B$1,1,100000000)-[1]!s_stm07_bs(A92,"W17700468",$B$1,1,100000000)-[1]!s_stm07_bs(A92,"W16504296",$B$1,1,100000000)-[1]!s_stm07_bs(A92,"W13769069",$B$1,1,100000000)</f>
        <v>5530.9241299999994</v>
      </c>
      <c r="BV92" s="52">
        <f xml:space="preserve"> [1]!s_stm07_bs(A92,"W15273164",$E$1,1,100000000)-[1]!s_stm07_bs(A92,"W17642530",$E$1,1,100000000)-[1]!s_stm07_bs(A92,"W15910877",$E$1,1,100000000)-[1]!s_stm07_bs_39(A92,$E$1,1,100000000)-[1]!s_stm07_bs(A92,"W17700468",$E$1,1,100000000)-[1]!s_stm07_bs(A92,"W16504296",$E$1,1,100000000)-[1]!s_stm07_bs(A92,"W13769069",$E$1,1,100000000)</f>
        <v>6037.7028099999998</v>
      </c>
      <c r="BW92" s="52">
        <f xml:space="preserve"> [1]!s_stm07_bs(A92,"W15273164",$F$1,1,100000000)-[1]!s_stm07_bs(A92,"W17642530",$F$1,1,100000000)-[1]!s_stm07_bs(A92,"W15910877",$F$1,1,100000000)-[1]!s_stm07_bs_39(A92,$F$1,1,100000000)-[1]!s_stm07_bs(A92,"W17700468",$F$1,1,100000000)-[1]!s_stm07_bs(A92,"W16504296",$F$1,1,100000000)-[1]!s_stm07_bs(A92,"W13769069",$F$1,1,100000000)</f>
        <v>5974.9332100000011</v>
      </c>
      <c r="BX92" s="52">
        <f xml:space="preserve"> [1]!s_stm07_bs(A92,"W15273164",$G$1,1,100000000)-[1]!s_stm07_bs(A92,"W17642530",$G$1,1,100000000)-[1]!s_stm07_bs(A92,"W15910877",$G$1,1,100000000)-[1]!s_stm07_bs_39(A92,$G$1,1,100000000)-[1]!s_stm07_bs(A92,"W17700468",$G$1,1,100000000)-[1]!s_stm07_bs(A92,"W16504296",$G$1,1,100000000)-[1]!s_stm07_bs(A92,"W13769069",$G$1,1,100000000)</f>
        <v>5772.6567499999992</v>
      </c>
      <c r="BY92" s="52">
        <f>IFERROR([1]!b_stm07_is(A92,20,$A$1,1,100000000)/AVERAGEIF(CA92:CE92,"&gt;0")*100,0)</f>
        <v>2.9071438952166222</v>
      </c>
      <c r="BZ92" s="52">
        <f>[1]!b_stm07_is(A92,20,$A$1,1,100000000)</f>
        <v>158.13763</v>
      </c>
      <c r="CA92" s="52">
        <f>[1]!s_stmnote_bank_38(A92,$A$1,1,100000000)</f>
        <v>5647.88562</v>
      </c>
      <c r="CB92" s="52">
        <f>[1]!s_stmnote_bank_38(A92,$B$1,1,100000000)</f>
        <v>5129.5249899999999</v>
      </c>
      <c r="CC92" s="52">
        <f>[1]!s_stmnote_bank_38(A92,$E$1,1,100000000)</f>
        <v>5577.6571999999996</v>
      </c>
      <c r="CD92" s="52">
        <f>[1]!s_stmnote_bank_38(A92,$F$1,1,100000000)</f>
        <v>5522.9186200000004</v>
      </c>
      <c r="CE92" s="52">
        <f>[1]!s_stmnote_bank_38(A92,$G$1,1,100000000)</f>
        <v>5320.1220400000002</v>
      </c>
      <c r="CF92" s="52">
        <f>IF(BP92&lt;&gt;0,BP92,IFERROR(IF(([1]!b_stm07_is(A92,19,$A$1,1,100000000)-[1]!b_stm07_is(A92,20,$A$1,1,100000000))/AVERAGE([1]!s_stmnote_bank_35(A92,$A$1,1,100000000),[1]!s_stmnote_bank_35(A92,$B$1,1,100000000))*100=0,"",([1]!b_stm07_is(A92,19,$A$1,1,100000000)-[1]!b_stm07_is(A92,20,$A$1,1,100000000))/AVERAGE([1]!s_stmnote_bank_35(A92,$A$1,1,100000000),[1]!s_stmnote_bank_35(A92,$B$1,1,100000000))*100),""))</f>
        <v>2.06</v>
      </c>
      <c r="CG92" s="27" t="str">
        <f t="shared" si="30"/>
        <v>84 171</v>
      </c>
      <c r="CH92" s="80">
        <f t="shared" si="35"/>
        <v>0.4578130993875501</v>
      </c>
      <c r="CI92" s="27" t="str">
        <f t="shared" si="31"/>
        <v>123 169</v>
      </c>
      <c r="CJ92" s="55">
        <f>[1]!s_stmnote_bank_30(A92,$A$1,1)</f>
        <v>20.106200000000001</v>
      </c>
      <c r="CP92" s="69">
        <f>[1]!b_stm07_bs($A92,141,$A$1,1,100000000)</f>
        <v>492.46695</v>
      </c>
      <c r="CQ92" s="69">
        <f>[1]!b_stm07_bs($A92,141,$D$1,1,100000000)</f>
        <v>514.99549000000002</v>
      </c>
      <c r="CR92" s="68">
        <f>IF([1]!s_fa_roic_yearly($A92,$A$1)=0,"",[1]!s_fa_roic_yearly($A92,$A$1))</f>
        <v>10.6663</v>
      </c>
      <c r="CS92" s="27" t="str">
        <f>RANK(CR92,CR$5:CR$192,1)&amp;" "&amp;COUNTIF(CR$5:CR$192,"&gt;0")</f>
        <v>126 169</v>
      </c>
      <c r="CT92" s="68">
        <f>IF([1]!s_fa_roic_yearly($A92,$D$1)=0,"",[1]!s_fa_roic_yearly($A92,$D$1))</f>
        <v>11.512600000000001</v>
      </c>
      <c r="CU92" s="27" t="str">
        <f>RANK(CT92,CT$5:CT$192,1)&amp;" "&amp;COUNTIF(CT$5:CT$192,"&gt;0")</f>
        <v>99 142</v>
      </c>
      <c r="CV92" s="78">
        <f>[1]!s_stm07_bs(A92,"W14578191",$A$1,1,100000000)</f>
        <v>3068.8359799999998</v>
      </c>
      <c r="CW92" s="78">
        <f>[1]!s_stmnote_bank_682($A92,$A$1,1,2,100000000)</f>
        <v>1018.48554</v>
      </c>
      <c r="CX92" s="79">
        <f t="shared" si="32"/>
        <v>0.33188008307957861</v>
      </c>
    </row>
    <row r="93" spans="1:102" ht="13.5">
      <c r="A93" s="8" t="s">
        <v>598</v>
      </c>
      <c r="B93" s="8" t="s">
        <v>599</v>
      </c>
      <c r="C93" s="9" t="s">
        <v>600</v>
      </c>
      <c r="D93" s="9" t="s">
        <v>1061</v>
      </c>
      <c r="E93" s="10"/>
      <c r="F93" s="11" t="s">
        <v>66</v>
      </c>
      <c r="G93" s="11" t="s">
        <v>67</v>
      </c>
      <c r="H93" s="11" t="s">
        <v>103</v>
      </c>
      <c r="I93" s="11"/>
      <c r="J93" s="11" t="e">
        <f>VLOOKUP(B93,[3]额度信息!$B:$T,19,0)</f>
        <v>#N/A</v>
      </c>
      <c r="K93" s="11"/>
      <c r="L93" s="27">
        <f>IFERROR(([1]!b_stm07_bs($A93,47,$A$1,1,100000000))/[1]!b_stm07_bs($A93,109,$A$1,1,100000000),"")</f>
        <v>0.18801975458095296</v>
      </c>
      <c r="M93" s="20"/>
      <c r="N93" s="18"/>
      <c r="O93" s="27" t="e">
        <f t="shared" si="24"/>
        <v>#N/A</v>
      </c>
      <c r="P93" s="21">
        <f t="shared" si="33"/>
        <v>1.6200000000000003E-2</v>
      </c>
      <c r="Q93" s="27" t="str">
        <f t="shared" si="25"/>
        <v>26 169</v>
      </c>
      <c r="R93" s="18">
        <f>IFERROR([1]!s_stmnote_bank($A93,"34",$A$1,100000000)/[1]!s_stmnote_bank_1n(A93,$A$1,1,100000000),"")</f>
        <v>0</v>
      </c>
      <c r="S93" s="22"/>
      <c r="T93" s="22"/>
      <c r="U93" s="22"/>
      <c r="V93" s="22"/>
      <c r="W93" s="22"/>
      <c r="X93" s="22"/>
      <c r="Y93" s="22"/>
      <c r="Z93" s="25">
        <f>[1]!b_stm07_bs(A93,74,$A$1,1,100000000)</f>
        <v>2071.3871033593</v>
      </c>
      <c r="AA93" s="25">
        <f>[1]!b_stm07_bs(A93,109,$A$1,1,100000000)</f>
        <v>1397.3790928876999</v>
      </c>
      <c r="AB93" s="10">
        <f>[1]!s_stmnote_bank_5n(A93,$A$1,1)</f>
        <v>1.62</v>
      </c>
      <c r="AC93" s="25">
        <f>IF([1]!s_stmnote_bank_23n(A93,$A$1,1)=0,"",IFERROR([1]!s_stmnote_bank_23n(A93,$A$1,1),""))</f>
        <v>238.92</v>
      </c>
      <c r="AD93" s="27" t="str">
        <f t="shared" si="26"/>
        <v>87 167</v>
      </c>
      <c r="AE93" s="25">
        <f>[1]!s_stmnote_bank_capadequacyratio(A93,$A$1,1)</f>
        <v>13.14</v>
      </c>
      <c r="AF93" s="25">
        <f>IF([1]!s_stmnote_bank_capadequacyratio_ct1(A93,$A$1,1)=0,"",IFERROR([1]!s_stmnote_bank_capadequacyratio_ct1(A93,$A$1,1),""))</f>
        <v>11.59</v>
      </c>
      <c r="AG93" s="27" t="str">
        <f>RANK(AF93,AF$5:AF$192,1)&amp;" "&amp;COUNTIF(AF$5:AF$192,"&gt;0")</f>
        <v>115 167</v>
      </c>
      <c r="AH93" s="6">
        <f>IF(OR([1]!s_fa_roe(A93,20201231)=0,[1]!s_fa_roe(A93,20211231)="0",[1]!s_fa_roe(A93,20221231)="0"),"",IFERROR(([1]!s_fa_roe(A93,20221231)+[1]!s_fa_roe(A93,20201231)+[1]!s_fa_roe(A93,20211231))/3,""))</f>
        <v>4.2485999999999997</v>
      </c>
      <c r="AI93" s="27" t="str">
        <f t="shared" si="27"/>
        <v>26 173</v>
      </c>
      <c r="AJ93" s="28">
        <f>IFERROR(([1]!s_stmnote_bank_65(A93,$A$1,1,2,4,100000000)+[1]!s_stmnote_bank_65(A93,$A$1,1,2,6,100000000))/[1]!s_stmnote_bank_1n(A93,$A$1,1,100000000),"")</f>
        <v>9.769971059669412E-2</v>
      </c>
      <c r="AK93" s="28">
        <f>IFERROR([1]!s_stmnote_bank_614(A93,$A$1,1,2,100000000)/[1]!s_stmnote_bank_647(A93,$A$1,1,2,100000000),"")</f>
        <v>8.8219448459006714E-2</v>
      </c>
      <c r="AL93" s="28">
        <f>IFERROR(([1]!b_stm07_bs(A93,104,$A$1,1,100000000)+[1]!b_stm07_bs(A93,106,$A$1,1,100000000)+[1]!b_stm07_bs(A93,76,$A$1,1,100000000)+[1]!b_stm07_bs(A93,108,$A$1,1,100000000)+[1]!b_stm07_bs(A93,95,$A$1,1,100000000))/[1]!b_stm07_bs(A93,128,$A$1,1,100000000),"")</f>
        <v>0.23038262568787221</v>
      </c>
      <c r="AM93" s="28">
        <f>IFERROR(([1]!s_stmnote_bank_614(A93,$A$1,1,2,100000000)+[1]!b_stm07_bs(A93,104,$A$1,1,100000000)+[1]!b_stm07_bs(A93,106,$A$1,1,100000000)+[1]!b_stm07_bs(A93,76,$A$1,1,100000000)+[1]!b_stm07_bs(A93,108,$A$1,1,100000000)+[1]!b_stm07_bs(A93,95,$A$1,1,100000000))/[1]!b_stm07_bs(A93,128,$A$1,1,100000000),"")</f>
        <v>0.29596056755129851</v>
      </c>
      <c r="AN93" s="31" t="e">
        <f>IF(Z93&gt;#REF!,#REF!,IF(Z93&gt;#REF!,#REF!,IF(Z93&gt;#REF!,#REF!,IF(Z93&gt;#REF!,#REF!,IF(Z93&gt;#REF!,#REF!,IF(Z93&gt;#REF!,#REF!,IF(Z93&gt;#REF!,#REF!,#REF!)))))))</f>
        <v>#REF!</v>
      </c>
      <c r="AO93" s="31" t="e">
        <f>IF(AA93&gt;#REF!,#REF!,IF(AA93&gt;#REF!,#REF!,IF(AA93&gt;#REF!,#REF!,IF(AA93&gt;#REF!,#REF!,IF(AA93&gt;#REF!,#REF!,IF(AA93&gt;#REF!,#REF!,IF(AA93&gt;#REF!,#REF!,#REF!)))))))</f>
        <v>#REF!</v>
      </c>
      <c r="AP93" s="31" t="e">
        <f>IF(AB93&lt;#REF!,#REF!,IF(AB93&lt;#REF!,#REF!,IF(AB93&lt;#REF!,#REF!,IF(AB93&lt;#REF!,#REF!,IF(AB93&lt;#REF!,#REF!,IF(AB93&lt;#REF!,#REF!,#REF!))))))</f>
        <v>#REF!</v>
      </c>
      <c r="AQ93" s="31" t="e">
        <f>IF(AC93&gt;#REF!,#REF!,IF(AC93&gt;#REF!,#REF!,IF(AC93&gt;#REF!,#REF!,IF(AC93&gt;#REF!,#REF!,#REF!))))</f>
        <v>#REF!</v>
      </c>
      <c r="AR93" s="31" t="e">
        <f>IF(AE93&gt;#REF!,#REF!,IF(AE93&gt;#REF!,#REF!,IF(AE93&gt;#REF!,#REF!,IF(AE93&gt;#REF!,#REF!,#REF!))))</f>
        <v>#REF!</v>
      </c>
      <c r="AS93" s="31" t="e">
        <f>IF(AF93&gt;#REF!,#REF!,IF(AF93&gt;#REF!,#REF!,IF(AF93&gt;#REF!,#REF!,IF(AF93&gt;#REF!,#REF!,#REF!))))</f>
        <v>#REF!</v>
      </c>
      <c r="AT93" s="31" t="e">
        <f>IF(AH93&gt;#REF!,#REF!,IF(AH93&gt;#REF!,#REF!,IF(AH93&gt;#REF!,#REF!,IF(AH93&gt;#REF!,#REF!,IF(AH93&gt;#REF!,#REF!,#REF!)))))</f>
        <v>#REF!</v>
      </c>
      <c r="AU93" s="10" t="e">
        <f t="shared" si="28"/>
        <v>#REF!</v>
      </c>
      <c r="AV93" s="10" t="s">
        <v>141</v>
      </c>
      <c r="AW93" s="10" t="s">
        <v>227</v>
      </c>
      <c r="AX93" s="10" t="s">
        <v>68</v>
      </c>
      <c r="AY93" s="31" t="str">
        <f>IFERROR(VLOOKUP(AV93,#REF!,3,0),"")</f>
        <v/>
      </c>
      <c r="AZ93" s="31" t="str">
        <f>IFERROR(VLOOKUP(AW93,#REF!,3,0),"")</f>
        <v/>
      </c>
      <c r="BA93" s="31" t="str">
        <f>IFERROR(VLOOKUP(AX93,#REF!,3,0),"")</f>
        <v/>
      </c>
      <c r="BB93" s="31" t="str">
        <f>IFERROR(AY93*#REF!+AZ93*#REF!+BA93*#REF!,"")</f>
        <v/>
      </c>
      <c r="BC93" s="32" t="str">
        <f t="shared" si="29"/>
        <v/>
      </c>
      <c r="BD93" s="32" t="str">
        <f>IFERROR(VLOOKUP(BC93*10,#REF!,2,1),"")</f>
        <v/>
      </c>
      <c r="BE93" s="10"/>
      <c r="BF93" s="10"/>
      <c r="BG93" s="10"/>
      <c r="BH93" s="11" t="s">
        <v>601</v>
      </c>
      <c r="BI93" s="10">
        <v>59.349998474121101</v>
      </c>
      <c r="BJ93" s="33" t="s">
        <v>280</v>
      </c>
      <c r="BK93" s="33" t="s">
        <v>602</v>
      </c>
      <c r="BL93" s="10">
        <f>IF([1]!s_stmnote_bank_17n(A93,$A$1,1)="0","",[1]!s_stmnote_bank_17n(A93,$A$1,1))</f>
        <v>0</v>
      </c>
      <c r="BM93" s="10">
        <f>IF([1]!s_stmnote_bank_18n(A93,$A$1,1)="0","",[1]!s_stmnote_bank_18n(A93,$A$1,1))</f>
        <v>0</v>
      </c>
      <c r="BN93" s="41" t="s">
        <v>67</v>
      </c>
      <c r="BO93" s="42" t="s">
        <v>67</v>
      </c>
      <c r="BP93" s="52">
        <f>[1]!s_stmnote_bank_5444(A93,$A$1,1)</f>
        <v>0</v>
      </c>
      <c r="BQ93" s="52">
        <f>[1]!s_stmnote_bank_129n($A93,$A$1,1)</f>
        <v>57.25</v>
      </c>
      <c r="BR93" s="52">
        <f t="shared" si="34"/>
        <v>3.4113193377737763</v>
      </c>
      <c r="BS93" s="52">
        <f>[1]!b_stm07_is(A93,19,$A$1,1,100000000)</f>
        <v>76.607843039300008</v>
      </c>
      <c r="BT93" s="52">
        <f xml:space="preserve"> [1]!s_stm07_bs(A93,"W15273164",$A$1,1,100000000)-[1]!s_stm07_bs(A93,"W17642530",$A$1,1,100000000)-[1]!s_stm07_bs(A93,"W15910877",$A$1,1,100000000)-[1]!s_stm07_bs_39(A93,$A$1,1,100000000)-[1]!s_stm07_bs(A93,"W17700468",$A$1,1,100000000)-[1]!s_stm07_bs(A93,"W16504296",$A$1,1,100000000)-[1]!s_stm07_bs(A93,"W13769069",$A$1,1,100000000)</f>
        <v>1824.4054764500002</v>
      </c>
      <c r="BU93" s="52">
        <f xml:space="preserve"> [1]!s_stm07_bs(A93,"W15273164",$B$1,1,100000000)-[1]!s_stm07_bs(A93,"W17642530",$B$1,1,100000000)-[1]!s_stm07_bs(A93,"W15910877",$B$1,1,100000000)-[1]!s_stm07_bs_39(A93,$B$1,1,100000000)-[1]!s_stm07_bs(A93,"W17700468",$B$1,1,100000000)-[1]!s_stm07_bs(A93,"W16504296",$B$1,1,100000000)-[1]!s_stm07_bs(A93,"W13769069",$B$1,1,100000000)</f>
        <v>2341.4171900000006</v>
      </c>
      <c r="BV93" s="52">
        <f xml:space="preserve"> [1]!s_stm07_bs(A93,"W15273164",$E$1,1,100000000)-[1]!s_stm07_bs(A93,"W17642530",$E$1,1,100000000)-[1]!s_stm07_bs(A93,"W15910877",$E$1,1,100000000)-[1]!s_stm07_bs_39(A93,$E$1,1,100000000)-[1]!s_stm07_bs(A93,"W17700468",$E$1,1,100000000)-[1]!s_stm07_bs(A93,"W16504296",$E$1,1,100000000)-[1]!s_stm07_bs(A93,"W13769069",$E$1,1,100000000)</f>
        <v>2007.7033700268</v>
      </c>
      <c r="BW93" s="52">
        <f xml:space="preserve"> [1]!s_stm07_bs(A93,"W15273164",$F$1,1,100000000)-[1]!s_stm07_bs(A93,"W17642530",$F$1,1,100000000)-[1]!s_stm07_bs(A93,"W15910877",$F$1,1,100000000)-[1]!s_stm07_bs_39(A93,$F$1,1,100000000)-[1]!s_stm07_bs(A93,"W17700468",$F$1,1,100000000)-[1]!s_stm07_bs(A93,"W16504296",$F$1,1,100000000)-[1]!s_stm07_bs(A93,"W13769069",$F$1,1,100000000)</f>
        <v>2115.9292517737999</v>
      </c>
      <c r="BX93" s="52">
        <f xml:space="preserve"> [1]!s_stm07_bs(A93,"W15273164",$G$1,1,100000000)-[1]!s_stm07_bs(A93,"W17642530",$G$1,1,100000000)-[1]!s_stm07_bs(A93,"W15910877",$G$1,1,100000000)-[1]!s_stm07_bs_39(A93,$G$1,1,100000000)-[1]!s_stm07_bs(A93,"W17700468",$G$1,1,100000000)-[1]!s_stm07_bs(A93,"W16504296",$G$1,1,100000000)-[1]!s_stm07_bs(A93,"W13769069",$G$1,1,100000000)</f>
        <v>0</v>
      </c>
      <c r="BY93" s="52">
        <f>IFERROR([1]!b_stm07_is(A93,20,$A$1,1,100000000)/AVERAGEIF(CA93:CE93,"&gt;0")*100,0)</f>
        <v>2.8145217673434573</v>
      </c>
      <c r="BZ93" s="52">
        <f>[1]!b_stm07_is(A93,20,$A$1,1,100000000)</f>
        <v>55.773403064300005</v>
      </c>
      <c r="CA93" s="52">
        <f>[1]!s_stmnote_bank_38(A93,$A$1,1,100000000)</f>
        <v>1862.2211727748002</v>
      </c>
      <c r="CB93" s="52">
        <f>[1]!s_stmnote_bank_38(A93,$B$1,1,100000000)</f>
        <v>2186.3475199999998</v>
      </c>
      <c r="CC93" s="52">
        <f>[1]!s_stmnote_bank_38(A93,$E$1,1,100000000)</f>
        <v>1885.6449849017999</v>
      </c>
      <c r="CD93" s="52">
        <f>[1]!s_stmnote_bank_38(A93,$F$1,1,100000000)</f>
        <v>1992.3056637520999</v>
      </c>
      <c r="CE93" s="52">
        <f>[1]!s_stmnote_bank_38(A93,$G$1,1,100000000)</f>
        <v>0</v>
      </c>
      <c r="CF93" s="52">
        <f>IF(BP93&lt;&gt;0,BP93,IFERROR(IF(([1]!b_stm07_is(A93,19,$A$1,1,100000000)-[1]!b_stm07_is(A93,20,$A$1,1,100000000))/AVERAGE([1]!s_stmnote_bank_35(A93,$A$1,1,100000000),[1]!s_stmnote_bank_35(A93,$B$1,1,100000000))*100=0,"",([1]!b_stm07_is(A93,19,$A$1,1,100000000)-[1]!b_stm07_is(A93,20,$A$1,1,100000000))/AVERAGE([1]!s_stmnote_bank_35(A93,$A$1,1,100000000),[1]!s_stmnote_bank_35(A93,$B$1,1,100000000))*100),""))</f>
        <v>1.0775569883282026</v>
      </c>
      <c r="CG93" s="27" t="str">
        <f t="shared" si="30"/>
        <v>168 171</v>
      </c>
      <c r="CH93" s="80">
        <f t="shared" si="35"/>
        <v>0.66515863477049531</v>
      </c>
      <c r="CI93" s="27" t="str">
        <f t="shared" si="31"/>
        <v>85 169</v>
      </c>
      <c r="CJ93" s="55">
        <f>[1]!s_stmnote_bank_30(A93,$A$1,1)</f>
        <v>36.150599999999997</v>
      </c>
      <c r="CK93" s="46"/>
      <c r="CL93" s="46"/>
      <c r="CM93" s="46"/>
      <c r="CN93" s="46"/>
      <c r="CO93" s="46"/>
      <c r="CP93" s="69">
        <f>[1]!b_stm07_bs($A93,141,$A$1,1,100000000)</f>
        <v>191.54749022479999</v>
      </c>
      <c r="CQ93" s="69">
        <f>[1]!b_stm07_bs($A93,141,$D$1,1,100000000)</f>
        <v>0</v>
      </c>
      <c r="CR93" s="68">
        <f>IF([1]!s_fa_roic_yearly($A93,$A$1)=0,"",[1]!s_fa_roic_yearly($A93,$A$1))</f>
        <v>1.9584999999999999</v>
      </c>
      <c r="CS93" s="27">
        <f>RANK(CR93,CR$5:CR$192,0)/COUNTIF(CR$5:CR$192,"&gt;0")</f>
        <v>0.94674556213017746</v>
      </c>
      <c r="CT93" s="68">
        <f>IF([1]!s_fa_roic_yearly($A93,$D$1)=0,"",[1]!s_fa_roic_yearly($A93,$D$1))</f>
        <v>3.8294000000000001</v>
      </c>
      <c r="CU93" s="27">
        <f>RANK(CT93,CT$5:CT$192,0)/COUNTIF(CT$5:CT$192,"&gt;0")</f>
        <v>0.92957746478873238</v>
      </c>
      <c r="CV93" s="78">
        <f>[1]!s_stm07_bs(A93,"W14578191",$A$1,1,100000000)</f>
        <v>924.44857253750001</v>
      </c>
      <c r="CW93" s="78">
        <f>[1]!s_stmnote_bank_682($A93,$A$1,1,2,100000000)</f>
        <v>136.62075675529999</v>
      </c>
      <c r="CX93" s="79">
        <f t="shared" si="32"/>
        <v>0.14778621636062725</v>
      </c>
    </row>
    <row r="94" spans="1:102" ht="13.5">
      <c r="A94" s="8" t="s">
        <v>881</v>
      </c>
      <c r="B94" s="8" t="s">
        <v>300</v>
      </c>
      <c r="C94" s="9" t="s">
        <v>882</v>
      </c>
      <c r="D94" s="9" t="s">
        <v>1061</v>
      </c>
      <c r="E94" s="10" t="s">
        <v>882</v>
      </c>
      <c r="F94" s="11" t="s">
        <v>178</v>
      </c>
      <c r="G94" s="11" t="s">
        <v>259</v>
      </c>
      <c r="H94" s="11" t="s">
        <v>259</v>
      </c>
      <c r="I94" s="11"/>
      <c r="J94" s="11">
        <f>VLOOKUP(B94,[3]额度信息!$B:$T,19,0)</f>
        <v>1.3474999999999999</v>
      </c>
      <c r="K94" s="11" t="s">
        <v>883</v>
      </c>
      <c r="L94" s="27">
        <f>IFERROR(([1]!b_stm07_bs($A94,47,$A$1,1,100000000))/[1]!b_stm07_bs($A94,109,$A$1,1,100000000),"")</f>
        <v>9.1733194852244723E-2</v>
      </c>
      <c r="M94" s="20">
        <v>83.14</v>
      </c>
      <c r="N94" s="18">
        <f>IFERROR(([1]!s_stmnote_bank_26($A94,$A$1,1,100000000)-[1]!s_stmnote_bank_26($A94,$B$1,1,100000000)+M94)/[1]!s_stmnote_bank_1n($A94,$B$1,1,100000000),"")</f>
        <v>1.3894586060348125E-2</v>
      </c>
      <c r="O94" s="27" t="str">
        <f t="shared" si="24"/>
        <v>33 50</v>
      </c>
      <c r="P94" s="21">
        <f t="shared" si="33"/>
        <v>1.7472064533483149E-2</v>
      </c>
      <c r="Q94" s="27" t="str">
        <f t="shared" si="25"/>
        <v>34 169</v>
      </c>
      <c r="R94" s="18">
        <v>8.3720645334831503E-3</v>
      </c>
      <c r="S94" s="22">
        <v>2.6651508678369799E-2</v>
      </c>
      <c r="T94" s="22">
        <v>8.8380250912800992E-3</v>
      </c>
      <c r="U94" s="22">
        <v>7.9034855637672999E-2</v>
      </c>
      <c r="V94" s="22"/>
      <c r="W94" s="22">
        <v>2.9228314441293699E-3</v>
      </c>
      <c r="X94" s="22">
        <v>1.5179651923418499E-3</v>
      </c>
      <c r="Y94" s="22">
        <v>1.1241782322863401</v>
      </c>
      <c r="Z94" s="25">
        <f>[1]!b_stm07_bs(A94,74,$A$1,1,100000000)</f>
        <v>17489.46747</v>
      </c>
      <c r="AA94" s="25">
        <f>[1]!b_stm07_bs(A94,109,$A$1,1,100000000)</f>
        <v>10879.67569</v>
      </c>
      <c r="AB94" s="10">
        <f>[1]!s_stmnote_bank_5n(A94,$A$1,1)</f>
        <v>0.91</v>
      </c>
      <c r="AC94" s="25">
        <f>IF([1]!s_stmnote_bank_23n(A94,$A$1,1)=0,"",IFERROR([1]!s_stmnote_bank_23n(A94,$A$1,1),""))</f>
        <v>397.34</v>
      </c>
      <c r="AD94" s="27" t="str">
        <f t="shared" si="26"/>
        <v>130 167</v>
      </c>
      <c r="AE94" s="25">
        <f>[1]!s_stmnote_bank_capadequacyratio(A94,$A$1,1)</f>
        <v>13.54</v>
      </c>
      <c r="AF94" s="25">
        <f>IF([1]!s_stmnote_bank_capadequacyratio_ct1(A94,$A$1,1)=0,"",IFERROR([1]!s_stmnote_bank_capadequacyratio_ct1(A94,$A$1,1),""))</f>
        <v>10.16</v>
      </c>
      <c r="AG94" s="27" t="str">
        <f>RANK(AF94,AF$5:AF$192,1)&amp;" "&amp;COUNTIF(AF$5:AF$192,"&gt;0")</f>
        <v>87 167</v>
      </c>
      <c r="AH94" s="6">
        <f>IF(OR([1]!s_fa_roe(A94,20201231)=0,[1]!s_fa_roe(A94,20211231)="0",[1]!s_fa_roe(A94,20221231)="0"),"",IFERROR(([1]!s_fa_roe(A94,20221231)+[1]!s_fa_roe(A94,20201231)+[1]!s_fa_roe(A94,20211231))/3,""))</f>
        <v>13.559866666666666</v>
      </c>
      <c r="AI94" s="27" t="str">
        <f t="shared" si="27"/>
        <v>161 173</v>
      </c>
      <c r="AJ94" s="28">
        <f>IFERROR(([1]!s_stmnote_bank_65(A94,$A$1,1,2,4,100000000)+[1]!s_stmnote_bank_65(A94,$A$1,1,2,6,100000000))/[1]!s_stmnote_bank_1n(A94,$A$1,1,100000000),"")</f>
        <v>5.4997483670964145E-2</v>
      </c>
      <c r="AK94" s="28">
        <f>IFERROR([1]!s_stmnote_bank_614(A94,$A$1,1,2,100000000)/[1]!s_stmnote_bank_647(A94,$A$1,1,2,100000000),"")</f>
        <v>0.23954577387158987</v>
      </c>
      <c r="AL94" s="28">
        <f>IFERROR(([1]!b_stm07_bs(A94,104,$A$1,1,100000000)+[1]!b_stm07_bs(A94,106,$A$1,1,100000000)+[1]!b_stm07_bs(A94,76,$A$1,1,100000000)+[1]!b_stm07_bs(A94,108,$A$1,1,100000000)+[1]!b_stm07_bs(A94,95,$A$1,1,100000000))/[1]!b_stm07_bs(A94,128,$A$1,1,100000000),"")</f>
        <v>0.24740735149142748</v>
      </c>
      <c r="AM94" s="28">
        <f>IFERROR(([1]!s_stmnote_bank_614(A94,$A$1,1,2,100000000)+[1]!b_stm07_bs(A94,104,$A$1,1,100000000)+[1]!b_stm07_bs(A94,106,$A$1,1,100000000)+[1]!b_stm07_bs(A94,76,$A$1,1,100000000)+[1]!b_stm07_bs(A94,108,$A$1,1,100000000)+[1]!b_stm07_bs(A94,95,$A$1,1,100000000))/[1]!b_stm07_bs(A94,128,$A$1,1,100000000),"")</f>
        <v>0.4052560211786167</v>
      </c>
      <c r="AN94" s="31" t="e">
        <f>IF(Z94&gt;#REF!,#REF!,IF(Z94&gt;#REF!,#REF!,IF(Z94&gt;#REF!,#REF!,IF(Z94&gt;#REF!,#REF!,IF(Z94&gt;#REF!,#REF!,IF(Z94&gt;#REF!,#REF!,IF(Z94&gt;#REF!,#REF!,#REF!)))))))</f>
        <v>#REF!</v>
      </c>
      <c r="AO94" s="31" t="e">
        <f>IF(AA94&gt;#REF!,#REF!,IF(AA94&gt;#REF!,#REF!,IF(AA94&gt;#REF!,#REF!,IF(AA94&gt;#REF!,#REF!,IF(AA94&gt;#REF!,#REF!,IF(AA94&gt;#REF!,#REF!,IF(AA94&gt;#REF!,#REF!,#REF!)))))))</f>
        <v>#REF!</v>
      </c>
      <c r="AP94" s="31" t="e">
        <f>IF(AB94&lt;#REF!,#REF!,IF(AB94&lt;#REF!,#REF!,IF(AB94&lt;#REF!,#REF!,IF(AB94&lt;#REF!,#REF!,IF(AB94&lt;#REF!,#REF!,IF(AB94&lt;#REF!,#REF!,#REF!))))))</f>
        <v>#REF!</v>
      </c>
      <c r="AQ94" s="31" t="e">
        <f>IF(AC94&gt;#REF!,#REF!,IF(AC94&gt;#REF!,#REF!,IF(AC94&gt;#REF!,#REF!,IF(AC94&gt;#REF!,#REF!,#REF!))))</f>
        <v>#REF!</v>
      </c>
      <c r="AR94" s="31" t="e">
        <f>IF(AE94&gt;#REF!,#REF!,IF(AE94&gt;#REF!,#REF!,IF(AE94&gt;#REF!,#REF!,IF(AE94&gt;#REF!,#REF!,#REF!))))</f>
        <v>#REF!</v>
      </c>
      <c r="AS94" s="31" t="e">
        <f>IF(AF94&gt;#REF!,#REF!,IF(AF94&gt;#REF!,#REF!,IF(AF94&gt;#REF!,#REF!,IF(AF94&gt;#REF!,#REF!,#REF!))))</f>
        <v>#REF!</v>
      </c>
      <c r="AT94" s="31" t="e">
        <f>IF(AH94&gt;#REF!,#REF!,IF(AH94&gt;#REF!,#REF!,IF(AH94&gt;#REF!,#REF!,IF(AH94&gt;#REF!,#REF!,IF(AH94&gt;#REF!,#REF!,#REF!)))))</f>
        <v>#REF!</v>
      </c>
      <c r="AU94" s="10" t="e">
        <f t="shared" si="28"/>
        <v>#REF!</v>
      </c>
      <c r="AV94" s="10" t="s">
        <v>60</v>
      </c>
      <c r="AW94" s="10" t="s">
        <v>69</v>
      </c>
      <c r="AX94" s="10" t="s">
        <v>359</v>
      </c>
      <c r="AY94" s="31" t="str">
        <f>IFERROR(VLOOKUP(AV94,#REF!,3,0),"")</f>
        <v/>
      </c>
      <c r="AZ94" s="31" t="str">
        <f>IFERROR(VLOOKUP(AW94,#REF!,3,0),"")</f>
        <v/>
      </c>
      <c r="BA94" s="31" t="str">
        <f>IFERROR(VLOOKUP(AX94,#REF!,3,0),"")</f>
        <v/>
      </c>
      <c r="BB94" s="31" t="str">
        <f>IFERROR(AY94*#REF!+AZ94*#REF!+BA94*#REF!,"")</f>
        <v/>
      </c>
      <c r="BC94" s="32" t="str">
        <f t="shared" si="29"/>
        <v/>
      </c>
      <c r="BD94" s="32" t="str">
        <f>IFERROR(VLOOKUP(BC94*10,#REF!,2,1),"")</f>
        <v/>
      </c>
      <c r="BE94" s="11">
        <v>2</v>
      </c>
      <c r="BF94" s="11">
        <v>-1</v>
      </c>
      <c r="BG94" s="10" t="s">
        <v>884</v>
      </c>
      <c r="BH94" s="11" t="s">
        <v>885</v>
      </c>
      <c r="BI94" s="10">
        <v>15.2399997711182</v>
      </c>
      <c r="BJ94" s="33" t="s">
        <v>92</v>
      </c>
      <c r="BK94" s="33" t="s">
        <v>670</v>
      </c>
      <c r="BL94" s="10">
        <f>IF([1]!s_stmnote_bank_17n(A94,$A$1,1)="0","",[1]!s_stmnote_bank_17n(A94,$A$1,1))</f>
        <v>2.12</v>
      </c>
      <c r="BM94" s="10">
        <f>IF([1]!s_stmnote_bank_18n(A94,$A$1,1)="0","",[1]!s_stmnote_bank_18n(A94,$A$1,1))</f>
        <v>13.66</v>
      </c>
      <c r="BN94" s="41">
        <v>4.32</v>
      </c>
      <c r="BO94" s="68">
        <v>2.39</v>
      </c>
      <c r="BP94" s="52">
        <f>[1]!s_stmnote_bank_5444(A94,$A$1,1)</f>
        <v>1.88</v>
      </c>
      <c r="BQ94" s="52">
        <f>[1]!s_stmnote_bank_129n($A94,$A$1,1)</f>
        <v>29.22</v>
      </c>
      <c r="BR94" s="52">
        <f t="shared" si="34"/>
        <v>4.1455805618691226</v>
      </c>
      <c r="BS94" s="52">
        <f>[1]!b_stm07_is(A94,19,$A$1,1,100000000)</f>
        <v>642.59777999999994</v>
      </c>
      <c r="BT94" s="52">
        <f xml:space="preserve"> [1]!s_stm07_bs(A94,"W15273164",$A$1,1,100000000)-[1]!s_stm07_bs(A94,"W17642530",$A$1,1,100000000)-[1]!s_stm07_bs(A94,"W15910877",$A$1,1,100000000)-[1]!s_stm07_bs_39(A94,$A$1,1,100000000)-[1]!s_stm07_bs(A94,"W17700468",$A$1,1,100000000)-[1]!s_stm07_bs(A94,"W16504296",$A$1,1,100000000)-[1]!s_stm07_bs(A94,"W13769069",$A$1,1,100000000)</f>
        <v>17273.504359999999</v>
      </c>
      <c r="BU94" s="52">
        <f xml:space="preserve"> [1]!s_stm07_bs(A94,"W15273164",$B$1,1,100000000)-[1]!s_stm07_bs(A94,"W17642530",$B$1,1,100000000)-[1]!s_stm07_bs(A94,"W15910877",$B$1,1,100000000)-[1]!s_stm07_bs_39(A94,$B$1,1,100000000)-[1]!s_stm07_bs(A94,"W17700468",$B$1,1,100000000)-[1]!s_stm07_bs(A94,"W16504296",$B$1,1,100000000)-[1]!s_stm07_bs(A94,"W13769069",$B$1,1,100000000)</f>
        <v>14983.49237</v>
      </c>
      <c r="BV94" s="52">
        <f xml:space="preserve"> [1]!s_stm07_bs(A94,"W15273164",$E$1,1,100000000)-[1]!s_stm07_bs(A94,"W17642530",$E$1,1,100000000)-[1]!s_stm07_bs(A94,"W15910877",$E$1,1,100000000)-[1]!s_stm07_bs_39(A94,$E$1,1,100000000)-[1]!s_stm07_bs(A94,"W17700468",$E$1,1,100000000)-[1]!s_stm07_bs(A94,"W16504296",$E$1,1,100000000)-[1]!s_stm07_bs(A94,"W13769069",$E$1,1,100000000)</f>
        <v>16894.629010000001</v>
      </c>
      <c r="BW94" s="52">
        <f xml:space="preserve"> [1]!s_stm07_bs(A94,"W15273164",$F$1,1,100000000)-[1]!s_stm07_bs(A94,"W17642530",$F$1,1,100000000)-[1]!s_stm07_bs(A94,"W15910877",$F$1,1,100000000)-[1]!s_stm07_bs_39(A94,$F$1,1,100000000)-[1]!s_stm07_bs(A94,"W17700468",$F$1,1,100000000)-[1]!s_stm07_bs(A94,"W16504296",$F$1,1,100000000)-[1]!s_stm07_bs(A94,"W13769069",$F$1,1,100000000)</f>
        <v>16410.727540000004</v>
      </c>
      <c r="BX94" s="52">
        <f xml:space="preserve"> [1]!s_stm07_bs(A94,"W15273164",$G$1,1,100000000)-[1]!s_stm07_bs(A94,"W17642530",$G$1,1,100000000)-[1]!s_stm07_bs(A94,"W15910877",$G$1,1,100000000)-[1]!s_stm07_bs_39(A94,$G$1,1,100000000)-[1]!s_stm07_bs(A94,"W17700468",$G$1,1,100000000)-[1]!s_stm07_bs(A94,"W16504296",$G$1,1,100000000)-[1]!s_stm07_bs(A94,"W13769069",$G$1,1,100000000)</f>
        <v>15983.834669999998</v>
      </c>
      <c r="BY94" s="52">
        <f>IFERROR([1]!b_stm07_is(A94,20,$A$1,1,100000000)/AVERAGEIF(CA94:CE94,"&gt;0")*100,0)</f>
        <v>2.4637244427237603</v>
      </c>
      <c r="BZ94" s="52">
        <f>[1]!b_stm07_is(A94,20,$A$1,1,100000000)</f>
        <v>371.56875000000002</v>
      </c>
      <c r="CA94" s="52">
        <f>[1]!s_stmnote_bank_38(A94,$A$1,1,100000000)</f>
        <v>15989.76599</v>
      </c>
      <c r="CB94" s="52">
        <f>[1]!s_stmnote_bank_38(A94,$B$1,1,100000000)</f>
        <v>13771.11061</v>
      </c>
      <c r="CC94" s="52">
        <f>[1]!s_stmnote_bank_38(A94,$E$1,1,100000000)</f>
        <v>15661.24337</v>
      </c>
      <c r="CD94" s="52">
        <f>[1]!s_stmnote_bank_38(A94,$F$1,1,100000000)</f>
        <v>15206.202429999999</v>
      </c>
      <c r="CE94" s="52">
        <f>[1]!s_stmnote_bank_38(A94,$G$1,1,100000000)</f>
        <v>14779.61356</v>
      </c>
      <c r="CF94" s="52">
        <f>IF(BP94&lt;&gt;0,BP94,IFERROR(IF(([1]!b_stm07_is(A94,19,$A$1,1,100000000)-[1]!b_stm07_is(A94,20,$A$1,1,100000000))/AVERAGE([1]!s_stmnote_bank_35(A94,$A$1,1,100000000),[1]!s_stmnote_bank_35(A94,$B$1,1,100000000))*100=0,"",([1]!b_stm07_is(A94,19,$A$1,1,100000000)-[1]!b_stm07_is(A94,20,$A$1,1,100000000))/AVERAGE([1]!s_stmnote_bank_35(A94,$A$1,1,100000000),[1]!s_stmnote_bank_35(A94,$B$1,1,100000000))*100),""))</f>
        <v>1.88</v>
      </c>
      <c r="CG94" s="27" t="str">
        <f t="shared" si="30"/>
        <v>114 171</v>
      </c>
      <c r="CH94" s="80">
        <f t="shared" si="35"/>
        <v>1.0760033517488454</v>
      </c>
      <c r="CI94" s="27" t="str">
        <f t="shared" si="31"/>
        <v>37 169</v>
      </c>
      <c r="CJ94" s="55">
        <f>[1]!s_stmnote_bank_30(A94,$A$1,1)</f>
        <v>33.774500000000003</v>
      </c>
      <c r="CK94" s="46"/>
      <c r="CL94" s="46"/>
      <c r="CM94" s="46"/>
      <c r="CN94" s="46"/>
      <c r="CO94" s="46"/>
      <c r="CP94" s="69">
        <f>[1]!b_stm07_bs($A94,141,$A$1,1,100000000)</f>
        <v>1225.6479200000001</v>
      </c>
      <c r="CQ94" s="69">
        <f>[1]!b_stm07_bs($A94,141,$D$1,1,100000000)</f>
        <v>1304.06387</v>
      </c>
      <c r="CR94" s="68">
        <f>IF([1]!s_fa_roic_yearly($A94,$A$1)=0,"",[1]!s_fa_roic_yearly($A94,$A$1))</f>
        <v>13.895099999999999</v>
      </c>
      <c r="CS94" s="27">
        <f>RANK(CR94,CR$5:CR$192,0)/COUNTIF(CR$5:CR$192,"&gt;0")</f>
        <v>8.8757396449704137E-2</v>
      </c>
      <c r="CT94" s="68">
        <f>IF([1]!s_fa_roic_yearly($A94,$D$1)=0,"",[1]!s_fa_roic_yearly($A94,$D$1))</f>
        <v>16.206399999999999</v>
      </c>
      <c r="CU94" s="27">
        <f>RANK(CT94,CT$5:CT$192,0)/COUNTIF(CT$5:CT$192,"&gt;0")</f>
        <v>5.6338028169014086E-2</v>
      </c>
      <c r="CV94" s="78">
        <f>[1]!s_stm07_bs(A94,"W14578191",$A$1,1,100000000)</f>
        <v>7638.6726399999998</v>
      </c>
      <c r="CW94" s="78">
        <f>[1]!s_stmnote_bank_682($A94,$A$1,1,2,100000000)</f>
        <v>2382.8153299999999</v>
      </c>
      <c r="CX94" s="79">
        <f t="shared" si="32"/>
        <v>0.31194101937584801</v>
      </c>
    </row>
    <row r="95" spans="1:102" s="46" customFormat="1" ht="13.5">
      <c r="A95" s="8" t="s">
        <v>940</v>
      </c>
      <c r="B95" s="8" t="str">
        <f>[1]!b_info_issuer(A95)</f>
        <v>广东顺德农村商业银行股份有限公司</v>
      </c>
      <c r="C95" s="9" t="s">
        <v>1067</v>
      </c>
      <c r="D95" s="9" t="s">
        <v>1066</v>
      </c>
      <c r="E95" s="10"/>
      <c r="F95" s="11"/>
      <c r="G95" s="11" t="s">
        <v>139</v>
      </c>
      <c r="H95" s="11" t="s">
        <v>245</v>
      </c>
      <c r="I95" s="11"/>
      <c r="J95" s="11">
        <f>VLOOKUP(B95,[3]额度信息!$B:$T,19,0)</f>
        <v>0</v>
      </c>
      <c r="K95" s="11">
        <v>0</v>
      </c>
      <c r="L95" s="27">
        <f>IFERROR(([1]!b_stm07_bs($A95,47,$A$1,1,100000000))/[1]!b_stm07_bs($A95,109,$A$1,1,100000000),"")</f>
        <v>0.14823610258560385</v>
      </c>
      <c r="M95" s="20">
        <v>4.0599999999999996</v>
      </c>
      <c r="N95" s="18">
        <f>IFERROR(([1]!s_stmnote_bank_26($A95,$A$1,1,100000000)-[1]!s_stmnote_bank_26($A95,$B$1,1,100000000)+M95)/[1]!s_stmnote_bank_1n($A95,$B$1,1,100000000),"")</f>
        <v>3.4074731854915673E-3</v>
      </c>
      <c r="O95" s="27" t="str">
        <f t="shared" si="24"/>
        <v>5 50</v>
      </c>
      <c r="P95" s="21">
        <f t="shared" si="33"/>
        <v>2.7300750041406502E-2</v>
      </c>
      <c r="Q95" s="27" t="str">
        <f t="shared" si="25"/>
        <v>72 169</v>
      </c>
      <c r="R95" s="18">
        <v>1.7700750041406501E-2</v>
      </c>
      <c r="S95" s="22">
        <v>4.7892027005700603E-2</v>
      </c>
      <c r="T95" s="22">
        <v>4.01872767744361E-2</v>
      </c>
      <c r="U95" s="22">
        <v>0.13941870970857601</v>
      </c>
      <c r="V95" s="22"/>
      <c r="W95" s="22"/>
      <c r="X95" s="22">
        <v>1.17636191172894E-2</v>
      </c>
      <c r="Y95" s="22">
        <v>0.32828870779976699</v>
      </c>
      <c r="Z95" s="25">
        <f>[1]!b_stm07_bs(A95,74,$A$1,1,100000000)</f>
        <v>4057.2436572885999</v>
      </c>
      <c r="AA95" s="25">
        <f>[1]!b_stm07_bs(A95,109,$A$1,1,100000000)</f>
        <v>2661.0469372317998</v>
      </c>
      <c r="AB95" s="10">
        <f>[1]!s_stmnote_bank_5n(A95,$A$1,1)</f>
        <v>0.96</v>
      </c>
      <c r="AC95" s="25">
        <f>IF([1]!s_stmnote_bank_23n(A95,$A$1,1)=0,"",IFERROR([1]!s_stmnote_bank_23n(A95,$A$1,1),""))</f>
        <v>338.39</v>
      </c>
      <c r="AD95" s="27" t="str">
        <f t="shared" si="26"/>
        <v>120 167</v>
      </c>
      <c r="AE95" s="25">
        <f>[1]!s_stmnote_bank_capadequacyratio(A95,$A$1,1)</f>
        <v>14.19</v>
      </c>
      <c r="AF95" s="25">
        <f>IF([1]!s_stmnote_bank_capadequacyratio_ct1(A95,$A$1,1)=0,"",IFERROR([1]!s_stmnote_bank_capadequacyratio_ct1(A95,$A$1,1),""))</f>
        <v>11.7</v>
      </c>
      <c r="AG95" s="27" t="str">
        <f>RANK(AF95,AF$5:AF$192,1)&amp;" "&amp;COUNTIF(AF$5:AF$192,"&gt;0")</f>
        <v>117 167</v>
      </c>
      <c r="AH95" s="6">
        <f>IF(OR([1]!s_fa_roe(A95,20201231)=0,[1]!s_fa_roe(A95,20211231)="0",[1]!s_fa_roe(A95,20221231)="0"),"",IFERROR(([1]!s_fa_roe(A95,20221231)+[1]!s_fa_roe(A95,20201231)+[1]!s_fa_roe(A95,20211231))/3,""))</f>
        <v>10.472333333333333</v>
      </c>
      <c r="AI95" s="27" t="str">
        <f t="shared" si="27"/>
        <v>127 173</v>
      </c>
      <c r="AJ95" s="28">
        <f>IFERROR(([1]!s_stmnote_bank_65(A95,$A$1,1,2,4,100000000)+[1]!s_stmnote_bank_65(A95,$A$1,1,2,6,100000000))/[1]!s_stmnote_bank_1n(A95,$A$1,1,100000000),"")</f>
        <v>8.7065298735507765E-2</v>
      </c>
      <c r="AK95" s="28">
        <f>IFERROR([1]!s_stmnote_bank_614(A95,$A$1,1,2,100000000)/[1]!s_stmnote_bank_647(A95,$A$1,1,2,100000000),"")</f>
        <v>0.24467839798133068</v>
      </c>
      <c r="AL95" s="28">
        <f>IFERROR(([1]!b_stm07_bs(A95,104,$A$1,1,100000000)+[1]!b_stm07_bs(A95,106,$A$1,1,100000000)+[1]!b_stm07_bs(A95,76,$A$1,1,100000000)+[1]!b_stm07_bs(A95,108,$A$1,1,100000000)+[1]!b_stm07_bs(A95,95,$A$1,1,100000000))/[1]!b_stm07_bs(A95,128,$A$1,1,100000000),"")</f>
        <v>0.22346642122517305</v>
      </c>
      <c r="AM95" s="28">
        <f>IFERROR(([1]!s_stmnote_bank_614(A95,$A$1,1,2,100000000)+[1]!b_stm07_bs(A95,104,$A$1,1,100000000)+[1]!b_stm07_bs(A95,106,$A$1,1,100000000)+[1]!b_stm07_bs(A95,76,$A$1,1,100000000)+[1]!b_stm07_bs(A95,108,$A$1,1,100000000)+[1]!b_stm07_bs(A95,95,$A$1,1,100000000))/[1]!b_stm07_bs(A95,128,$A$1,1,100000000),"")</f>
        <v>0.39523122783256071</v>
      </c>
      <c r="AN95" s="31" t="e">
        <f>IF(Z95&gt;#REF!,#REF!,IF(Z95&gt;#REF!,#REF!,IF(Z95&gt;#REF!,#REF!,IF(Z95&gt;#REF!,#REF!,IF(Z95&gt;#REF!,#REF!,IF(Z95&gt;#REF!,#REF!,IF(Z95&gt;#REF!,#REF!,#REF!)))))))</f>
        <v>#REF!</v>
      </c>
      <c r="AO95" s="31" t="e">
        <f>IF(AA95&gt;#REF!,#REF!,IF(AA95&gt;#REF!,#REF!,IF(AA95&gt;#REF!,#REF!,IF(AA95&gt;#REF!,#REF!,IF(AA95&gt;#REF!,#REF!,IF(AA95&gt;#REF!,#REF!,IF(AA95&gt;#REF!,#REF!,#REF!)))))))</f>
        <v>#REF!</v>
      </c>
      <c r="AP95" s="31" t="e">
        <f>IF(AB95&lt;#REF!,#REF!,IF(AB95&lt;#REF!,#REF!,IF(AB95&lt;#REF!,#REF!,IF(AB95&lt;#REF!,#REF!,IF(AB95&lt;#REF!,#REF!,IF(AB95&lt;#REF!,#REF!,#REF!))))))</f>
        <v>#REF!</v>
      </c>
      <c r="AQ95" s="31" t="e">
        <f>IF(AC95&gt;#REF!,#REF!,IF(AC95&gt;#REF!,#REF!,IF(AC95&gt;#REF!,#REF!,IF(AC95&gt;#REF!,#REF!,#REF!))))</f>
        <v>#REF!</v>
      </c>
      <c r="AR95" s="31" t="e">
        <f>IF(AE95&gt;#REF!,#REF!,IF(AE95&gt;#REF!,#REF!,IF(AE95&gt;#REF!,#REF!,IF(AE95&gt;#REF!,#REF!,#REF!))))</f>
        <v>#REF!</v>
      </c>
      <c r="AS95" s="31" t="e">
        <f>IF(AF95&gt;#REF!,#REF!,IF(AF95&gt;#REF!,#REF!,IF(AF95&gt;#REF!,#REF!,IF(AF95&gt;#REF!,#REF!,#REF!))))</f>
        <v>#REF!</v>
      </c>
      <c r="AT95" s="31" t="e">
        <f>IF(AH95&gt;#REF!,#REF!,IF(AH95&gt;#REF!,#REF!,IF(AH95&gt;#REF!,#REF!,IF(AH95&gt;#REF!,#REF!,IF(AH95&gt;#REF!,#REF!,#REF!)))))</f>
        <v>#REF!</v>
      </c>
      <c r="AU95" s="10" t="e">
        <f t="shared" si="28"/>
        <v>#REF!</v>
      </c>
      <c r="AV95" s="10" t="s">
        <v>141</v>
      </c>
      <c r="AW95" s="10" t="s">
        <v>141</v>
      </c>
      <c r="AX95" s="10" t="s">
        <v>261</v>
      </c>
      <c r="AY95" s="31" t="str">
        <f>IFERROR(VLOOKUP(AV95,#REF!,3,0),"")</f>
        <v/>
      </c>
      <c r="AZ95" s="31" t="str">
        <f>IFERROR(VLOOKUP(AW95,#REF!,3,0),"")</f>
        <v/>
      </c>
      <c r="BA95" s="31" t="str">
        <f>IFERROR(VLOOKUP(AX95,#REF!,3,0),"")</f>
        <v/>
      </c>
      <c r="BB95" s="31" t="str">
        <f>IFERROR(AY95*#REF!+AZ95*#REF!+BA95*#REF!,"")</f>
        <v/>
      </c>
      <c r="BC95" s="32" t="str">
        <f t="shared" si="29"/>
        <v/>
      </c>
      <c r="BD95" s="32" t="str">
        <f>IFERROR(VLOOKUP(BC95*10,#REF!,2,1),"")</f>
        <v/>
      </c>
      <c r="BE95" s="10"/>
      <c r="BF95" s="11">
        <v>-1</v>
      </c>
      <c r="BG95" s="10" t="s">
        <v>458</v>
      </c>
      <c r="BH95" s="11"/>
      <c r="BI95" s="11"/>
      <c r="BJ95" s="11"/>
      <c r="BK95" s="11"/>
      <c r="BL95" s="10">
        <f>IF([1]!s_stmnote_bank_17n(A95,$A$1,1)="0","",[1]!s_stmnote_bank_17n(A95,$A$1,1))</f>
        <v>3.58</v>
      </c>
      <c r="BM95" s="10">
        <f>IF([1]!s_stmnote_bank_18n(A95,$A$1,1)="0","",[1]!s_stmnote_bank_18n(A95,$A$1,1))</f>
        <v>29.5</v>
      </c>
      <c r="BN95" s="41">
        <v>3.98</v>
      </c>
      <c r="BO95" s="68">
        <v>2.0699999999999998</v>
      </c>
      <c r="BP95" s="52">
        <f>[1]!s_stmnote_bank_5444(A95,$A$1,1)</f>
        <v>2.08</v>
      </c>
      <c r="BQ95" s="52">
        <f>[1]!s_stmnote_bank_129n($A95,$A$1,1)</f>
        <v>34.299999999999997</v>
      </c>
      <c r="BR95" s="52">
        <f t="shared" si="34"/>
        <v>3.8272194717498693</v>
      </c>
      <c r="BS95" s="52">
        <f>[1]!b_stm07_is(A95,19,$A$1,1,100000000)</f>
        <v>140.96320727969999</v>
      </c>
      <c r="BT95" s="52">
        <f xml:space="preserve"> [1]!s_stm07_bs(A95,"W15273164",$A$1,1,100000000)-[1]!s_stm07_bs(A95,"W17642530",$A$1,1,100000000)-[1]!s_stm07_bs(A95,"W15910877",$A$1,1,100000000)-[1]!s_stm07_bs_39(A95,$A$1,1,100000000)-[1]!s_stm07_bs(A95,"W17700468",$A$1,1,100000000)-[1]!s_stm07_bs(A95,"W16504296",$A$1,1,100000000)-[1]!s_stm07_bs(A95,"W13769069",$A$1,1,100000000)</f>
        <v>3994.0469776832997</v>
      </c>
      <c r="BU95" s="52">
        <f xml:space="preserve"> [1]!s_stm07_bs(A95,"W15273164",$B$1,1,100000000)-[1]!s_stm07_bs(A95,"W17642530",$B$1,1,100000000)-[1]!s_stm07_bs(A95,"W15910877",$B$1,1,100000000)-[1]!s_stm07_bs_39(A95,$B$1,1,100000000)-[1]!s_stm07_bs(A95,"W17700468",$B$1,1,100000000)-[1]!s_stm07_bs(A95,"W16504296",$B$1,1,100000000)-[1]!s_stm07_bs(A95,"W13769069",$B$1,1,100000000)</f>
        <v>3620.0792495574005</v>
      </c>
      <c r="BV95" s="52">
        <f xml:space="preserve"> [1]!s_stm07_bs(A95,"W15273164",$E$1,1,100000000)-[1]!s_stm07_bs(A95,"W17642530",$E$1,1,100000000)-[1]!s_stm07_bs(A95,"W15910877",$E$1,1,100000000)-[1]!s_stm07_bs_39(A95,$E$1,1,100000000)-[1]!s_stm07_bs(A95,"W17700468",$E$1,1,100000000)-[1]!s_stm07_bs(A95,"W16504296",$E$1,1,100000000)-[1]!s_stm07_bs(A95,"W13769069",$E$1,1,100000000)</f>
        <v>0</v>
      </c>
      <c r="BW95" s="52">
        <f xml:space="preserve"> [1]!s_stm07_bs(A95,"W15273164",$F$1,1,100000000)-[1]!s_stm07_bs(A95,"W17642530",$F$1,1,100000000)-[1]!s_stm07_bs(A95,"W15910877",$F$1,1,100000000)-[1]!s_stm07_bs_39(A95,$F$1,1,100000000)-[1]!s_stm07_bs(A95,"W17700468",$F$1,1,100000000)-[1]!s_stm07_bs(A95,"W16504296",$F$1,1,100000000)-[1]!s_stm07_bs(A95,"W13769069",$F$1,1,100000000)</f>
        <v>3813.9771557695999</v>
      </c>
      <c r="BX95" s="52">
        <f xml:space="preserve"> [1]!s_stm07_bs(A95,"W15273164",$G$1,1,100000000)-[1]!s_stm07_bs(A95,"W17642530",$G$1,1,100000000)-[1]!s_stm07_bs(A95,"W15910877",$G$1,1,100000000)-[1]!s_stm07_bs_39(A95,$G$1,1,100000000)-[1]!s_stm07_bs(A95,"W17700468",$G$1,1,100000000)-[1]!s_stm07_bs(A95,"W16504296",$G$1,1,100000000)-[1]!s_stm07_bs(A95,"W13769069",$G$1,1,100000000)</f>
        <v>0</v>
      </c>
      <c r="BY95" s="52">
        <f>IFERROR([1]!b_stm07_is(A95,20,$A$1,1,100000000)/AVERAGEIF(CA95:CE95,"&gt;0")*100,0)</f>
        <v>1.9938059688067202</v>
      </c>
      <c r="BZ95" s="52">
        <f>[1]!b_stm07_is(A95,20,$A$1,1,100000000)</f>
        <v>69.878991045900008</v>
      </c>
      <c r="CA95" s="52">
        <f>[1]!s_stmnote_bank_38(A95,$A$1,1,100000000)</f>
        <v>3678.9470236263001</v>
      </c>
      <c r="CB95" s="52">
        <f>[1]!s_stmnote_bank_38(A95,$B$1,1,100000000)</f>
        <v>3320.338293753</v>
      </c>
      <c r="CC95" s="52">
        <f>[1]!s_stmnote_bank_38(A95,$E$1,1,100000000)</f>
        <v>0</v>
      </c>
      <c r="CD95" s="52">
        <f>[1]!s_stmnote_bank_38(A95,$F$1,1,100000000)</f>
        <v>3515.1266373189001</v>
      </c>
      <c r="CE95" s="52">
        <f>[1]!s_stmnote_bank_38(A95,$G$1,1,100000000)</f>
        <v>0</v>
      </c>
      <c r="CF95" s="52">
        <f>IF(BP95&lt;&gt;0,BP95,IFERROR(IF(([1]!b_stm07_is(A95,19,$A$1,1,100000000)-[1]!b_stm07_is(A95,20,$A$1,1,100000000))/AVERAGE([1]!s_stmnote_bank_35(A95,$A$1,1,100000000),[1]!s_stmnote_bank_35(A95,$B$1,1,100000000))*100=0,"",([1]!b_stm07_is(A95,19,$A$1,1,100000000)-[1]!b_stm07_is(A95,20,$A$1,1,100000000))/AVERAGE([1]!s_stmnote_bank_35(A95,$A$1,1,100000000),[1]!s_stmnote_bank_35(A95,$B$1,1,100000000))*100),""))</f>
        <v>2.08</v>
      </c>
      <c r="CG95" s="27" t="str">
        <f t="shared" si="30"/>
        <v>83 171</v>
      </c>
      <c r="CH95" s="80">
        <f t="shared" si="35"/>
        <v>0.76188382987474901</v>
      </c>
      <c r="CI95" s="27" t="str">
        <f t="shared" si="31"/>
        <v>71 169</v>
      </c>
      <c r="CJ95" s="55">
        <f>[1]!s_stmnote_bank_30(A95,$A$1,1)</f>
        <v>15.4358</v>
      </c>
      <c r="CP95" s="69">
        <f>[1]!b_stm07_bs($A95,141,$A$1,1,100000000)</f>
        <v>313.0049643657</v>
      </c>
      <c r="CQ95" s="69">
        <f>[1]!b_stm07_bs($A95,141,$D$1,1,100000000)</f>
        <v>327.94068920939998</v>
      </c>
      <c r="CR95" s="68">
        <f>IF([1]!s_fa_roic_yearly($A95,$A$1)=0,"",[1]!s_fa_roic_yearly($A95,$A$1))</f>
        <v>11.895300000000001</v>
      </c>
      <c r="CS95" s="27">
        <f>RANK(CR95,CR$5:CR$192,0)/COUNTIF(CR$5:CR$192,"&gt;0")</f>
        <v>0.17751479289940827</v>
      </c>
      <c r="CT95" s="68">
        <f>IF([1]!s_fa_roic_yearly($A95,$D$1)=0,"",[1]!s_fa_roic_yearly($A95,$D$1))</f>
        <v>11.305</v>
      </c>
      <c r="CU95" s="27">
        <f>RANK(CT95,CT$5:CT$192,0)/COUNTIF(CT$5:CT$192,"&gt;0")</f>
        <v>0.3380281690140845</v>
      </c>
      <c r="CV95" s="78">
        <f>[1]!s_stm07_bs(A95,"W14578191",$A$1,1,100000000)</f>
        <v>1999.8438152552999</v>
      </c>
      <c r="CW95" s="78">
        <f>[1]!s_stmnote_bank_682($A95,$A$1,1,2,100000000)</f>
        <v>790.17485279919993</v>
      </c>
      <c r="CX95" s="79">
        <f t="shared" si="32"/>
        <v>0.39511828212360989</v>
      </c>
    </row>
    <row r="96" spans="1:102" s="46" customFormat="1" ht="13.5">
      <c r="A96" s="8" t="s">
        <v>671</v>
      </c>
      <c r="B96" s="8" t="s">
        <v>672</v>
      </c>
      <c r="C96" s="9" t="s">
        <v>673</v>
      </c>
      <c r="D96" s="9" t="s">
        <v>1061</v>
      </c>
      <c r="E96" s="10" t="s">
        <v>673</v>
      </c>
      <c r="F96" s="11" t="s">
        <v>178</v>
      </c>
      <c r="G96" s="11"/>
      <c r="H96" s="11" t="s">
        <v>245</v>
      </c>
      <c r="I96" s="11"/>
      <c r="J96" s="11">
        <f>VLOOKUP(B96,[3]额度信息!$B:$T,19,0)</f>
        <v>0</v>
      </c>
      <c r="K96" s="11" t="s">
        <v>674</v>
      </c>
      <c r="L96" s="27">
        <f>IFERROR(([1]!b_stm07_bs($A96,47,$A$1,1,100000000))/[1]!b_stm07_bs($A96,109,$A$1,1,100000000),"")</f>
        <v>0.12366519602339029</v>
      </c>
      <c r="M96" s="20"/>
      <c r="N96" s="18"/>
      <c r="O96" s="27" t="e">
        <f t="shared" si="24"/>
        <v>#N/A</v>
      </c>
      <c r="P96" s="21">
        <f t="shared" si="33"/>
        <v>3.0616019443681503E-2</v>
      </c>
      <c r="Q96" s="27" t="str">
        <f t="shared" si="25"/>
        <v>89 169</v>
      </c>
      <c r="R96" s="18">
        <v>1.7116019443681501E-2</v>
      </c>
      <c r="S96" s="22"/>
      <c r="T96" s="22"/>
      <c r="U96" s="22"/>
      <c r="V96" s="22"/>
      <c r="W96" s="22"/>
      <c r="X96" s="22"/>
      <c r="Y96" s="22"/>
      <c r="Z96" s="25">
        <f>[1]!b_stm07_bs(A96,74,$A$1,1,100000000)</f>
        <v>4334.13706</v>
      </c>
      <c r="AA96" s="25">
        <f>[1]!b_stm07_bs(A96,109,$A$1,1,100000000)</f>
        <v>2984.5805599999999</v>
      </c>
      <c r="AB96" s="10">
        <f>[1]!s_stmnote_bank_5n(A96,$A$1,1)</f>
        <v>1.35</v>
      </c>
      <c r="AC96" s="25">
        <f>IF([1]!s_stmnote_bank_23n(A96,$A$1,1)=0,"",IFERROR([1]!s_stmnote_bank_23n(A96,$A$1,1),""))</f>
        <v>253.95</v>
      </c>
      <c r="AD96" s="27" t="str">
        <f t="shared" si="26"/>
        <v>93 167</v>
      </c>
      <c r="AE96" s="25">
        <f>[1]!s_stmnote_bank_capadequacyratio(A96,$A$1,1)</f>
        <v>15.31</v>
      </c>
      <c r="AF96" s="25">
        <f>IF([1]!s_stmnote_bank_capadequacyratio_ct1(A96,$A$1,1)=0,"",IFERROR([1]!s_stmnote_bank_capadequacyratio_ct1(A96,$A$1,1),""))</f>
        <v>9.65</v>
      </c>
      <c r="AG96" s="27" t="str">
        <f>RANK(AF96,AF$5:AF$192,1)&amp;" "&amp;COUNTIF(AF$5:AF$192,"&gt;0")</f>
        <v>67 167</v>
      </c>
      <c r="AH96" s="6">
        <f>IF(OR([1]!s_fa_roe(A96,20201231)=0,[1]!s_fa_roe(A96,20211231)="0",[1]!s_fa_roe(A96,20221231)="0"),"",IFERROR(([1]!s_fa_roe(A96,20221231)+[1]!s_fa_roe(A96,20201231)+[1]!s_fa_roe(A96,20211231))/3,""))</f>
        <v>10.328933333333334</v>
      </c>
      <c r="AI96" s="27" t="str">
        <f t="shared" si="27"/>
        <v>124 173</v>
      </c>
      <c r="AJ96" s="28">
        <f>IFERROR(([1]!s_stmnote_bank_65(A96,$A$1,1,2,4,100000000)+[1]!s_stmnote_bank_65(A96,$A$1,1,2,6,100000000))/[1]!s_stmnote_bank_1n(A96,$A$1,1,100000000),"")</f>
        <v>0.1104500919572491</v>
      </c>
      <c r="AK96" s="28">
        <f>IFERROR([1]!s_stmnote_bank_614(A96,$A$1,1,2,100000000)/[1]!s_stmnote_bank_647(A96,$A$1,1,2,100000000),"")</f>
        <v>0.28818855412075239</v>
      </c>
      <c r="AL96" s="28">
        <f>IFERROR(([1]!b_stm07_bs(A96,104,$A$1,1,100000000)+[1]!b_stm07_bs(A96,106,$A$1,1,100000000)+[1]!b_stm07_bs(A96,76,$A$1,1,100000000)+[1]!b_stm07_bs(A96,108,$A$1,1,100000000)+[1]!b_stm07_bs(A96,95,$A$1,1,100000000))/[1]!b_stm07_bs(A96,128,$A$1,1,100000000),"")</f>
        <v>0.17929670129854641</v>
      </c>
      <c r="AM96" s="28">
        <f>IFERROR(([1]!s_stmnote_bank_614(A96,$A$1,1,2,100000000)+[1]!b_stm07_bs(A96,104,$A$1,1,100000000)+[1]!b_stm07_bs(A96,106,$A$1,1,100000000)+[1]!b_stm07_bs(A96,76,$A$1,1,100000000)+[1]!b_stm07_bs(A96,108,$A$1,1,100000000)+[1]!b_stm07_bs(A96,95,$A$1,1,100000000))/[1]!b_stm07_bs(A96,128,$A$1,1,100000000),"")</f>
        <v>0.38997128132848735</v>
      </c>
      <c r="AN96" s="31" t="e">
        <f>IF(Z96&gt;#REF!,#REF!,IF(Z96&gt;#REF!,#REF!,IF(Z96&gt;#REF!,#REF!,IF(Z96&gt;#REF!,#REF!,IF(Z96&gt;#REF!,#REF!,IF(Z96&gt;#REF!,#REF!,IF(Z96&gt;#REF!,#REF!,#REF!)))))))</f>
        <v>#REF!</v>
      </c>
      <c r="AO96" s="31" t="e">
        <f>IF(AA96&gt;#REF!,#REF!,IF(AA96&gt;#REF!,#REF!,IF(AA96&gt;#REF!,#REF!,IF(AA96&gt;#REF!,#REF!,IF(AA96&gt;#REF!,#REF!,IF(AA96&gt;#REF!,#REF!,IF(AA96&gt;#REF!,#REF!,#REF!)))))))</f>
        <v>#REF!</v>
      </c>
      <c r="AP96" s="31" t="e">
        <f>IF(AB96&lt;#REF!,#REF!,IF(AB96&lt;#REF!,#REF!,IF(AB96&lt;#REF!,#REF!,IF(AB96&lt;#REF!,#REF!,IF(AB96&lt;#REF!,#REF!,IF(AB96&lt;#REF!,#REF!,#REF!))))))</f>
        <v>#REF!</v>
      </c>
      <c r="AQ96" s="31" t="e">
        <f>IF(AC96&gt;#REF!,#REF!,IF(AC96&gt;#REF!,#REF!,IF(AC96&gt;#REF!,#REF!,IF(AC96&gt;#REF!,#REF!,#REF!))))</f>
        <v>#REF!</v>
      </c>
      <c r="AR96" s="31" t="e">
        <f>IF(AE96&gt;#REF!,#REF!,IF(AE96&gt;#REF!,#REF!,IF(AE96&gt;#REF!,#REF!,IF(AE96&gt;#REF!,#REF!,#REF!))))</f>
        <v>#REF!</v>
      </c>
      <c r="AS96" s="31" t="e">
        <f>IF(AF96&gt;#REF!,#REF!,IF(AF96&gt;#REF!,#REF!,IF(AF96&gt;#REF!,#REF!,IF(AF96&gt;#REF!,#REF!,#REF!))))</f>
        <v>#REF!</v>
      </c>
      <c r="AT96" s="31" t="e">
        <f>IF(AH96&gt;#REF!,#REF!,IF(AH96&gt;#REF!,#REF!,IF(AH96&gt;#REF!,#REF!,IF(AH96&gt;#REF!,#REF!,IF(AH96&gt;#REF!,#REF!,#REF!)))))</f>
        <v>#REF!</v>
      </c>
      <c r="AU96" s="10" t="e">
        <f t="shared" si="28"/>
        <v>#REF!</v>
      </c>
      <c r="AV96" s="10" t="s">
        <v>141</v>
      </c>
      <c r="AW96" s="10" t="s">
        <v>61</v>
      </c>
      <c r="AX96" s="10" t="s">
        <v>141</v>
      </c>
      <c r="AY96" s="31" t="str">
        <f>IFERROR(VLOOKUP(AV96,#REF!,3,0),"")</f>
        <v/>
      </c>
      <c r="AZ96" s="31" t="str">
        <f>IFERROR(VLOOKUP(AW96,#REF!,3,0),"")</f>
        <v/>
      </c>
      <c r="BA96" s="31" t="str">
        <f>IFERROR(VLOOKUP(AX96,#REF!,3,0),"")</f>
        <v/>
      </c>
      <c r="BB96" s="31" t="str">
        <f>IFERROR(AY96*#REF!+AZ96*#REF!+BA96*#REF!,"")</f>
        <v/>
      </c>
      <c r="BC96" s="32" t="str">
        <f t="shared" si="29"/>
        <v/>
      </c>
      <c r="BD96" s="32" t="str">
        <f>IFERROR(VLOOKUP(BC96*10,#REF!,2,1),"")</f>
        <v/>
      </c>
      <c r="BE96" s="11">
        <v>0</v>
      </c>
      <c r="BF96" s="11">
        <v>-2</v>
      </c>
      <c r="BG96" s="10" t="s">
        <v>675</v>
      </c>
      <c r="BH96" s="11" t="s">
        <v>676</v>
      </c>
      <c r="BI96" s="10">
        <v>16.180000305175799</v>
      </c>
      <c r="BJ96" s="33" t="s">
        <v>105</v>
      </c>
      <c r="BK96" s="33" t="s">
        <v>106</v>
      </c>
      <c r="BL96" s="10">
        <f>IF([1]!s_stmnote_bank_17n(A96,$A$1,1)="0","",[1]!s_stmnote_bank_17n(A96,$A$1,1))</f>
        <v>4.62</v>
      </c>
      <c r="BM96" s="10">
        <f>IF([1]!s_stmnote_bank_18n(A96,$A$1,1)="0","",[1]!s_stmnote_bank_18n(A96,$A$1,1))</f>
        <v>19.559999999999999</v>
      </c>
      <c r="BN96" s="41">
        <v>4.1100000000000003</v>
      </c>
      <c r="BO96" s="68">
        <v>2.2400000000000002</v>
      </c>
      <c r="BP96" s="52">
        <f>[1]!s_stmnote_bank_5444(A96,$A$1,1)</f>
        <v>2.02</v>
      </c>
      <c r="BQ96" s="52">
        <f>[1]!s_stmnote_bank_129n($A96,$A$1,1)</f>
        <v>26.27</v>
      </c>
      <c r="BR96" s="52">
        <f t="shared" si="34"/>
        <v>4.2799196254001508</v>
      </c>
      <c r="BS96" s="52">
        <f>[1]!b_stm07_is(A96,19,$A$1,1,100000000)</f>
        <v>158.80148</v>
      </c>
      <c r="BT96" s="52">
        <f xml:space="preserve"> [1]!s_stm07_bs(A96,"W15273164",$A$1,1,100000000)-[1]!s_stm07_bs(A96,"W17642530",$A$1,1,100000000)-[1]!s_stm07_bs(A96,"W15910877",$A$1,1,100000000)-[1]!s_stm07_bs_39(A96,$A$1,1,100000000)-[1]!s_stm07_bs(A96,"W17700468",$A$1,1,100000000)-[1]!s_stm07_bs(A96,"W16504296",$A$1,1,100000000)-[1]!s_stm07_bs(A96,"W13769069",$A$1,1,100000000)</f>
        <v>4282.1325099999995</v>
      </c>
      <c r="BU96" s="52">
        <f xml:space="preserve"> [1]!s_stm07_bs(A96,"W15273164",$B$1,1,100000000)-[1]!s_stm07_bs(A96,"W17642530",$B$1,1,100000000)-[1]!s_stm07_bs(A96,"W15910877",$B$1,1,100000000)-[1]!s_stm07_bs_39(A96,$B$1,1,100000000)-[1]!s_stm07_bs(A96,"W17700468",$B$1,1,100000000)-[1]!s_stm07_bs(A96,"W16504296",$B$1,1,100000000)-[1]!s_stm07_bs(A96,"W13769069",$B$1,1,100000000)</f>
        <v>3555.0526600000003</v>
      </c>
      <c r="BV96" s="52">
        <f xml:space="preserve"> [1]!s_stm07_bs(A96,"W15273164",$E$1,1,100000000)-[1]!s_stm07_bs(A96,"W17642530",$E$1,1,100000000)-[1]!s_stm07_bs(A96,"W15910877",$E$1,1,100000000)-[1]!s_stm07_bs_39(A96,$E$1,1,100000000)-[1]!s_stm07_bs(A96,"W17700468",$E$1,1,100000000)-[1]!s_stm07_bs(A96,"W16504296",$E$1,1,100000000)-[1]!s_stm07_bs(A96,"W13769069",$E$1,1,100000000)</f>
        <v>4116.8744499999993</v>
      </c>
      <c r="BW96" s="52">
        <f xml:space="preserve"> [1]!s_stm07_bs(A96,"W15273164",$F$1,1,100000000)-[1]!s_stm07_bs(A96,"W17642530",$F$1,1,100000000)-[1]!s_stm07_bs(A96,"W15910877",$F$1,1,100000000)-[1]!s_stm07_bs_39(A96,$F$1,1,100000000)-[1]!s_stm07_bs(A96,"W17700468",$F$1,1,100000000)-[1]!s_stm07_bs(A96,"W16504296",$F$1,1,100000000)-[1]!s_stm07_bs(A96,"W13769069",$F$1,1,100000000)</f>
        <v>3984.1627500000004</v>
      </c>
      <c r="BX96" s="52">
        <f xml:space="preserve"> [1]!s_stm07_bs(A96,"W15273164",$G$1,1,100000000)-[1]!s_stm07_bs(A96,"W17642530",$G$1,1,100000000)-[1]!s_stm07_bs(A96,"W15910877",$G$1,1,100000000)-[1]!s_stm07_bs_39(A96,$G$1,1,100000000)-[1]!s_stm07_bs(A96,"W17700468",$G$1,1,100000000)-[1]!s_stm07_bs(A96,"W16504296",$G$1,1,100000000)-[1]!s_stm07_bs(A96,"W13769069",$G$1,1,100000000)</f>
        <v>3787.4904100000003</v>
      </c>
      <c r="BY96" s="52">
        <f>IFERROR([1]!b_stm07_is(A96,20,$A$1,1,100000000)/AVERAGEIF(CA96:CE96,"&gt;0")*100,0)</f>
        <v>2.303144159257049</v>
      </c>
      <c r="BZ96" s="52">
        <f>[1]!b_stm07_is(A96,20,$A$1,1,100000000)</f>
        <v>83.950019999999995</v>
      </c>
      <c r="CA96" s="52">
        <f>[1]!s_stmnote_bank_38(A96,$A$1,1,100000000)</f>
        <v>3972.9335299999998</v>
      </c>
      <c r="CB96" s="52">
        <f>[1]!s_stmnote_bank_38(A96,$B$1,1,100000000)</f>
        <v>3300.0448799999999</v>
      </c>
      <c r="CC96" s="52">
        <f>[1]!s_stmnote_bank_38(A96,$E$1,1,100000000)</f>
        <v>3810.4319999999998</v>
      </c>
      <c r="CD96" s="52">
        <f>[1]!s_stmnote_bank_38(A96,$F$1,1,100000000)</f>
        <v>3650.6362600000002</v>
      </c>
      <c r="CE96" s="52">
        <f>[1]!s_stmnote_bank_38(A96,$G$1,1,100000000)</f>
        <v>3491.04351</v>
      </c>
      <c r="CF96" s="52">
        <f>IF(BP96&lt;&gt;0,BP96,IFERROR(IF(([1]!b_stm07_is(A96,19,$A$1,1,100000000)-[1]!b_stm07_is(A96,20,$A$1,1,100000000))/AVERAGE([1]!s_stmnote_bank_35(A96,$A$1,1,100000000),[1]!s_stmnote_bank_35(A96,$B$1,1,100000000))*100=0,"",([1]!b_stm07_is(A96,19,$A$1,1,100000000)-[1]!b_stm07_is(A96,20,$A$1,1,100000000))/AVERAGE([1]!s_stmnote_bank_35(A96,$A$1,1,100000000),[1]!s_stmnote_bank_35(A96,$B$1,1,100000000))*100),""))</f>
        <v>2.02</v>
      </c>
      <c r="CG96" s="27" t="str">
        <f t="shared" si="30"/>
        <v>90 171</v>
      </c>
      <c r="CH96" s="80">
        <f t="shared" si="35"/>
        <v>0.65978531393207784</v>
      </c>
      <c r="CI96" s="27" t="str">
        <f t="shared" si="31"/>
        <v>86 169</v>
      </c>
      <c r="CJ96" s="55">
        <f>[1]!s_stmnote_bank_30(A96,$A$1,1)</f>
        <v>26.3779</v>
      </c>
      <c r="CP96" s="69">
        <f>[1]!b_stm07_bs($A96,141,$A$1,1,100000000)</f>
        <v>326.04775999999998</v>
      </c>
      <c r="CQ96" s="69">
        <f>[1]!b_stm07_bs($A96,141,$D$1,1,100000000)</f>
        <v>332.06427000000002</v>
      </c>
      <c r="CR96" s="68">
        <f>IF([1]!s_fa_roic_yearly($A96,$A$1)=0,"",[1]!s_fa_roic_yearly($A96,$A$1))</f>
        <v>10.2143</v>
      </c>
      <c r="CS96" s="27">
        <f>RANK(CR96,CR$5:CR$192,0)/COUNTIF(CR$5:CR$192,"&gt;0")</f>
        <v>0.31952662721893493</v>
      </c>
      <c r="CT96" s="68">
        <f>IF([1]!s_fa_roic_yearly($A96,$D$1)=0,"",[1]!s_fa_roic_yearly($A96,$D$1))</f>
        <v>10.644</v>
      </c>
      <c r="CU96" s="27">
        <f>RANK(CT96,CT$5:CT$192,0)/COUNTIF(CT$5:CT$192,"&gt;0")</f>
        <v>0.42957746478873238</v>
      </c>
      <c r="CV96" s="78">
        <f>[1]!s_stm07_bs(A96,"W14578191",$A$1,1,100000000)</f>
        <v>2102.21216</v>
      </c>
      <c r="CW96" s="78">
        <f>[1]!s_stmnote_bank_682($A96,$A$1,1,2,100000000)</f>
        <v>633.93111999999996</v>
      </c>
      <c r="CX96" s="79">
        <f t="shared" si="32"/>
        <v>0.30155430173137232</v>
      </c>
    </row>
    <row r="97" spans="1:102" s="46" customFormat="1" ht="13.5">
      <c r="A97" s="8" t="s">
        <v>745</v>
      </c>
      <c r="B97" s="8" t="s">
        <v>746</v>
      </c>
      <c r="C97" s="9" t="s">
        <v>747</v>
      </c>
      <c r="D97" s="9" t="s">
        <v>1061</v>
      </c>
      <c r="E97" s="10" t="s">
        <v>747</v>
      </c>
      <c r="F97" s="11" t="s">
        <v>178</v>
      </c>
      <c r="G97" s="11" t="s">
        <v>259</v>
      </c>
      <c r="H97" s="11" t="s">
        <v>259</v>
      </c>
      <c r="I97" s="11"/>
      <c r="J97" s="11">
        <f>VLOOKUP(B97,[3]额度信息!$B:$T,19,0)</f>
        <v>8.6440000000000001</v>
      </c>
      <c r="K97" s="11" t="s">
        <v>748</v>
      </c>
      <c r="L97" s="27">
        <f>IFERROR(([1]!b_stm07_bs($A97,47,$A$1,1,100000000))/[1]!b_stm07_bs($A97,109,$A$1,1,100000000),"")</f>
        <v>0.10444949221601098</v>
      </c>
      <c r="M97" s="20">
        <v>11.31</v>
      </c>
      <c r="N97" s="18">
        <f>IFERROR(([1]!s_stmnote_bank_26($A97,$A$1,1,100000000)-[1]!s_stmnote_bank_26($A97,$B$1,1,100000000)+M97)/[1]!s_stmnote_bank_1n($A97,$B$1,1,100000000),"")</f>
        <v>2.0607239257047273E-3</v>
      </c>
      <c r="O97" s="27" t="str">
        <f t="shared" si="24"/>
        <v>3 50</v>
      </c>
      <c r="P97" s="21">
        <f t="shared" si="33"/>
        <v>1.2507463357062189E-2</v>
      </c>
      <c r="Q97" s="27" t="str">
        <f t="shared" si="25"/>
        <v>10 169</v>
      </c>
      <c r="R97" s="18">
        <v>3.9074633570621896E-3</v>
      </c>
      <c r="S97" s="22">
        <v>1.5862925502896998E-2</v>
      </c>
      <c r="T97" s="22">
        <v>8.0161960369698401E-3</v>
      </c>
      <c r="U97" s="22">
        <v>1.8194437168865599E-2</v>
      </c>
      <c r="V97" s="22"/>
      <c r="W97" s="22">
        <v>0</v>
      </c>
      <c r="X97" s="22">
        <v>1.1569756418347899E-3</v>
      </c>
      <c r="Y97" s="22">
        <v>0.71229698375870099</v>
      </c>
      <c r="Z97" s="25">
        <f>[1]!b_stm07_bs(A97,74,$A$1,1,100000000)</f>
        <v>13905.6453</v>
      </c>
      <c r="AA97" s="25">
        <f>[1]!b_stm07_bs(A97,109,$A$1,1,100000000)</f>
        <v>8172.3323099999998</v>
      </c>
      <c r="AB97" s="10">
        <f>[1]!s_stmnote_bank_5n(A97,$A$1,1)</f>
        <v>0.86</v>
      </c>
      <c r="AC97" s="25">
        <f>IF([1]!s_stmnote_bank_23n(A97,$A$1,1)=0,"",IFERROR([1]!s_stmnote_bank_23n(A97,$A$1,1),""))</f>
        <v>567.71</v>
      </c>
      <c r="AD97" s="27" t="str">
        <f t="shared" si="26"/>
        <v>153 167</v>
      </c>
      <c r="AE97" s="25">
        <f>[1]!s_stmnote_bank_capadequacyratio(A97,$A$1,1)</f>
        <v>13.62</v>
      </c>
      <c r="AF97" s="25">
        <f>IF([1]!s_stmnote_bank_capadequacyratio_ct1(A97,$A$1,1)=0,"",IFERROR([1]!s_stmnote_bank_capadequacyratio_ct1(A97,$A$1,1),""))</f>
        <v>8.43</v>
      </c>
      <c r="AG97" s="27" t="str">
        <f>RANK(AF97,AF$5:AF$192,0)&amp;" "&amp;COUNTIF(AF$5:AF$192,"&gt;0")</f>
        <v>146 167</v>
      </c>
      <c r="AH97" s="6">
        <f>IF(OR([1]!s_fa_roe(A97,20201231)=0,[1]!s_fa_roe(A97,20211231)="0",[1]!s_fa_roe(A97,20221231)="0"),"",IFERROR(([1]!s_fa_roe(A97,20221231)+[1]!s_fa_roe(A97,20201231)+[1]!s_fa_roe(A97,20211231))/3,""))</f>
        <v>11.056966666666668</v>
      </c>
      <c r="AI97" s="27" t="str">
        <f t="shared" si="27"/>
        <v>138 173</v>
      </c>
      <c r="AJ97" s="28">
        <f>IFERROR(([1]!s_stmnote_bank_65(A97,$A$1,1,2,4,100000000)+[1]!s_stmnote_bank_65(A97,$A$1,1,2,6,100000000))/[1]!s_stmnote_bank_1n(A97,$A$1,1,100000000),"")</f>
        <v>8.7302266747459806E-2</v>
      </c>
      <c r="AK97" s="28">
        <f>IFERROR([1]!s_stmnote_bank_614(A97,$A$1,1,2,100000000)/[1]!s_stmnote_bank_647(A97,$A$1,1,2,100000000),"")</f>
        <v>0.48199855078222198</v>
      </c>
      <c r="AL97" s="28">
        <f>IFERROR(([1]!b_stm07_bs(A97,104,$A$1,1,100000000)+[1]!b_stm07_bs(A97,106,$A$1,1,100000000)+[1]!b_stm07_bs(A97,76,$A$1,1,100000000)+[1]!b_stm07_bs(A97,108,$A$1,1,100000000)+[1]!b_stm07_bs(A97,95,$A$1,1,100000000))/[1]!b_stm07_bs(A97,128,$A$1,1,100000000),"")</f>
        <v>0.31577813483459027</v>
      </c>
      <c r="AM97" s="28">
        <f>IFERROR(([1]!s_stmnote_bank_614(A97,$A$1,1,2,100000000)+[1]!b_stm07_bs(A97,104,$A$1,1,100000000)+[1]!b_stm07_bs(A97,106,$A$1,1,100000000)+[1]!b_stm07_bs(A97,76,$A$1,1,100000000)+[1]!b_stm07_bs(A97,108,$A$1,1,100000000)+[1]!b_stm07_bs(A97,95,$A$1,1,100000000))/[1]!b_stm07_bs(A97,128,$A$1,1,100000000),"")</f>
        <v>0.61623011910003955</v>
      </c>
      <c r="AN97" s="31" t="e">
        <f>IF(Z97&gt;#REF!,#REF!,IF(Z97&gt;#REF!,#REF!,IF(Z97&gt;#REF!,#REF!,IF(Z97&gt;#REF!,#REF!,IF(Z97&gt;#REF!,#REF!,IF(Z97&gt;#REF!,#REF!,IF(Z97&gt;#REF!,#REF!,#REF!)))))))</f>
        <v>#REF!</v>
      </c>
      <c r="AO97" s="31" t="e">
        <f>IF(AA97&gt;#REF!,#REF!,IF(AA97&gt;#REF!,#REF!,IF(AA97&gt;#REF!,#REF!,IF(AA97&gt;#REF!,#REF!,IF(AA97&gt;#REF!,#REF!,IF(AA97&gt;#REF!,#REF!,IF(AA97&gt;#REF!,#REF!,#REF!)))))))</f>
        <v>#REF!</v>
      </c>
      <c r="AP97" s="31" t="e">
        <f>IF(AB97&lt;#REF!,#REF!,IF(AB97&lt;#REF!,#REF!,IF(AB97&lt;#REF!,#REF!,IF(AB97&lt;#REF!,#REF!,IF(AB97&lt;#REF!,#REF!,IF(AB97&lt;#REF!,#REF!,#REF!))))))</f>
        <v>#REF!</v>
      </c>
      <c r="AQ97" s="31" t="e">
        <f>IF(AC97&gt;#REF!,#REF!,IF(AC97&gt;#REF!,#REF!,IF(AC97&gt;#REF!,#REF!,IF(AC97&gt;#REF!,#REF!,#REF!))))</f>
        <v>#REF!</v>
      </c>
      <c r="AR97" s="31" t="e">
        <f>IF(AE97&gt;#REF!,#REF!,IF(AE97&gt;#REF!,#REF!,IF(AE97&gt;#REF!,#REF!,IF(AE97&gt;#REF!,#REF!,#REF!))))</f>
        <v>#REF!</v>
      </c>
      <c r="AS97" s="31" t="e">
        <f>IF(AF97&gt;#REF!,#REF!,IF(AF97&gt;#REF!,#REF!,IF(AF97&gt;#REF!,#REF!,IF(AF97&gt;#REF!,#REF!,#REF!))))</f>
        <v>#REF!</v>
      </c>
      <c r="AT97" s="31" t="e">
        <f>IF(AH97&gt;#REF!,#REF!,IF(AH97&gt;#REF!,#REF!,IF(AH97&gt;#REF!,#REF!,IF(AH97&gt;#REF!,#REF!,IF(AH97&gt;#REF!,#REF!,#REF!)))))</f>
        <v>#REF!</v>
      </c>
      <c r="AU97" s="10" t="e">
        <f t="shared" si="28"/>
        <v>#REF!</v>
      </c>
      <c r="AV97" s="10" t="s">
        <v>60</v>
      </c>
      <c r="AW97" s="10" t="s">
        <v>61</v>
      </c>
      <c r="AX97" s="10" t="s">
        <v>62</v>
      </c>
      <c r="AY97" s="31" t="str">
        <f>IFERROR(VLOOKUP(AV97,#REF!,3,0),"")</f>
        <v/>
      </c>
      <c r="AZ97" s="31" t="str">
        <f>IFERROR(VLOOKUP(AW97,#REF!,3,0),"")</f>
        <v/>
      </c>
      <c r="BA97" s="31" t="str">
        <f>IFERROR(VLOOKUP(AX97,#REF!,3,0),"")</f>
        <v/>
      </c>
      <c r="BB97" s="31" t="str">
        <f>IFERROR(AY97*#REF!+AZ97*#REF!+BA97*#REF!,"")</f>
        <v/>
      </c>
      <c r="BC97" s="32" t="str">
        <f t="shared" si="29"/>
        <v/>
      </c>
      <c r="BD97" s="32" t="str">
        <f>IFERROR(VLOOKUP(BC97*10,#REF!,2,1),"")</f>
        <v/>
      </c>
      <c r="BE97" s="11">
        <v>1</v>
      </c>
      <c r="BF97" s="11">
        <v>0</v>
      </c>
      <c r="BG97" s="10" t="s">
        <v>749</v>
      </c>
      <c r="BH97" s="11" t="s">
        <v>750</v>
      </c>
      <c r="BI97" s="10">
        <v>11.8599996566772</v>
      </c>
      <c r="BJ97" s="33" t="s">
        <v>111</v>
      </c>
      <c r="BK97" s="33" t="s">
        <v>217</v>
      </c>
      <c r="BL97" s="10">
        <f>IF([1]!s_stmnote_bank_17n(A97,$A$1,1)="0","",[1]!s_stmnote_bank_17n(A97,$A$1,1))</f>
        <v>0</v>
      </c>
      <c r="BM97" s="10">
        <f>IF([1]!s_stmnote_bank_18n(A97,$A$1,1)="0","",[1]!s_stmnote_bank_18n(A97,$A$1,1))</f>
        <v>0</v>
      </c>
      <c r="BN97" s="41">
        <v>4.0599999999999996</v>
      </c>
      <c r="BO97" s="68">
        <v>2.3199999999999998</v>
      </c>
      <c r="BP97" s="52">
        <f>[1]!s_stmnote_bank_5444(A97,$A$1,1)</f>
        <v>1.83</v>
      </c>
      <c r="BQ97" s="52">
        <f>[1]!s_stmnote_bank_129n($A97,$A$1,1)</f>
        <v>27.3</v>
      </c>
      <c r="BR97" s="52">
        <f t="shared" si="34"/>
        <v>4.0709118817385539</v>
      </c>
      <c r="BS97" s="52">
        <f>[1]!b_stm07_is(A97,19,$A$1,1,100000000)</f>
        <v>487.24342999999999</v>
      </c>
      <c r="BT97" s="52">
        <f xml:space="preserve"> [1]!s_stm07_bs(A97,"W15273164",$A$1,1,100000000)-[1]!s_stm07_bs(A97,"W17642530",$A$1,1,100000000)-[1]!s_stm07_bs(A97,"W15910877",$A$1,1,100000000)-[1]!s_stm07_bs_39(A97,$A$1,1,100000000)-[1]!s_stm07_bs(A97,"W17700468",$A$1,1,100000000)-[1]!s_stm07_bs(A97,"W16504296",$A$1,1,100000000)-[1]!s_stm07_bs(A97,"W13769069",$A$1,1,100000000)</f>
        <v>13714.92697</v>
      </c>
      <c r="BU97" s="52">
        <f xml:space="preserve"> [1]!s_stm07_bs(A97,"W15273164",$B$1,1,100000000)-[1]!s_stm07_bs(A97,"W17642530",$B$1,1,100000000)-[1]!s_stm07_bs(A97,"W15910877",$B$1,1,100000000)-[1]!s_stm07_bs_39(A97,$B$1,1,100000000)-[1]!s_stm07_bs(A97,"W17700468",$B$1,1,100000000)-[1]!s_stm07_bs(A97,"W16504296",$B$1,1,100000000)-[1]!s_stm07_bs(A97,"W13769069",$B$1,1,100000000)</f>
        <v>11531.820010000001</v>
      </c>
      <c r="BV97" s="52">
        <f xml:space="preserve"> [1]!s_stm07_bs(A97,"W15273164",$E$1,1,100000000)-[1]!s_stm07_bs(A97,"W17642530",$E$1,1,100000000)-[1]!s_stm07_bs(A97,"W15910877",$E$1,1,100000000)-[1]!s_stm07_bs_39(A97,$E$1,1,100000000)-[1]!s_stm07_bs(A97,"W17700468",$E$1,1,100000000)-[1]!s_stm07_bs(A97,"W16504296",$E$1,1,100000000)-[1]!s_stm07_bs(A97,"W13769069",$E$1,1,100000000)</f>
        <v>13103.922839999999</v>
      </c>
      <c r="BW97" s="52">
        <f xml:space="preserve"> [1]!s_stm07_bs(A97,"W15273164",$F$1,1,100000000)-[1]!s_stm07_bs(A97,"W17642530",$F$1,1,100000000)-[1]!s_stm07_bs(A97,"W15910877",$F$1,1,100000000)-[1]!s_stm07_bs_39(A97,$F$1,1,100000000)-[1]!s_stm07_bs(A97,"W17700468",$F$1,1,100000000)-[1]!s_stm07_bs(A97,"W16504296",$F$1,1,100000000)-[1]!s_stm07_bs(A97,"W13769069",$F$1,1,100000000)</f>
        <v>12646.275160000001</v>
      </c>
      <c r="BX97" s="52">
        <f xml:space="preserve"> [1]!s_stm07_bs(A97,"W15273164",$G$1,1,100000000)-[1]!s_stm07_bs(A97,"W17642530",$G$1,1,100000000)-[1]!s_stm07_bs(A97,"W15910877",$G$1,1,100000000)-[1]!s_stm07_bs_39(A97,$G$1,1,100000000)-[1]!s_stm07_bs(A97,"W17700468",$G$1,1,100000000)-[1]!s_stm07_bs(A97,"W16504296",$G$1,1,100000000)-[1]!s_stm07_bs(A97,"W13769069",$G$1,1,100000000)</f>
        <v>12106.221150000001</v>
      </c>
      <c r="BY97" s="52">
        <f>IFERROR([1]!b_stm07_is(A97,20,$A$1,1,100000000)/AVERAGEIF(CA97:CE97,"&gt;0")*100,0)</f>
        <v>2.3557046455352761</v>
      </c>
      <c r="BZ97" s="52">
        <f>[1]!b_stm07_is(A97,20,$A$1,1,100000000)</f>
        <v>276.88839000000002</v>
      </c>
      <c r="CA97" s="52">
        <f>[1]!s_stmnote_bank_38(A97,$A$1,1,100000000)</f>
        <v>12817.93413</v>
      </c>
      <c r="CB97" s="52">
        <f>[1]!s_stmnote_bank_38(A97,$B$1,1,100000000)</f>
        <v>10655.641009999999</v>
      </c>
      <c r="CC97" s="52">
        <f>[1]!s_stmnote_bank_38(A97,$E$1,1,100000000)</f>
        <v>12233.066639999999</v>
      </c>
      <c r="CD97" s="52">
        <f>[1]!s_stmnote_bank_38(A97,$F$1,1,100000000)</f>
        <v>11826.109039999999</v>
      </c>
      <c r="CE97" s="52">
        <f>[1]!s_stmnote_bank_38(A97,$G$1,1,100000000)</f>
        <v>11237.00848</v>
      </c>
      <c r="CF97" s="52">
        <f>IF(BP97&lt;&gt;0,BP97,IFERROR(IF(([1]!b_stm07_is(A97,19,$A$1,1,100000000)-[1]!b_stm07_is(A97,20,$A$1,1,100000000))/AVERAGE([1]!s_stmnote_bank_35(A97,$A$1,1,100000000),[1]!s_stmnote_bank_35(A97,$B$1,1,100000000))*100=0,"",([1]!b_stm07_is(A97,19,$A$1,1,100000000)-[1]!b_stm07_is(A97,20,$A$1,1,100000000))/AVERAGE([1]!s_stmnote_bank_35(A97,$A$1,1,100000000),[1]!s_stmnote_bank_35(A97,$B$1,1,100000000))*100),""))</f>
        <v>1.83</v>
      </c>
      <c r="CG97" s="27" t="str">
        <f t="shared" si="30"/>
        <v>120 171</v>
      </c>
      <c r="CH97" s="80">
        <f t="shared" si="35"/>
        <v>1.4631264132120863</v>
      </c>
      <c r="CI97" s="27" t="str">
        <f t="shared" si="31"/>
        <v>27 169</v>
      </c>
      <c r="CJ97" s="55">
        <f>[1]!s_stmnote_bank_30(A97,$A$1,1)</f>
        <v>28.3553</v>
      </c>
      <c r="CP97" s="69">
        <f>[1]!b_stm07_bs($A97,141,$A$1,1,100000000)</f>
        <v>900.70586000000003</v>
      </c>
      <c r="CQ97" s="69">
        <f>[1]!b_stm07_bs($A97,141,$D$1,1,100000000)</f>
        <v>942.77530999999999</v>
      </c>
      <c r="CR97" s="68">
        <f>IF([1]!s_fa_roic_yearly($A97,$A$1)=0,"",[1]!s_fa_roic_yearly($A97,$A$1))</f>
        <v>10.835800000000001</v>
      </c>
      <c r="CS97" s="27" t="str">
        <f>RANK(CR97,CR$5:CR$192,1)&amp;" "&amp;COUNTIF(CR$5:CR$192,"&gt;0")</f>
        <v>130 169</v>
      </c>
      <c r="CT97" s="68">
        <f>IF([1]!s_fa_roic_yearly($A97,$D$1)=0,"",[1]!s_fa_roic_yearly($A97,$D$1))</f>
        <v>14.305</v>
      </c>
      <c r="CU97" s="27" t="str">
        <f>RANK(CT97,CT$5:CT$192,1)&amp;" "&amp;COUNTIF(CT$5:CT$192,"&gt;0")</f>
        <v>124 142</v>
      </c>
      <c r="CV97" s="78">
        <f>[1]!s_stm07_bs(A97,"W14578191",$A$1,1,100000000)</f>
        <v>5608.9063900000001</v>
      </c>
      <c r="CW97" s="78">
        <f>[1]!s_stmnote_bank_682($A97,$A$1,1,2,100000000)</f>
        <v>2241.4597699999999</v>
      </c>
      <c r="CX97" s="79">
        <f t="shared" si="32"/>
        <v>0.39962509875298524</v>
      </c>
    </row>
    <row r="98" spans="1:102" s="46" customFormat="1" ht="13.5">
      <c r="A98" s="8" t="s">
        <v>496</v>
      </c>
      <c r="B98" s="13" t="s">
        <v>497</v>
      </c>
      <c r="C98" s="15" t="s">
        <v>498</v>
      </c>
      <c r="D98" s="9" t="s">
        <v>1061</v>
      </c>
      <c r="E98" s="10"/>
      <c r="F98" s="11" t="s">
        <v>178</v>
      </c>
      <c r="G98" s="11" t="s">
        <v>67</v>
      </c>
      <c r="H98" s="11" t="s">
        <v>116</v>
      </c>
      <c r="I98" s="11"/>
      <c r="J98" s="11">
        <f>VLOOKUP(B98,[3]额度信息!$B:$T,19,0)</f>
        <v>0</v>
      </c>
      <c r="K98" s="11"/>
      <c r="L98" s="27">
        <f>IFERROR(([1]!b_stm07_bs($A98,47,$A$1,1,100000000))/[1]!b_stm07_bs($A98,109,$A$1,1,100000000),"")</f>
        <v>7.0338167402405949E-2</v>
      </c>
      <c r="M98" s="20"/>
      <c r="N98" s="18"/>
      <c r="O98" s="27" t="e">
        <f t="shared" si="24"/>
        <v>#N/A</v>
      </c>
      <c r="P98" s="21">
        <f t="shared" si="33"/>
        <v>3.744457856173148E-2</v>
      </c>
      <c r="Q98" s="27" t="str">
        <f t="shared" si="25"/>
        <v>103 169</v>
      </c>
      <c r="R98" s="18">
        <f>IFERROR([1]!s_stmnote_bank($A98,"34",$A$1,100000000)/[1]!s_stmnote_bank_1n(A98,$A$1,1,100000000),"")</f>
        <v>2.474457856173148E-2</v>
      </c>
      <c r="S98" s="22"/>
      <c r="T98" s="22"/>
      <c r="U98" s="22"/>
      <c r="V98" s="22"/>
      <c r="W98" s="22"/>
      <c r="X98" s="22"/>
      <c r="Y98" s="22"/>
      <c r="Z98" s="25">
        <f>[1]!b_stm07_bs(A98,74,$A$1,1,100000000)</f>
        <v>3605.3184299999998</v>
      </c>
      <c r="AA98" s="25">
        <f>[1]!b_stm07_bs(A98,109,$A$1,1,100000000)</f>
        <v>2395.8373700000002</v>
      </c>
      <c r="AB98" s="10">
        <f>[1]!s_stmnote_bank_5n(A98,$A$1,1)</f>
        <v>1.27</v>
      </c>
      <c r="AC98" s="25">
        <f>IF([1]!s_stmnote_bank_23n(A98,$A$1,1)=0,"",IFERROR([1]!s_stmnote_bank_23n(A98,$A$1,1),""))</f>
        <v>199.18</v>
      </c>
      <c r="AD98" s="27" t="str">
        <f t="shared" si="26"/>
        <v>65 167</v>
      </c>
      <c r="AE98" s="25">
        <f>[1]!s_stmnote_bank_capadequacyratio(A98,$A$1,1)</f>
        <v>12.11</v>
      </c>
      <c r="AF98" s="25">
        <f>IF([1]!s_stmnote_bank_capadequacyratio_ct1(A98,$A$1,1)=0,"",IFERROR([1]!s_stmnote_bank_capadequacyratio_ct1(A98,$A$1,1),""))</f>
        <v>8.11</v>
      </c>
      <c r="AG98" s="27" t="str">
        <f>RANK(AF98,AF$5:AF$192,1)&amp;" "&amp;COUNTIF(AF$5:AF$192,"&gt;0")</f>
        <v>12 167</v>
      </c>
      <c r="AH98" s="6">
        <f>IF(OR([1]!s_fa_roe(A98,20201231)=0,[1]!s_fa_roe(A98,20211231)="0",[1]!s_fa_roe(A98,20221231)="0"),"",IFERROR(([1]!s_fa_roe(A98,20221231)+[1]!s_fa_roe(A98,20201231)+[1]!s_fa_roe(A98,20211231))/3,""))</f>
        <v>9.0882333333333332</v>
      </c>
      <c r="AI98" s="27" t="str">
        <f t="shared" si="27"/>
        <v>98 173</v>
      </c>
      <c r="AJ98" s="28">
        <f>IFERROR(([1]!s_stmnote_bank_65(A98,$A$1,1,2,4,100000000)+[1]!s_stmnote_bank_65(A98,$A$1,1,2,6,100000000))/[1]!s_stmnote_bank_1n(A98,$A$1,1,100000000),"")</f>
        <v>0.12448373223437631</v>
      </c>
      <c r="AK98" s="28">
        <f>IFERROR([1]!s_stmnote_bank_614(A98,$A$1,1,2,100000000)/[1]!s_stmnote_bank_647(A98,$A$1,1,2,100000000),"")</f>
        <v>0.28557005519953133</v>
      </c>
      <c r="AL98" s="28">
        <f>IFERROR(([1]!b_stm07_bs(A98,104,$A$1,1,100000000)+[1]!b_stm07_bs(A98,106,$A$1,1,100000000)+[1]!b_stm07_bs(A98,76,$A$1,1,100000000)+[1]!b_stm07_bs(A98,108,$A$1,1,100000000)+[1]!b_stm07_bs(A98,95,$A$1,1,100000000))/[1]!b_stm07_bs(A98,128,$A$1,1,100000000),"")</f>
        <v>0.23616013308593511</v>
      </c>
      <c r="AM98" s="28">
        <f>IFERROR(([1]!s_stmnote_bank_614(A98,$A$1,1,2,100000000)+[1]!b_stm07_bs(A98,104,$A$1,1,100000000)+[1]!b_stm07_bs(A98,106,$A$1,1,100000000)+[1]!b_stm07_bs(A98,76,$A$1,1,100000000)+[1]!b_stm07_bs(A98,108,$A$1,1,100000000)+[1]!b_stm07_bs(A98,95,$A$1,1,100000000))/[1]!b_stm07_bs(A98,128,$A$1,1,100000000),"")</f>
        <v>0.43916642691847385</v>
      </c>
      <c r="AN98" s="31" t="e">
        <f>IF(Z98&gt;#REF!,#REF!,IF(Z98&gt;#REF!,#REF!,IF(Z98&gt;#REF!,#REF!,IF(Z98&gt;#REF!,#REF!,IF(Z98&gt;#REF!,#REF!,IF(Z98&gt;#REF!,#REF!,IF(Z98&gt;#REF!,#REF!,#REF!)))))))</f>
        <v>#REF!</v>
      </c>
      <c r="AO98" s="31" t="e">
        <f>IF(AA98&gt;#REF!,#REF!,IF(AA98&gt;#REF!,#REF!,IF(AA98&gt;#REF!,#REF!,IF(AA98&gt;#REF!,#REF!,IF(AA98&gt;#REF!,#REF!,IF(AA98&gt;#REF!,#REF!,IF(AA98&gt;#REF!,#REF!,#REF!)))))))</f>
        <v>#REF!</v>
      </c>
      <c r="AP98" s="31" t="e">
        <f>IF(AB98&lt;#REF!,#REF!,IF(AB98&lt;#REF!,#REF!,IF(AB98&lt;#REF!,#REF!,IF(AB98&lt;#REF!,#REF!,IF(AB98&lt;#REF!,#REF!,IF(AB98&lt;#REF!,#REF!,#REF!))))))</f>
        <v>#REF!</v>
      </c>
      <c r="AQ98" s="31" t="e">
        <f>IF(AC98&gt;#REF!,#REF!,IF(AC98&gt;#REF!,#REF!,IF(AC98&gt;#REF!,#REF!,IF(AC98&gt;#REF!,#REF!,#REF!))))</f>
        <v>#REF!</v>
      </c>
      <c r="AR98" s="31" t="e">
        <f>IF(AE98&gt;#REF!,#REF!,IF(AE98&gt;#REF!,#REF!,IF(AE98&gt;#REF!,#REF!,IF(AE98&gt;#REF!,#REF!,#REF!))))</f>
        <v>#REF!</v>
      </c>
      <c r="AS98" s="31" t="e">
        <f>IF(AF98&gt;#REF!,#REF!,IF(AF98&gt;#REF!,#REF!,IF(AF98&gt;#REF!,#REF!,IF(AF98&gt;#REF!,#REF!,#REF!))))</f>
        <v>#REF!</v>
      </c>
      <c r="AT98" s="31" t="e">
        <f>IF(AH98&gt;#REF!,#REF!,IF(AH98&gt;#REF!,#REF!,IF(AH98&gt;#REF!,#REF!,IF(AH98&gt;#REF!,#REF!,IF(AH98&gt;#REF!,#REF!,#REF!)))))</f>
        <v>#REF!</v>
      </c>
      <c r="AU98" s="10" t="e">
        <f t="shared" si="28"/>
        <v>#REF!</v>
      </c>
      <c r="AV98" s="10" t="s">
        <v>141</v>
      </c>
      <c r="AW98" s="10" t="s">
        <v>61</v>
      </c>
      <c r="AX98" s="10" t="s">
        <v>359</v>
      </c>
      <c r="AY98" s="31" t="str">
        <f>IFERROR(VLOOKUP(AV98,#REF!,3,0),"")</f>
        <v/>
      </c>
      <c r="AZ98" s="31" t="str">
        <f>IFERROR(VLOOKUP(AW98,#REF!,3,0),"")</f>
        <v/>
      </c>
      <c r="BA98" s="31" t="str">
        <f>IFERROR(VLOOKUP(AX98,#REF!,3,0),"")</f>
        <v/>
      </c>
      <c r="BB98" s="31" t="str">
        <f>IFERROR(AY98*#REF!+AZ98*#REF!+BA98*#REF!,"")</f>
        <v/>
      </c>
      <c r="BC98" s="32" t="str">
        <f t="shared" si="29"/>
        <v/>
      </c>
      <c r="BD98" s="32" t="str">
        <f>IFERROR(VLOOKUP(BC98*10,#REF!,2,1),"")</f>
        <v/>
      </c>
      <c r="BE98" s="10"/>
      <c r="BF98" s="10"/>
      <c r="BG98" s="10"/>
      <c r="BH98" s="11" t="s">
        <v>499</v>
      </c>
      <c r="BI98" s="34">
        <v>17.469999313354499</v>
      </c>
      <c r="BJ98" s="11" t="s">
        <v>71</v>
      </c>
      <c r="BK98" s="11" t="s">
        <v>72</v>
      </c>
      <c r="BL98" s="10">
        <f>IF([1]!s_stmnote_bank_17n(A98,$A$1,1)="0","",[1]!s_stmnote_bank_17n(A98,$A$1,1))</f>
        <v>8.1999999999999993</v>
      </c>
      <c r="BM98" s="10">
        <f>IF([1]!s_stmnote_bank_18n(A98,$A$1,1)="0","",[1]!s_stmnote_bank_18n(A98,$A$1,1))</f>
        <v>52.87</v>
      </c>
      <c r="BN98" s="41">
        <v>5.07</v>
      </c>
      <c r="BO98" s="68">
        <v>2.81</v>
      </c>
      <c r="BP98" s="52">
        <f>[1]!s_stmnote_bank_5444(A98,$A$1,1)</f>
        <v>1.99</v>
      </c>
      <c r="BQ98" s="52">
        <f>[1]!s_stmnote_bank_129n($A98,$A$1,1)</f>
        <v>29.69</v>
      </c>
      <c r="BR98" s="52">
        <f t="shared" si="34"/>
        <v>4.9762923364221123</v>
      </c>
      <c r="BS98" s="52">
        <f>[1]!b_stm07_is(A98,19,$A$1,1,100000000)</f>
        <v>155.63461000000001</v>
      </c>
      <c r="BT98" s="52">
        <f xml:space="preserve"> [1]!s_stm07_bs(A98,"W15273164",$A$1,1,100000000)-[1]!s_stm07_bs(A98,"W17642530",$A$1,1,100000000)-[1]!s_stm07_bs(A98,"W15910877",$A$1,1,100000000)-[1]!s_stm07_bs_39(A98,$A$1,1,100000000)-[1]!s_stm07_bs(A98,"W17700468",$A$1,1,100000000)-[1]!s_stm07_bs(A98,"W16504296",$A$1,1,100000000)-[1]!s_stm07_bs(A98,"W13769069",$A$1,1,100000000)</f>
        <v>3563.7191600000001</v>
      </c>
      <c r="BU98" s="52">
        <f xml:space="preserve"> [1]!s_stm07_bs(A98,"W15273164",$B$1,1,100000000)-[1]!s_stm07_bs(A98,"W17642530",$B$1,1,100000000)-[1]!s_stm07_bs(A98,"W15910877",$B$1,1,100000000)-[1]!s_stm07_bs_39(A98,$B$1,1,100000000)-[1]!s_stm07_bs(A98,"W17700468",$B$1,1,100000000)-[1]!s_stm07_bs(A98,"W16504296",$B$1,1,100000000)-[1]!s_stm07_bs(A98,"W13769069",$B$1,1,100000000)</f>
        <v>3015.8527599999998</v>
      </c>
      <c r="BV98" s="52">
        <f xml:space="preserve"> [1]!s_stm07_bs(A98,"W15273164",$E$1,1,100000000)-[1]!s_stm07_bs(A98,"W17642530",$E$1,1,100000000)-[1]!s_stm07_bs(A98,"W15910877",$E$1,1,100000000)-[1]!s_stm07_bs_39(A98,$E$1,1,100000000)-[1]!s_stm07_bs(A98,"W17700468",$E$1,1,100000000)-[1]!s_stm07_bs(A98,"W16504296",$E$1,1,100000000)-[1]!s_stm07_bs(A98,"W13769069",$E$1,1,100000000)</f>
        <v>3413.0461650266002</v>
      </c>
      <c r="BW98" s="52">
        <f xml:space="preserve"> [1]!s_stm07_bs(A98,"W15273164",$F$1,1,100000000)-[1]!s_stm07_bs(A98,"W17642530",$F$1,1,100000000)-[1]!s_stm07_bs(A98,"W15910877",$F$1,1,100000000)-[1]!s_stm07_bs_39(A98,$F$1,1,100000000)-[1]!s_stm07_bs(A98,"W17700468",$F$1,1,100000000)-[1]!s_stm07_bs(A98,"W16504296",$F$1,1,100000000)-[1]!s_stm07_bs(A98,"W13769069",$F$1,1,100000000)</f>
        <v>3279.8028899999999</v>
      </c>
      <c r="BX98" s="52">
        <f xml:space="preserve"> [1]!s_stm07_bs(A98,"W15273164",$G$1,1,100000000)-[1]!s_stm07_bs(A98,"W17642530",$G$1,1,100000000)-[1]!s_stm07_bs(A98,"W15910877",$G$1,1,100000000)-[1]!s_stm07_bs_39(A98,$G$1,1,100000000)-[1]!s_stm07_bs(A98,"W17700468",$G$1,1,100000000)-[1]!s_stm07_bs(A98,"W16504296",$G$1,1,100000000)-[1]!s_stm07_bs(A98,"W13769069",$G$1,1,100000000)</f>
        <v>3228.4</v>
      </c>
      <c r="BY98" s="52">
        <f>IFERROR([1]!b_stm07_is(A98,20,$A$1,1,100000000)/AVERAGEIF(CA98:CE98,"&gt;0")*100,0)</f>
        <v>3.0116488711476941</v>
      </c>
      <c r="BZ98" s="52">
        <f>[1]!b_stm07_is(A98,20,$A$1,1,100000000)</f>
        <v>93.459230000000005</v>
      </c>
      <c r="CA98" s="52">
        <f>[1]!s_stmnote_bank_38(A98,$A$1,1,100000000)</f>
        <v>3336.9428499999999</v>
      </c>
      <c r="CB98" s="52">
        <f>[1]!s_stmnote_bank_38(A98,$B$1,1,100000000)</f>
        <v>2800.7988500000001</v>
      </c>
      <c r="CC98" s="52">
        <f>[1]!s_stmnote_bank_38(A98,$E$1,1,100000000)</f>
        <v>3193.7740688940003</v>
      </c>
      <c r="CD98" s="52">
        <f>[1]!s_stmnote_bank_38(A98,$F$1,1,100000000)</f>
        <v>3081.5156299999999</v>
      </c>
      <c r="CE98" s="52">
        <f>[1]!s_stmnote_bank_38(A98,$G$1,1,100000000)</f>
        <v>0</v>
      </c>
      <c r="CF98" s="52">
        <f>IF(BP98&lt;&gt;0,BP98,IFERROR(IF(([1]!b_stm07_is(A98,19,$A$1,1,100000000)-[1]!b_stm07_is(A98,20,$A$1,1,100000000))/AVERAGE([1]!s_stmnote_bank_35(A98,$A$1,1,100000000),[1]!s_stmnote_bank_35(A98,$B$1,1,100000000))*100=0,"",([1]!b_stm07_is(A98,19,$A$1,1,100000000)-[1]!b_stm07_is(A98,20,$A$1,1,100000000))/AVERAGE([1]!s_stmnote_bank_35(A98,$A$1,1,100000000),[1]!s_stmnote_bank_35(A98,$B$1,1,100000000))*100),""))</f>
        <v>1.99</v>
      </c>
      <c r="CG98" s="27" t="str">
        <f t="shared" si="30"/>
        <v>94 171</v>
      </c>
      <c r="CH98" s="80">
        <f t="shared" si="35"/>
        <v>0.53145210239695118</v>
      </c>
      <c r="CI98" s="27" t="str">
        <f t="shared" si="31"/>
        <v>112 169</v>
      </c>
      <c r="CJ98" s="55">
        <f>[1]!s_stmnote_bank_30(A98,$A$1,1)</f>
        <v>20.522200000000002</v>
      </c>
      <c r="CP98" s="69">
        <f>[1]!b_stm07_bs($A98,141,$A$1,1,100000000)</f>
        <v>235.08099999999999</v>
      </c>
      <c r="CQ98" s="69">
        <f>[1]!b_stm07_bs($A98,141,$D$1,1,100000000)</f>
        <v>248.51456999999999</v>
      </c>
      <c r="CR98" s="68">
        <f>IF([1]!s_fa_roic_yearly($A98,$A$1)=0,"",[1]!s_fa_roic_yearly($A98,$A$1))</f>
        <v>9.1061999999999994</v>
      </c>
      <c r="CS98" s="27">
        <f>RANK(CR98,CR$5:CR$192,0)/COUNTIF(CR$5:CR$192,"&gt;0")</f>
        <v>0.46153846153846156</v>
      </c>
      <c r="CT98" s="68">
        <f>IF([1]!s_fa_roic_yearly($A98,$D$1)=0,"",[1]!s_fa_roic_yearly($A98,$D$1))</f>
        <v>10.4754</v>
      </c>
      <c r="CU98" s="27">
        <f>RANK(CT98,CT$5:CT$192,0)/COUNTIF(CT$5:CT$192,"&gt;0")</f>
        <v>0.44366197183098594</v>
      </c>
      <c r="CV98" s="78">
        <f>[1]!s_stm07_bs(A98,"W14578191",$A$1,1,100000000)</f>
        <v>1926.3141700000001</v>
      </c>
      <c r="CW98" s="78">
        <f>[1]!s_stmnote_bank_682($A98,$A$1,1,2,100000000)</f>
        <v>746.53175999999996</v>
      </c>
      <c r="CX98" s="79">
        <f t="shared" si="32"/>
        <v>0.38754413564844403</v>
      </c>
    </row>
    <row r="99" spans="1:102" s="46" customFormat="1" ht="13.5">
      <c r="A99" s="8" t="s">
        <v>500</v>
      </c>
      <c r="B99" s="8" t="s">
        <v>497</v>
      </c>
      <c r="C99" s="9" t="s">
        <v>498</v>
      </c>
      <c r="D99" s="9" t="s">
        <v>1061</v>
      </c>
      <c r="E99" s="10" t="s">
        <v>138</v>
      </c>
      <c r="F99" s="11" t="s">
        <v>178</v>
      </c>
      <c r="G99" s="11" t="s">
        <v>67</v>
      </c>
      <c r="H99" s="11" t="s">
        <v>116</v>
      </c>
      <c r="I99" s="11"/>
      <c r="J99" s="11">
        <f>VLOOKUP(B99,[3]额度信息!$B:$T,19,0)</f>
        <v>0</v>
      </c>
      <c r="K99" s="11" t="s">
        <v>501</v>
      </c>
      <c r="L99" s="27">
        <f>IFERROR(([1]!b_stm07_bs($A99,47,$A$1,1,100000000))/[1]!b_stm07_bs($A99,109,$A$1,1,100000000),"")</f>
        <v>7.0338167402405949E-2</v>
      </c>
      <c r="M99" s="20"/>
      <c r="N99" s="18"/>
      <c r="O99" s="27" t="e">
        <f t="shared" si="24"/>
        <v>#N/A</v>
      </c>
      <c r="P99" s="21">
        <f t="shared" si="33"/>
        <v>3.744457856173148E-2</v>
      </c>
      <c r="Q99" s="27" t="str">
        <f t="shared" si="25"/>
        <v>103 169</v>
      </c>
      <c r="R99" s="18">
        <f>IFERROR([1]!s_stmnote_bank($A99,"34",$A$1,100000000)/[1]!s_stmnote_bank_1n(A99,$A$1,1,100000000),"")</f>
        <v>2.474457856173148E-2</v>
      </c>
      <c r="S99" s="22"/>
      <c r="T99" s="22"/>
      <c r="U99" s="22"/>
      <c r="V99" s="22"/>
      <c r="W99" s="22"/>
      <c r="X99" s="22"/>
      <c r="Y99" s="22"/>
      <c r="Z99" s="25">
        <f>[1]!b_stm07_bs(A99,74,$A$1,1,100000000)</f>
        <v>3605.3184299999998</v>
      </c>
      <c r="AA99" s="25">
        <f>[1]!b_stm07_bs(A99,109,$A$1,1,100000000)</f>
        <v>2395.8373700000002</v>
      </c>
      <c r="AB99" s="10">
        <f>[1]!s_stmnote_bank_5n(A99,$A$1,1)</f>
        <v>1.27</v>
      </c>
      <c r="AC99" s="25">
        <f>IF([1]!s_stmnote_bank_23n(A99,$A$1,1)=0,"",IFERROR([1]!s_stmnote_bank_23n(A99,$A$1,1),""))</f>
        <v>199.18</v>
      </c>
      <c r="AD99" s="27" t="str">
        <f t="shared" si="26"/>
        <v>65 167</v>
      </c>
      <c r="AE99" s="25">
        <f>[1]!s_stmnote_bank_capadequacyratio(A99,$A$1,1)</f>
        <v>12.11</v>
      </c>
      <c r="AF99" s="25">
        <f>IF([1]!s_stmnote_bank_capadequacyratio_ct1(A99,$A$1,1)=0,"",IFERROR([1]!s_stmnote_bank_capadequacyratio_ct1(A99,$A$1,1),""))</f>
        <v>8.11</v>
      </c>
      <c r="AG99" s="27" t="str">
        <f>RANK(AF99,AF$5:AF$192,1)&amp;" "&amp;COUNTIF(AF$5:AF$192,"&gt;0")</f>
        <v>12 167</v>
      </c>
      <c r="AH99" s="6">
        <f>IF(OR([1]!s_fa_roe(A99,20201231)=0,[1]!s_fa_roe(A99,20211231)="0",[1]!s_fa_roe(A99,20221231)="0"),"",IFERROR(([1]!s_fa_roe(A99,20221231)+[1]!s_fa_roe(A99,20201231)+[1]!s_fa_roe(A99,20211231))/3,""))</f>
        <v>9.0882333333333332</v>
      </c>
      <c r="AI99" s="27" t="str">
        <f t="shared" si="27"/>
        <v>98 173</v>
      </c>
      <c r="AJ99" s="28">
        <f>IFERROR(([1]!s_stmnote_bank_65(A99,$A$1,1,2,4,100000000)+[1]!s_stmnote_bank_65(A99,$A$1,1,2,6,100000000))/[1]!s_stmnote_bank_1n(A99,$A$1,1,100000000),"")</f>
        <v>0.12448373223437631</v>
      </c>
      <c r="AK99" s="28">
        <f>IFERROR([1]!s_stmnote_bank_614(A99,$A$1,1,2,100000000)/[1]!s_stmnote_bank_647(A99,$A$1,1,2,100000000),"")</f>
        <v>0.28557005519953133</v>
      </c>
      <c r="AL99" s="28">
        <f>IFERROR(([1]!b_stm07_bs(A99,104,$A$1,1,100000000)+[1]!b_stm07_bs(A99,106,$A$1,1,100000000)+[1]!b_stm07_bs(A99,76,$A$1,1,100000000)+[1]!b_stm07_bs(A99,108,$A$1,1,100000000)+[1]!b_stm07_bs(A99,95,$A$1,1,100000000))/[1]!b_stm07_bs(A99,128,$A$1,1,100000000),"")</f>
        <v>0.23616013308593511</v>
      </c>
      <c r="AM99" s="28">
        <f>IFERROR(([1]!s_stmnote_bank_614(A99,$A$1,1,2,100000000)+[1]!b_stm07_bs(A99,104,$A$1,1,100000000)+[1]!b_stm07_bs(A99,106,$A$1,1,100000000)+[1]!b_stm07_bs(A99,76,$A$1,1,100000000)+[1]!b_stm07_bs(A99,108,$A$1,1,100000000)+[1]!b_stm07_bs(A99,95,$A$1,1,100000000))/[1]!b_stm07_bs(A99,128,$A$1,1,100000000),"")</f>
        <v>0.43916642691847385</v>
      </c>
      <c r="AN99" s="31" t="e">
        <f>IF(Z99&gt;#REF!,#REF!,IF(Z99&gt;#REF!,#REF!,IF(Z99&gt;#REF!,#REF!,IF(Z99&gt;#REF!,#REF!,IF(Z99&gt;#REF!,#REF!,IF(Z99&gt;#REF!,#REF!,IF(Z99&gt;#REF!,#REF!,#REF!)))))))</f>
        <v>#REF!</v>
      </c>
      <c r="AO99" s="31" t="e">
        <f>IF(AA99&gt;#REF!,#REF!,IF(AA99&gt;#REF!,#REF!,IF(AA99&gt;#REF!,#REF!,IF(AA99&gt;#REF!,#REF!,IF(AA99&gt;#REF!,#REF!,IF(AA99&gt;#REF!,#REF!,IF(AA99&gt;#REF!,#REF!,#REF!)))))))</f>
        <v>#REF!</v>
      </c>
      <c r="AP99" s="31" t="e">
        <f>IF(AB99&lt;#REF!,#REF!,IF(AB99&lt;#REF!,#REF!,IF(AB99&lt;#REF!,#REF!,IF(AB99&lt;#REF!,#REF!,IF(AB99&lt;#REF!,#REF!,IF(AB99&lt;#REF!,#REF!,#REF!))))))</f>
        <v>#REF!</v>
      </c>
      <c r="AQ99" s="31" t="e">
        <f>IF(AC99&gt;#REF!,#REF!,IF(AC99&gt;#REF!,#REF!,IF(AC99&gt;#REF!,#REF!,IF(AC99&gt;#REF!,#REF!,#REF!))))</f>
        <v>#REF!</v>
      </c>
      <c r="AR99" s="31" t="e">
        <f>IF(AE99&gt;#REF!,#REF!,IF(AE99&gt;#REF!,#REF!,IF(AE99&gt;#REF!,#REF!,IF(AE99&gt;#REF!,#REF!,#REF!))))</f>
        <v>#REF!</v>
      </c>
      <c r="AS99" s="31" t="e">
        <f>IF(AF99&gt;#REF!,#REF!,IF(AF99&gt;#REF!,#REF!,IF(AF99&gt;#REF!,#REF!,IF(AF99&gt;#REF!,#REF!,#REF!))))</f>
        <v>#REF!</v>
      </c>
      <c r="AT99" s="31" t="e">
        <f>IF(AH99&gt;#REF!,#REF!,IF(AH99&gt;#REF!,#REF!,IF(AH99&gt;#REF!,#REF!,IF(AH99&gt;#REF!,#REF!,IF(AH99&gt;#REF!,#REF!,#REF!)))))</f>
        <v>#REF!</v>
      </c>
      <c r="AU99" s="10" t="e">
        <f t="shared" si="28"/>
        <v>#REF!</v>
      </c>
      <c r="AV99" s="10" t="s">
        <v>502</v>
      </c>
      <c r="AW99" s="10" t="s">
        <v>141</v>
      </c>
      <c r="AX99" s="10" t="s">
        <v>359</v>
      </c>
      <c r="AY99" s="31" t="str">
        <f>IFERROR(VLOOKUP(AV99,#REF!,3,0),"")</f>
        <v/>
      </c>
      <c r="AZ99" s="31" t="str">
        <f>IFERROR(VLOOKUP(AW99,#REF!,3,0),"")</f>
        <v/>
      </c>
      <c r="BA99" s="31" t="str">
        <f>IFERROR(VLOOKUP(AX99,#REF!,3,0),"")</f>
        <v/>
      </c>
      <c r="BB99" s="31" t="str">
        <f>IFERROR(AY99*#REF!+AZ99*#REF!+BA99*#REF!,"")</f>
        <v/>
      </c>
      <c r="BC99" s="32" t="str">
        <f t="shared" si="29"/>
        <v/>
      </c>
      <c r="BD99" s="32" t="str">
        <f>IFERROR(VLOOKUP(BC99*10,#REF!,2,1),"")</f>
        <v/>
      </c>
      <c r="BE99" s="11">
        <v>1</v>
      </c>
      <c r="BF99" s="11">
        <v>0</v>
      </c>
      <c r="BG99" s="10" t="s">
        <v>503</v>
      </c>
      <c r="BH99" s="11" t="s">
        <v>499</v>
      </c>
      <c r="BI99" s="10">
        <v>17.469999313354499</v>
      </c>
      <c r="BJ99" s="33" t="s">
        <v>420</v>
      </c>
      <c r="BK99" s="33" t="s">
        <v>504</v>
      </c>
      <c r="BL99" s="10">
        <f>IF([1]!s_stmnote_bank_17n(A99,$A$1,1)="0","",[1]!s_stmnote_bank_17n(A99,$A$1,1))</f>
        <v>8.1999999999999993</v>
      </c>
      <c r="BM99" s="10">
        <f>IF([1]!s_stmnote_bank_18n(A99,$A$1,1)="0","",[1]!s_stmnote_bank_18n(A99,$A$1,1))</f>
        <v>52.87</v>
      </c>
      <c r="BN99" s="41">
        <v>5.07</v>
      </c>
      <c r="BO99" s="68">
        <v>2.81</v>
      </c>
      <c r="BP99" s="52">
        <f>[1]!s_stmnote_bank_5444(A99,$A$1,1)</f>
        <v>1.99</v>
      </c>
      <c r="BQ99" s="52">
        <f>[1]!s_stmnote_bank_129n($A99,$A$1,1)</f>
        <v>29.69</v>
      </c>
      <c r="BR99" s="52">
        <f t="shared" si="34"/>
        <v>4.9762923364221123</v>
      </c>
      <c r="BS99" s="52">
        <f>[1]!b_stm07_is(A99,19,$A$1,1,100000000)</f>
        <v>155.63461000000001</v>
      </c>
      <c r="BT99" s="52">
        <f xml:space="preserve"> [1]!s_stm07_bs(A99,"W15273164",$A$1,1,100000000)-[1]!s_stm07_bs(A99,"W17642530",$A$1,1,100000000)-[1]!s_stm07_bs(A99,"W15910877",$A$1,1,100000000)-[1]!s_stm07_bs_39(A99,$A$1,1,100000000)-[1]!s_stm07_bs(A99,"W17700468",$A$1,1,100000000)-[1]!s_stm07_bs(A99,"W16504296",$A$1,1,100000000)-[1]!s_stm07_bs(A99,"W13769069",$A$1,1,100000000)</f>
        <v>3563.7191600000001</v>
      </c>
      <c r="BU99" s="52">
        <f xml:space="preserve"> [1]!s_stm07_bs(A99,"W15273164",$B$1,1,100000000)-[1]!s_stm07_bs(A99,"W17642530",$B$1,1,100000000)-[1]!s_stm07_bs(A99,"W15910877",$B$1,1,100000000)-[1]!s_stm07_bs_39(A99,$B$1,1,100000000)-[1]!s_stm07_bs(A99,"W17700468",$B$1,1,100000000)-[1]!s_stm07_bs(A99,"W16504296",$B$1,1,100000000)-[1]!s_stm07_bs(A99,"W13769069",$B$1,1,100000000)</f>
        <v>3015.8527599999998</v>
      </c>
      <c r="BV99" s="52">
        <f xml:space="preserve"> [1]!s_stm07_bs(A99,"W15273164",$E$1,1,100000000)-[1]!s_stm07_bs(A99,"W17642530",$E$1,1,100000000)-[1]!s_stm07_bs(A99,"W15910877",$E$1,1,100000000)-[1]!s_stm07_bs_39(A99,$E$1,1,100000000)-[1]!s_stm07_bs(A99,"W17700468",$E$1,1,100000000)-[1]!s_stm07_bs(A99,"W16504296",$E$1,1,100000000)-[1]!s_stm07_bs(A99,"W13769069",$E$1,1,100000000)</f>
        <v>3413.0461650266002</v>
      </c>
      <c r="BW99" s="52">
        <f xml:space="preserve"> [1]!s_stm07_bs(A99,"W15273164",$F$1,1,100000000)-[1]!s_stm07_bs(A99,"W17642530",$F$1,1,100000000)-[1]!s_stm07_bs(A99,"W15910877",$F$1,1,100000000)-[1]!s_stm07_bs_39(A99,$F$1,1,100000000)-[1]!s_stm07_bs(A99,"W17700468",$F$1,1,100000000)-[1]!s_stm07_bs(A99,"W16504296",$F$1,1,100000000)-[1]!s_stm07_bs(A99,"W13769069",$F$1,1,100000000)</f>
        <v>3279.8028899999999</v>
      </c>
      <c r="BX99" s="52">
        <f xml:space="preserve"> [1]!s_stm07_bs(A99,"W15273164",$G$1,1,100000000)-[1]!s_stm07_bs(A99,"W17642530",$G$1,1,100000000)-[1]!s_stm07_bs(A99,"W15910877",$G$1,1,100000000)-[1]!s_stm07_bs_39(A99,$G$1,1,100000000)-[1]!s_stm07_bs(A99,"W17700468",$G$1,1,100000000)-[1]!s_stm07_bs(A99,"W16504296",$G$1,1,100000000)-[1]!s_stm07_bs(A99,"W13769069",$G$1,1,100000000)</f>
        <v>3228.4</v>
      </c>
      <c r="BY99" s="52">
        <f>IFERROR([1]!b_stm07_is(A99,20,$A$1,1,100000000)/AVERAGEIF(CA99:CE99,"&gt;0")*100,0)</f>
        <v>3.0116488711476941</v>
      </c>
      <c r="BZ99" s="52">
        <f>[1]!b_stm07_is(A99,20,$A$1,1,100000000)</f>
        <v>93.459230000000005</v>
      </c>
      <c r="CA99" s="52">
        <f>[1]!s_stmnote_bank_38(A99,$A$1,1,100000000)</f>
        <v>3336.9428499999999</v>
      </c>
      <c r="CB99" s="52">
        <f>[1]!s_stmnote_bank_38(A99,$B$1,1,100000000)</f>
        <v>2800.7988500000001</v>
      </c>
      <c r="CC99" s="52">
        <f>[1]!s_stmnote_bank_38(A99,$E$1,1,100000000)</f>
        <v>3193.7740688940003</v>
      </c>
      <c r="CD99" s="52">
        <f>[1]!s_stmnote_bank_38(A99,$F$1,1,100000000)</f>
        <v>3081.5156299999999</v>
      </c>
      <c r="CE99" s="52">
        <f>[1]!s_stmnote_bank_38(A99,$G$1,1,100000000)</f>
        <v>0</v>
      </c>
      <c r="CF99" s="52">
        <f>IF(BP99&lt;&gt;0,BP99,IFERROR(IF(([1]!b_stm07_is(A99,19,$A$1,1,100000000)-[1]!b_stm07_is(A99,20,$A$1,1,100000000))/AVERAGE([1]!s_stmnote_bank_35(A99,$A$1,1,100000000),[1]!s_stmnote_bank_35(A99,$B$1,1,100000000))*100=0,"",([1]!b_stm07_is(A99,19,$A$1,1,100000000)-[1]!b_stm07_is(A99,20,$A$1,1,100000000))/AVERAGE([1]!s_stmnote_bank_35(A99,$A$1,1,100000000),[1]!s_stmnote_bank_35(A99,$B$1,1,100000000))*100),""))</f>
        <v>1.99</v>
      </c>
      <c r="CG99" s="27" t="str">
        <f t="shared" si="30"/>
        <v>94 171</v>
      </c>
      <c r="CH99" s="80">
        <f t="shared" si="35"/>
        <v>0.53145210239695118</v>
      </c>
      <c r="CI99" s="27" t="str">
        <f t="shared" si="31"/>
        <v>112 169</v>
      </c>
      <c r="CJ99" s="55">
        <f>[1]!s_stmnote_bank_30(A99,$A$1,1)</f>
        <v>20.522200000000002</v>
      </c>
      <c r="CP99" s="69">
        <f>[1]!b_stm07_bs($A99,141,$A$1,1,100000000)</f>
        <v>235.08099999999999</v>
      </c>
      <c r="CQ99" s="69">
        <f>[1]!b_stm07_bs($A99,141,$D$1,1,100000000)</f>
        <v>248.51456999999999</v>
      </c>
      <c r="CR99" s="68">
        <f>IF([1]!s_fa_roic_yearly($A99,$A$1)=0,"",[1]!s_fa_roic_yearly($A99,$A$1))</f>
        <v>9.1061999999999994</v>
      </c>
      <c r="CS99" s="27">
        <f>RANK(CR99,CR$5:CR$192,0)/COUNTIF(CR$5:CR$192,"&gt;0")</f>
        <v>0.46153846153846156</v>
      </c>
      <c r="CT99" s="68">
        <f>IF([1]!s_fa_roic_yearly($A99,$D$1)=0,"",[1]!s_fa_roic_yearly($A99,$D$1))</f>
        <v>10.4754</v>
      </c>
      <c r="CU99" s="27">
        <f>RANK(CT99,CT$5:CT$192,0)/COUNTIF(CT$5:CT$192,"&gt;0")</f>
        <v>0.44366197183098594</v>
      </c>
      <c r="CV99" s="78">
        <f>[1]!s_stm07_bs(A99,"W14578191",$A$1,1,100000000)</f>
        <v>1926.3141700000001</v>
      </c>
      <c r="CW99" s="78">
        <f>[1]!s_stmnote_bank_682($A99,$A$1,1,2,100000000)</f>
        <v>746.53175999999996</v>
      </c>
      <c r="CX99" s="79">
        <f t="shared" si="32"/>
        <v>0.38754413564844403</v>
      </c>
    </row>
    <row r="100" spans="1:102" s="46" customFormat="1" ht="13.5">
      <c r="A100" s="8" t="s">
        <v>963</v>
      </c>
      <c r="B100" s="8" t="s">
        <v>964</v>
      </c>
      <c r="C100" s="9" t="s">
        <v>965</v>
      </c>
      <c r="D100" s="9" t="s">
        <v>1061</v>
      </c>
      <c r="E100" s="10"/>
      <c r="F100" s="11" t="s">
        <v>178</v>
      </c>
      <c r="G100" s="11" t="s">
        <v>67</v>
      </c>
      <c r="H100" s="11" t="s">
        <v>245</v>
      </c>
      <c r="I100" s="11"/>
      <c r="J100" s="11" t="e">
        <f>VLOOKUP(B100,[3]额度信息!$B:$T,19,0)</f>
        <v>#N/A</v>
      </c>
      <c r="K100" s="11"/>
      <c r="L100" s="27">
        <f>IFERROR(([1]!b_stm07_bs($A100,47,$A$1,1,100000000))/[1]!b_stm07_bs($A100,109,$A$1,1,100000000),"")</f>
        <v>0.10376271563342046</v>
      </c>
      <c r="M100" s="20">
        <v>36.19</v>
      </c>
      <c r="N100" s="18">
        <f>IFERROR(([1]!s_stmnote_bank_26($A100,$A$1,1,100000000)-[1]!s_stmnote_bank_26($A100,$B$1,1,100000000)+M100)/[1]!s_stmnote_bank_1n($A100,$B$1,1,100000000),"")</f>
        <v>6.8434856145717371E-3</v>
      </c>
      <c r="O100" s="27" t="str">
        <f t="shared" si="24"/>
        <v>20 50</v>
      </c>
      <c r="P100" s="21">
        <f t="shared" si="33"/>
        <v>3.1377129494530399E-2</v>
      </c>
      <c r="Q100" s="27" t="str">
        <f t="shared" si="25"/>
        <v>93 169</v>
      </c>
      <c r="R100" s="18">
        <v>1.35771294945304E-2</v>
      </c>
      <c r="S100" s="22">
        <v>1.9638652612376399E-2</v>
      </c>
      <c r="T100" s="22">
        <v>1.48644058846907E-2</v>
      </c>
      <c r="U100" s="22">
        <v>0.15659879231457899</v>
      </c>
      <c r="V100" s="22"/>
      <c r="W100" s="22">
        <v>5.0145993339403803E-3</v>
      </c>
      <c r="X100" s="22">
        <v>9.2999688286281006E-3</v>
      </c>
      <c r="Y100" s="22">
        <v>0.98211942257217799</v>
      </c>
      <c r="Z100" s="25">
        <f>[1]!b_stm07_bs(A100,74,$A$1,1,100000000)</f>
        <v>13836.61831</v>
      </c>
      <c r="AA100" s="25">
        <f>[1]!b_stm07_bs(A100,109,$A$1,1,100000000)</f>
        <v>7838.1339099999996</v>
      </c>
      <c r="AB100" s="10">
        <f>[1]!s_stmnote_bank_5n(A100,$A$1,1)</f>
        <v>1.78</v>
      </c>
      <c r="AC100" s="25">
        <f>IF([1]!s_stmnote_bank_23n(A100,$A$1,1)=0,"",IFERROR([1]!s_stmnote_bank_23n(A100,$A$1,1),""))</f>
        <v>239.74</v>
      </c>
      <c r="AD100" s="27" t="str">
        <f t="shared" si="26"/>
        <v>88 167</v>
      </c>
      <c r="AE100" s="25">
        <f>[1]!s_stmnote_bank_capadequacyratio(A100,$A$1,1)</f>
        <v>12.23</v>
      </c>
      <c r="AF100" s="25">
        <f>IF([1]!s_stmnote_bank_capadequacyratio_ct1(A100,$A$1,1)=0,"",IFERROR([1]!s_stmnote_bank_capadequacyratio_ct1(A100,$A$1,1),""))</f>
        <v>8.4499999999999993</v>
      </c>
      <c r="AG100" s="27" t="str">
        <f>RANK(AF100,AF$5:AF$192,1)&amp;" "&amp;COUNTIF(AF$5:AF$192,"&gt;0")</f>
        <v>23 167</v>
      </c>
      <c r="AH100" s="6">
        <f>IF(OR([1]!s_fa_roe(A100,20201231)=0,[1]!s_fa_roe(A100,20211231)="0",[1]!s_fa_roe(A100,20221231)="0"),"",IFERROR(([1]!s_fa_roe(A100,20221231)+[1]!s_fa_roe(A100,20201231)+[1]!s_fa_roe(A100,20211231))/3,""))</f>
        <v>10.878466666666666</v>
      </c>
      <c r="AI100" s="27" t="str">
        <f t="shared" si="27"/>
        <v>135 173</v>
      </c>
      <c r="AJ100" s="28">
        <f>IFERROR(([1]!s_stmnote_bank_65(A100,$A$1,1,2,4,100000000)+[1]!s_stmnote_bank_65(A100,$A$1,1,2,6,100000000))/[1]!s_stmnote_bank_1n(A100,$A$1,1,100000000),"")</f>
        <v>9.0024171087249139E-2</v>
      </c>
      <c r="AK100" s="28">
        <f>IFERROR([1]!s_stmnote_bank_614(A100,$A$1,1,2,100000000)/[1]!s_stmnote_bank_647(A100,$A$1,1,2,100000000),"")</f>
        <v>0.33318009490348199</v>
      </c>
      <c r="AL100" s="28">
        <f>IFERROR(([1]!b_stm07_bs(A100,104,$A$1,1,100000000)+[1]!b_stm07_bs(A100,106,$A$1,1,100000000)+[1]!b_stm07_bs(A100,76,$A$1,1,100000000)+[1]!b_stm07_bs(A100,108,$A$1,1,100000000)+[1]!b_stm07_bs(A100,95,$A$1,1,100000000))/[1]!b_stm07_bs(A100,128,$A$1,1,100000000),"")</f>
        <v>0.31568431388914758</v>
      </c>
      <c r="AM100" s="28">
        <f>IFERROR(([1]!s_stmnote_bank_614(A100,$A$1,1,2,100000000)+[1]!b_stm07_bs(A100,104,$A$1,1,100000000)+[1]!b_stm07_bs(A100,106,$A$1,1,100000000)+[1]!b_stm07_bs(A100,76,$A$1,1,100000000)+[1]!b_stm07_bs(A100,108,$A$1,1,100000000)+[1]!b_stm07_bs(A100,95,$A$1,1,100000000))/[1]!b_stm07_bs(A100,128,$A$1,1,100000000),"")</f>
        <v>0.52096812804956116</v>
      </c>
      <c r="AN100" s="31" t="e">
        <f>IF(Z100&gt;#REF!,#REF!,IF(Z100&gt;#REF!,#REF!,IF(Z100&gt;#REF!,#REF!,IF(Z100&gt;#REF!,#REF!,IF(Z100&gt;#REF!,#REF!,IF(Z100&gt;#REF!,#REF!,IF(Z100&gt;#REF!,#REF!,#REF!)))))))</f>
        <v>#REF!</v>
      </c>
      <c r="AO100" s="31" t="e">
        <f>IF(AA100&gt;#REF!,#REF!,IF(AA100&gt;#REF!,#REF!,IF(AA100&gt;#REF!,#REF!,IF(AA100&gt;#REF!,#REF!,IF(AA100&gt;#REF!,#REF!,IF(AA100&gt;#REF!,#REF!,IF(AA100&gt;#REF!,#REF!,#REF!)))))))</f>
        <v>#REF!</v>
      </c>
      <c r="AP100" s="31" t="e">
        <f>IF(AB100&lt;#REF!,#REF!,IF(AB100&lt;#REF!,#REF!,IF(AB100&lt;#REF!,#REF!,IF(AB100&lt;#REF!,#REF!,IF(AB100&lt;#REF!,#REF!,IF(AB100&lt;#REF!,#REF!,#REF!))))))</f>
        <v>#REF!</v>
      </c>
      <c r="AQ100" s="31" t="e">
        <f>IF(AC100&gt;#REF!,#REF!,IF(AC100&gt;#REF!,#REF!,IF(AC100&gt;#REF!,#REF!,IF(AC100&gt;#REF!,#REF!,#REF!))))</f>
        <v>#REF!</v>
      </c>
      <c r="AR100" s="31" t="e">
        <f>IF(AE100&gt;#REF!,#REF!,IF(AE100&gt;#REF!,#REF!,IF(AE100&gt;#REF!,#REF!,IF(AE100&gt;#REF!,#REF!,#REF!))))</f>
        <v>#REF!</v>
      </c>
      <c r="AS100" s="31" t="e">
        <f>IF(AF100&gt;#REF!,#REF!,IF(AF100&gt;#REF!,#REF!,IF(AF100&gt;#REF!,#REF!,IF(AF100&gt;#REF!,#REF!,#REF!))))</f>
        <v>#REF!</v>
      </c>
      <c r="AT100" s="31" t="e">
        <f>IF(AH100&gt;#REF!,#REF!,IF(AH100&gt;#REF!,#REF!,IF(AH100&gt;#REF!,#REF!,IF(AH100&gt;#REF!,#REF!,IF(AH100&gt;#REF!,#REF!,#REF!)))))</f>
        <v>#REF!</v>
      </c>
      <c r="AU100" s="10" t="e">
        <f t="shared" si="28"/>
        <v>#REF!</v>
      </c>
      <c r="AV100" s="10" t="s">
        <v>60</v>
      </c>
      <c r="AW100" s="10" t="s">
        <v>141</v>
      </c>
      <c r="AX100" s="10" t="s">
        <v>68</v>
      </c>
      <c r="AY100" s="31" t="str">
        <f>IFERROR(VLOOKUP(AV100,#REF!,3,0),"")</f>
        <v/>
      </c>
      <c r="AZ100" s="31" t="str">
        <f>IFERROR(VLOOKUP(AW100,#REF!,3,0),"")</f>
        <v/>
      </c>
      <c r="BA100" s="31" t="str">
        <f>IFERROR(VLOOKUP(AX100,#REF!,3,0),"")</f>
        <v/>
      </c>
      <c r="BB100" s="31" t="str">
        <f>IFERROR(AY100*#REF!+AZ100*#REF!+BA100*#REF!,"")</f>
        <v/>
      </c>
      <c r="BC100" s="32" t="str">
        <f t="shared" si="29"/>
        <v/>
      </c>
      <c r="BD100" s="32" t="str">
        <f>IFERROR(VLOOKUP(BC100*10,#REF!,2,1),"")</f>
        <v/>
      </c>
      <c r="BE100" s="10"/>
      <c r="BF100" s="10"/>
      <c r="BG100" s="10"/>
      <c r="BH100" s="11" t="s">
        <v>966</v>
      </c>
      <c r="BI100" s="10">
        <v>11.2200002670288</v>
      </c>
      <c r="BJ100" s="33" t="s">
        <v>234</v>
      </c>
      <c r="BK100" s="33" t="s">
        <v>330</v>
      </c>
      <c r="BL100" s="10">
        <f>IF([1]!s_stmnote_bank_17n(A100,$A$1,1)="0","",[1]!s_stmnote_bank_17n(A100,$A$1,1))</f>
        <v>3.03</v>
      </c>
      <c r="BM100" s="10">
        <f>IF([1]!s_stmnote_bank_18n(A100,$A$1,1)="0","",[1]!s_stmnote_bank_18n(A100,$A$1,1))</f>
        <v>20.23</v>
      </c>
      <c r="BN100" s="41">
        <v>4.42</v>
      </c>
      <c r="BO100" s="68">
        <v>2.35</v>
      </c>
      <c r="BP100" s="52">
        <f>[1]!s_stmnote_bank_5444(A100,$A$1,1)</f>
        <v>2.2000000000000002</v>
      </c>
      <c r="BQ100" s="52">
        <f>[1]!s_stmnote_bank_129n($A100,$A$1,1)</f>
        <v>24.45</v>
      </c>
      <c r="BR100" s="52">
        <f t="shared" si="34"/>
        <v>4.4920263889300562</v>
      </c>
      <c r="BS100" s="52">
        <f>[1]!b_stm07_is(A100,19,$A$1,1,100000000)</f>
        <v>571.13918000000001</v>
      </c>
      <c r="BT100" s="52">
        <f xml:space="preserve"> [1]!s_stm07_bs(A100,"W15273164",$A$1,1,100000000)-[1]!s_stm07_bs(A100,"W17642530",$A$1,1,100000000)-[1]!s_stm07_bs(A100,"W15910877",$A$1,1,100000000)-[1]!s_stm07_bs_39(A100,$A$1,1,100000000)-[1]!s_stm07_bs(A100,"W17700468",$A$1,1,100000000)-[1]!s_stm07_bs(A100,"W16504296",$A$1,1,100000000)-[1]!s_stm07_bs(A100,"W13769069",$A$1,1,100000000)</f>
        <v>13459.81164</v>
      </c>
      <c r="BU100" s="52">
        <f xml:space="preserve"> [1]!s_stm07_bs(A100,"W15273164",$B$1,1,100000000)-[1]!s_stm07_bs(A100,"W17642530",$B$1,1,100000000)-[1]!s_stm07_bs(A100,"W15910877",$B$1,1,100000000)-[1]!s_stm07_bs_39(A100,$B$1,1,100000000)-[1]!s_stm07_bs(A100,"W17700468",$B$1,1,100000000)-[1]!s_stm07_bs(A100,"W16504296",$B$1,1,100000000)-[1]!s_stm07_bs(A100,"W13769069",$B$1,1,100000000)</f>
        <v>12362.355630000002</v>
      </c>
      <c r="BV100" s="52">
        <f xml:space="preserve"> [1]!s_stm07_bs(A100,"W15273164",$E$1,1,100000000)-[1]!s_stm07_bs(A100,"W17642530",$E$1,1,100000000)-[1]!s_stm07_bs(A100,"W15910877",$E$1,1,100000000)-[1]!s_stm07_bs_39(A100,$E$1,1,100000000)-[1]!s_stm07_bs(A100,"W17700468",$E$1,1,100000000)-[1]!s_stm07_bs(A100,"W16504296",$E$1,1,100000000)-[1]!s_stm07_bs(A100,"W13769069",$E$1,1,100000000)</f>
        <v>14043.76</v>
      </c>
      <c r="BW100" s="52">
        <f xml:space="preserve"> [1]!s_stm07_bs(A100,"W15273164",$F$1,1,100000000)-[1]!s_stm07_bs(A100,"W17642530",$F$1,1,100000000)-[1]!s_stm07_bs(A100,"W15910877",$F$1,1,100000000)-[1]!s_stm07_bs_39(A100,$F$1,1,100000000)-[1]!s_stm07_bs(A100,"W17700468",$F$1,1,100000000)-[1]!s_stm07_bs(A100,"W16504296",$F$1,1,100000000)-[1]!s_stm07_bs(A100,"W13769069",$F$1,1,100000000)</f>
        <v>13535.441870000001</v>
      </c>
      <c r="BX100" s="52">
        <f xml:space="preserve"> [1]!s_stm07_bs(A100,"W15273164",$G$1,1,100000000)-[1]!s_stm07_bs(A100,"W17642530",$G$1,1,100000000)-[1]!s_stm07_bs(A100,"W15910877",$G$1,1,100000000)-[1]!s_stm07_bs_39(A100,$G$1,1,100000000)-[1]!s_stm07_bs(A100,"W17700468",$G$1,1,100000000)-[1]!s_stm07_bs(A100,"W16504296",$G$1,1,100000000)-[1]!s_stm07_bs(A100,"W13769069",$G$1,1,100000000)</f>
        <v>13182.97</v>
      </c>
      <c r="BY100" s="52">
        <f>IFERROR([1]!b_stm07_is(A100,20,$A$1,1,100000000)/AVERAGEIF(CA100:CE100,"&gt;0")*100,0)</f>
        <v>2.4837908498503993</v>
      </c>
      <c r="BZ100" s="52">
        <f>[1]!b_stm07_is(A100,20,$A$1,1,100000000)</f>
        <v>302.57465999999999</v>
      </c>
      <c r="CA100" s="52">
        <f>[1]!s_stmnote_bank_38(A100,$A$1,1,100000000)</f>
        <v>12507.90346</v>
      </c>
      <c r="CB100" s="52">
        <f>[1]!s_stmnote_bank_38(A100,$B$1,1,100000000)</f>
        <v>11462.45587</v>
      </c>
      <c r="CC100" s="52">
        <f>[1]!s_stmnote_bank_38(A100,$E$1,1,100000000)</f>
        <v>0</v>
      </c>
      <c r="CD100" s="52">
        <f>[1]!s_stmnote_bank_38(A100,$F$1,1,100000000)</f>
        <v>12575.55113</v>
      </c>
      <c r="CE100" s="52">
        <f>[1]!s_stmnote_bank_38(A100,$G$1,1,100000000)</f>
        <v>0</v>
      </c>
      <c r="CF100" s="52">
        <f>IF(BP100&lt;&gt;0,BP100,IFERROR(IF(([1]!b_stm07_is(A100,19,$A$1,1,100000000)-[1]!b_stm07_is(A100,20,$A$1,1,100000000))/AVERAGE([1]!s_stmnote_bank_35(A100,$A$1,1,100000000),[1]!s_stmnote_bank_35(A100,$B$1,1,100000000))*100=0,"",([1]!b_stm07_is(A100,19,$A$1,1,100000000)-[1]!b_stm07_is(A100,20,$A$1,1,100000000))/AVERAGE([1]!s_stmnote_bank_35(A100,$A$1,1,100000000),[1]!s_stmnote_bank_35(A100,$B$1,1,100000000))*100),""))</f>
        <v>2.2000000000000002</v>
      </c>
      <c r="CG100" s="27" t="str">
        <f t="shared" si="30"/>
        <v>66 171</v>
      </c>
      <c r="CH100" s="80">
        <f t="shared" si="35"/>
        <v>0.70114763059619589</v>
      </c>
      <c r="CI100" s="27" t="str">
        <f t="shared" si="31"/>
        <v>81 169</v>
      </c>
      <c r="CJ100" s="55">
        <f>[1]!s_stmnote_bank_30(A100,$A$1,1)</f>
        <v>24.795400000000001</v>
      </c>
      <c r="CP100" s="69">
        <f>[1]!b_stm07_bs($A100,141,$A$1,1,100000000)</f>
        <v>1115.15651</v>
      </c>
      <c r="CQ100" s="69">
        <f>[1]!b_stm07_bs($A100,141,$D$1,1,100000000)</f>
        <v>1179.6540199999999</v>
      </c>
      <c r="CR100" s="68">
        <f>IF([1]!s_fa_roic_yearly($A100,$A$1)=0,"",[1]!s_fa_roic_yearly($A100,$A$1))</f>
        <v>10.831899999999999</v>
      </c>
      <c r="CS100" s="27">
        <f>RANK(CR100,CR$5:CR$192,0)/COUNTIF(CR$5:CR$192,"&gt;0")</f>
        <v>0.24260355029585798</v>
      </c>
      <c r="CT100" s="68">
        <f>IF([1]!s_fa_roic_yearly($A100,$D$1)=0,"",[1]!s_fa_roic_yearly($A100,$D$1))</f>
        <v>12.962400000000001</v>
      </c>
      <c r="CU100" s="27">
        <f>RANK(CT100,CT$5:CT$192,0)/COUNTIF(CT$5:CT$192,"&gt;0")</f>
        <v>0.18309859154929578</v>
      </c>
      <c r="CV100" s="78">
        <f>[1]!s_stm07_bs(A100,"W14578191",$A$1,1,100000000)</f>
        <v>6283.0569800000003</v>
      </c>
      <c r="CW100" s="78">
        <f>[1]!s_stmnote_bank_682($A100,$A$1,1,2,100000000)</f>
        <v>2373.5946100000001</v>
      </c>
      <c r="CX100" s="79">
        <f t="shared" si="32"/>
        <v>0.37777703075995339</v>
      </c>
    </row>
    <row r="101" spans="1:102" s="46" customFormat="1" ht="13.5">
      <c r="A101" s="8" t="s">
        <v>223</v>
      </c>
      <c r="B101" s="13" t="s">
        <v>224</v>
      </c>
      <c r="C101" s="9" t="s">
        <v>225</v>
      </c>
      <c r="D101" s="9" t="s">
        <v>1061</v>
      </c>
      <c r="E101" s="10" t="s">
        <v>225</v>
      </c>
      <c r="F101" s="11" t="s">
        <v>66</v>
      </c>
      <c r="G101" s="11"/>
      <c r="H101" s="11" t="s">
        <v>116</v>
      </c>
      <c r="I101" s="11"/>
      <c r="J101" s="11">
        <f>VLOOKUP(B101,[3]额度信息!$B:$T,19,0)</f>
        <v>0</v>
      </c>
      <c r="K101" s="11" t="s">
        <v>226</v>
      </c>
      <c r="L101" s="27">
        <f>IFERROR(([1]!b_stm07_bs($A101,47,$A$1,1,100000000))/[1]!b_stm07_bs($A101,109,$A$1,1,100000000),"")</f>
        <v>9.8226083574137979E-2</v>
      </c>
      <c r="M101" s="20"/>
      <c r="N101" s="18"/>
      <c r="O101" s="27" t="e">
        <f t="shared" si="24"/>
        <v>#N/A</v>
      </c>
      <c r="P101" s="21">
        <f t="shared" si="33"/>
        <v>2.9851246496687137E-2</v>
      </c>
      <c r="Q101" s="27" t="str">
        <f t="shared" si="25"/>
        <v>85 169</v>
      </c>
      <c r="R101" s="18">
        <f>IFERROR([1]!s_stmnote_bank($A101,"34",$A$1,100000000)/[1]!s_stmnote_bank_1n(A101,$A$1,1,100000000),"")</f>
        <v>1.1551246496687137E-2</v>
      </c>
      <c r="S101" s="22"/>
      <c r="T101" s="22"/>
      <c r="U101" s="22"/>
      <c r="V101" s="22"/>
      <c r="W101" s="22"/>
      <c r="X101" s="22"/>
      <c r="Y101" s="22"/>
      <c r="Z101" s="25">
        <f>[1]!b_stm07_bs(A101,74,$A$1,1,100000000)</f>
        <v>3781.8064458834001</v>
      </c>
      <c r="AA101" s="25">
        <f>[1]!b_stm07_bs(A101,109,$A$1,1,100000000)</f>
        <v>2899.9747908925001</v>
      </c>
      <c r="AB101" s="10">
        <f>[1]!s_stmnote_bank_5n(A101,$A$1,1)</f>
        <v>1.83</v>
      </c>
      <c r="AC101" s="25">
        <f>IF([1]!s_stmnote_bank_23n(A101,$A$1,1)=0,"",IFERROR([1]!s_stmnote_bank_23n(A101,$A$1,1),""))</f>
        <v>186.05</v>
      </c>
      <c r="AD101" s="27" t="str">
        <f t="shared" si="26"/>
        <v>52 167</v>
      </c>
      <c r="AE101" s="25">
        <f>[1]!s_stmnote_bank_capadequacyratio(A101,$A$1,1)</f>
        <v>12.07</v>
      </c>
      <c r="AF101" s="25">
        <f>IF([1]!s_stmnote_bank_capadequacyratio_ct1(A101,$A$1,1)=0,"",IFERROR([1]!s_stmnote_bank_capadequacyratio_ct1(A101,$A$1,1),""))</f>
        <v>8.2899999999999991</v>
      </c>
      <c r="AG101" s="27" t="str">
        <f>RANK(AF101,AF$5:AF$192,1)&amp;" "&amp;COUNTIF(AF$5:AF$192,"&gt;0")</f>
        <v>18 167</v>
      </c>
      <c r="AH101" s="6">
        <f>IF(OR([1]!s_fa_roe(A101,20201231)=0,[1]!s_fa_roe(A101,20211231)="0",[1]!s_fa_roe(A101,20221231)="0"),"",IFERROR(([1]!s_fa_roe(A101,20221231)+[1]!s_fa_roe(A101,20201231)+[1]!s_fa_roe(A101,20211231))/3,""))</f>
        <v>9.5114333333333327</v>
      </c>
      <c r="AI101" s="27" t="str">
        <f t="shared" si="27"/>
        <v>110 173</v>
      </c>
      <c r="AJ101" s="28">
        <f>IFERROR(([1]!s_stmnote_bank_65(A101,$A$1,1,2,4,100000000)+[1]!s_stmnote_bank_65(A101,$A$1,1,2,6,100000000))/[1]!s_stmnote_bank_1n(A101,$A$1,1,100000000),"")</f>
        <v>9.4537617047715378E-2</v>
      </c>
      <c r="AK101" s="28">
        <f>IFERROR([1]!s_stmnote_bank_614(A101,$A$1,1,2,100000000)/[1]!s_stmnote_bank_647(A101,$A$1,1,2,100000000),"")</f>
        <v>0.21780169026938748</v>
      </c>
      <c r="AL101" s="28">
        <f>IFERROR(([1]!b_stm07_bs(A101,104,$A$1,1,100000000)+[1]!b_stm07_bs(A101,106,$A$1,1,100000000)+[1]!b_stm07_bs(A101,76,$A$1,1,100000000)+[1]!b_stm07_bs(A101,108,$A$1,1,100000000)+[1]!b_stm07_bs(A101,95,$A$1,1,100000000))/[1]!b_stm07_bs(A101,128,$A$1,1,100000000),"")</f>
        <v>0.14433514152381186</v>
      </c>
      <c r="AM101" s="28">
        <f>IFERROR(([1]!s_stmnote_bank_614(A101,$A$1,1,2,100000000)+[1]!b_stm07_bs(A101,104,$A$1,1,100000000)+[1]!b_stm07_bs(A101,106,$A$1,1,100000000)+[1]!b_stm07_bs(A101,76,$A$1,1,100000000)+[1]!b_stm07_bs(A101,108,$A$1,1,100000000)+[1]!b_stm07_bs(A101,95,$A$1,1,100000000))/[1]!b_stm07_bs(A101,128,$A$1,1,100000000),"")</f>
        <v>0.32225969565656826</v>
      </c>
      <c r="AN101" s="31" t="e">
        <f>IF(Z101&gt;#REF!,#REF!,IF(Z101&gt;#REF!,#REF!,IF(Z101&gt;#REF!,#REF!,IF(Z101&gt;#REF!,#REF!,IF(Z101&gt;#REF!,#REF!,IF(Z101&gt;#REF!,#REF!,IF(Z101&gt;#REF!,#REF!,#REF!)))))))</f>
        <v>#REF!</v>
      </c>
      <c r="AO101" s="31" t="e">
        <f>IF(AA101&gt;#REF!,#REF!,IF(AA101&gt;#REF!,#REF!,IF(AA101&gt;#REF!,#REF!,IF(AA101&gt;#REF!,#REF!,IF(AA101&gt;#REF!,#REF!,IF(AA101&gt;#REF!,#REF!,IF(AA101&gt;#REF!,#REF!,#REF!)))))))</f>
        <v>#REF!</v>
      </c>
      <c r="AP101" s="31" t="e">
        <f>IF(AB101&lt;#REF!,#REF!,IF(AB101&lt;#REF!,#REF!,IF(AB101&lt;#REF!,#REF!,IF(AB101&lt;#REF!,#REF!,IF(AB101&lt;#REF!,#REF!,IF(AB101&lt;#REF!,#REF!,#REF!))))))</f>
        <v>#REF!</v>
      </c>
      <c r="AQ101" s="31" t="e">
        <f>IF(AC101&gt;#REF!,#REF!,IF(AC101&gt;#REF!,#REF!,IF(AC101&gt;#REF!,#REF!,IF(AC101&gt;#REF!,#REF!,#REF!))))</f>
        <v>#REF!</v>
      </c>
      <c r="AR101" s="31" t="e">
        <f>IF(AE101&gt;#REF!,#REF!,IF(AE101&gt;#REF!,#REF!,IF(AE101&gt;#REF!,#REF!,IF(AE101&gt;#REF!,#REF!,#REF!))))</f>
        <v>#REF!</v>
      </c>
      <c r="AS101" s="31" t="e">
        <f>IF(AF101&gt;#REF!,#REF!,IF(AF101&gt;#REF!,#REF!,IF(AF101&gt;#REF!,#REF!,IF(AF101&gt;#REF!,#REF!,#REF!))))</f>
        <v>#REF!</v>
      </c>
      <c r="AT101" s="31" t="e">
        <f>IF(AH101&gt;#REF!,#REF!,IF(AH101&gt;#REF!,#REF!,IF(AH101&gt;#REF!,#REF!,IF(AH101&gt;#REF!,#REF!,IF(AH101&gt;#REF!,#REF!,#REF!)))))</f>
        <v>#REF!</v>
      </c>
      <c r="AU101" s="10" t="e">
        <f t="shared" si="28"/>
        <v>#REF!</v>
      </c>
      <c r="AV101" s="10" t="s">
        <v>141</v>
      </c>
      <c r="AW101" s="10" t="s">
        <v>227</v>
      </c>
      <c r="AX101" s="10" t="s">
        <v>141</v>
      </c>
      <c r="AY101" s="31" t="str">
        <f>IFERROR(VLOOKUP(AV101,#REF!,3,0),"")</f>
        <v/>
      </c>
      <c r="AZ101" s="31" t="str">
        <f>IFERROR(VLOOKUP(AW101,#REF!,3,0),"")</f>
        <v/>
      </c>
      <c r="BA101" s="31" t="str">
        <f>IFERROR(VLOOKUP(AX101,#REF!,3,0),"")</f>
        <v/>
      </c>
      <c r="BB101" s="31" t="str">
        <f>IFERROR(AY101*#REF!+AZ101*#REF!+BA101*#REF!,"")</f>
        <v/>
      </c>
      <c r="BC101" s="32" t="str">
        <f t="shared" si="29"/>
        <v/>
      </c>
      <c r="BD101" s="32" t="str">
        <f>IFERROR(VLOOKUP(BC101*10,#REF!,2,1),"")</f>
        <v/>
      </c>
      <c r="BE101" s="11">
        <v>0</v>
      </c>
      <c r="BF101" s="11">
        <v>0</v>
      </c>
      <c r="BG101" s="10" t="s">
        <v>228</v>
      </c>
      <c r="BH101" s="11" t="s">
        <v>229</v>
      </c>
      <c r="BI101" s="11">
        <v>20</v>
      </c>
      <c r="BJ101" s="11" t="s">
        <v>71</v>
      </c>
      <c r="BK101" s="11" t="s">
        <v>72</v>
      </c>
      <c r="BL101" s="10">
        <f>IF([1]!s_stmnote_bank_17n(A101,$A$1,1)="0","",[1]!s_stmnote_bank_17n(A101,$A$1,1))</f>
        <v>6.73</v>
      </c>
      <c r="BM101" s="10">
        <f>IF([1]!s_stmnote_bank_18n(A101,$A$1,1)="0","",[1]!s_stmnote_bank_18n(A101,$A$1,1))</f>
        <v>0</v>
      </c>
      <c r="BN101" s="41" t="s">
        <v>67</v>
      </c>
      <c r="BO101" s="68" t="s">
        <v>67</v>
      </c>
      <c r="BP101" s="52">
        <f>[1]!s_stmnote_bank_5444(A101,$A$1,1)</f>
        <v>0</v>
      </c>
      <c r="BQ101" s="52">
        <f>[1]!s_stmnote_bank_129n($A101,$A$1,1)</f>
        <v>32.14</v>
      </c>
      <c r="BR101" s="52">
        <f t="shared" si="34"/>
        <v>5.5667249173172157</v>
      </c>
      <c r="BS101" s="52">
        <f>[1]!b_stm07_is(A101,19,$A$1,1,100000000)</f>
        <v>177.96100024500001</v>
      </c>
      <c r="BT101" s="52">
        <f xml:space="preserve"> [1]!s_stm07_bs(A101,"W15273164",$A$1,1,100000000)-[1]!s_stm07_bs(A101,"W17642530",$A$1,1,100000000)-[1]!s_stm07_bs(A101,"W15910877",$A$1,1,100000000)-[1]!s_stm07_bs_39(A101,$A$1,1,100000000)-[1]!s_stm07_bs(A101,"W17700468",$A$1,1,100000000)-[1]!s_stm07_bs(A101,"W16504296",$A$1,1,100000000)-[1]!s_stm07_bs(A101,"W13769069",$A$1,1,100000000)</f>
        <v>3731.7874610860999</v>
      </c>
      <c r="BU101" s="52">
        <f xml:space="preserve"> [1]!s_stm07_bs(A101,"W15273164",$B$1,1,100000000)-[1]!s_stm07_bs(A101,"W17642530",$B$1,1,100000000)-[1]!s_stm07_bs(A101,"W15910877",$B$1,1,100000000)-[1]!s_stm07_bs_39(A101,$B$1,1,100000000)-[1]!s_stm07_bs(A101,"W17700468",$B$1,1,100000000)-[1]!s_stm07_bs(A101,"W16504296",$B$1,1,100000000)-[1]!s_stm07_bs(A101,"W13769069",$B$1,1,100000000)</f>
        <v>3120.4540693982003</v>
      </c>
      <c r="BV101" s="52">
        <f xml:space="preserve"> [1]!s_stm07_bs(A101,"W15273164",$E$1,1,100000000)-[1]!s_stm07_bs(A101,"W17642530",$E$1,1,100000000)-[1]!s_stm07_bs(A101,"W15910877",$E$1,1,100000000)-[1]!s_stm07_bs_39(A101,$E$1,1,100000000)-[1]!s_stm07_bs(A101,"W17700468",$E$1,1,100000000)-[1]!s_stm07_bs(A101,"W16504296",$E$1,1,100000000)-[1]!s_stm07_bs(A101,"W13769069",$E$1,1,100000000)</f>
        <v>0</v>
      </c>
      <c r="BW101" s="52">
        <f xml:space="preserve"> [1]!s_stm07_bs(A101,"W15273164",$F$1,1,100000000)-[1]!s_stm07_bs(A101,"W17642530",$F$1,1,100000000)-[1]!s_stm07_bs(A101,"W15910877",$F$1,1,100000000)-[1]!s_stm07_bs_39(A101,$F$1,1,100000000)-[1]!s_stm07_bs(A101,"W17700468",$F$1,1,100000000)-[1]!s_stm07_bs(A101,"W16504296",$F$1,1,100000000)-[1]!s_stm07_bs(A101,"W13769069",$F$1,1,100000000)</f>
        <v>0</v>
      </c>
      <c r="BX101" s="52">
        <f xml:space="preserve"> [1]!s_stm07_bs(A101,"W15273164",$G$1,1,100000000)-[1]!s_stm07_bs(A101,"W17642530",$G$1,1,100000000)-[1]!s_stm07_bs(A101,"W15910877",$G$1,1,100000000)-[1]!s_stm07_bs_39(A101,$G$1,1,100000000)-[1]!s_stm07_bs(A101,"W17700468",$G$1,1,100000000)-[1]!s_stm07_bs(A101,"W16504296",$G$1,1,100000000)-[1]!s_stm07_bs(A101,"W13769069",$G$1,1,100000000)</f>
        <v>0</v>
      </c>
      <c r="BY101" s="52">
        <f>IFERROR([1]!b_stm07_is(A101,20,$A$1,1,100000000)/AVERAGEIF(CA101:CE101,"&gt;0")*100,0)</f>
        <v>2.9832551961570783</v>
      </c>
      <c r="BZ101" s="52">
        <f>[1]!b_stm07_is(A101,20,$A$1,1,100000000)</f>
        <v>94.911382139599993</v>
      </c>
      <c r="CA101" s="52">
        <f>[1]!s_stmnote_bank_38(A101,$A$1,1,100000000)</f>
        <v>3462.77338091</v>
      </c>
      <c r="CB101" s="52">
        <f>[1]!s_stmnote_bank_38(A101,$B$1,1,100000000)</f>
        <v>2900.1674940015</v>
      </c>
      <c r="CC101" s="52">
        <f>[1]!s_stmnote_bank_38(A101,$E$1,1,100000000)</f>
        <v>0</v>
      </c>
      <c r="CD101" s="52">
        <f>[1]!s_stmnote_bank_38(A101,$F$1,1,100000000)</f>
        <v>0</v>
      </c>
      <c r="CE101" s="52">
        <f>[1]!s_stmnote_bank_38(A101,$G$1,1,100000000)</f>
        <v>0</v>
      </c>
      <c r="CF101" s="52">
        <f>IF(BP101&lt;&gt;0,BP101,IFERROR(IF(([1]!b_stm07_is(A101,19,$A$1,1,100000000)-[1]!b_stm07_is(A101,20,$A$1,1,100000000))/AVERAGE([1]!s_stmnote_bank_35(A101,$A$1,1,100000000),[1]!s_stmnote_bank_35(A101,$B$1,1,100000000))*100=0,"",([1]!b_stm07_is(A101,19,$A$1,1,100000000)-[1]!b_stm07_is(A101,20,$A$1,1,100000000))/AVERAGE([1]!s_stmnote_bank_35(A101,$A$1,1,100000000),[1]!s_stmnote_bank_35(A101,$B$1,1,100000000))*100),""))</f>
        <v>2.5104375900745883</v>
      </c>
      <c r="CG101" s="27" t="str">
        <f t="shared" si="30"/>
        <v>24 171</v>
      </c>
      <c r="CH101" s="80">
        <f t="shared" si="35"/>
        <v>0.8409824997938341</v>
      </c>
      <c r="CI101" s="27" t="str">
        <f t="shared" si="31"/>
        <v>60 169</v>
      </c>
      <c r="CJ101" s="55">
        <f>[1]!s_stmnote_bank_30(A101,$A$1,1)</f>
        <v>-0.60580000000000001</v>
      </c>
      <c r="CP101" s="69">
        <f>[1]!b_stm07_bs($A101,141,$A$1,1,100000000)</f>
        <v>231.87813905889999</v>
      </c>
      <c r="CQ101" s="69">
        <f>[1]!b_stm07_bs($A101,141,$D$1,1,100000000)</f>
        <v>291.6073412874</v>
      </c>
      <c r="CR101" s="68">
        <f>IF([1]!s_fa_roic_yearly($A101,$A$1)=0,"",[1]!s_fa_roic_yearly($A101,$A$1))</f>
        <v>9.5765999999999991</v>
      </c>
      <c r="CS101" s="27">
        <f>RANK(CR101,CR$5:CR$192,0)/COUNTIF(CR$5:CR$192,"&gt;0")</f>
        <v>0.39644970414201186</v>
      </c>
      <c r="CT101" s="68">
        <f>IF([1]!s_fa_roic_yearly($A101,$D$1)=0,"",[1]!s_fa_roic_yearly($A101,$D$1))</f>
        <v>10.0398</v>
      </c>
      <c r="CU101" s="27">
        <f>RANK(CT101,CT$5:CT$192,0)/COUNTIF(CT$5:CT$192,"&gt;0")</f>
        <v>0.528169014084507</v>
      </c>
      <c r="CV101" s="78">
        <f>[1]!s_stm07_bs(A101,"W14578191",$A$1,1,100000000)</f>
        <v>2170.7190740171</v>
      </c>
      <c r="CW101" s="78">
        <f>[1]!s_stmnote_bank_682($A101,$A$1,1,2,100000000)</f>
        <v>776.21098420520002</v>
      </c>
      <c r="CX101" s="79">
        <f t="shared" si="32"/>
        <v>0.35758242210898145</v>
      </c>
    </row>
    <row r="102" spans="1:102" s="46" customFormat="1" ht="13.5">
      <c r="A102" s="8" t="s">
        <v>545</v>
      </c>
      <c r="B102" s="8" t="s">
        <v>546</v>
      </c>
      <c r="C102" s="9" t="s">
        <v>547</v>
      </c>
      <c r="D102" s="9" t="s">
        <v>1063</v>
      </c>
      <c r="E102" s="10" t="s">
        <v>456</v>
      </c>
      <c r="F102" s="11" t="s">
        <v>178</v>
      </c>
      <c r="G102" s="11" t="s">
        <v>178</v>
      </c>
      <c r="H102" s="11" t="s">
        <v>178</v>
      </c>
      <c r="I102" s="11"/>
      <c r="J102" s="11">
        <f>VLOOKUP(B102,[3]额度信息!$B:$T,19,0)</f>
        <v>44.997016915800003</v>
      </c>
      <c r="K102" s="11" t="s">
        <v>548</v>
      </c>
      <c r="L102" s="27">
        <f>IFERROR(([1]!b_stm07_bs($A102,47,$A$1,1,100000000))/[1]!b_stm07_bs($A102,109,$A$1,1,100000000),"")</f>
        <v>0.11717965670533302</v>
      </c>
      <c r="M102" s="20">
        <v>851.57</v>
      </c>
      <c r="N102" s="18">
        <f>IFERROR(([1]!s_stmnote_bank_26($A102,$A$1,1,100000000)-[1]!s_stmnote_bank_26($A102,$B$1,1,100000000)+M102)/[1]!s_stmnote_bank_1n($A102,$B$1,1,100000000),"")</f>
        <v>4.5428801972132327E-3</v>
      </c>
      <c r="O102" s="27" t="str">
        <f t="shared" si="24"/>
        <v>10 50</v>
      </c>
      <c r="P102" s="21">
        <f t="shared" si="33"/>
        <v>3.3656398828345896E-2</v>
      </c>
      <c r="Q102" s="27" t="str">
        <f t="shared" si="25"/>
        <v>97 169</v>
      </c>
      <c r="R102" s="18">
        <v>1.9456398828345899E-2</v>
      </c>
      <c r="S102" s="22">
        <v>2.9750978704749399E-2</v>
      </c>
      <c r="T102" s="22">
        <v>1.2615072552876199E-2</v>
      </c>
      <c r="U102" s="22">
        <v>3.4491083828370401E-3</v>
      </c>
      <c r="V102" s="22"/>
      <c r="W102" s="22">
        <v>2.7879914416736998E-4</v>
      </c>
      <c r="X102" s="22">
        <v>2.9817734703283601E-4</v>
      </c>
      <c r="Y102" s="22">
        <v>0.85982797069130301</v>
      </c>
      <c r="Z102" s="25">
        <f>[1]!b_stm07_bs(A102,74,$A$1,1,100000000)</f>
        <v>351713.83</v>
      </c>
      <c r="AA102" s="25">
        <f>[1]!b_stm07_bs(A102,109,$A$1,1,100000000)</f>
        <v>264417.74</v>
      </c>
      <c r="AB102" s="10">
        <f>[1]!s_stmnote_bank_5n(A102,$A$1,1)</f>
        <v>1.42</v>
      </c>
      <c r="AC102" s="25">
        <f>IF([1]!s_stmnote_bank_23n(A102,$A$1,1)=0,"",IFERROR([1]!s_stmnote_bank_23n(A102,$A$1,1),""))</f>
        <v>205.84</v>
      </c>
      <c r="AD102" s="27" t="str">
        <f t="shared" si="26"/>
        <v>70 167</v>
      </c>
      <c r="AE102" s="25">
        <f>[1]!s_stmnote_bank_capadequacyratio(A102,$A$1,1)</f>
        <v>18.02</v>
      </c>
      <c r="AF102" s="25">
        <f>IF([1]!s_stmnote_bank_capadequacyratio_ct1(A102,$A$1,1)=0,"",IFERROR([1]!s_stmnote_bank_capadequacyratio_ct1(A102,$A$1,1),""))</f>
        <v>13.31</v>
      </c>
      <c r="AG102" s="27" t="str">
        <f>RANK(AF102,AF$5:AF$192,0)&amp;" "&amp;COUNTIF(AF$5:AF$192,"&gt;0")</f>
        <v>22 167</v>
      </c>
      <c r="AH102" s="6">
        <f>IF(OR([1]!s_fa_roe(A102,20201231)=0,[1]!s_fa_roe(A102,20211231)="0",[1]!s_fa_roe(A102,20221231)="0"),"",IFERROR(([1]!s_fa_roe(A102,20221231)+[1]!s_fa_roe(A102,20201231)+[1]!s_fa_roe(A102,20211231))/3,""))</f>
        <v>11.1153</v>
      </c>
      <c r="AI102" s="27" t="str">
        <f t="shared" si="27"/>
        <v>139 173</v>
      </c>
      <c r="AJ102" s="28">
        <f>IFERROR(([1]!s_stmnote_bank_65(A102,$A$1,1,2,4,100000000)+[1]!s_stmnote_bank_65(A102,$A$1,1,2,6,100000000))/[1]!s_stmnote_bank_1n(A102,$A$1,1,100000000),"")</f>
        <v>6.1752304189552111E-2</v>
      </c>
      <c r="AK102" s="28">
        <f>IFERROR([1]!s_stmnote_bank_614(A102,$A$1,1,2,100000000)/[1]!s_stmnote_bank_647(A102,$A$1,1,2,100000000),"")</f>
        <v>0.28884867893824262</v>
      </c>
      <c r="AL102" s="28">
        <f>IFERROR(([1]!b_stm07_bs(A102,104,$A$1,1,100000000)+[1]!b_stm07_bs(A102,106,$A$1,1,100000000)+[1]!b_stm07_bs(A102,76,$A$1,1,100000000)+[1]!b_stm07_bs(A102,108,$A$1,1,100000000)+[1]!b_stm07_bs(A102,95,$A$1,1,100000000))/[1]!b_stm07_bs(A102,128,$A$1,1,100000000),"")</f>
        <v>0.13059664771190857</v>
      </c>
      <c r="AM102" s="28">
        <f>IFERROR(([1]!s_stmnote_bank_614(A102,$A$1,1,2,100000000)+[1]!b_stm07_bs(A102,104,$A$1,1,100000000)+[1]!b_stm07_bs(A102,106,$A$1,1,100000000)+[1]!b_stm07_bs(A102,76,$A$1,1,100000000)+[1]!b_stm07_bs(A102,108,$A$1,1,100000000)+[1]!b_stm07_bs(A102,95,$A$1,1,100000000))/[1]!b_stm07_bs(A102,128,$A$1,1,100000000),"")</f>
        <v>0.3667729857467012</v>
      </c>
      <c r="AN102" s="31" t="e">
        <f>IF(Z102&gt;#REF!,#REF!,IF(Z102&gt;#REF!,#REF!,IF(Z102&gt;#REF!,#REF!,IF(Z102&gt;#REF!,#REF!,IF(Z102&gt;#REF!,#REF!,IF(Z102&gt;#REF!,#REF!,IF(Z102&gt;#REF!,#REF!,#REF!)))))))</f>
        <v>#REF!</v>
      </c>
      <c r="AO102" s="31" t="e">
        <f>IF(AA102&gt;#REF!,#REF!,IF(AA102&gt;#REF!,#REF!,IF(AA102&gt;#REF!,#REF!,IF(AA102&gt;#REF!,#REF!,IF(AA102&gt;#REF!,#REF!,IF(AA102&gt;#REF!,#REF!,IF(AA102&gt;#REF!,#REF!,#REF!)))))))</f>
        <v>#REF!</v>
      </c>
      <c r="AP102" s="31" t="e">
        <f>IF(AB102&lt;#REF!,#REF!,IF(AB102&lt;#REF!,#REF!,IF(AB102&lt;#REF!,#REF!,IF(AB102&lt;#REF!,#REF!,IF(AB102&lt;#REF!,#REF!,IF(AB102&lt;#REF!,#REF!,#REF!))))))</f>
        <v>#REF!</v>
      </c>
      <c r="AQ102" s="31" t="e">
        <f>IF(AC102&gt;#REF!,#REF!,IF(AC102&gt;#REF!,#REF!,IF(AC102&gt;#REF!,#REF!,IF(AC102&gt;#REF!,#REF!,#REF!))))</f>
        <v>#REF!</v>
      </c>
      <c r="AR102" s="31" t="e">
        <f>IF(AE102&gt;#REF!,#REF!,IF(AE102&gt;#REF!,#REF!,IF(AE102&gt;#REF!,#REF!,IF(AE102&gt;#REF!,#REF!,#REF!))))</f>
        <v>#REF!</v>
      </c>
      <c r="AS102" s="31" t="e">
        <f>IF(AF102&gt;#REF!,#REF!,IF(AF102&gt;#REF!,#REF!,IF(AF102&gt;#REF!,#REF!,IF(AF102&gt;#REF!,#REF!,#REF!))))</f>
        <v>#REF!</v>
      </c>
      <c r="AT102" s="31" t="e">
        <f>IF(AH102&gt;#REF!,#REF!,IF(AH102&gt;#REF!,#REF!,IF(AH102&gt;#REF!,#REF!,IF(AH102&gt;#REF!,#REF!,IF(AH102&gt;#REF!,#REF!,#REF!)))))</f>
        <v>#REF!</v>
      </c>
      <c r="AU102" s="10" t="e">
        <f t="shared" si="28"/>
        <v>#REF!</v>
      </c>
      <c r="AV102" s="10" t="s">
        <v>395</v>
      </c>
      <c r="AW102" s="10" t="s">
        <v>69</v>
      </c>
      <c r="AX102" s="10" t="s">
        <v>62</v>
      </c>
      <c r="AY102" s="31" t="str">
        <f>IFERROR(VLOOKUP(AV102,#REF!,3,0),"")</f>
        <v/>
      </c>
      <c r="AZ102" s="31" t="str">
        <f>IFERROR(VLOOKUP(AW102,#REF!,3,0),"")</f>
        <v/>
      </c>
      <c r="BA102" s="31" t="str">
        <f>IFERROR(VLOOKUP(AX102,#REF!,3,0),"")</f>
        <v/>
      </c>
      <c r="BB102" s="31" t="str">
        <f>IFERROR(AY102*#REF!+AZ102*#REF!+BA102*#REF!,"")</f>
        <v/>
      </c>
      <c r="BC102" s="32" t="str">
        <f t="shared" si="29"/>
        <v/>
      </c>
      <c r="BD102" s="32" t="str">
        <f>IFERROR(VLOOKUP(BC102*10,#REF!,2,1),"")</f>
        <v/>
      </c>
      <c r="BE102" s="11">
        <v>2</v>
      </c>
      <c r="BF102" s="11">
        <v>0</v>
      </c>
      <c r="BG102" s="10"/>
      <c r="BH102" s="11" t="s">
        <v>396</v>
      </c>
      <c r="BI102" s="10">
        <v>34.709999084472699</v>
      </c>
      <c r="BJ102" s="33" t="s">
        <v>71</v>
      </c>
      <c r="BK102" s="33" t="s">
        <v>72</v>
      </c>
      <c r="BL102" s="10">
        <f>IF([1]!s_stmnote_bank_17n(A102,$A$1,1)="0","",[1]!s_stmnote_bank_17n(A102,$A$1,1))</f>
        <v>3.6</v>
      </c>
      <c r="BM102" s="10">
        <f>IF([1]!s_stmnote_bank_18n(A102,$A$1,1)="0","",[1]!s_stmnote_bank_18n(A102,$A$1,1))</f>
        <v>14.2</v>
      </c>
      <c r="BN102" s="41">
        <v>3.55</v>
      </c>
      <c r="BO102" s="68">
        <v>1.82</v>
      </c>
      <c r="BP102" s="52">
        <f>[1]!s_stmnote_bank_5444(A102,$A$1,1)</f>
        <v>2.11</v>
      </c>
      <c r="BQ102" s="52">
        <f>[1]!s_stmnote_bank_129n($A102,$A$1,1)</f>
        <v>23.97</v>
      </c>
      <c r="BR102" s="52">
        <f t="shared" si="34"/>
        <v>3.5141624684598258</v>
      </c>
      <c r="BS102" s="52">
        <f>[1]!b_stm07_is(A102,19,$A$1,1,100000000)</f>
        <v>11622.18</v>
      </c>
      <c r="BT102" s="52">
        <f xml:space="preserve"> [1]!s_stm07_bs(A102,"W15273164",$A$1,1,100000000)-[1]!s_stm07_bs(A102,"W17642530",$A$1,1,100000000)-[1]!s_stm07_bs(A102,"W15910877",$A$1,1,100000000)-[1]!s_stm07_bs_39(A102,$A$1,1,100000000)-[1]!s_stm07_bs(A102,"W17700468",$A$1,1,100000000)-[1]!s_stm07_bs(A102,"W16504296",$A$1,1,100000000)-[1]!s_stm07_bs(A102,"W13769069",$A$1,1,100000000)</f>
        <v>343599.28</v>
      </c>
      <c r="BU102" s="52">
        <f xml:space="preserve"> [1]!s_stm07_bs(A102,"W15273164",$B$1,1,100000000)-[1]!s_stm07_bs(A102,"W17642530",$B$1,1,100000000)-[1]!s_stm07_bs(A102,"W15910877",$B$1,1,100000000)-[1]!s_stm07_bs_39(A102,$B$1,1,100000000)-[1]!s_stm07_bs(A102,"W17700468",$B$1,1,100000000)-[1]!s_stm07_bs(A102,"W16504296",$B$1,1,100000000)-[1]!s_stm07_bs(A102,"W13769069",$B$1,1,100000000)</f>
        <v>325395.13000000006</v>
      </c>
      <c r="BV102" s="52">
        <f xml:space="preserve"> [1]!s_stm07_bs(A102,"W15273164",$E$1,1,100000000)-[1]!s_stm07_bs(A102,"W17642530",$E$1,1,100000000)-[1]!s_stm07_bs(A102,"W15910877",$E$1,1,100000000)-[1]!s_stm07_bs_39(A102,$E$1,1,100000000)-[1]!s_stm07_bs(A102,"W17700468",$E$1,1,100000000)-[1]!s_stm07_bs(A102,"W16504296",$E$1,1,100000000)-[1]!s_stm07_bs(A102,"W13769069",$E$1,1,100000000)</f>
        <v>346595.3</v>
      </c>
      <c r="BW102" s="52">
        <f xml:space="preserve"> [1]!s_stm07_bs(A102,"W15273164",$F$1,1,100000000)-[1]!s_stm07_bs(A102,"W17642530",$F$1,1,100000000)-[1]!s_stm07_bs(A102,"W15910877",$F$1,1,100000000)-[1]!s_stm07_bs_39(A102,$F$1,1,100000000)-[1]!s_stm07_bs(A102,"W17700468",$F$1,1,100000000)-[1]!s_stm07_bs(A102,"W16504296",$F$1,1,100000000)-[1]!s_stm07_bs(A102,"W13769069",$F$1,1,100000000)</f>
        <v>344125.27</v>
      </c>
      <c r="BX102" s="52">
        <f xml:space="preserve"> [1]!s_stm07_bs(A102,"W15273164",$G$1,1,100000000)-[1]!s_stm07_bs(A102,"W17642530",$G$1,1,100000000)-[1]!s_stm07_bs(A102,"W15910877",$G$1,1,100000000)-[1]!s_stm07_bs_39(A102,$G$1,1,100000000)-[1]!s_stm07_bs(A102,"W17700468",$G$1,1,100000000)-[1]!s_stm07_bs(A102,"W16504296",$G$1,1,100000000)-[1]!s_stm07_bs(A102,"W13769069",$G$1,1,100000000)</f>
        <v>336904.52999999997</v>
      </c>
      <c r="BY102" s="52">
        <f>IFERROR([1]!b_stm07_is(A102,20,$A$1,1,100000000)/AVERAGEIF(CA102:CE102,"&gt;0")*100,0)</f>
        <v>1.5522195652164323</v>
      </c>
      <c r="BZ102" s="52">
        <f>[1]!b_stm07_is(A102,20,$A$1,1,100000000)</f>
        <v>4715.38</v>
      </c>
      <c r="CA102" s="52">
        <f>[1]!s_stmnote_bank_38(A102,$A$1,1,100000000)</f>
        <v>306470.24</v>
      </c>
      <c r="CB102" s="52">
        <f>[1]!s_stmnote_bank_38(A102,$B$1,1,100000000)</f>
        <v>291534.58</v>
      </c>
      <c r="CC102" s="52">
        <f>[1]!s_stmnote_bank_38(A102,$E$1,1,100000000)</f>
        <v>310865.93</v>
      </c>
      <c r="CD102" s="52">
        <f>[1]!s_stmnote_bank_38(A102,$F$1,1,100000000)</f>
        <v>307920.62</v>
      </c>
      <c r="CE102" s="52">
        <f>[1]!s_stmnote_bank_38(A102,$G$1,1,100000000)</f>
        <v>302123.90000000002</v>
      </c>
      <c r="CF102" s="52">
        <f>IF(BP102&lt;&gt;0,BP102,IFERROR(IF(([1]!b_stm07_is(A102,19,$A$1,1,100000000)-[1]!b_stm07_is(A102,20,$A$1,1,100000000))/AVERAGE([1]!s_stmnote_bank_35(A102,$A$1,1,100000000),[1]!s_stmnote_bank_35(A102,$B$1,1,100000000))*100=0,"",([1]!b_stm07_is(A102,19,$A$1,1,100000000)-[1]!b_stm07_is(A102,20,$A$1,1,100000000))/AVERAGE([1]!s_stmnote_bank_35(A102,$A$1,1,100000000),[1]!s_stmnote_bank_35(A102,$B$1,1,100000000))*100),""))</f>
        <v>2.11</v>
      </c>
      <c r="CG102" s="27" t="str">
        <f t="shared" si="30"/>
        <v>80 171</v>
      </c>
      <c r="CH102" s="80">
        <f t="shared" si="35"/>
        <v>0.62692387583157827</v>
      </c>
      <c r="CI102" s="27" t="str">
        <f t="shared" si="31"/>
        <v>91 169</v>
      </c>
      <c r="CJ102" s="55">
        <f>[1]!s_stmnote_bank_30(A102,$A$1,1)</f>
        <v>26.738700000000001</v>
      </c>
      <c r="CK102" s="62">
        <v>9001.49</v>
      </c>
      <c r="CL102" s="63">
        <v>2987.22</v>
      </c>
      <c r="CM102" s="64">
        <f>CK102/(5/8*[1]!s_stmnote_bank_1n($A102,$A$1,1,100000000)+[1]!s_stmnote_bank_1n($A102,$B$1,1,100000000)*3/8)</f>
        <v>4.5231018727447628E-2</v>
      </c>
      <c r="CP102" s="69">
        <f>[1]!b_stm07_bs($A102,141,$A$1,1,100000000)</f>
        <v>32752.58</v>
      </c>
      <c r="CQ102" s="69">
        <f>[1]!b_stm07_bs($A102,141,$D$1,1,100000000)</f>
        <v>33333.06</v>
      </c>
      <c r="CR102" s="68">
        <f>IF([1]!s_fa_roic_yearly($A102,$A$1)=0,"",[1]!s_fa_roic_yearly($A102,$A$1))</f>
        <v>11.325799999999999</v>
      </c>
      <c r="CS102" s="27" t="str">
        <f>RANK(CR102,CR$5:CR$192,1)&amp;" "&amp;COUNTIF(CR$5:CR$192,"&gt;0")</f>
        <v>133 169</v>
      </c>
      <c r="CT102" s="68">
        <f>IF([1]!s_fa_roic_yearly($A102,$D$1)=0,"",[1]!s_fa_roic_yearly($A102,$D$1))</f>
        <v>10.438599999999999</v>
      </c>
      <c r="CU102" s="27" t="str">
        <f>RANK(CT102,CT$5:CT$192,1)&amp;" "&amp;COUNTIF(CT$5:CT$192,"&gt;0")</f>
        <v>77 142</v>
      </c>
      <c r="CV102" s="78">
        <f>[1]!s_stm07_bs(A102,"W14578191",$A$1,1,100000000)</f>
        <v>201092</v>
      </c>
      <c r="CW102" s="78">
        <f>[1]!s_stmnote_bank_682($A102,$A$1,1,2,100000000)</f>
        <v>79447.81</v>
      </c>
      <c r="CX102" s="79">
        <f t="shared" si="32"/>
        <v>0.39508190281065381</v>
      </c>
    </row>
    <row r="103" spans="1:102" s="46" customFormat="1" ht="13.5">
      <c r="A103" s="8" t="s">
        <v>193</v>
      </c>
      <c r="B103" s="8" t="s">
        <v>194</v>
      </c>
      <c r="C103" s="9" t="s">
        <v>195</v>
      </c>
      <c r="D103" s="9" t="s">
        <v>1061</v>
      </c>
      <c r="E103" s="10"/>
      <c r="F103" s="11" t="s">
        <v>66</v>
      </c>
      <c r="G103" s="11" t="s">
        <v>67</v>
      </c>
      <c r="H103" s="11" t="s">
        <v>103</v>
      </c>
      <c r="I103" s="11"/>
      <c r="J103" s="11" t="e">
        <f>VLOOKUP(B103,[3]额度信息!$B:$T,19,0)</f>
        <v>#N/A</v>
      </c>
      <c r="K103" s="11"/>
      <c r="L103" s="27">
        <f>IFERROR(([1]!b_stm07_bs($A103,47,$A$1,1,100000000))/[1]!b_stm07_bs($A103,109,$A$1,1,100000000),"")</f>
        <v>9.8554448301217748E-2</v>
      </c>
      <c r="M103" s="20"/>
      <c r="N103" s="18"/>
      <c r="O103" s="27" t="e">
        <f t="shared" si="24"/>
        <v>#N/A</v>
      </c>
      <c r="P103" s="21">
        <f t="shared" si="33"/>
        <v>3.1337484957891501E-2</v>
      </c>
      <c r="Q103" s="27" t="str">
        <f t="shared" si="25"/>
        <v>92 169</v>
      </c>
      <c r="R103" s="18">
        <f>IFERROR([1]!s_stmnote_bank($A103,"34",$A$1,100000000)/[1]!s_stmnote_bank_1n(A103,$A$1,1,100000000),"")</f>
        <v>1.8337484957891503E-2</v>
      </c>
      <c r="S103" s="22"/>
      <c r="T103" s="22"/>
      <c r="U103" s="22"/>
      <c r="V103" s="22"/>
      <c r="W103" s="22"/>
      <c r="X103" s="22"/>
      <c r="Y103" s="22"/>
      <c r="Z103" s="25">
        <f>[1]!b_stm07_bs(A103,74,$A$1,1,100000000)</f>
        <v>1484.1578020054001</v>
      </c>
      <c r="AA103" s="25">
        <f>[1]!b_stm07_bs(A103,109,$A$1,1,100000000)</f>
        <v>1164.3983848782</v>
      </c>
      <c r="AB103" s="10">
        <f>[1]!s_stmnote_bank_5n(A103,$A$1,1)</f>
        <v>1.3</v>
      </c>
      <c r="AC103" s="25">
        <f>IF([1]!s_stmnote_bank_23n(A103,$A$1,1)=0,"",IFERROR([1]!s_stmnote_bank_23n(A103,$A$1,1),""))</f>
        <v>227.67</v>
      </c>
      <c r="AD103" s="27" t="str">
        <f t="shared" si="26"/>
        <v>82 167</v>
      </c>
      <c r="AE103" s="25">
        <f>[1]!s_stmnote_bank_capadequacyratio(A103,$A$1,1)</f>
        <v>14</v>
      </c>
      <c r="AF103" s="25">
        <f>IF([1]!s_stmnote_bank_capadequacyratio_ct1(A103,$A$1,1)=0,"",IFERROR([1]!s_stmnote_bank_capadequacyratio_ct1(A103,$A$1,1),""))</f>
        <v>9.32</v>
      </c>
      <c r="AG103" s="27" t="str">
        <f>RANK(AF103,AF$5:AF$192,1)&amp;" "&amp;COUNTIF(AF$5:AF$192,"&gt;0")</f>
        <v>55 167</v>
      </c>
      <c r="AH103" s="6">
        <f>IF(OR([1]!s_fa_roe(A103,20201231)=0,[1]!s_fa_roe(A103,20211231)="0",[1]!s_fa_roe(A103,20221231)="0"),"",IFERROR(([1]!s_fa_roe(A103,20221231)+[1]!s_fa_roe(A103,20201231)+[1]!s_fa_roe(A103,20211231))/3,""))</f>
        <v>8.552833333333334</v>
      </c>
      <c r="AI103" s="27" t="str">
        <f t="shared" si="27"/>
        <v>87 173</v>
      </c>
      <c r="AJ103" s="28">
        <f>IFERROR(([1]!s_stmnote_bank_65(A103,$A$1,1,2,4,100000000)+[1]!s_stmnote_bank_65(A103,$A$1,1,2,6,100000000))/[1]!s_stmnote_bank_1n(A103,$A$1,1,100000000),"")</f>
        <v>0.1360059227853562</v>
      </c>
      <c r="AK103" s="28">
        <f>IFERROR([1]!s_stmnote_bank_614(A103,$A$1,1,2,100000000)/[1]!s_stmnote_bank_647(A103,$A$1,1,2,100000000),"")</f>
        <v>0.1389862019804575</v>
      </c>
      <c r="AL103" s="28">
        <f>IFERROR(([1]!b_stm07_bs(A103,104,$A$1,1,100000000)+[1]!b_stm07_bs(A103,106,$A$1,1,100000000)+[1]!b_stm07_bs(A103,76,$A$1,1,100000000)+[1]!b_stm07_bs(A103,108,$A$1,1,100000000)+[1]!b_stm07_bs(A103,95,$A$1,1,100000000))/[1]!b_stm07_bs(A103,128,$A$1,1,100000000),"")</f>
        <v>0.10443594058074102</v>
      </c>
      <c r="AM103" s="28">
        <f>IFERROR(([1]!s_stmnote_bank_614(A103,$A$1,1,2,100000000)+[1]!b_stm07_bs(A103,104,$A$1,1,100000000)+[1]!b_stm07_bs(A103,106,$A$1,1,100000000)+[1]!b_stm07_bs(A103,76,$A$1,1,100000000)+[1]!b_stm07_bs(A103,108,$A$1,1,100000000)+[1]!b_stm07_bs(A103,95,$A$1,1,100000000))/[1]!b_stm07_bs(A103,128,$A$1,1,100000000),"")</f>
        <v>0.2217797438694441</v>
      </c>
      <c r="AN103" s="31" t="e">
        <f>IF(Z103&gt;#REF!,#REF!,IF(Z103&gt;#REF!,#REF!,IF(Z103&gt;#REF!,#REF!,IF(Z103&gt;#REF!,#REF!,IF(Z103&gt;#REF!,#REF!,IF(Z103&gt;#REF!,#REF!,IF(Z103&gt;#REF!,#REF!,#REF!)))))))</f>
        <v>#REF!</v>
      </c>
      <c r="AO103" s="31" t="e">
        <f>IF(AA103&gt;#REF!,#REF!,IF(AA103&gt;#REF!,#REF!,IF(AA103&gt;#REF!,#REF!,IF(AA103&gt;#REF!,#REF!,IF(AA103&gt;#REF!,#REF!,IF(AA103&gt;#REF!,#REF!,IF(AA103&gt;#REF!,#REF!,#REF!)))))))</f>
        <v>#REF!</v>
      </c>
      <c r="AP103" s="31" t="e">
        <f>IF(AB103&lt;#REF!,#REF!,IF(AB103&lt;#REF!,#REF!,IF(AB103&lt;#REF!,#REF!,IF(AB103&lt;#REF!,#REF!,IF(AB103&lt;#REF!,#REF!,IF(AB103&lt;#REF!,#REF!,#REF!))))))</f>
        <v>#REF!</v>
      </c>
      <c r="AQ103" s="31" t="e">
        <f>IF(AC103&gt;#REF!,#REF!,IF(AC103&gt;#REF!,#REF!,IF(AC103&gt;#REF!,#REF!,IF(AC103&gt;#REF!,#REF!,#REF!))))</f>
        <v>#REF!</v>
      </c>
      <c r="AR103" s="31" t="e">
        <f>IF(AE103&gt;#REF!,#REF!,IF(AE103&gt;#REF!,#REF!,IF(AE103&gt;#REF!,#REF!,IF(AE103&gt;#REF!,#REF!,#REF!))))</f>
        <v>#REF!</v>
      </c>
      <c r="AS103" s="31" t="e">
        <f>IF(AF103&gt;#REF!,#REF!,IF(AF103&gt;#REF!,#REF!,IF(AF103&gt;#REF!,#REF!,IF(AF103&gt;#REF!,#REF!,#REF!))))</f>
        <v>#REF!</v>
      </c>
      <c r="AT103" s="31" t="e">
        <f>IF(AH103&gt;#REF!,#REF!,IF(AH103&gt;#REF!,#REF!,IF(AH103&gt;#REF!,#REF!,IF(AH103&gt;#REF!,#REF!,IF(AH103&gt;#REF!,#REF!,#REF!)))))</f>
        <v>#REF!</v>
      </c>
      <c r="AU103" s="10" t="e">
        <f t="shared" si="28"/>
        <v>#REF!</v>
      </c>
      <c r="AV103" s="10"/>
      <c r="AW103" s="10"/>
      <c r="AX103" s="10"/>
      <c r="AY103" s="31" t="str">
        <f>IFERROR(VLOOKUP(AV103,#REF!,3,0),"")</f>
        <v/>
      </c>
      <c r="AZ103" s="31" t="str">
        <f>IFERROR(VLOOKUP(AW103,#REF!,3,0),"")</f>
        <v/>
      </c>
      <c r="BA103" s="31" t="str">
        <f>IFERROR(VLOOKUP(AX103,#REF!,3,0),"")</f>
        <v/>
      </c>
      <c r="BB103" s="31" t="str">
        <f>IFERROR(AY103*#REF!+AZ103*#REF!+BA103*#REF!,"")</f>
        <v/>
      </c>
      <c r="BC103" s="32" t="str">
        <f t="shared" si="29"/>
        <v/>
      </c>
      <c r="BD103" s="32" t="str">
        <f>IFERROR(VLOOKUP(BC103*10,#REF!,2,1),"")</f>
        <v/>
      </c>
      <c r="BE103" s="10"/>
      <c r="BF103" s="10"/>
      <c r="BG103" s="10"/>
      <c r="BH103" s="11" t="s">
        <v>196</v>
      </c>
      <c r="BI103" s="10">
        <v>16.030000686645501</v>
      </c>
      <c r="BJ103" s="11" t="s">
        <v>105</v>
      </c>
      <c r="BK103" s="33" t="s">
        <v>197</v>
      </c>
      <c r="BL103" s="10">
        <f>IF([1]!s_stmnote_bank_17n(A103,$A$1,1)="0","",[1]!s_stmnote_bank_17n(A103,$A$1,1))</f>
        <v>6.03</v>
      </c>
      <c r="BM103" s="10">
        <f>IF([1]!s_stmnote_bank_18n(A103,$A$1,1)="0","",[1]!s_stmnote_bank_18n(A103,$A$1,1))</f>
        <v>42.69</v>
      </c>
      <c r="BN103" s="41" t="s">
        <v>67</v>
      </c>
      <c r="BO103" s="68" t="s">
        <v>67</v>
      </c>
      <c r="BP103" s="52">
        <f>[1]!s_stmnote_bank_5444(A103,$A$1,1)</f>
        <v>0</v>
      </c>
      <c r="BQ103" s="52">
        <f>[1]!s_stmnote_bank_129n($A103,$A$1,1)</f>
        <v>28.52</v>
      </c>
      <c r="BR103" s="52">
        <f t="shared" si="34"/>
        <v>6.1382931184485008</v>
      </c>
      <c r="BS103" s="52">
        <f>[1]!b_stm07_is(A103,19,$A$1,1,100000000)</f>
        <v>77.845246396800007</v>
      </c>
      <c r="BT103" s="52">
        <f xml:space="preserve"> [1]!s_stm07_bs(A103,"W15273164",$A$1,1,100000000)-[1]!s_stm07_bs(A103,"W17642530",$A$1,1,100000000)-[1]!s_stm07_bs(A103,"W15910877",$A$1,1,100000000)-[1]!s_stm07_bs_39(A103,$A$1,1,100000000)-[1]!s_stm07_bs(A103,"W17700468",$A$1,1,100000000)-[1]!s_stm07_bs(A103,"W16504296",$A$1,1,100000000)-[1]!s_stm07_bs(A103,"W13769069",$A$1,1,100000000)</f>
        <v>1455.0144088923003</v>
      </c>
      <c r="BU103" s="52">
        <f xml:space="preserve"> [1]!s_stm07_bs(A103,"W15273164",$B$1,1,100000000)-[1]!s_stm07_bs(A103,"W17642530",$B$1,1,100000000)-[1]!s_stm07_bs(A103,"W15910877",$B$1,1,100000000)-[1]!s_stm07_bs_39(A103,$B$1,1,100000000)-[1]!s_stm07_bs(A103,"W17700468",$B$1,1,100000000)-[1]!s_stm07_bs(A103,"W16504296",$B$1,1,100000000)-[1]!s_stm07_bs(A103,"W13769069",$B$1,1,100000000)</f>
        <v>1216.1690996766001</v>
      </c>
      <c r="BV103" s="52">
        <f xml:space="preserve"> [1]!s_stm07_bs(A103,"W15273164",$E$1,1,100000000)-[1]!s_stm07_bs(A103,"W17642530",$E$1,1,100000000)-[1]!s_stm07_bs(A103,"W15910877",$E$1,1,100000000)-[1]!s_stm07_bs_39(A103,$E$1,1,100000000)-[1]!s_stm07_bs(A103,"W17700468",$E$1,1,100000000)-[1]!s_stm07_bs(A103,"W16504296",$E$1,1,100000000)-[1]!s_stm07_bs(A103,"W13769069",$E$1,1,100000000)</f>
        <v>1391.0668894158998</v>
      </c>
      <c r="BW103" s="52">
        <f xml:space="preserve"> [1]!s_stm07_bs(A103,"W15273164",$F$1,1,100000000)-[1]!s_stm07_bs(A103,"W17642530",$F$1,1,100000000)-[1]!s_stm07_bs(A103,"W15910877",$F$1,1,100000000)-[1]!s_stm07_bs_39(A103,$F$1,1,100000000)-[1]!s_stm07_bs(A103,"W17700468",$F$1,1,100000000)-[1]!s_stm07_bs(A103,"W16504296",$F$1,1,100000000)-[1]!s_stm07_bs(A103,"W13769069",$F$1,1,100000000)</f>
        <v>1381.2407820710998</v>
      </c>
      <c r="BX103" s="52">
        <f xml:space="preserve"> [1]!s_stm07_bs(A103,"W15273164",$G$1,1,100000000)-[1]!s_stm07_bs(A103,"W17642530",$G$1,1,100000000)-[1]!s_stm07_bs(A103,"W15910877",$G$1,1,100000000)-[1]!s_stm07_bs_39(A103,$G$1,1,100000000)-[1]!s_stm07_bs(A103,"W17700468",$G$1,1,100000000)-[1]!s_stm07_bs(A103,"W16504296",$G$1,1,100000000)-[1]!s_stm07_bs(A103,"W13769069",$G$1,1,100000000)</f>
        <v>1273.8640971677999</v>
      </c>
      <c r="BY103" s="52">
        <f>IFERROR([1]!b_stm07_is(A103,20,$A$1,1,100000000)/AVERAGEIF(CA103:CE103,"&gt;0")*100,0)</f>
        <v>2.5880226648044964</v>
      </c>
      <c r="BZ103" s="52">
        <f>[1]!b_stm07_is(A103,20,$A$1,1,100000000)</f>
        <v>32.146263092600002</v>
      </c>
      <c r="CA103" s="52">
        <f>[1]!s_stmnote_bank_38(A103,$A$1,1,100000000)</f>
        <v>1368.5604192488001</v>
      </c>
      <c r="CB103" s="52">
        <f>[1]!s_stmnote_bank_38(A103,$B$1,1,100000000)</f>
        <v>1117.3452402949001</v>
      </c>
      <c r="CC103" s="52">
        <f>[1]!s_stmnote_bank_38(A103,$E$1,1,100000000)</f>
        <v>1276.0251210352999</v>
      </c>
      <c r="CD103" s="52">
        <f>[1]!s_stmnote_bank_38(A103,$F$1,1,100000000)</f>
        <v>1276.6531646106</v>
      </c>
      <c r="CE103" s="52">
        <f>[1]!s_stmnote_bank_38(A103,$G$1,1,100000000)</f>
        <v>1171.9998201246001</v>
      </c>
      <c r="CF103" s="52">
        <f>IF(BP103&lt;&gt;0,BP103,IFERROR(IF(([1]!b_stm07_is(A103,19,$A$1,1,100000000)-[1]!b_stm07_is(A103,20,$A$1,1,100000000))/AVERAGE([1]!s_stmnote_bank_35(A103,$A$1,1,100000000),[1]!s_stmnote_bank_35(A103,$B$1,1,100000000))*100=0,"",([1]!b_stm07_is(A103,19,$A$1,1,100000000)-[1]!b_stm07_is(A103,20,$A$1,1,100000000))/AVERAGE([1]!s_stmnote_bank_35(A103,$A$1,1,100000000),[1]!s_stmnote_bank_35(A103,$B$1,1,100000000))*100),""))</f>
        <v>3.549761414081396</v>
      </c>
      <c r="CG103" s="27" t="str">
        <f t="shared" si="30"/>
        <v>5 171</v>
      </c>
      <c r="CH103" s="80">
        <f t="shared" si="35"/>
        <v>1.1327524907794122</v>
      </c>
      <c r="CI103" s="27" t="str">
        <f t="shared" si="31"/>
        <v>35 169</v>
      </c>
      <c r="CJ103" s="55">
        <f>[1]!s_stmnote_bank_30(A103,$A$1,1)</f>
        <v>-25.450800000000001</v>
      </c>
      <c r="CP103" s="69">
        <f>[1]!b_stm07_bs($A103,141,$A$1,1,100000000)</f>
        <v>105.0026649571</v>
      </c>
      <c r="CQ103" s="69">
        <f>[1]!b_stm07_bs($A103,141,$D$1,1,100000000)</f>
        <v>111.11553613209999</v>
      </c>
      <c r="CR103" s="68">
        <f>IF([1]!s_fa_roic_yearly($A103,$A$1)=0,"",[1]!s_fa_roic_yearly($A103,$A$1))</f>
        <v>9.1704000000000008</v>
      </c>
      <c r="CS103" s="27">
        <f>RANK(CR103,CR$5:CR$192,0)/COUNTIF(CR$5:CR$192,"&gt;0")</f>
        <v>0.44970414201183434</v>
      </c>
      <c r="CT103" s="68">
        <f>IF([1]!s_fa_roic_yearly($A103,$D$1)=0,"",[1]!s_fa_roic_yearly($A103,$D$1))</f>
        <v>7.2009999999999996</v>
      </c>
      <c r="CU103" s="27">
        <f>RANK(CT103,CT$5:CT$192,0)/COUNTIF(CT$5:CT$192,"&gt;0")</f>
        <v>0.76760563380281688</v>
      </c>
      <c r="CV103" s="78">
        <f>[1]!s_stm07_bs(A103,"W14578191",$A$1,1,100000000)</f>
        <v>826.76311700710005</v>
      </c>
      <c r="CW103" s="78">
        <f>[1]!s_stmnote_bank_682($A103,$A$1,1,2,100000000)</f>
        <v>373.34530035059998</v>
      </c>
      <c r="CX103" s="79">
        <f t="shared" si="32"/>
        <v>0.45157469252150223</v>
      </c>
    </row>
    <row r="104" spans="1:102" s="46" customFormat="1" ht="13.5">
      <c r="A104" s="8" t="s">
        <v>242</v>
      </c>
      <c r="B104" s="13" t="s">
        <v>243</v>
      </c>
      <c r="C104" s="9" t="s">
        <v>244</v>
      </c>
      <c r="D104" s="9" t="s">
        <v>1061</v>
      </c>
      <c r="E104" s="10" t="s">
        <v>167</v>
      </c>
      <c r="F104" s="11" t="s">
        <v>178</v>
      </c>
      <c r="G104" s="11" t="s">
        <v>245</v>
      </c>
      <c r="H104" s="11" t="s">
        <v>116</v>
      </c>
      <c r="I104" s="11"/>
      <c r="J104" s="11">
        <f>VLOOKUP(B104,[3]额度信息!$B:$T,19,0)</f>
        <v>0</v>
      </c>
      <c r="K104" s="11" t="s">
        <v>246</v>
      </c>
      <c r="L104" s="27">
        <f>IFERROR(([1]!b_stm07_bs($A104,47,$A$1,1,100000000))/[1]!b_stm07_bs($A104,109,$A$1,1,100000000),"")</f>
        <v>0.34093134593877922</v>
      </c>
      <c r="M104" s="20">
        <v>90.79</v>
      </c>
      <c r="N104" s="18">
        <f>IFERROR(([1]!s_stmnote_bank_26($A104,$A$1,1,100000000)-[1]!s_stmnote_bank_26($A104,$B$1,1,100000000)+M104)/[1]!s_stmnote_bank_1n($A104,$B$1,1,100000000),"")</f>
        <v>6.1213500613521932E-2</v>
      </c>
      <c r="O104" s="27" t="str">
        <f t="shared" si="24"/>
        <v>50 50</v>
      </c>
      <c r="P104" s="21">
        <f t="shared" si="33"/>
        <v>2.9867869313242101E-2</v>
      </c>
      <c r="Q104" s="27" t="str">
        <f t="shared" si="25"/>
        <v>86 169</v>
      </c>
      <c r="R104" s="18">
        <v>1.78678693132421E-2</v>
      </c>
      <c r="S104" s="22"/>
      <c r="T104" s="22"/>
      <c r="U104" s="22"/>
      <c r="V104" s="22"/>
      <c r="W104" s="22"/>
      <c r="X104" s="22"/>
      <c r="Y104" s="22"/>
      <c r="Z104" s="25">
        <f>[1]!b_stm07_bs(A104,74,$A$1,1,100000000)</f>
        <v>4387.4780700000001</v>
      </c>
      <c r="AA104" s="25">
        <f>[1]!b_stm07_bs(A104,109,$A$1,1,100000000)</f>
        <v>3028.7433299999998</v>
      </c>
      <c r="AB104" s="10">
        <f>[1]!s_stmnote_bank_5n(A104,$A$1,1)</f>
        <v>1.2</v>
      </c>
      <c r="AC104" s="25">
        <f>IF([1]!s_stmnote_bank_23n(A104,$A$1,1)=0,"",IFERROR([1]!s_stmnote_bank_23n(A104,$A$1,1),""))</f>
        <v>467.46</v>
      </c>
      <c r="AD104" s="27" t="str">
        <f t="shared" si="26"/>
        <v>142 167</v>
      </c>
      <c r="AE104" s="25">
        <f>[1]!s_stmnote_bank_capadequacyratio(A104,$A$1,1)</f>
        <v>12.11</v>
      </c>
      <c r="AF104" s="25">
        <f>IF([1]!s_stmnote_bank_capadequacyratio_ct1(A104,$A$1,1)=0,"",IFERROR([1]!s_stmnote_bank_capadequacyratio_ct1(A104,$A$1,1),""))</f>
        <v>11.06</v>
      </c>
      <c r="AG104" s="27" t="str">
        <f>RANK(AF104,AF$5:AF$192,1)&amp;" "&amp;COUNTIF(AF$5:AF$192,"&gt;0")</f>
        <v>105 167</v>
      </c>
      <c r="AH104" s="6">
        <f>IF(OR([1]!s_fa_roe(A104,20201231)=0,[1]!s_fa_roe(A104,20211231)="0",[1]!s_fa_roe(A104,20221231)="0"),"",IFERROR(([1]!s_fa_roe(A104,20221231)+[1]!s_fa_roe(A104,20201231)+[1]!s_fa_roe(A104,20211231))/3,""))</f>
        <v>27.599133333333331</v>
      </c>
      <c r="AI104" s="27" t="str">
        <f t="shared" si="27"/>
        <v>175 173</v>
      </c>
      <c r="AJ104" s="28">
        <f>IFERROR(([1]!s_stmnote_bank_65(A104,$A$1,1,2,4,100000000)+[1]!s_stmnote_bank_65(A104,$A$1,1,2,6,100000000))/[1]!s_stmnote_bank_1n(A104,$A$1,1,100000000),"")</f>
        <v>0</v>
      </c>
      <c r="AK104" s="28">
        <f>IFERROR([1]!s_stmnote_bank_614(A104,$A$1,1,2,100000000)/[1]!s_stmnote_bank_647(A104,$A$1,1,2,100000000),"")</f>
        <v>0</v>
      </c>
      <c r="AL104" s="28">
        <f>IFERROR(([1]!b_stm07_bs(A104,104,$A$1,1,100000000)+[1]!b_stm07_bs(A104,106,$A$1,1,100000000)+[1]!b_stm07_bs(A104,76,$A$1,1,100000000)+[1]!b_stm07_bs(A104,108,$A$1,1,100000000)+[1]!b_stm07_bs(A104,95,$A$1,1,100000000))/[1]!b_stm07_bs(A104,128,$A$1,1,100000000),"")</f>
        <v>0.14564008653873153</v>
      </c>
      <c r="AM104" s="28">
        <f>IFERROR(([1]!s_stmnote_bank_614(A104,$A$1,1,2,100000000)+[1]!b_stm07_bs(A104,104,$A$1,1,100000000)+[1]!b_stm07_bs(A104,106,$A$1,1,100000000)+[1]!b_stm07_bs(A104,76,$A$1,1,100000000)+[1]!b_stm07_bs(A104,108,$A$1,1,100000000)+[1]!b_stm07_bs(A104,95,$A$1,1,100000000))/[1]!b_stm07_bs(A104,128,$A$1,1,100000000),"")</f>
        <v>0.14564008653873153</v>
      </c>
      <c r="AN104" s="31" t="e">
        <f>IF(Z104&gt;#REF!,#REF!,IF(Z104&gt;#REF!,#REF!,IF(Z104&gt;#REF!,#REF!,IF(Z104&gt;#REF!,#REF!,IF(Z104&gt;#REF!,#REF!,IF(Z104&gt;#REF!,#REF!,IF(Z104&gt;#REF!,#REF!,#REF!)))))))</f>
        <v>#REF!</v>
      </c>
      <c r="AO104" s="31" t="e">
        <f>IF(AA104&gt;#REF!,#REF!,IF(AA104&gt;#REF!,#REF!,IF(AA104&gt;#REF!,#REF!,IF(AA104&gt;#REF!,#REF!,IF(AA104&gt;#REF!,#REF!,IF(AA104&gt;#REF!,#REF!,IF(AA104&gt;#REF!,#REF!,#REF!)))))))</f>
        <v>#REF!</v>
      </c>
      <c r="AP104" s="31" t="e">
        <f>IF(AB104&lt;#REF!,#REF!,IF(AB104&lt;#REF!,#REF!,IF(AB104&lt;#REF!,#REF!,IF(AB104&lt;#REF!,#REF!,IF(AB104&lt;#REF!,#REF!,IF(AB104&lt;#REF!,#REF!,#REF!))))))</f>
        <v>#REF!</v>
      </c>
      <c r="AQ104" s="31" t="e">
        <f>IF(AC104&gt;#REF!,#REF!,IF(AC104&gt;#REF!,#REF!,IF(AC104&gt;#REF!,#REF!,IF(AC104&gt;#REF!,#REF!,#REF!))))</f>
        <v>#REF!</v>
      </c>
      <c r="AR104" s="31" t="e">
        <f>IF(AE104&gt;#REF!,#REF!,IF(AE104&gt;#REF!,#REF!,IF(AE104&gt;#REF!,#REF!,IF(AE104&gt;#REF!,#REF!,#REF!))))</f>
        <v>#REF!</v>
      </c>
      <c r="AS104" s="31" t="e">
        <f>IF(AF104&gt;#REF!,#REF!,IF(AF104&gt;#REF!,#REF!,IF(AF104&gt;#REF!,#REF!,IF(AF104&gt;#REF!,#REF!,#REF!))))</f>
        <v>#REF!</v>
      </c>
      <c r="AT104" s="31" t="e">
        <f>IF(AH104&gt;#REF!,#REF!,IF(AH104&gt;#REF!,#REF!,IF(AH104&gt;#REF!,#REF!,IF(AH104&gt;#REF!,#REF!,IF(AH104&gt;#REF!,#REF!,#REF!)))))</f>
        <v>#REF!</v>
      </c>
      <c r="AU104" s="10" t="e">
        <f t="shared" si="28"/>
        <v>#REF!</v>
      </c>
      <c r="AV104" s="10" t="s">
        <v>141</v>
      </c>
      <c r="AW104" s="10" t="s">
        <v>161</v>
      </c>
      <c r="AX104" s="10" t="s">
        <v>62</v>
      </c>
      <c r="AY104" s="31" t="str">
        <f>IFERROR(VLOOKUP(AV104,#REF!,3,0),"")</f>
        <v/>
      </c>
      <c r="AZ104" s="31" t="str">
        <f>IFERROR(VLOOKUP(AW104,#REF!,3,0),"")</f>
        <v/>
      </c>
      <c r="BA104" s="31" t="str">
        <f>IFERROR(VLOOKUP(AX104,#REF!,3,0),"")</f>
        <v/>
      </c>
      <c r="BB104" s="31" t="str">
        <f>IFERROR(AY104*#REF!+AZ104*#REF!+BA104*#REF!,"")</f>
        <v/>
      </c>
      <c r="BC104" s="32" t="str">
        <f t="shared" si="29"/>
        <v/>
      </c>
      <c r="BD104" s="32" t="str">
        <f>IFERROR(VLOOKUP(BC104*10,#REF!,2,1),"")</f>
        <v/>
      </c>
      <c r="BE104" s="11">
        <v>0</v>
      </c>
      <c r="BF104" s="11">
        <v>-2</v>
      </c>
      <c r="BG104" s="10" t="s">
        <v>247</v>
      </c>
      <c r="BH104" s="11" t="s">
        <v>248</v>
      </c>
      <c r="BI104" s="10">
        <v>30</v>
      </c>
      <c r="BJ104" s="11" t="s">
        <v>249</v>
      </c>
      <c r="BK104" s="33" t="s">
        <v>250</v>
      </c>
      <c r="BL104" s="10">
        <f>IF([1]!s_stmnote_bank_17n(A104,$A$1,1)="0","",[1]!s_stmnote_bank_17n(A104,$A$1,1))</f>
        <v>0</v>
      </c>
      <c r="BM104" s="10">
        <f>IF([1]!s_stmnote_bank_18n(A104,$A$1,1)="0","",[1]!s_stmnote_bank_18n(A104,$A$1,1))</f>
        <v>0</v>
      </c>
      <c r="BN104" s="41" t="s">
        <v>67</v>
      </c>
      <c r="BO104" s="68" t="s">
        <v>67</v>
      </c>
      <c r="BP104" s="52">
        <f>[1]!s_stmnote_bank_5444(A104,$A$1,1)</f>
        <v>4.7</v>
      </c>
      <c r="BQ104" s="52">
        <f>[1]!s_stmnote_bank_129n($A104,$A$1,1)</f>
        <v>34.840000000000003</v>
      </c>
      <c r="BR104" s="52">
        <f t="shared" si="34"/>
        <v>7.4907773145808498</v>
      </c>
      <c r="BS104" s="52">
        <f>[1]!b_stm07_is(A104,19,$A$1,1,100000000)</f>
        <v>259.00979000000001</v>
      </c>
      <c r="BT104" s="52">
        <f xml:space="preserve"> [1]!s_stm07_bs(A104,"W15273164",$A$1,1,100000000)-[1]!s_stm07_bs(A104,"W17642530",$A$1,1,100000000)-[1]!s_stm07_bs(A104,"W15910877",$A$1,1,100000000)-[1]!s_stm07_bs_39(A104,$A$1,1,100000000)-[1]!s_stm07_bs(A104,"W17700468",$A$1,1,100000000)-[1]!s_stm07_bs(A104,"W16504296",$A$1,1,100000000)-[1]!s_stm07_bs(A104,"W13769069",$A$1,1,100000000)</f>
        <v>4219.4998199999991</v>
      </c>
      <c r="BU104" s="52">
        <f xml:space="preserve"> [1]!s_stm07_bs(A104,"W15273164",$B$1,1,100000000)-[1]!s_stm07_bs(A104,"W17642530",$B$1,1,100000000)-[1]!s_stm07_bs(A104,"W15910877",$B$1,1,100000000)-[1]!s_stm07_bs_39(A104,$B$1,1,100000000)-[1]!s_stm07_bs(A104,"W17700468",$B$1,1,100000000)-[1]!s_stm07_bs(A104,"W16504296",$B$1,1,100000000)-[1]!s_stm07_bs(A104,"W13769069",$B$1,1,100000000)</f>
        <v>3348.8895000000002</v>
      </c>
      <c r="BV104" s="52">
        <f xml:space="preserve"> [1]!s_stm07_bs(A104,"W15273164",$E$1,1,100000000)-[1]!s_stm07_bs(A104,"W17642530",$E$1,1,100000000)-[1]!s_stm07_bs(A104,"W15910877",$E$1,1,100000000)-[1]!s_stm07_bs_39(A104,$E$1,1,100000000)-[1]!s_stm07_bs(A104,"W17700468",$E$1,1,100000000)-[1]!s_stm07_bs(A104,"W16504296",$E$1,1,100000000)-[1]!s_stm07_bs(A104,"W13769069",$E$1,1,100000000)</f>
        <v>0</v>
      </c>
      <c r="BW104" s="52">
        <f xml:space="preserve"> [1]!s_stm07_bs(A104,"W15273164",$F$1,1,100000000)-[1]!s_stm07_bs(A104,"W17642530",$F$1,1,100000000)-[1]!s_stm07_bs(A104,"W15910877",$F$1,1,100000000)-[1]!s_stm07_bs_39(A104,$F$1,1,100000000)-[1]!s_stm07_bs(A104,"W17700468",$F$1,1,100000000)-[1]!s_stm07_bs(A104,"W16504296",$F$1,1,100000000)-[1]!s_stm07_bs(A104,"W13769069",$F$1,1,100000000)</f>
        <v>0</v>
      </c>
      <c r="BX104" s="52">
        <f xml:space="preserve"> [1]!s_stm07_bs(A104,"W15273164",$G$1,1,100000000)-[1]!s_stm07_bs(A104,"W17642530",$G$1,1,100000000)-[1]!s_stm07_bs(A104,"W15910877",$G$1,1,100000000)-[1]!s_stm07_bs_39(A104,$G$1,1,100000000)-[1]!s_stm07_bs(A104,"W17700468",$G$1,1,100000000)-[1]!s_stm07_bs(A104,"W16504296",$G$1,1,100000000)-[1]!s_stm07_bs(A104,"W13769069",$G$1,1,100000000)</f>
        <v>0</v>
      </c>
      <c r="BY104" s="52">
        <f>IFERROR([1]!b_stm07_is(A104,20,$A$1,1,100000000)/AVERAGEIF(CA104:CE104,"&gt;0")*100,0)</f>
        <v>2.2947216045411647</v>
      </c>
      <c r="BZ104" s="52">
        <f>[1]!b_stm07_is(A104,20,$A$1,1,100000000)</f>
        <v>79.189269999999993</v>
      </c>
      <c r="CA104" s="52">
        <f>[1]!s_stmnote_bank_38(A104,$A$1,1,100000000)</f>
        <v>3839.5179600000001</v>
      </c>
      <c r="CB104" s="52">
        <f>[1]!s_stmnote_bank_38(A104,$B$1,1,100000000)</f>
        <v>3062.3449799999999</v>
      </c>
      <c r="CC104" s="52">
        <f>[1]!s_stmnote_bank_38(A104,$E$1,1,100000000)</f>
        <v>0</v>
      </c>
      <c r="CD104" s="52">
        <f>[1]!s_stmnote_bank_38(A104,$F$1,1,100000000)</f>
        <v>0</v>
      </c>
      <c r="CE104" s="52">
        <f>[1]!s_stmnote_bank_38(A104,$G$1,1,100000000)</f>
        <v>0</v>
      </c>
      <c r="CF104" s="52">
        <f>IF(BP104&lt;&gt;0,BP104,IFERROR(IF(([1]!b_stm07_is(A104,19,$A$1,1,100000000)-[1]!b_stm07_is(A104,20,$A$1,1,100000000))/AVERAGE([1]!s_stmnote_bank_35(A104,$A$1,1,100000000),[1]!s_stmnote_bank_35(A104,$B$1,1,100000000))*100=0,"",([1]!b_stm07_is(A104,19,$A$1,1,100000000)-[1]!b_stm07_is(A104,20,$A$1,1,100000000))/AVERAGE([1]!s_stmnote_bank_35(A104,$A$1,1,100000000),[1]!s_stmnote_bank_35(A104,$B$1,1,100000000))*100),""))</f>
        <v>4.7</v>
      </c>
      <c r="CG104" s="27" t="str">
        <f t="shared" si="30"/>
        <v>1 171</v>
      </c>
      <c r="CH104" s="80">
        <f t="shared" si="35"/>
        <v>1.5735973499509812</v>
      </c>
      <c r="CI104" s="27" t="str">
        <f t="shared" si="31"/>
        <v>21 169</v>
      </c>
      <c r="CJ104" s="55">
        <f>[1]!s_stmnote_bank_30(A104,$A$1,1)</f>
        <v>33.3733</v>
      </c>
      <c r="CP104" s="69">
        <f>[1]!b_stm07_bs($A104,141,$A$1,1,100000000)</f>
        <v>277.23525000000001</v>
      </c>
      <c r="CQ104" s="69">
        <f>[1]!b_stm07_bs($A104,141,$D$1,1,100000000)</f>
        <v>0</v>
      </c>
      <c r="CR104" s="68">
        <f>IF([1]!s_fa_roic_yearly($A104,$A$1)=0,"",[1]!s_fa_roic_yearly($A104,$A$1))</f>
        <v>28.240100000000002</v>
      </c>
      <c r="CS104" s="27">
        <f>RANK(CR104,CR$5:CR$192,0)/COUNTIF(CR$5:CR$192,"&gt;0")</f>
        <v>5.9171597633136093E-3</v>
      </c>
      <c r="CT104" s="68" t="str">
        <f>IF([1]!s_fa_roic_yearly($A104,$D$1)=0,"",[1]!s_fa_roic_yearly($A104,$D$1))</f>
        <v/>
      </c>
      <c r="CU104" s="27" t="e">
        <f>RANK(CT104,CT$5:CT$192,0)/COUNTIF(CT$5:CT$192,"&gt;0")</f>
        <v>#VALUE!</v>
      </c>
      <c r="CV104" s="78">
        <f>[1]!s_stm07_bs(A104,"W14578191",$A$1,1,100000000)</f>
        <v>2538.8715999999999</v>
      </c>
      <c r="CW104" s="78">
        <f>[1]!s_stmnote_bank_682($A104,$A$1,1,2,100000000)</f>
        <v>1593.35124</v>
      </c>
      <c r="CX104" s="79">
        <f t="shared" si="32"/>
        <v>0.62758244253076845</v>
      </c>
    </row>
    <row r="105" spans="1:102" s="46" customFormat="1" ht="13.5">
      <c r="A105" s="8" t="s">
        <v>896</v>
      </c>
      <c r="B105" s="8" t="s">
        <v>897</v>
      </c>
      <c r="C105" s="9" t="s">
        <v>898</v>
      </c>
      <c r="D105" s="9" t="s">
        <v>1061</v>
      </c>
      <c r="E105" s="10"/>
      <c r="F105" s="11" t="s">
        <v>90</v>
      </c>
      <c r="G105" s="11" t="s">
        <v>67</v>
      </c>
      <c r="H105" s="11" t="s">
        <v>103</v>
      </c>
      <c r="I105" s="11"/>
      <c r="J105" s="11" t="e">
        <f>VLOOKUP(B105,[3]额度信息!$B:$T,19,0)</f>
        <v>#N/A</v>
      </c>
      <c r="K105" s="11"/>
      <c r="L105" s="27">
        <f>IFERROR(([1]!b_stm07_bs($A105,47,$A$1,1,100000000))/[1]!b_stm07_bs($A105,109,$A$1,1,100000000),"")</f>
        <v>0.10309475417867441</v>
      </c>
      <c r="M105" s="20"/>
      <c r="N105" s="18"/>
      <c r="O105" s="27" t="e">
        <f t="shared" si="24"/>
        <v>#N/A</v>
      </c>
      <c r="P105" s="21">
        <f t="shared" si="33"/>
        <v>2.9654133729412127E-2</v>
      </c>
      <c r="Q105" s="27" t="str">
        <f t="shared" si="25"/>
        <v>84 169</v>
      </c>
      <c r="R105" s="18">
        <f>IFERROR([1]!s_stmnote_bank($A105,"34",$A$1,100000000)/[1]!s_stmnote_bank_1n(A105,$A$1,1,100000000),"")</f>
        <v>1.1154133729412123E-2</v>
      </c>
      <c r="S105" s="22"/>
      <c r="T105" s="22"/>
      <c r="U105" s="22"/>
      <c r="V105" s="22"/>
      <c r="W105" s="22"/>
      <c r="X105" s="22"/>
      <c r="Y105" s="22"/>
      <c r="Z105" s="25">
        <f>[1]!b_stm07_bs(A105,74,$A$1,1,100000000)</f>
        <v>1504.0422163097001</v>
      </c>
      <c r="AA105" s="25">
        <f>[1]!b_stm07_bs(A105,109,$A$1,1,100000000)</f>
        <v>1030.9897502736999</v>
      </c>
      <c r="AB105" s="10">
        <f>[1]!s_stmnote_bank_5n(A105,$A$1,1)</f>
        <v>1.85</v>
      </c>
      <c r="AC105" s="25">
        <f>IF([1]!s_stmnote_bank_23n(A105,$A$1,1)=0,"",IFERROR([1]!s_stmnote_bank_23n(A105,$A$1,1),""))</f>
        <v>278.33999999999997</v>
      </c>
      <c r="AD105" s="27" t="str">
        <f t="shared" si="26"/>
        <v>100 167</v>
      </c>
      <c r="AE105" s="25">
        <f>[1]!s_stmnote_bank_capadequacyratio(A105,$A$1,1)</f>
        <v>13.2</v>
      </c>
      <c r="AF105" s="25">
        <f>IF([1]!s_stmnote_bank_capadequacyratio_ct1(A105,$A$1,1)=0,"",IFERROR([1]!s_stmnote_bank_capadequacyratio_ct1(A105,$A$1,1),""))</f>
        <v>9.07</v>
      </c>
      <c r="AG105" s="27" t="str">
        <f>RANK(AF105,AF$5:AF$192,1)&amp;" "&amp;COUNTIF(AF$5:AF$192,"&gt;0")</f>
        <v>46 167</v>
      </c>
      <c r="AH105" s="6">
        <f>IF(OR([1]!s_fa_roe(A105,20201231)=0,[1]!s_fa_roe(A105,20211231)="0",[1]!s_fa_roe(A105,20221231)="0"),"",IFERROR(([1]!s_fa_roe(A105,20221231)+[1]!s_fa_roe(A105,20201231)+[1]!s_fa_roe(A105,20211231))/3,""))</f>
        <v>8.5053333333333345</v>
      </c>
      <c r="AI105" s="27" t="str">
        <f t="shared" si="27"/>
        <v>86 173</v>
      </c>
      <c r="AJ105" s="28">
        <f>IFERROR(([1]!s_stmnote_bank_65(A105,$A$1,1,2,4,100000000)+[1]!s_stmnote_bank_65(A105,$A$1,1,2,6,100000000))/[1]!s_stmnote_bank_1n(A105,$A$1,1,100000000),"")</f>
        <v>0.23385703490577642</v>
      </c>
      <c r="AK105" s="28">
        <f>IFERROR([1]!s_stmnote_bank_614(A105,$A$1,1,2,100000000)/[1]!s_stmnote_bank_647(A105,$A$1,1,2,100000000),"")</f>
        <v>0.42798936602285265</v>
      </c>
      <c r="AL105" s="28">
        <f>IFERROR(([1]!b_stm07_bs(A105,104,$A$1,1,100000000)+[1]!b_stm07_bs(A105,106,$A$1,1,100000000)+[1]!b_stm07_bs(A105,76,$A$1,1,100000000)+[1]!b_stm07_bs(A105,108,$A$1,1,100000000)+[1]!b_stm07_bs(A105,95,$A$1,1,100000000))/[1]!b_stm07_bs(A105,128,$A$1,1,100000000),"")</f>
        <v>0.22556043458819405</v>
      </c>
      <c r="AM105" s="28">
        <f>IFERROR(([1]!s_stmnote_bank_614(A105,$A$1,1,2,100000000)+[1]!b_stm07_bs(A105,104,$A$1,1,100000000)+[1]!b_stm07_bs(A105,106,$A$1,1,100000000)+[1]!b_stm07_bs(A105,76,$A$1,1,100000000)+[1]!b_stm07_bs(A105,108,$A$1,1,100000000)+[1]!b_stm07_bs(A105,95,$A$1,1,100000000))/[1]!b_stm07_bs(A105,128,$A$1,1,100000000),"")</f>
        <v>0.54195603508924606</v>
      </c>
      <c r="AN105" s="31" t="e">
        <f>IF(Z105&gt;#REF!,#REF!,IF(Z105&gt;#REF!,#REF!,IF(Z105&gt;#REF!,#REF!,IF(Z105&gt;#REF!,#REF!,IF(Z105&gt;#REF!,#REF!,IF(Z105&gt;#REF!,#REF!,IF(Z105&gt;#REF!,#REF!,#REF!)))))))</f>
        <v>#REF!</v>
      </c>
      <c r="AO105" s="31" t="e">
        <f>IF(AA105&gt;#REF!,#REF!,IF(AA105&gt;#REF!,#REF!,IF(AA105&gt;#REF!,#REF!,IF(AA105&gt;#REF!,#REF!,IF(AA105&gt;#REF!,#REF!,IF(AA105&gt;#REF!,#REF!,IF(AA105&gt;#REF!,#REF!,#REF!)))))))</f>
        <v>#REF!</v>
      </c>
      <c r="AP105" s="31" t="e">
        <f>IF(AB105&lt;#REF!,#REF!,IF(AB105&lt;#REF!,#REF!,IF(AB105&lt;#REF!,#REF!,IF(AB105&lt;#REF!,#REF!,IF(AB105&lt;#REF!,#REF!,IF(AB105&lt;#REF!,#REF!,#REF!))))))</f>
        <v>#REF!</v>
      </c>
      <c r="AQ105" s="31" t="e">
        <f>IF(AC105&gt;#REF!,#REF!,IF(AC105&gt;#REF!,#REF!,IF(AC105&gt;#REF!,#REF!,IF(AC105&gt;#REF!,#REF!,#REF!))))</f>
        <v>#REF!</v>
      </c>
      <c r="AR105" s="31" t="e">
        <f>IF(AE105&gt;#REF!,#REF!,IF(AE105&gt;#REF!,#REF!,IF(AE105&gt;#REF!,#REF!,IF(AE105&gt;#REF!,#REF!,#REF!))))</f>
        <v>#REF!</v>
      </c>
      <c r="AS105" s="31" t="e">
        <f>IF(AF105&gt;#REF!,#REF!,IF(AF105&gt;#REF!,#REF!,IF(AF105&gt;#REF!,#REF!,IF(AF105&gt;#REF!,#REF!,#REF!))))</f>
        <v>#REF!</v>
      </c>
      <c r="AT105" s="31" t="e">
        <f>IF(AH105&gt;#REF!,#REF!,IF(AH105&gt;#REF!,#REF!,IF(AH105&gt;#REF!,#REF!,IF(AH105&gt;#REF!,#REF!,IF(AH105&gt;#REF!,#REF!,#REF!)))))</f>
        <v>#REF!</v>
      </c>
      <c r="AU105" s="10" t="e">
        <f t="shared" si="28"/>
        <v>#REF!</v>
      </c>
      <c r="AV105" s="10"/>
      <c r="AW105" s="10"/>
      <c r="AX105" s="10"/>
      <c r="AY105" s="31" t="str">
        <f>IFERROR(VLOOKUP(AV105,#REF!,3,0),"")</f>
        <v/>
      </c>
      <c r="AZ105" s="31" t="str">
        <f>IFERROR(VLOOKUP(AW105,#REF!,3,0),"")</f>
        <v/>
      </c>
      <c r="BA105" s="31" t="str">
        <f>IFERROR(VLOOKUP(AX105,#REF!,3,0),"")</f>
        <v/>
      </c>
      <c r="BB105" s="31" t="str">
        <f>IFERROR(AY105*#REF!+AZ105*#REF!+BA105*#REF!,"")</f>
        <v/>
      </c>
      <c r="BC105" s="32" t="str">
        <f t="shared" si="29"/>
        <v/>
      </c>
      <c r="BD105" s="32" t="str">
        <f>IFERROR(VLOOKUP(BC105*10,#REF!,2,1),"")</f>
        <v/>
      </c>
      <c r="BE105" s="10"/>
      <c r="BF105" s="10"/>
      <c r="BG105" s="10"/>
      <c r="BH105" s="11" t="s">
        <v>899</v>
      </c>
      <c r="BI105" s="10">
        <v>20</v>
      </c>
      <c r="BJ105" s="11" t="s">
        <v>319</v>
      </c>
      <c r="BK105" s="33" t="s">
        <v>900</v>
      </c>
      <c r="BL105" s="10">
        <f>IF([1]!s_stmnote_bank_17n(A105,$A$1,1)="0","",[1]!s_stmnote_bank_17n(A105,$A$1,1))</f>
        <v>7.68</v>
      </c>
      <c r="BM105" s="10">
        <f>IF([1]!s_stmnote_bank_18n(A105,$A$1,1)="0","",[1]!s_stmnote_bank_18n(A105,$A$1,1))</f>
        <v>0</v>
      </c>
      <c r="BN105" s="41" t="s">
        <v>67</v>
      </c>
      <c r="BO105" s="68" t="s">
        <v>67</v>
      </c>
      <c r="BP105" s="52">
        <f>[1]!s_stmnote_bank_5444(A105,$A$1,1)</f>
        <v>2.48</v>
      </c>
      <c r="BQ105" s="52">
        <f>[1]!s_stmnote_bank_129n($A105,$A$1,1)</f>
        <v>26.72</v>
      </c>
      <c r="BR105" s="52">
        <f t="shared" si="34"/>
        <v>4.8793176147454176</v>
      </c>
      <c r="BS105" s="52">
        <f>[1]!b_stm07_is(A105,19,$A$1,1,100000000)</f>
        <v>62.575107438999993</v>
      </c>
      <c r="BT105" s="52">
        <f xml:space="preserve"> [1]!s_stm07_bs(A105,"W15273164",$A$1,1,100000000)-[1]!s_stm07_bs(A105,"W17642530",$A$1,1,100000000)-[1]!s_stm07_bs(A105,"W15910877",$A$1,1,100000000)-[1]!s_stm07_bs_39(A105,$A$1,1,100000000)-[1]!s_stm07_bs(A105,"W17700468",$A$1,1,100000000)-[1]!s_stm07_bs(A105,"W16504296",$A$1,1,100000000)-[1]!s_stm07_bs(A105,"W13769069",$A$1,1,100000000)</f>
        <v>1481.044398132</v>
      </c>
      <c r="BU105" s="52">
        <f xml:space="preserve"> [1]!s_stm07_bs(A105,"W15273164",$B$1,1,100000000)-[1]!s_stm07_bs(A105,"W17642530",$B$1,1,100000000)-[1]!s_stm07_bs(A105,"W15910877",$B$1,1,100000000)-[1]!s_stm07_bs_39(A105,$B$1,1,100000000)-[1]!s_stm07_bs(A105,"W17700468",$B$1,1,100000000)-[1]!s_stm07_bs(A105,"W16504296",$B$1,1,100000000)-[1]!s_stm07_bs(A105,"W13769069",$B$1,1,100000000)</f>
        <v>1241.7438304727002</v>
      </c>
      <c r="BV105" s="52">
        <f xml:space="preserve"> [1]!s_stm07_bs(A105,"W15273164",$E$1,1,100000000)-[1]!s_stm07_bs(A105,"W17642530",$E$1,1,100000000)-[1]!s_stm07_bs(A105,"W15910877",$E$1,1,100000000)-[1]!s_stm07_bs_39(A105,$E$1,1,100000000)-[1]!s_stm07_bs(A105,"W17700468",$E$1,1,100000000)-[1]!s_stm07_bs(A105,"W16504296",$E$1,1,100000000)-[1]!s_stm07_bs(A105,"W13769069",$E$1,1,100000000)</f>
        <v>1331.9443005491003</v>
      </c>
      <c r="BW105" s="52">
        <f xml:space="preserve"> [1]!s_stm07_bs(A105,"W15273164",$F$1,1,100000000)-[1]!s_stm07_bs(A105,"W17642530",$F$1,1,100000000)-[1]!s_stm07_bs(A105,"W15910877",$F$1,1,100000000)-[1]!s_stm07_bs_39(A105,$F$1,1,100000000)-[1]!s_stm07_bs(A105,"W17700468",$F$1,1,100000000)-[1]!s_stm07_bs(A105,"W16504296",$F$1,1,100000000)-[1]!s_stm07_bs(A105,"W13769069",$F$1,1,100000000)</f>
        <v>1375.0496318539997</v>
      </c>
      <c r="BX105" s="52">
        <f xml:space="preserve"> [1]!s_stm07_bs(A105,"W15273164",$G$1,1,100000000)-[1]!s_stm07_bs(A105,"W17642530",$G$1,1,100000000)-[1]!s_stm07_bs(A105,"W15910877",$G$1,1,100000000)-[1]!s_stm07_bs_39(A105,$G$1,1,100000000)-[1]!s_stm07_bs(A105,"W17700468",$G$1,1,100000000)-[1]!s_stm07_bs(A105,"W16504296",$G$1,1,100000000)-[1]!s_stm07_bs(A105,"W13769069",$G$1,1,100000000)</f>
        <v>1220.5764433814998</v>
      </c>
      <c r="BY105" s="52">
        <f>IFERROR([1]!b_stm07_is(A105,20,$A$1,1,100000000)/AVERAGEIF(CA105:CE105,"&gt;0")*100,0)</f>
        <v>2.6078592759609798</v>
      </c>
      <c r="BZ105" s="52">
        <f>[1]!b_stm07_is(A105,20,$A$1,1,100000000)</f>
        <v>32.126638572099999</v>
      </c>
      <c r="CA105" s="52">
        <f>[1]!s_stmnote_bank_38(A105,$A$1,1,100000000)</f>
        <v>1379.8099901482999</v>
      </c>
      <c r="CB105" s="52">
        <f>[1]!s_stmnote_bank_38(A105,$B$1,1,100000000)</f>
        <v>1094.7659741087</v>
      </c>
      <c r="CC105" s="52">
        <f>[1]!s_stmnote_bank_38(A105,$E$1,1,100000000)</f>
        <v>1242.3182583747</v>
      </c>
      <c r="CD105" s="52">
        <f>[1]!s_stmnote_bank_38(A105,$F$1,1,100000000)</f>
        <v>1297.0097977007999</v>
      </c>
      <c r="CE105" s="52">
        <f>[1]!s_stmnote_bank_38(A105,$G$1,1,100000000)</f>
        <v>1145.6765345388001</v>
      </c>
      <c r="CF105" s="52">
        <f>IF(BP105&lt;&gt;0,BP105,IFERROR(IF(([1]!b_stm07_is(A105,19,$A$1,1,100000000)-[1]!b_stm07_is(A105,20,$A$1,1,100000000))/AVERAGE([1]!s_stmnote_bank_35(A105,$A$1,1,100000000),[1]!s_stmnote_bank_35(A105,$B$1,1,100000000))*100=0,"",([1]!b_stm07_is(A105,19,$A$1,1,100000000)-[1]!b_stm07_is(A105,20,$A$1,1,100000000))/AVERAGE([1]!s_stmnote_bank_35(A105,$A$1,1,100000000),[1]!s_stmnote_bank_35(A105,$B$1,1,100000000))*100),""))</f>
        <v>2.48</v>
      </c>
      <c r="CG105" s="27" t="str">
        <f t="shared" si="30"/>
        <v>27 171</v>
      </c>
      <c r="CH105" s="80">
        <f t="shared" si="35"/>
        <v>0.83630836180530177</v>
      </c>
      <c r="CI105" s="27" t="str">
        <f t="shared" si="31"/>
        <v>61 169</v>
      </c>
      <c r="CJ105" s="55">
        <f>[1]!s_stmnote_bank_30(A105,$A$1,1)</f>
        <v>21.2394</v>
      </c>
      <c r="CP105" s="69">
        <f>[1]!b_stm07_bs($A105,141,$A$1,1,100000000)</f>
        <v>109.4190012684</v>
      </c>
      <c r="CQ105" s="69">
        <f>[1]!b_stm07_bs($A105,141,$D$1,1,100000000)</f>
        <v>117.9087630291</v>
      </c>
      <c r="CR105" s="68">
        <f>IF([1]!s_fa_roic_yearly($A105,$A$1)=0,"",[1]!s_fa_roic_yearly($A105,$A$1))</f>
        <v>8.0752000000000006</v>
      </c>
      <c r="CS105" s="27">
        <f>RANK(CR105,CR$5:CR$192,0)/COUNTIF(CR$5:CR$192,"&gt;0")</f>
        <v>0.59171597633136097</v>
      </c>
      <c r="CT105" s="68">
        <f>IF([1]!s_fa_roic_yearly($A105,$D$1)=0,"",[1]!s_fa_roic_yearly($A105,$D$1))</f>
        <v>12.6792</v>
      </c>
      <c r="CU105" s="27">
        <f>RANK(CT105,CT$5:CT$192,0)/COUNTIF(CT$5:CT$192,"&gt;0")</f>
        <v>0.21126760563380281</v>
      </c>
      <c r="CV105" s="78">
        <f>[1]!s_stm07_bs(A105,"W14578191",$A$1,1,100000000)</f>
        <v>766.50843409909999</v>
      </c>
      <c r="CW105" s="78">
        <f>[1]!s_stmnote_bank_682($A105,$A$1,1,2,100000000)</f>
        <v>66.580521728800008</v>
      </c>
      <c r="CX105" s="79">
        <f t="shared" si="32"/>
        <v>8.6862086269219027E-2</v>
      </c>
    </row>
    <row r="106" spans="1:102" s="46" customFormat="1" ht="13.5">
      <c r="A106" s="8" t="s">
        <v>218</v>
      </c>
      <c r="B106" s="8" t="s">
        <v>219</v>
      </c>
      <c r="C106" s="9" t="s">
        <v>220</v>
      </c>
      <c r="D106" s="9" t="s">
        <v>1061</v>
      </c>
      <c r="E106" s="10"/>
      <c r="F106" s="11" t="s">
        <v>66</v>
      </c>
      <c r="G106" s="11" t="s">
        <v>67</v>
      </c>
      <c r="H106" s="11" t="s">
        <v>116</v>
      </c>
      <c r="I106" s="11"/>
      <c r="J106" s="11" t="e">
        <f>VLOOKUP(B106,[3]额度信息!$B:$T,19,0)</f>
        <v>#N/A</v>
      </c>
      <c r="K106" s="11"/>
      <c r="L106" s="27">
        <f>IFERROR(([1]!b_stm07_bs($A106,47,$A$1,1,100000000))/[1]!b_stm07_bs($A106,109,$A$1,1,100000000),"")</f>
        <v>0.17190912982405973</v>
      </c>
      <c r="M106" s="20"/>
      <c r="N106" s="18"/>
      <c r="O106" s="27" t="e">
        <f t="shared" si="24"/>
        <v>#N/A</v>
      </c>
      <c r="P106" s="21">
        <f t="shared" si="33"/>
        <v>2.2505610326826214E-2</v>
      </c>
      <c r="Q106" s="27" t="str">
        <f t="shared" si="25"/>
        <v>50 169</v>
      </c>
      <c r="R106" s="18">
        <f>IFERROR([1]!s_stmnote_bank($A106,"34",$A$1,100000000)/[1]!s_stmnote_bank_1n(A106,$A$1,1,100000000),"")</f>
        <v>1.5005610326826216E-2</v>
      </c>
      <c r="S106" s="22"/>
      <c r="T106" s="22"/>
      <c r="U106" s="22"/>
      <c r="V106" s="22"/>
      <c r="W106" s="22"/>
      <c r="X106" s="22"/>
      <c r="Y106" s="22"/>
      <c r="Z106" s="25">
        <f>[1]!b_stm07_bs(A106,74,$A$1,1,100000000)</f>
        <v>3247.9682605582002</v>
      </c>
      <c r="AA106" s="25">
        <f>[1]!b_stm07_bs(A106,109,$A$1,1,100000000)</f>
        <v>2236.4937726232997</v>
      </c>
      <c r="AB106" s="10">
        <f>[1]!s_stmnote_bank_5n(A106,$A$1,1)</f>
        <v>0.75</v>
      </c>
      <c r="AC106" s="25">
        <f>IF([1]!s_stmnote_bank_23n(A106,$A$1,1)=0,"",IFERROR([1]!s_stmnote_bank_23n(A106,$A$1,1),""))</f>
        <v>188.77</v>
      </c>
      <c r="AD106" s="27" t="str">
        <f t="shared" si="26"/>
        <v>57 167</v>
      </c>
      <c r="AE106" s="25">
        <f>[1]!s_stmnote_bank_capadequacyratio(A106,$A$1,1)</f>
        <v>11.33</v>
      </c>
      <c r="AF106" s="25">
        <f>IF([1]!s_stmnote_bank_capadequacyratio_ct1(A106,$A$1,1)=0,"",IFERROR([1]!s_stmnote_bank_capadequacyratio_ct1(A106,$A$1,1),""))</f>
        <v>10.18</v>
      </c>
      <c r="AG106" s="27" t="str">
        <f>RANK(AF106,AF$5:AF$192,1)&amp;" "&amp;COUNTIF(AF$5:AF$192,"&gt;0")</f>
        <v>89 167</v>
      </c>
      <c r="AH106" s="6">
        <f>IF(OR([1]!s_fa_roe(A106,20201231)=0,[1]!s_fa_roe(A106,20211231)="0",[1]!s_fa_roe(A106,20221231)="0"),"",IFERROR(([1]!s_fa_roe(A106,20221231)+[1]!s_fa_roe(A106,20201231)+[1]!s_fa_roe(A106,20211231))/3,""))</f>
        <v>2.2425666666666668</v>
      </c>
      <c r="AI106" s="27" t="str">
        <f t="shared" si="27"/>
        <v>11 173</v>
      </c>
      <c r="AJ106" s="28">
        <f>IFERROR(([1]!s_stmnote_bank_65(A106,$A$1,1,2,4,100000000)+[1]!s_stmnote_bank_65(A106,$A$1,1,2,6,100000000))/[1]!s_stmnote_bank_1n(A106,$A$1,1,100000000),"")</f>
        <v>0.14676866617492262</v>
      </c>
      <c r="AK106" s="28">
        <f>IFERROR([1]!s_stmnote_bank_614(A106,$A$1,1,2,100000000)/[1]!s_stmnote_bank_647(A106,$A$1,1,2,100000000),"")</f>
        <v>0</v>
      </c>
      <c r="AL106" s="28">
        <f>IFERROR(([1]!b_stm07_bs(A106,104,$A$1,1,100000000)+[1]!b_stm07_bs(A106,106,$A$1,1,100000000)+[1]!b_stm07_bs(A106,76,$A$1,1,100000000)+[1]!b_stm07_bs(A106,108,$A$1,1,100000000)+[1]!b_stm07_bs(A106,95,$A$1,1,100000000))/[1]!b_stm07_bs(A106,128,$A$1,1,100000000),"")</f>
        <v>9.9630240147240812E-2</v>
      </c>
      <c r="AM106" s="28">
        <f>IFERROR(([1]!s_stmnote_bank_614(A106,$A$1,1,2,100000000)+[1]!b_stm07_bs(A106,104,$A$1,1,100000000)+[1]!b_stm07_bs(A106,106,$A$1,1,100000000)+[1]!b_stm07_bs(A106,76,$A$1,1,100000000)+[1]!b_stm07_bs(A106,108,$A$1,1,100000000)+[1]!b_stm07_bs(A106,95,$A$1,1,100000000))/[1]!b_stm07_bs(A106,128,$A$1,1,100000000),"")</f>
        <v>9.9630240147240812E-2</v>
      </c>
      <c r="AN106" s="31" t="e">
        <f>IF(Z106&gt;#REF!,#REF!,IF(Z106&gt;#REF!,#REF!,IF(Z106&gt;#REF!,#REF!,IF(Z106&gt;#REF!,#REF!,IF(Z106&gt;#REF!,#REF!,IF(Z106&gt;#REF!,#REF!,IF(Z106&gt;#REF!,#REF!,#REF!)))))))</f>
        <v>#REF!</v>
      </c>
      <c r="AO106" s="31" t="e">
        <f>IF(AA106&gt;#REF!,#REF!,IF(AA106&gt;#REF!,#REF!,IF(AA106&gt;#REF!,#REF!,IF(AA106&gt;#REF!,#REF!,IF(AA106&gt;#REF!,#REF!,IF(AA106&gt;#REF!,#REF!,IF(AA106&gt;#REF!,#REF!,#REF!)))))))</f>
        <v>#REF!</v>
      </c>
      <c r="AP106" s="31" t="e">
        <f>IF(AB106&lt;#REF!,#REF!,IF(AB106&lt;#REF!,#REF!,IF(AB106&lt;#REF!,#REF!,IF(AB106&lt;#REF!,#REF!,IF(AB106&lt;#REF!,#REF!,IF(AB106&lt;#REF!,#REF!,#REF!))))))</f>
        <v>#REF!</v>
      </c>
      <c r="AQ106" s="31" t="e">
        <f>IF(AC106&gt;#REF!,#REF!,IF(AC106&gt;#REF!,#REF!,IF(AC106&gt;#REF!,#REF!,IF(AC106&gt;#REF!,#REF!,#REF!))))</f>
        <v>#REF!</v>
      </c>
      <c r="AR106" s="31" t="e">
        <f>IF(AE106&gt;#REF!,#REF!,IF(AE106&gt;#REF!,#REF!,IF(AE106&gt;#REF!,#REF!,IF(AE106&gt;#REF!,#REF!,#REF!))))</f>
        <v>#REF!</v>
      </c>
      <c r="AS106" s="31" t="e">
        <f>IF(AF106&gt;#REF!,#REF!,IF(AF106&gt;#REF!,#REF!,IF(AF106&gt;#REF!,#REF!,IF(AF106&gt;#REF!,#REF!,#REF!))))</f>
        <v>#REF!</v>
      </c>
      <c r="AT106" s="31" t="e">
        <f>IF(AH106&gt;#REF!,#REF!,IF(AH106&gt;#REF!,#REF!,IF(AH106&gt;#REF!,#REF!,IF(AH106&gt;#REF!,#REF!,IF(AH106&gt;#REF!,#REF!,#REF!)))))</f>
        <v>#REF!</v>
      </c>
      <c r="AU106" s="10" t="e">
        <f t="shared" si="28"/>
        <v>#REF!</v>
      </c>
      <c r="AV106" s="10" t="s">
        <v>60</v>
      </c>
      <c r="AW106" s="10" t="s">
        <v>61</v>
      </c>
      <c r="AX106" s="10" t="s">
        <v>68</v>
      </c>
      <c r="AY106" s="31" t="str">
        <f>IFERROR(VLOOKUP(AV106,#REF!,3,0),"")</f>
        <v/>
      </c>
      <c r="AZ106" s="31" t="str">
        <f>IFERROR(VLOOKUP(AW106,#REF!,3,0),"")</f>
        <v/>
      </c>
      <c r="BA106" s="31" t="str">
        <f>IFERROR(VLOOKUP(AX106,#REF!,3,0),"")</f>
        <v/>
      </c>
      <c r="BB106" s="31" t="str">
        <f>IFERROR(AY106*#REF!+AZ106*#REF!+BA106*#REF!,"")</f>
        <v/>
      </c>
      <c r="BC106" s="32" t="str">
        <f t="shared" si="29"/>
        <v/>
      </c>
      <c r="BD106" s="32" t="str">
        <f>IFERROR(VLOOKUP(BC106*10,#REF!,2,1),"")</f>
        <v/>
      </c>
      <c r="BE106" s="10"/>
      <c r="BF106" s="10"/>
      <c r="BG106" s="10"/>
      <c r="BH106" s="11" t="s">
        <v>221</v>
      </c>
      <c r="BI106" s="10">
        <v>25.329999923706101</v>
      </c>
      <c r="BJ106" s="33" t="s">
        <v>111</v>
      </c>
      <c r="BK106" s="33" t="s">
        <v>222</v>
      </c>
      <c r="BL106" s="10">
        <f>IF([1]!s_stmnote_bank_17n(A106,$A$1,1)="0","",[1]!s_stmnote_bank_17n(A106,$A$1,1))</f>
        <v>8.11</v>
      </c>
      <c r="BM106" s="10">
        <f>IF([1]!s_stmnote_bank_18n(A106,$A$1,1)="0","",[1]!s_stmnote_bank_18n(A106,$A$1,1))</f>
        <v>43.88</v>
      </c>
      <c r="BN106" s="41" t="s">
        <v>67</v>
      </c>
      <c r="BO106" s="68" t="s">
        <v>67</v>
      </c>
      <c r="BP106" s="52">
        <f>[1]!s_stmnote_bank_5444(A106,$A$1,1)</f>
        <v>1.38</v>
      </c>
      <c r="BQ106" s="52">
        <f>[1]!s_stmnote_bank_129n($A106,$A$1,1)</f>
        <v>38.86</v>
      </c>
      <c r="BR106" s="52">
        <f t="shared" si="34"/>
        <v>4.1049187859402547</v>
      </c>
      <c r="BS106" s="52">
        <f>[1]!b_stm07_is(A106,19,$A$1,1,100000000)</f>
        <v>116.27068855809999</v>
      </c>
      <c r="BT106" s="52">
        <f xml:space="preserve"> [1]!s_stm07_bs(A106,"W15273164",$A$1,1,100000000)-[1]!s_stm07_bs(A106,"W17642530",$A$1,1,100000000)-[1]!s_stm07_bs(A106,"W15910877",$A$1,1,100000000)-[1]!s_stm07_bs_39(A106,$A$1,1,100000000)-[1]!s_stm07_bs(A106,"W17700468",$A$1,1,100000000)-[1]!s_stm07_bs(A106,"W16504296",$A$1,1,100000000)-[1]!s_stm07_bs(A106,"W13769069",$A$1,1,100000000)</f>
        <v>3153.3479327605</v>
      </c>
      <c r="BU106" s="52">
        <f xml:space="preserve"> [1]!s_stm07_bs(A106,"W15273164",$B$1,1,100000000)-[1]!s_stm07_bs(A106,"W17642530",$B$1,1,100000000)-[1]!s_stm07_bs(A106,"W15910877",$B$1,1,100000000)-[1]!s_stm07_bs_39(A106,$B$1,1,100000000)-[1]!s_stm07_bs(A106,"W17700468",$B$1,1,100000000)-[1]!s_stm07_bs(A106,"W16504296",$B$1,1,100000000)-[1]!s_stm07_bs(A106,"W13769069",$B$1,1,100000000)</f>
        <v>2786.2283750054999</v>
      </c>
      <c r="BV106" s="52">
        <f xml:space="preserve"> [1]!s_stm07_bs(A106,"W15273164",$E$1,1,100000000)-[1]!s_stm07_bs(A106,"W17642530",$E$1,1,100000000)-[1]!s_stm07_bs(A106,"W15910877",$E$1,1,100000000)-[1]!s_stm07_bs_39(A106,$E$1,1,100000000)-[1]!s_stm07_bs(A106,"W17700468",$E$1,1,100000000)-[1]!s_stm07_bs(A106,"W16504296",$E$1,1,100000000)-[1]!s_stm07_bs(A106,"W13769069",$E$1,1,100000000)</f>
        <v>2846.4507649413008</v>
      </c>
      <c r="BW106" s="52">
        <f xml:space="preserve"> [1]!s_stm07_bs(A106,"W15273164",$F$1,1,100000000)-[1]!s_stm07_bs(A106,"W17642530",$F$1,1,100000000)-[1]!s_stm07_bs(A106,"W15910877",$F$1,1,100000000)-[1]!s_stm07_bs_39(A106,$F$1,1,100000000)-[1]!s_stm07_bs(A106,"W17700468",$F$1,1,100000000)-[1]!s_stm07_bs(A106,"W16504296",$F$1,1,100000000)-[1]!s_stm07_bs(A106,"W13769069",$F$1,1,100000000)</f>
        <v>2838.7663054955001</v>
      </c>
      <c r="BX106" s="52">
        <f xml:space="preserve"> [1]!s_stm07_bs(A106,"W15273164",$G$1,1,100000000)-[1]!s_stm07_bs(A106,"W17642530",$G$1,1,100000000)-[1]!s_stm07_bs(A106,"W15910877",$G$1,1,100000000)-[1]!s_stm07_bs_39(A106,$G$1,1,100000000)-[1]!s_stm07_bs(A106,"W17700468",$G$1,1,100000000)-[1]!s_stm07_bs(A106,"W16504296",$G$1,1,100000000)-[1]!s_stm07_bs(A106,"W13769069",$G$1,1,100000000)</f>
        <v>2811.57</v>
      </c>
      <c r="BY106" s="52">
        <f>IFERROR([1]!b_stm07_is(A106,20,$A$1,1,100000000)/AVERAGEIF(CA106:CE106,"&gt;0")*100,0)</f>
        <v>3.1202859548109947</v>
      </c>
      <c r="BZ106" s="52">
        <f>[1]!b_stm07_is(A106,20,$A$1,1,100000000)</f>
        <v>75.041099948199999</v>
      </c>
      <c r="CA106" s="52">
        <f>[1]!s_stmnote_bank_38(A106,$A$1,1,100000000)</f>
        <v>2635.6957791925001</v>
      </c>
      <c r="CB106" s="52">
        <f>[1]!s_stmnote_bank_38(A106,$B$1,1,100000000)</f>
        <v>2359.5907659129998</v>
      </c>
      <c r="CC106" s="52">
        <f>[1]!s_stmnote_bank_38(A106,$E$1,1,100000000)</f>
        <v>2317.8430782129003</v>
      </c>
      <c r="CD106" s="52">
        <f>[1]!s_stmnote_bank_38(A106,$F$1,1,100000000)</f>
        <v>2306.6425430753002</v>
      </c>
      <c r="CE106" s="52">
        <f>[1]!s_stmnote_bank_38(A106,$G$1,1,100000000)</f>
        <v>0</v>
      </c>
      <c r="CF106" s="52">
        <f>IF(BP106&lt;&gt;0,BP106,IFERROR(IF(([1]!b_stm07_is(A106,19,$A$1,1,100000000)-[1]!b_stm07_is(A106,20,$A$1,1,100000000))/AVERAGE([1]!s_stmnote_bank_35(A106,$A$1,1,100000000),[1]!s_stmnote_bank_35(A106,$B$1,1,100000000))*100=0,"",([1]!b_stm07_is(A106,19,$A$1,1,100000000)-[1]!b_stm07_is(A106,20,$A$1,1,100000000))/AVERAGE([1]!s_stmnote_bank_35(A106,$A$1,1,100000000),[1]!s_stmnote_bank_35(A106,$B$1,1,100000000))*100),""))</f>
        <v>1.38</v>
      </c>
      <c r="CG106" s="27" t="str">
        <f t="shared" si="30"/>
        <v>159 171</v>
      </c>
      <c r="CH106" s="80">
        <f t="shared" si="35"/>
        <v>0.61318043810394651</v>
      </c>
      <c r="CI106" s="27" t="str">
        <f t="shared" si="31"/>
        <v>93 169</v>
      </c>
      <c r="CJ106" s="55">
        <f>[1]!s_stmnote_bank_30(A106,$A$1,1)</f>
        <v>25.6111</v>
      </c>
      <c r="CK106" s="48"/>
      <c r="CL106" s="48"/>
      <c r="CM106" s="48"/>
      <c r="CN106" s="48"/>
      <c r="CO106" s="48"/>
      <c r="CP106" s="69">
        <f>[1]!b_stm07_bs($A106,141,$A$1,1,100000000)</f>
        <v>199.8739706298</v>
      </c>
      <c r="CQ106" s="69">
        <f>[1]!b_stm07_bs($A106,141,$D$1,1,100000000)</f>
        <v>202.699696808</v>
      </c>
      <c r="CR106" s="68">
        <f>IF([1]!s_fa_roic_yearly($A106,$A$1)=0,"",[1]!s_fa_roic_yearly($A106,$A$1))</f>
        <v>1.1099000000000001</v>
      </c>
      <c r="CS106" s="27">
        <f>RANK(CR106,CR$5:CR$192,0)/COUNTIF(CR$5:CR$192,"&gt;0")</f>
        <v>0.96449704142011838</v>
      </c>
      <c r="CT106" s="68">
        <f>IF([1]!s_fa_roic_yearly($A106,$D$1)=0,"",[1]!s_fa_roic_yearly($A106,$D$1))</f>
        <v>3.6358000000000001</v>
      </c>
      <c r="CU106" s="27">
        <f>RANK(CT106,CT$5:CT$192,0)/COUNTIF(CT$5:CT$192,"&gt;0")</f>
        <v>0.94366197183098588</v>
      </c>
      <c r="CV106" s="78">
        <f>[1]!s_stm07_bs(A106,"W14578191",$A$1,1,100000000)</f>
        <v>1708.2361943878</v>
      </c>
      <c r="CW106" s="78">
        <f>[1]!s_stmnote_bank_682($A106,$A$1,1,2,100000000)</f>
        <v>647.69896116450002</v>
      </c>
      <c r="CX106" s="79">
        <f t="shared" si="32"/>
        <v>0.37916241518148097</v>
      </c>
    </row>
    <row r="107" spans="1:102" s="46" customFormat="1" ht="13.5">
      <c r="A107" s="8" t="s">
        <v>636</v>
      </c>
      <c r="B107" s="8" t="s">
        <v>637</v>
      </c>
      <c r="C107" s="9" t="s">
        <v>638</v>
      </c>
      <c r="D107" s="9" t="s">
        <v>1063</v>
      </c>
      <c r="E107" s="10" t="s">
        <v>456</v>
      </c>
      <c r="F107" s="11" t="s">
        <v>178</v>
      </c>
      <c r="G107" s="11" t="s">
        <v>178</v>
      </c>
      <c r="H107" s="11" t="s">
        <v>178</v>
      </c>
      <c r="I107" s="11"/>
      <c r="J107" s="11">
        <f>VLOOKUP(B107,[3]额度信息!$B:$T,19,0)</f>
        <v>0</v>
      </c>
      <c r="K107" s="11" t="s">
        <v>639</v>
      </c>
      <c r="L107" s="27">
        <f>IFERROR(([1]!b_stm07_bs($A107,47,$A$1,1,100000000))/[1]!b_stm07_bs($A107,109,$A$1,1,100000000),"")</f>
        <v>0.12350484703970459</v>
      </c>
      <c r="M107" s="20">
        <v>2534.79</v>
      </c>
      <c r="N107" s="18">
        <f>IFERROR(([1]!s_stmnote_bank_26($A107,$A$1,1,100000000)-[1]!s_stmnote_bank_26($A107,$B$1,1,100000000)+M107)/[1]!s_stmnote_bank_1n($A107,$B$1,1,100000000),"")</f>
        <v>1.5455905038216224E-2</v>
      </c>
      <c r="O107" s="27" t="str">
        <f t="shared" si="24"/>
        <v>37 50</v>
      </c>
      <c r="P107" s="21">
        <f t="shared" si="33"/>
        <v>3.9354978681728596E-2</v>
      </c>
      <c r="Q107" s="27" t="str">
        <f t="shared" si="25"/>
        <v>113 169</v>
      </c>
      <c r="R107" s="18">
        <v>2.5154978681728599E-2</v>
      </c>
      <c r="S107" s="22">
        <v>3.2651704357700803E-2</v>
      </c>
      <c r="T107" s="22">
        <v>1.3845044344094301E-2</v>
      </c>
      <c r="U107" s="22">
        <v>5.9209436286434703E-3</v>
      </c>
      <c r="V107" s="22"/>
      <c r="W107" s="22">
        <v>2.0342849500091999E-4</v>
      </c>
      <c r="X107" s="22">
        <v>2.3315945263237599E-3</v>
      </c>
      <c r="Y107" s="22">
        <v>0.86611843754700901</v>
      </c>
      <c r="Z107" s="25">
        <f>[1]!b_stm07_bs(A107,74,$A$1,1,100000000)</f>
        <v>302539.78999999998</v>
      </c>
      <c r="AA107" s="25">
        <f>[1]!b_stm07_bs(A107,109,$A$1,1,100000000)</f>
        <v>223788.14</v>
      </c>
      <c r="AB107" s="10">
        <f>[1]!s_stmnote_bank_5n(A107,$A$1,1)</f>
        <v>1.42</v>
      </c>
      <c r="AC107" s="25">
        <f>IF([1]!s_stmnote_bank_23n(A107,$A$1,1)=0,"",IFERROR([1]!s_stmnote_bank_23n(A107,$A$1,1),""))</f>
        <v>239.96</v>
      </c>
      <c r="AD107" s="27" t="str">
        <f t="shared" si="26"/>
        <v>89 167</v>
      </c>
      <c r="AE107" s="25">
        <f>[1]!s_stmnote_bank_capadequacyratio(A107,$A$1,1)</f>
        <v>17.850000000000001</v>
      </c>
      <c r="AF107" s="25">
        <f>IF([1]!s_stmnote_bank_capadequacyratio_ct1(A107,$A$1,1)=0,"",IFERROR([1]!s_stmnote_bank_capadequacyratio_ct1(A107,$A$1,1),""))</f>
        <v>13.59</v>
      </c>
      <c r="AG107" s="27" t="str">
        <f>RANK(AF107,AF$5:AF$192,0)&amp;" "&amp;COUNTIF(AF$5:AF$192,"&gt;0")</f>
        <v>21 167</v>
      </c>
      <c r="AH107" s="6">
        <f>IF(OR([1]!s_fa_roe(A107,20201231)=0,[1]!s_fa_roe(A107,20211231)="0",[1]!s_fa_roe(A107,20221231)="0"),"",IFERROR(([1]!s_fa_roe(A107,20221231)+[1]!s_fa_roe(A107,20201231)+[1]!s_fa_roe(A107,20211231))/3,""))</f>
        <v>11.981500000000002</v>
      </c>
      <c r="AI107" s="27" t="str">
        <f t="shared" si="27"/>
        <v>148 173</v>
      </c>
      <c r="AJ107" s="28">
        <f>IFERROR(([1]!s_stmnote_bank_65(A107,$A$1,1,2,4,100000000)+[1]!s_stmnote_bank_65(A107,$A$1,1,2,6,100000000))/[1]!s_stmnote_bank_1n(A107,$A$1,1,100000000),"")</f>
        <v>6.8872785364172712E-2</v>
      </c>
      <c r="AK107" s="28">
        <f>IFERROR([1]!s_stmnote_bank_614(A107,$A$1,1,2,100000000)/[1]!s_stmnote_bank_647(A107,$A$1,1,2,100000000),"")</f>
        <v>0.29265755548975919</v>
      </c>
      <c r="AL107" s="28">
        <f>IFERROR(([1]!b_stm07_bs(A107,104,$A$1,1,100000000)+[1]!b_stm07_bs(A107,106,$A$1,1,100000000)+[1]!b_stm07_bs(A107,76,$A$1,1,100000000)+[1]!b_stm07_bs(A107,108,$A$1,1,100000000)+[1]!b_stm07_bs(A107,95,$A$1,1,100000000))/[1]!b_stm07_bs(A107,128,$A$1,1,100000000),"")</f>
        <v>0.1381519448526814</v>
      </c>
      <c r="AM107" s="28">
        <f>IFERROR(([1]!s_stmnote_bank_614(A107,$A$1,1,2,100000000)+[1]!b_stm07_bs(A107,104,$A$1,1,100000000)+[1]!b_stm07_bs(A107,106,$A$1,1,100000000)+[1]!b_stm07_bs(A107,76,$A$1,1,100000000)+[1]!b_stm07_bs(A107,108,$A$1,1,100000000)+[1]!b_stm07_bs(A107,95,$A$1,1,100000000))/[1]!b_stm07_bs(A107,128,$A$1,1,100000000),"")</f>
        <v>0.37510429232683806</v>
      </c>
      <c r="AN107" s="31" t="e">
        <f>IF(Z107&gt;#REF!,#REF!,IF(Z107&gt;#REF!,#REF!,IF(Z107&gt;#REF!,#REF!,IF(Z107&gt;#REF!,#REF!,IF(Z107&gt;#REF!,#REF!,IF(Z107&gt;#REF!,#REF!,IF(Z107&gt;#REF!,#REF!,#REF!)))))))</f>
        <v>#REF!</v>
      </c>
      <c r="AO107" s="31" t="e">
        <f>IF(AA107&gt;#REF!,#REF!,IF(AA107&gt;#REF!,#REF!,IF(AA107&gt;#REF!,#REF!,IF(AA107&gt;#REF!,#REF!,IF(AA107&gt;#REF!,#REF!,IF(AA107&gt;#REF!,#REF!,IF(AA107&gt;#REF!,#REF!,#REF!)))))))</f>
        <v>#REF!</v>
      </c>
      <c r="AP107" s="31" t="e">
        <f>IF(AB107&lt;#REF!,#REF!,IF(AB107&lt;#REF!,#REF!,IF(AB107&lt;#REF!,#REF!,IF(AB107&lt;#REF!,#REF!,IF(AB107&lt;#REF!,#REF!,IF(AB107&lt;#REF!,#REF!,#REF!))))))</f>
        <v>#REF!</v>
      </c>
      <c r="AQ107" s="31" t="e">
        <f>IF(AC107&gt;#REF!,#REF!,IF(AC107&gt;#REF!,#REF!,IF(AC107&gt;#REF!,#REF!,IF(AC107&gt;#REF!,#REF!,#REF!))))</f>
        <v>#REF!</v>
      </c>
      <c r="AR107" s="31" t="e">
        <f>IF(AE107&gt;#REF!,#REF!,IF(AE107&gt;#REF!,#REF!,IF(AE107&gt;#REF!,#REF!,IF(AE107&gt;#REF!,#REF!,#REF!))))</f>
        <v>#REF!</v>
      </c>
      <c r="AS107" s="31" t="e">
        <f>IF(AF107&gt;#REF!,#REF!,IF(AF107&gt;#REF!,#REF!,IF(AF107&gt;#REF!,#REF!,IF(AF107&gt;#REF!,#REF!,#REF!))))</f>
        <v>#REF!</v>
      </c>
      <c r="AT107" s="31" t="e">
        <f>IF(AH107&gt;#REF!,#REF!,IF(AH107&gt;#REF!,#REF!,IF(AH107&gt;#REF!,#REF!,IF(AH107&gt;#REF!,#REF!,IF(AH107&gt;#REF!,#REF!,#REF!)))))</f>
        <v>#REF!</v>
      </c>
      <c r="AU107" s="10" t="e">
        <f t="shared" si="28"/>
        <v>#REF!</v>
      </c>
      <c r="AV107" s="10" t="s">
        <v>395</v>
      </c>
      <c r="AW107" s="10" t="s">
        <v>69</v>
      </c>
      <c r="AX107" s="10" t="s">
        <v>62</v>
      </c>
      <c r="AY107" s="31" t="str">
        <f>IFERROR(VLOOKUP(AV107,#REF!,3,0),"")</f>
        <v/>
      </c>
      <c r="AZ107" s="31" t="str">
        <f>IFERROR(VLOOKUP(AW107,#REF!,3,0),"")</f>
        <v/>
      </c>
      <c r="BA107" s="31" t="str">
        <f>IFERROR(VLOOKUP(AX107,#REF!,3,0),"")</f>
        <v/>
      </c>
      <c r="BB107" s="31" t="str">
        <f>IFERROR(AY107*#REF!+AZ107*#REF!+BA107*#REF!,"")</f>
        <v/>
      </c>
      <c r="BC107" s="32" t="str">
        <f t="shared" si="29"/>
        <v/>
      </c>
      <c r="BD107" s="32" t="str">
        <f>IFERROR(VLOOKUP(BC107*10,#REF!,2,1),"")</f>
        <v/>
      </c>
      <c r="BE107" s="11">
        <v>2</v>
      </c>
      <c r="BF107" s="11">
        <v>0</v>
      </c>
      <c r="BG107" s="10"/>
      <c r="BH107" s="11" t="s">
        <v>396</v>
      </c>
      <c r="BI107" s="10">
        <v>57.110000610351598</v>
      </c>
      <c r="BJ107" s="33" t="s">
        <v>71</v>
      </c>
      <c r="BK107" s="33" t="s">
        <v>72</v>
      </c>
      <c r="BL107" s="10">
        <f>IF([1]!s_stmnote_bank_17n(A107,$A$1,1)="0","",[1]!s_stmnote_bank_17n(A107,$A$1,1))</f>
        <v>4.24</v>
      </c>
      <c r="BM107" s="10">
        <f>IF([1]!s_stmnote_bank_18n(A107,$A$1,1)="0","",[1]!s_stmnote_bank_18n(A107,$A$1,1))</f>
        <v>12.83</v>
      </c>
      <c r="BN107" s="41">
        <v>3.67</v>
      </c>
      <c r="BO107" s="68">
        <v>1.85</v>
      </c>
      <c r="BP107" s="52">
        <f>[1]!s_stmnote_bank_5444(A107,$A$1,1)</f>
        <v>2.13</v>
      </c>
      <c r="BQ107" s="52">
        <f>[1]!s_stmnote_bank_129n($A107,$A$1,1)</f>
        <v>27.43</v>
      </c>
      <c r="BR107" s="52">
        <f t="shared" si="34"/>
        <v>3.7578513617447822</v>
      </c>
      <c r="BS107" s="52">
        <f>[1]!b_stm07_is(A107,19,$A$1,1,100000000)</f>
        <v>10573.34</v>
      </c>
      <c r="BT107" s="52">
        <f xml:space="preserve"> [1]!s_stm07_bs(A107,"W15273164",$A$1,1,100000000)-[1]!s_stm07_bs(A107,"W17642530",$A$1,1,100000000)-[1]!s_stm07_bs(A107,"W15910877",$A$1,1,100000000)-[1]!s_stm07_bs_39(A107,$A$1,1,100000000)-[1]!s_stm07_bs(A107,"W17700468",$A$1,1,100000000)-[1]!s_stm07_bs(A107,"W16504296",$A$1,1,100000000)-[1]!s_stm07_bs(A107,"W13769069",$A$1,1,100000000)</f>
        <v>296541.98</v>
      </c>
      <c r="BU107" s="52">
        <f xml:space="preserve"> [1]!s_stm07_bs(A107,"W15273164",$B$1,1,100000000)-[1]!s_stm07_bs(A107,"W17642530",$B$1,1,100000000)-[1]!s_stm07_bs(A107,"W15910877",$B$1,1,100000000)-[1]!s_stm07_bs_39(A107,$B$1,1,100000000)-[1]!s_stm07_bs(A107,"W17700468",$B$1,1,100000000)-[1]!s_stm07_bs(A107,"W16504296",$B$1,1,100000000)-[1]!s_stm07_bs(A107,"W13769069",$B$1,1,100000000)</f>
        <v>276205.82</v>
      </c>
      <c r="BV107" s="52">
        <f xml:space="preserve"> [1]!s_stm07_bs(A107,"W15273164",$E$1,1,100000000)-[1]!s_stm07_bs(A107,"W17642530",$E$1,1,100000000)-[1]!s_stm07_bs(A107,"W15910877",$E$1,1,100000000)-[1]!s_stm07_bs_39(A107,$E$1,1,100000000)-[1]!s_stm07_bs(A107,"W17700468",$E$1,1,100000000)-[1]!s_stm07_bs(A107,"W16504296",$E$1,1,100000000)-[1]!s_stm07_bs(A107,"W13769069",$E$1,1,100000000)</f>
        <v>295018.51</v>
      </c>
      <c r="BW107" s="52">
        <f xml:space="preserve"> [1]!s_stm07_bs(A107,"W15273164",$F$1,1,100000000)-[1]!s_stm07_bs(A107,"W17642530",$F$1,1,100000000)-[1]!s_stm07_bs(A107,"W15910877",$F$1,1,100000000)-[1]!s_stm07_bs_39(A107,$F$1,1,100000000)-[1]!s_stm07_bs(A107,"W17700468",$F$1,1,100000000)-[1]!s_stm07_bs(A107,"W16504296",$F$1,1,100000000)-[1]!s_stm07_bs(A107,"W13769069",$F$1,1,100000000)</f>
        <v>292213.05</v>
      </c>
      <c r="BX107" s="52">
        <f xml:space="preserve"> [1]!s_stm07_bs(A107,"W15273164",$G$1,1,100000000)-[1]!s_stm07_bs(A107,"W17642530",$G$1,1,100000000)-[1]!s_stm07_bs(A107,"W15910877",$G$1,1,100000000)-[1]!s_stm07_bs_39(A107,$G$1,1,100000000)-[1]!s_stm07_bs(A107,"W17700468",$G$1,1,100000000)-[1]!s_stm07_bs(A107,"W16504296",$G$1,1,100000000)-[1]!s_stm07_bs(A107,"W13769069",$G$1,1,100000000)</f>
        <v>287922.69000000006</v>
      </c>
      <c r="BY107" s="52">
        <f>IFERROR([1]!b_stm07_is(A107,20,$A$1,1,100000000)/AVERAGEIF(CA107:CE107,"&gt;0")*100,0)</f>
        <v>1.7187210932732571</v>
      </c>
      <c r="BZ107" s="52">
        <f>[1]!b_stm07_is(A107,20,$A$1,1,100000000)</f>
        <v>4519.1400000000003</v>
      </c>
      <c r="CA107" s="52">
        <f>[1]!s_stmnote_bank_38(A107,$A$1,1,100000000)</f>
        <v>268823.46999999997</v>
      </c>
      <c r="CB107" s="52">
        <f>[1]!s_stmnote_bank_38(A107,$B$1,1,100000000)</f>
        <v>249404.19</v>
      </c>
      <c r="CC107" s="52">
        <f>[1]!s_stmnote_bank_38(A107,$E$1,1,100000000)</f>
        <v>268857.42</v>
      </c>
      <c r="CD107" s="52">
        <f>[1]!s_stmnote_bank_38(A107,$F$1,1,100000000)</f>
        <v>265943.21999999997</v>
      </c>
      <c r="CE107" s="52">
        <f>[1]!s_stmnote_bank_38(A107,$G$1,1,100000000)</f>
        <v>261652.72</v>
      </c>
      <c r="CF107" s="52">
        <f>IF(BP107&lt;&gt;0,BP107,IFERROR(IF(([1]!b_stm07_is(A107,19,$A$1,1,100000000)-[1]!b_stm07_is(A107,20,$A$1,1,100000000))/AVERAGE([1]!s_stmnote_bank_35(A107,$A$1,1,100000000),[1]!s_stmnote_bank_35(A107,$B$1,1,100000000))*100=0,"",([1]!b_stm07_is(A107,19,$A$1,1,100000000)-[1]!b_stm07_is(A107,20,$A$1,1,100000000))/AVERAGE([1]!s_stmnote_bank_35(A107,$A$1,1,100000000),[1]!s_stmnote_bank_35(A107,$B$1,1,100000000))*100),""))</f>
        <v>2.13</v>
      </c>
      <c r="CG107" s="27" t="str">
        <f t="shared" si="30"/>
        <v>74 171</v>
      </c>
      <c r="CH107" s="80">
        <f t="shared" si="35"/>
        <v>0.54122758323050468</v>
      </c>
      <c r="CI107" s="27" t="str">
        <f t="shared" si="31"/>
        <v>107 169</v>
      </c>
      <c r="CJ107" s="55">
        <f>[1]!s_stmnote_bank_30(A107,$A$1,1)</f>
        <v>26.5486</v>
      </c>
      <c r="CK107" s="62">
        <v>8460.17</v>
      </c>
      <c r="CL107" s="63">
        <v>2562.37</v>
      </c>
      <c r="CM107" s="64">
        <f>CK107/(5/8*[1]!s_stmnote_bank_1n($A107,$A$1,1,100000000)+[1]!s_stmnote_bank_1n($A107,$B$1,1,100000000)*3/8)</f>
        <v>4.6982010041869658E-2</v>
      </c>
      <c r="CP107" s="69">
        <f>[1]!b_stm07_bs($A107,141,$A$1,1,100000000)</f>
        <v>26141.22</v>
      </c>
      <c r="CQ107" s="69">
        <f>[1]!b_stm07_bs($A107,141,$D$1,1,100000000)</f>
        <v>26818.52</v>
      </c>
      <c r="CR107" s="68">
        <f>IF([1]!s_fa_roic_yearly($A107,$A$1)=0,"",[1]!s_fa_roic_yearly($A107,$A$1))</f>
        <v>12.215199999999999</v>
      </c>
      <c r="CS107" s="27" t="str">
        <f>RANK(CR107,CR$5:CR$192,1)&amp;" "&amp;COUNTIF(CR$5:CR$192,"&gt;0")</f>
        <v>143 169</v>
      </c>
      <c r="CT107" s="68">
        <f>IF([1]!s_fa_roic_yearly($A107,$D$1)=0,"",[1]!s_fa_roic_yearly($A107,$D$1))</f>
        <v>12.3216</v>
      </c>
      <c r="CU107" s="27" t="str">
        <f>RANK(CT107,CT$5:CT$192,1)&amp;" "&amp;COUNTIF(CT$5:CT$192,"&gt;0")</f>
        <v>107 142</v>
      </c>
      <c r="CV107" s="78">
        <f>[1]!s_stm07_bs(A107,"W14578191",$A$1,1,100000000)</f>
        <v>181704.92</v>
      </c>
      <c r="CW107" s="78">
        <f>[1]!s_stmnote_bank_682($A107,$A$1,1,2,100000000)</f>
        <v>79776.5</v>
      </c>
      <c r="CX107" s="79">
        <f t="shared" si="32"/>
        <v>0.43904424822398863</v>
      </c>
    </row>
    <row r="108" spans="1:102" s="46" customFormat="1" ht="13.5">
      <c r="A108" s="8" t="s">
        <v>650</v>
      </c>
      <c r="B108" s="8" t="s">
        <v>651</v>
      </c>
      <c r="C108" s="9" t="s">
        <v>652</v>
      </c>
      <c r="D108" s="9" t="s">
        <v>1061</v>
      </c>
      <c r="E108" s="10"/>
      <c r="F108" s="11" t="s">
        <v>66</v>
      </c>
      <c r="G108" s="11" t="s">
        <v>67</v>
      </c>
      <c r="H108" s="11" t="s">
        <v>179</v>
      </c>
      <c r="I108" s="11"/>
      <c r="J108" s="11" t="e">
        <f>VLOOKUP(B108,[3]额度信息!$B:$T,19,0)</f>
        <v>#N/A</v>
      </c>
      <c r="K108" s="11"/>
      <c r="L108" s="27">
        <f>IFERROR(([1]!b_stm07_bs($A108,47,$A$1,1,100000000))/[1]!b_stm07_bs($A108,109,$A$1,1,100000000),"")</f>
        <v>0.11028230566139152</v>
      </c>
      <c r="M108" s="20"/>
      <c r="N108" s="18"/>
      <c r="O108" s="27" t="e">
        <f t="shared" si="24"/>
        <v>#N/A</v>
      </c>
      <c r="P108" s="21">
        <f t="shared" si="33"/>
        <v>3.2369120793985302E-2</v>
      </c>
      <c r="Q108" s="27" t="str">
        <f t="shared" si="25"/>
        <v>95 169</v>
      </c>
      <c r="R108" s="18">
        <v>1.8169120793985302E-2</v>
      </c>
      <c r="S108" s="22"/>
      <c r="T108" s="22"/>
      <c r="U108" s="22"/>
      <c r="V108" s="22"/>
      <c r="W108" s="22"/>
      <c r="X108" s="22"/>
      <c r="Y108" s="22"/>
      <c r="Z108" s="25">
        <f>[1]!b_stm07_bs(A108,74,$A$1,1,100000000)</f>
        <v>1345.1012800000001</v>
      </c>
      <c r="AA108" s="25">
        <f>[1]!b_stm07_bs(A108,109,$A$1,1,100000000)</f>
        <v>947.68520999999998</v>
      </c>
      <c r="AB108" s="10">
        <f>[1]!s_stmnote_bank_5n(A108,$A$1,1)</f>
        <v>1.42</v>
      </c>
      <c r="AC108" s="25">
        <f>IF([1]!s_stmnote_bank_23n(A108,$A$1,1)=0,"",IFERROR([1]!s_stmnote_bank_23n(A108,$A$1,1),""))</f>
        <v>262.49</v>
      </c>
      <c r="AD108" s="27" t="str">
        <f t="shared" si="26"/>
        <v>96 167</v>
      </c>
      <c r="AE108" s="25">
        <f>[1]!s_stmnote_bank_capadequacyratio(A108,$A$1,1)</f>
        <v>13.36</v>
      </c>
      <c r="AF108" s="25">
        <f>IF([1]!s_stmnote_bank_capadequacyratio_ct1(A108,$A$1,1)=0,"",IFERROR([1]!s_stmnote_bank_capadequacyratio_ct1(A108,$A$1,1),""))</f>
        <v>8.0500000000000007</v>
      </c>
      <c r="AG108" s="27" t="str">
        <f>RANK(AF108,AF$5:AF$192,1)&amp;" "&amp;COUNTIF(AF$5:AF$192,"&gt;0")</f>
        <v>10 167</v>
      </c>
      <c r="AH108" s="6">
        <f>IF(OR([1]!s_fa_roe(A108,20201231)=0,[1]!s_fa_roe(A108,20211231)="0",[1]!s_fa_roe(A108,20221231)="0"),"",IFERROR(([1]!s_fa_roe(A108,20221231)+[1]!s_fa_roe(A108,20201231)+[1]!s_fa_roe(A108,20211231))/3,""))</f>
        <v>7.7549333333333337</v>
      </c>
      <c r="AI108" s="27" t="str">
        <f t="shared" si="27"/>
        <v>74 173</v>
      </c>
      <c r="AJ108" s="28">
        <f>IFERROR(([1]!s_stmnote_bank_65(A108,$A$1,1,2,4,100000000)+[1]!s_stmnote_bank_65(A108,$A$1,1,2,6,100000000))/[1]!s_stmnote_bank_1n(A108,$A$1,1,100000000),"")</f>
        <v>0.30853854794880936</v>
      </c>
      <c r="AK108" s="28">
        <f>IFERROR([1]!s_stmnote_bank_614(A108,$A$1,1,2,100000000)/[1]!s_stmnote_bank_647(A108,$A$1,1,2,100000000),"")</f>
        <v>0.35194047187884253</v>
      </c>
      <c r="AL108" s="28">
        <f>IFERROR(([1]!b_stm07_bs(A108,104,$A$1,1,100000000)+[1]!b_stm07_bs(A108,106,$A$1,1,100000000)+[1]!b_stm07_bs(A108,76,$A$1,1,100000000)+[1]!b_stm07_bs(A108,108,$A$1,1,100000000)+[1]!b_stm07_bs(A108,95,$A$1,1,100000000))/[1]!b_stm07_bs(A108,128,$A$1,1,100000000),"")</f>
        <v>0.20348138661752621</v>
      </c>
      <c r="AM108" s="28">
        <f>IFERROR(([1]!s_stmnote_bank_614(A108,$A$1,1,2,100000000)+[1]!b_stm07_bs(A108,104,$A$1,1,100000000)+[1]!b_stm07_bs(A108,106,$A$1,1,100000000)+[1]!b_stm07_bs(A108,76,$A$1,1,100000000)+[1]!b_stm07_bs(A108,108,$A$1,1,100000000)+[1]!b_stm07_bs(A108,95,$A$1,1,100000000))/[1]!b_stm07_bs(A108,128,$A$1,1,100000000),"")</f>
        <v>0.47071494335886599</v>
      </c>
      <c r="AN108" s="31" t="e">
        <f>IF(Z108&gt;#REF!,#REF!,IF(Z108&gt;#REF!,#REF!,IF(Z108&gt;#REF!,#REF!,IF(Z108&gt;#REF!,#REF!,IF(Z108&gt;#REF!,#REF!,IF(Z108&gt;#REF!,#REF!,IF(Z108&gt;#REF!,#REF!,#REF!)))))))</f>
        <v>#REF!</v>
      </c>
      <c r="AO108" s="31" t="e">
        <f>IF(AA108&gt;#REF!,#REF!,IF(AA108&gt;#REF!,#REF!,IF(AA108&gt;#REF!,#REF!,IF(AA108&gt;#REF!,#REF!,IF(AA108&gt;#REF!,#REF!,IF(AA108&gt;#REF!,#REF!,IF(AA108&gt;#REF!,#REF!,#REF!)))))))</f>
        <v>#REF!</v>
      </c>
      <c r="AP108" s="31" t="e">
        <f>IF(AB108&lt;#REF!,#REF!,IF(AB108&lt;#REF!,#REF!,IF(AB108&lt;#REF!,#REF!,IF(AB108&lt;#REF!,#REF!,IF(AB108&lt;#REF!,#REF!,IF(AB108&lt;#REF!,#REF!,#REF!))))))</f>
        <v>#REF!</v>
      </c>
      <c r="AQ108" s="31" t="e">
        <f>IF(AC108&gt;#REF!,#REF!,IF(AC108&gt;#REF!,#REF!,IF(AC108&gt;#REF!,#REF!,IF(AC108&gt;#REF!,#REF!,#REF!))))</f>
        <v>#REF!</v>
      </c>
      <c r="AR108" s="31" t="e">
        <f>IF(AE108&gt;#REF!,#REF!,IF(AE108&gt;#REF!,#REF!,IF(AE108&gt;#REF!,#REF!,IF(AE108&gt;#REF!,#REF!,#REF!))))</f>
        <v>#REF!</v>
      </c>
      <c r="AS108" s="31" t="e">
        <f>IF(AF108&gt;#REF!,#REF!,IF(AF108&gt;#REF!,#REF!,IF(AF108&gt;#REF!,#REF!,IF(AF108&gt;#REF!,#REF!,#REF!))))</f>
        <v>#REF!</v>
      </c>
      <c r="AT108" s="31" t="e">
        <f>IF(AH108&gt;#REF!,#REF!,IF(AH108&gt;#REF!,#REF!,IF(AH108&gt;#REF!,#REF!,IF(AH108&gt;#REF!,#REF!,IF(AH108&gt;#REF!,#REF!,#REF!)))))</f>
        <v>#REF!</v>
      </c>
      <c r="AU108" s="10" t="e">
        <f t="shared" si="28"/>
        <v>#REF!</v>
      </c>
      <c r="AV108" s="10"/>
      <c r="AW108" s="10"/>
      <c r="AX108" s="10"/>
      <c r="AY108" s="31" t="str">
        <f>IFERROR(VLOOKUP(AV108,#REF!,3,0),"")</f>
        <v/>
      </c>
      <c r="AZ108" s="31" t="str">
        <f>IFERROR(VLOOKUP(AW108,#REF!,3,0),"")</f>
        <v/>
      </c>
      <c r="BA108" s="31" t="str">
        <f>IFERROR(VLOOKUP(AX108,#REF!,3,0),"")</f>
        <v/>
      </c>
      <c r="BB108" s="31" t="str">
        <f>IFERROR(AY108*#REF!+AZ108*#REF!+BA108*#REF!,"")</f>
        <v/>
      </c>
      <c r="BC108" s="32" t="str">
        <f t="shared" si="29"/>
        <v/>
      </c>
      <c r="BD108" s="32" t="str">
        <f>IFERROR(VLOOKUP(BC108*10,#REF!,2,1),"")</f>
        <v/>
      </c>
      <c r="BE108" s="10"/>
      <c r="BF108" s="10"/>
      <c r="BG108" s="10"/>
      <c r="BH108" s="11" t="s">
        <v>653</v>
      </c>
      <c r="BI108" s="10">
        <v>14.3699998855591</v>
      </c>
      <c r="BJ108" s="11" t="s">
        <v>319</v>
      </c>
      <c r="BK108" s="33" t="s">
        <v>654</v>
      </c>
      <c r="BL108" s="10">
        <f>IF([1]!s_stmnote_bank_17n(A108,$A$1,1)="0","",[1]!s_stmnote_bank_17n(A108,$A$1,1))</f>
        <v>7.41</v>
      </c>
      <c r="BM108" s="10">
        <f>IF([1]!s_stmnote_bank_18n(A108,$A$1,1)="0","",[1]!s_stmnote_bank_18n(A108,$A$1,1))</f>
        <v>61.87</v>
      </c>
      <c r="BN108" s="41">
        <v>5.66</v>
      </c>
      <c r="BO108" s="68">
        <v>3.1511999999999998</v>
      </c>
      <c r="BP108" s="52">
        <f>[1]!s_stmnote_bank_5444(A108,$A$1,1)</f>
        <v>2.4900000000000002</v>
      </c>
      <c r="BQ108" s="52">
        <f>[1]!s_stmnote_bank_129n($A108,$A$1,1)</f>
        <v>38.590000000000003</v>
      </c>
      <c r="BR108" s="52">
        <f t="shared" si="34"/>
        <v>5.770076814449224</v>
      </c>
      <c r="BS108" s="52">
        <f>[1]!b_stm07_is(A108,19,$A$1,1,100000000)</f>
        <v>69.499989999999997</v>
      </c>
      <c r="BT108" s="52">
        <f xml:space="preserve"> [1]!s_stm07_bs(A108,"W15273164",$A$1,1,100000000)-[1]!s_stm07_bs(A108,"W17642530",$A$1,1,100000000)-[1]!s_stm07_bs(A108,"W15910877",$A$1,1,100000000)-[1]!s_stm07_bs_39(A108,$A$1,1,100000000)-[1]!s_stm07_bs(A108,"W17700468",$A$1,1,100000000)-[1]!s_stm07_bs(A108,"W16504296",$A$1,1,100000000)-[1]!s_stm07_bs(A108,"W13769069",$A$1,1,100000000)</f>
        <v>1323.9678200000001</v>
      </c>
      <c r="BU108" s="52">
        <f xml:space="preserve"> [1]!s_stm07_bs(A108,"W15273164",$B$1,1,100000000)-[1]!s_stm07_bs(A108,"W17642530",$B$1,1,100000000)-[1]!s_stm07_bs(A108,"W15910877",$B$1,1,100000000)-[1]!s_stm07_bs_39(A108,$B$1,1,100000000)-[1]!s_stm07_bs(A108,"W17700468",$B$1,1,100000000)-[1]!s_stm07_bs(A108,"W16504296",$B$1,1,100000000)-[1]!s_stm07_bs(A108,"W13769069",$B$1,1,100000000)</f>
        <v>1170.4857400000001</v>
      </c>
      <c r="BV108" s="52">
        <f xml:space="preserve"> [1]!s_stm07_bs(A108,"W15273164",$E$1,1,100000000)-[1]!s_stm07_bs(A108,"W17642530",$E$1,1,100000000)-[1]!s_stm07_bs(A108,"W15910877",$E$1,1,100000000)-[1]!s_stm07_bs_39(A108,$E$1,1,100000000)-[1]!s_stm07_bs(A108,"W17700468",$E$1,1,100000000)-[1]!s_stm07_bs(A108,"W16504296",$E$1,1,100000000)-[1]!s_stm07_bs(A108,"W13769069",$E$1,1,100000000)</f>
        <v>1280.5157300000001</v>
      </c>
      <c r="BW108" s="52">
        <f xml:space="preserve"> [1]!s_stm07_bs(A108,"W15273164",$F$1,1,100000000)-[1]!s_stm07_bs(A108,"W17642530",$F$1,1,100000000)-[1]!s_stm07_bs(A108,"W15910877",$F$1,1,100000000)-[1]!s_stm07_bs_39(A108,$F$1,1,100000000)-[1]!s_stm07_bs(A108,"W17700468",$F$1,1,100000000)-[1]!s_stm07_bs(A108,"W16504296",$F$1,1,100000000)-[1]!s_stm07_bs(A108,"W13769069",$F$1,1,100000000)</f>
        <v>1266.4177100000002</v>
      </c>
      <c r="BX108" s="52">
        <f xml:space="preserve"> [1]!s_stm07_bs(A108,"W15273164",$G$1,1,100000000)-[1]!s_stm07_bs(A108,"W17642530",$G$1,1,100000000)-[1]!s_stm07_bs(A108,"W15910877",$G$1,1,100000000)-[1]!s_stm07_bs_39(A108,$G$1,1,100000000)-[1]!s_stm07_bs(A108,"W17700468",$G$1,1,100000000)-[1]!s_stm07_bs(A108,"W16504296",$G$1,1,100000000)-[1]!s_stm07_bs(A108,"W13769069",$G$1,1,100000000)</f>
        <v>1241.71</v>
      </c>
      <c r="BY108" s="52">
        <f>IFERROR([1]!b_stm07_is(A108,20,$A$1,1,100000000)/AVERAGEIF(CA108:CE108,"&gt;0")*100,0)</f>
        <v>3.4148594810342594</v>
      </c>
      <c r="BZ108" s="52">
        <f>[1]!b_stm07_is(A108,20,$A$1,1,100000000)</f>
        <v>40.11795</v>
      </c>
      <c r="CA108" s="52">
        <f>[1]!s_stmnote_bank_38(A108,$A$1,1,100000000)</f>
        <v>1237.2195099999999</v>
      </c>
      <c r="CB108" s="52">
        <f>[1]!s_stmnote_bank_38(A108,$B$1,1,100000000)</f>
        <v>1090.2329099999999</v>
      </c>
      <c r="CC108" s="52">
        <f>[1]!s_stmnote_bank_38(A108,$E$1,1,100000000)</f>
        <v>1190.3844799999999</v>
      </c>
      <c r="CD108" s="52">
        <f>[1]!s_stmnote_bank_38(A108,$F$1,1,100000000)</f>
        <v>1181.38428</v>
      </c>
      <c r="CE108" s="52">
        <f>[1]!s_stmnote_bank_38(A108,$G$1,1,100000000)</f>
        <v>0</v>
      </c>
      <c r="CF108" s="52">
        <f>IF(BP108&lt;&gt;0,BP108,IFERROR(IF(([1]!b_stm07_is(A108,19,$A$1,1,100000000)-[1]!b_stm07_is(A108,20,$A$1,1,100000000))/AVERAGE([1]!s_stmnote_bank_35(A108,$A$1,1,100000000),[1]!s_stmnote_bank_35(A108,$B$1,1,100000000))*100=0,"",([1]!b_stm07_is(A108,19,$A$1,1,100000000)-[1]!b_stm07_is(A108,20,$A$1,1,100000000))/AVERAGE([1]!s_stmnote_bank_35(A108,$A$1,1,100000000),[1]!s_stmnote_bank_35(A108,$B$1,1,100000000))*100),""))</f>
        <v>2.4900000000000002</v>
      </c>
      <c r="CG108" s="27" t="str">
        <f t="shared" si="30"/>
        <v>26 171</v>
      </c>
      <c r="CH108" s="80">
        <f t="shared" si="35"/>
        <v>0.76925166298081282</v>
      </c>
      <c r="CI108" s="27" t="str">
        <f t="shared" si="31"/>
        <v>70 169</v>
      </c>
      <c r="CJ108" s="55">
        <f>[1]!s_stmnote_bank_30(A108,$A$1,1)</f>
        <v>22.1509</v>
      </c>
      <c r="CP108" s="69">
        <f>[1]!b_stm07_bs($A108,141,$A$1,1,100000000)</f>
        <v>97.021569999999997</v>
      </c>
      <c r="CQ108" s="69">
        <f>[1]!b_stm07_bs($A108,141,$D$1,1,100000000)</f>
        <v>102.97086</v>
      </c>
      <c r="CR108" s="68">
        <f>IF([1]!s_fa_roic_yearly($A108,$A$1)=0,"",[1]!s_fa_roic_yearly($A108,$A$1))</f>
        <v>7.8735999999999997</v>
      </c>
      <c r="CS108" s="27">
        <f>RANK(CR108,CR$5:CR$192,0)/COUNTIF(CR$5:CR$192,"&gt;0")</f>
        <v>0.60355029585798814</v>
      </c>
      <c r="CT108" s="68">
        <f>IF([1]!s_fa_roic_yearly($A108,$D$1)=0,"",[1]!s_fa_roic_yearly($A108,$D$1))</f>
        <v>12.872999999999999</v>
      </c>
      <c r="CU108" s="27">
        <f>RANK(CT108,CT$5:CT$192,0)/COUNTIF(CT$5:CT$192,"&gt;0")</f>
        <v>0.19718309859154928</v>
      </c>
      <c r="CV108" s="78">
        <f>[1]!s_stm07_bs(A108,"W14578191",$A$1,1,100000000)</f>
        <v>722.36192000000005</v>
      </c>
      <c r="CW108" s="78">
        <f>[1]!s_stmnote_bank_682($A108,$A$1,1,2,100000000)</f>
        <v>101.67489999999999</v>
      </c>
      <c r="CX108" s="79">
        <f t="shared" si="32"/>
        <v>0.14075340516288565</v>
      </c>
    </row>
    <row r="109" spans="1:102" s="46" customFormat="1" ht="13.5">
      <c r="A109" s="8" t="s">
        <v>720</v>
      </c>
      <c r="B109" s="8" t="s">
        <v>721</v>
      </c>
      <c r="C109" s="9" t="s">
        <v>722</v>
      </c>
      <c r="D109" s="9" t="s">
        <v>1061</v>
      </c>
      <c r="E109" s="10"/>
      <c r="F109" s="11" t="s">
        <v>178</v>
      </c>
      <c r="G109" s="11" t="s">
        <v>67</v>
      </c>
      <c r="H109" s="11" t="s">
        <v>139</v>
      </c>
      <c r="I109" s="11"/>
      <c r="J109" s="11" t="e">
        <f>VLOOKUP(B109,[3]额度信息!$B:$T,19,0)</f>
        <v>#N/A</v>
      </c>
      <c r="K109" s="11"/>
      <c r="L109" s="27">
        <f>IFERROR(([1]!b_stm07_bs($A109,47,$A$1,1,100000000))/[1]!b_stm07_bs($A109,109,$A$1,1,100000000),"")</f>
        <v>8.6673268963127409E-2</v>
      </c>
      <c r="M109" s="20"/>
      <c r="N109" s="18"/>
      <c r="O109" s="27" t="e">
        <f t="shared" si="24"/>
        <v>#N/A</v>
      </c>
      <c r="P109" s="21">
        <f t="shared" si="33"/>
        <v>3.4824203076373003E-2</v>
      </c>
      <c r="Q109" s="27" t="str">
        <f t="shared" si="25"/>
        <v>99 169</v>
      </c>
      <c r="R109" s="18">
        <v>2.4224203076373001E-2</v>
      </c>
      <c r="S109" s="22"/>
      <c r="T109" s="22"/>
      <c r="U109" s="22"/>
      <c r="V109" s="22"/>
      <c r="W109" s="22"/>
      <c r="X109" s="22"/>
      <c r="Y109" s="22"/>
      <c r="Z109" s="25">
        <f>[1]!b_stm07_bs(A109,74,$A$1,1,100000000)</f>
        <v>10071.68916095</v>
      </c>
      <c r="AA109" s="25">
        <f>[1]!b_stm07_bs(A109,109,$A$1,1,100000000)</f>
        <v>6714.9514107699997</v>
      </c>
      <c r="AB109" s="10">
        <f>[1]!s_stmnote_bank_5n(A109,$A$1,1)</f>
        <v>1.06</v>
      </c>
      <c r="AC109" s="25">
        <f>IF([1]!s_stmnote_bank_23n(A109,$A$1,1)=0,"",IFERROR([1]!s_stmnote_bank_23n(A109,$A$1,1),""))</f>
        <v>201.04</v>
      </c>
      <c r="AD109" s="27" t="str">
        <f t="shared" si="26"/>
        <v>67 167</v>
      </c>
      <c r="AE109" s="25">
        <f>[1]!s_stmnote_bank_capadequacyratio(A109,$A$1,1)</f>
        <v>11.73</v>
      </c>
      <c r="AF109" s="25">
        <f>IF([1]!s_stmnote_bank_capadequacyratio_ct1(A109,$A$1,1)=0,"",IFERROR([1]!s_stmnote_bank_capadequacyratio_ct1(A109,$A$1,1),""))</f>
        <v>9.44</v>
      </c>
      <c r="AG109" s="27" t="str">
        <f>RANK(AF109,AF$5:AF$192,1)&amp;" "&amp;COUNTIF(AF$5:AF$192,"&gt;0")</f>
        <v>61 167</v>
      </c>
      <c r="AH109" s="6">
        <f>IF(OR([1]!s_fa_roe(A109,20201231)=0,[1]!s_fa_roe(A109,20211231)="0",[1]!s_fa_roe(A109,20221231)="0"),"",IFERROR(([1]!s_fa_roe(A109,20221231)+[1]!s_fa_roe(A109,20201231)+[1]!s_fa_roe(A109,20211231))/3,""))</f>
        <v>7.4589333333333334</v>
      </c>
      <c r="AI109" s="27" t="str">
        <f t="shared" si="27"/>
        <v>71 173</v>
      </c>
      <c r="AJ109" s="28">
        <f>IFERROR(([1]!s_stmnote_bank_65(A109,$A$1,1,2,4,100000000)+[1]!s_stmnote_bank_65(A109,$A$1,1,2,6,100000000))/[1]!s_stmnote_bank_1n(A109,$A$1,1,100000000),"")</f>
        <v>0.15009899504471877</v>
      </c>
      <c r="AK109" s="28">
        <f>IFERROR([1]!s_stmnote_bank_614(A109,$A$1,1,2,100000000)/[1]!s_stmnote_bank_647(A109,$A$1,1,2,100000000),"")</f>
        <v>0.12524024286477525</v>
      </c>
      <c r="AL109" s="28">
        <f>IFERROR(([1]!b_stm07_bs(A109,104,$A$1,1,100000000)+[1]!b_stm07_bs(A109,106,$A$1,1,100000000)+[1]!b_stm07_bs(A109,76,$A$1,1,100000000)+[1]!b_stm07_bs(A109,108,$A$1,1,100000000)+[1]!b_stm07_bs(A109,95,$A$1,1,100000000))/[1]!b_stm07_bs(A109,128,$A$1,1,100000000),"")</f>
        <v>0.24610371918061466</v>
      </c>
      <c r="AM109" s="28">
        <f>IFERROR(([1]!s_stmnote_bank_614(A109,$A$1,1,2,100000000)+[1]!b_stm07_bs(A109,104,$A$1,1,100000000)+[1]!b_stm07_bs(A109,106,$A$1,1,100000000)+[1]!b_stm07_bs(A109,76,$A$1,1,100000000)+[1]!b_stm07_bs(A109,108,$A$1,1,100000000)+[1]!b_stm07_bs(A109,95,$A$1,1,100000000))/[1]!b_stm07_bs(A109,128,$A$1,1,100000000),"")</f>
        <v>0.33673643217151672</v>
      </c>
      <c r="AN109" s="31" t="e">
        <f>IF(Z109&gt;#REF!,#REF!,IF(Z109&gt;#REF!,#REF!,IF(Z109&gt;#REF!,#REF!,IF(Z109&gt;#REF!,#REF!,IF(Z109&gt;#REF!,#REF!,IF(Z109&gt;#REF!,#REF!,IF(Z109&gt;#REF!,#REF!,#REF!)))))))</f>
        <v>#REF!</v>
      </c>
      <c r="AO109" s="31" t="e">
        <f>IF(AA109&gt;#REF!,#REF!,IF(AA109&gt;#REF!,#REF!,IF(AA109&gt;#REF!,#REF!,IF(AA109&gt;#REF!,#REF!,IF(AA109&gt;#REF!,#REF!,IF(AA109&gt;#REF!,#REF!,IF(AA109&gt;#REF!,#REF!,#REF!)))))))</f>
        <v>#REF!</v>
      </c>
      <c r="AP109" s="31" t="e">
        <f>IF(AB109&lt;#REF!,#REF!,IF(AB109&lt;#REF!,#REF!,IF(AB109&lt;#REF!,#REF!,IF(AB109&lt;#REF!,#REF!,IF(AB109&lt;#REF!,#REF!,IF(AB109&lt;#REF!,#REF!,#REF!))))))</f>
        <v>#REF!</v>
      </c>
      <c r="AQ109" s="31" t="e">
        <f>IF(AC109&gt;#REF!,#REF!,IF(AC109&gt;#REF!,#REF!,IF(AC109&gt;#REF!,#REF!,IF(AC109&gt;#REF!,#REF!,#REF!))))</f>
        <v>#REF!</v>
      </c>
      <c r="AR109" s="31" t="e">
        <f>IF(AE109&gt;#REF!,#REF!,IF(AE109&gt;#REF!,#REF!,IF(AE109&gt;#REF!,#REF!,IF(AE109&gt;#REF!,#REF!,#REF!))))</f>
        <v>#REF!</v>
      </c>
      <c r="AS109" s="31" t="e">
        <f>IF(AF109&gt;#REF!,#REF!,IF(AF109&gt;#REF!,#REF!,IF(AF109&gt;#REF!,#REF!,IF(AF109&gt;#REF!,#REF!,#REF!))))</f>
        <v>#REF!</v>
      </c>
      <c r="AT109" s="31" t="e">
        <f>IF(AH109&gt;#REF!,#REF!,IF(AH109&gt;#REF!,#REF!,IF(AH109&gt;#REF!,#REF!,IF(AH109&gt;#REF!,#REF!,IF(AH109&gt;#REF!,#REF!,#REF!)))))</f>
        <v>#REF!</v>
      </c>
      <c r="AU109" s="10" t="e">
        <f t="shared" si="28"/>
        <v>#REF!</v>
      </c>
      <c r="AV109" s="10"/>
      <c r="AW109" s="10"/>
      <c r="AX109" s="10"/>
      <c r="AY109" s="31" t="str">
        <f>IFERROR(VLOOKUP(AV109,#REF!,3,0),"")</f>
        <v/>
      </c>
      <c r="AZ109" s="31" t="str">
        <f>IFERROR(VLOOKUP(AW109,#REF!,3,0),"")</f>
        <v/>
      </c>
      <c r="BA109" s="31" t="str">
        <f>IFERROR(VLOOKUP(AX109,#REF!,3,0),"")</f>
        <v/>
      </c>
      <c r="BB109" s="31" t="str">
        <f>IFERROR(AY109*#REF!+AZ109*#REF!+BA109*#REF!,"")</f>
        <v/>
      </c>
      <c r="BC109" s="32" t="str">
        <f t="shared" si="29"/>
        <v/>
      </c>
      <c r="BD109" s="32" t="str">
        <f>IFERROR(VLOOKUP(BC109*10,#REF!,2,1),"")</f>
        <v/>
      </c>
      <c r="BE109" s="10"/>
      <c r="BF109" s="10"/>
      <c r="BG109" s="10"/>
      <c r="BH109" s="11" t="s">
        <v>723</v>
      </c>
      <c r="BI109" s="10">
        <v>12.050000190734901</v>
      </c>
      <c r="BJ109" s="33" t="s">
        <v>144</v>
      </c>
      <c r="BK109" s="33" t="s">
        <v>145</v>
      </c>
      <c r="BL109" s="10">
        <f>IF([1]!s_stmnote_bank_17n(A109,$A$1,1)="0","",[1]!s_stmnote_bank_17n(A109,$A$1,1))</f>
        <v>2.69</v>
      </c>
      <c r="BM109" s="10">
        <f>IF([1]!s_stmnote_bank_18n(A109,$A$1,1)="0","",[1]!s_stmnote_bank_18n(A109,$A$1,1))</f>
        <v>20.48</v>
      </c>
      <c r="BN109" s="41" t="s">
        <v>67</v>
      </c>
      <c r="BO109" s="68" t="s">
        <v>67</v>
      </c>
      <c r="BP109" s="52">
        <f>[1]!s_stmnote_bank_5444(A109,$A$1,1)</f>
        <v>0</v>
      </c>
      <c r="BQ109" s="52">
        <f>[1]!s_stmnote_bank_129n($A109,$A$1,1)</f>
        <v>32.32</v>
      </c>
      <c r="BR109" s="52">
        <f t="shared" si="34"/>
        <v>3.8586504405314423</v>
      </c>
      <c r="BS109" s="52">
        <f>[1]!b_stm07_is(A109,19,$A$1,1,100000000)</f>
        <v>363.62950117000003</v>
      </c>
      <c r="BT109" s="52">
        <f xml:space="preserve"> [1]!s_stm07_bs(A109,"W15273164",$A$1,1,100000000)-[1]!s_stm07_bs(A109,"W17642530",$A$1,1,100000000)-[1]!s_stm07_bs(A109,"W15910877",$A$1,1,100000000)-[1]!s_stm07_bs_39(A109,$A$1,1,100000000)-[1]!s_stm07_bs(A109,"W17700468",$A$1,1,100000000)-[1]!s_stm07_bs(A109,"W16504296",$A$1,1,100000000)-[1]!s_stm07_bs(A109,"W13769069",$A$1,1,100000000)</f>
        <v>9857.4155236399984</v>
      </c>
      <c r="BU109" s="52">
        <f xml:space="preserve"> [1]!s_stm07_bs(A109,"W15273164",$B$1,1,100000000)-[1]!s_stm07_bs(A109,"W17642530",$B$1,1,100000000)-[1]!s_stm07_bs(A109,"W15910877",$B$1,1,100000000)-[1]!s_stm07_bs_39(A109,$B$1,1,100000000)-[1]!s_stm07_bs(A109,"W17700468",$B$1,1,100000000)-[1]!s_stm07_bs(A109,"W16504296",$B$1,1,100000000)-[1]!s_stm07_bs(A109,"W13769069",$B$1,1,100000000)</f>
        <v>9328.7527637999992</v>
      </c>
      <c r="BV109" s="52">
        <f xml:space="preserve"> [1]!s_stm07_bs(A109,"W15273164",$E$1,1,100000000)-[1]!s_stm07_bs(A109,"W17642530",$E$1,1,100000000)-[1]!s_stm07_bs(A109,"W15910877",$E$1,1,100000000)-[1]!s_stm07_bs_39(A109,$E$1,1,100000000)-[1]!s_stm07_bs(A109,"W17700468",$E$1,1,100000000)-[1]!s_stm07_bs(A109,"W16504296",$E$1,1,100000000)-[1]!s_stm07_bs(A109,"W13769069",$E$1,1,100000000)</f>
        <v>9679.7432671399984</v>
      </c>
      <c r="BW109" s="52">
        <f xml:space="preserve"> [1]!s_stm07_bs(A109,"W15273164",$F$1,1,100000000)-[1]!s_stm07_bs(A109,"W17642530",$F$1,1,100000000)-[1]!s_stm07_bs(A109,"W15910877",$F$1,1,100000000)-[1]!s_stm07_bs_39(A109,$F$1,1,100000000)-[1]!s_stm07_bs(A109,"W17700468",$F$1,1,100000000)-[1]!s_stm07_bs(A109,"W16504296",$F$1,1,100000000)-[1]!s_stm07_bs(A109,"W13769069",$F$1,1,100000000)</f>
        <v>9573.6686893199985</v>
      </c>
      <c r="BX109" s="52">
        <f xml:space="preserve"> [1]!s_stm07_bs(A109,"W15273164",$G$1,1,100000000)-[1]!s_stm07_bs(A109,"W17642530",$G$1,1,100000000)-[1]!s_stm07_bs(A109,"W15910877",$G$1,1,100000000)-[1]!s_stm07_bs_39(A109,$G$1,1,100000000)-[1]!s_stm07_bs(A109,"W17700468",$G$1,1,100000000)-[1]!s_stm07_bs(A109,"W16504296",$G$1,1,100000000)-[1]!s_stm07_bs(A109,"W13769069",$G$1,1,100000000)</f>
        <v>9330.5134769699998</v>
      </c>
      <c r="BY109" s="52">
        <f>IFERROR([1]!b_stm07_is(A109,20,$A$1,1,100000000)/AVERAGEIF(CA109:CE109,"&gt;0")*100,0)</f>
        <v>2.5494195082543376</v>
      </c>
      <c r="BZ109" s="52">
        <f>[1]!b_stm07_is(A109,20,$A$1,1,100000000)</f>
        <v>224.83486511000001</v>
      </c>
      <c r="CA109" s="52">
        <f>[1]!s_stmnote_bank_38(A109,$A$1,1,100000000)</f>
        <v>9113.9668034400001</v>
      </c>
      <c r="CB109" s="52">
        <f>[1]!s_stmnote_bank_38(A109,$B$1,1,100000000)</f>
        <v>8703.3662818199991</v>
      </c>
      <c r="CC109" s="52">
        <f>[1]!s_stmnote_bank_38(A109,$E$1,1,100000000)</f>
        <v>8880.3368905499992</v>
      </c>
      <c r="CD109" s="52">
        <f>[1]!s_stmnote_bank_38(A109,$F$1,1,100000000)</f>
        <v>8812.0237536599998</v>
      </c>
      <c r="CE109" s="52">
        <f>[1]!s_stmnote_bank_38(A109,$G$1,1,100000000)</f>
        <v>8585.6119630699995</v>
      </c>
      <c r="CF109" s="52">
        <f>IF(BP109&lt;&gt;0,BP109,IFERROR(IF(([1]!b_stm07_is(A109,19,$A$1,1,100000000)-[1]!b_stm07_is(A109,20,$A$1,1,100000000))/AVERAGE([1]!s_stmnote_bank_35(A109,$A$1,1,100000000),[1]!s_stmnote_bank_35(A109,$B$1,1,100000000))*100=0,"",([1]!b_stm07_is(A109,19,$A$1,1,100000000)-[1]!b_stm07_is(A109,20,$A$1,1,100000000))/AVERAGE([1]!s_stmnote_bank_35(A109,$A$1,1,100000000),[1]!s_stmnote_bank_35(A109,$B$1,1,100000000))*100),""))</f>
        <v>1.5322355645087768</v>
      </c>
      <c r="CG109" s="27" t="str">
        <f t="shared" si="30"/>
        <v>153 171</v>
      </c>
      <c r="CH109" s="80">
        <f t="shared" si="35"/>
        <v>0.43999156596589711</v>
      </c>
      <c r="CI109" s="27" t="str">
        <f t="shared" si="31"/>
        <v>126 169</v>
      </c>
      <c r="CJ109" s="55">
        <f>[1]!s_stmnote_bank_30(A109,$A$1,1)</f>
        <v>17.342400000000001</v>
      </c>
      <c r="CP109" s="69">
        <f>[1]!b_stm07_bs($A109,141,$A$1,1,100000000)</f>
        <v>792.67590229999996</v>
      </c>
      <c r="CQ109" s="69">
        <f>[1]!b_stm07_bs($A109,141,$D$1,1,100000000)</f>
        <v>816.27943979999998</v>
      </c>
      <c r="CR109" s="68">
        <f>IF([1]!s_fa_roic_yearly($A109,$A$1)=0,"",[1]!s_fa_roic_yearly($A109,$A$1))</f>
        <v>6.9707999999999997</v>
      </c>
      <c r="CS109" s="27">
        <f>RANK(CR109,CR$5:CR$192,0)/COUNTIF(CR$5:CR$192,"&gt;0")</f>
        <v>0.66272189349112431</v>
      </c>
      <c r="CT109" s="68">
        <f>IF([1]!s_fa_roic_yearly($A109,$D$1)=0,"",[1]!s_fa_roic_yearly($A109,$D$1))</f>
        <v>7.2324000000000002</v>
      </c>
      <c r="CU109" s="27">
        <f>RANK(CT109,CT$5:CT$192,0)/COUNTIF(CT$5:CT$192,"&gt;0")</f>
        <v>0.76056338028169013</v>
      </c>
      <c r="CV109" s="78">
        <f>[1]!s_stm07_bs(A109,"W14578191",$A$1,1,100000000)</f>
        <v>5572.4911608100001</v>
      </c>
      <c r="CW109" s="78">
        <f>[1]!s_stmnote_bank_682($A109,$A$1,1,2,100000000)</f>
        <v>1385.6316352399999</v>
      </c>
      <c r="CX109" s="79">
        <f t="shared" si="32"/>
        <v>0.24865569011303534</v>
      </c>
    </row>
    <row r="110" spans="1:102" ht="13.5">
      <c r="A110" s="8" t="s">
        <v>920</v>
      </c>
      <c r="B110" s="8" t="s">
        <v>921</v>
      </c>
      <c r="C110" s="9" t="s">
        <v>922</v>
      </c>
      <c r="D110" s="9" t="s">
        <v>1065</v>
      </c>
      <c r="E110" s="10" t="s">
        <v>138</v>
      </c>
      <c r="F110" s="11" t="s">
        <v>178</v>
      </c>
      <c r="G110" s="11"/>
      <c r="H110" s="11" t="s">
        <v>116</v>
      </c>
      <c r="I110" s="11"/>
      <c r="J110" s="11" t="e">
        <f>VLOOKUP(B110,[3]额度信息!$B:$T,19,0)</f>
        <v>#N/A</v>
      </c>
      <c r="K110" s="11" t="s">
        <v>923</v>
      </c>
      <c r="L110" s="27">
        <f>IFERROR(([1]!b_stm07_bs($A110,47,$A$1,1,100000000))/[1]!b_stm07_bs($A110,109,$A$1,1,100000000),"")</f>
        <v>0.13122133677588058</v>
      </c>
      <c r="M110" s="20">
        <f>6.71+14.18</f>
        <v>20.89</v>
      </c>
      <c r="N110" s="18">
        <f>IFERROR(([1]!s_stmnote_bank_26($A110,$A$1,1,100000000)-[1]!s_stmnote_bank_26($A110,$B$1,1,100000000)+M110)/[1]!s_stmnote_bank_1n($A110,$B$1,1,100000000),"")</f>
        <v>2.5273130422841003E-2</v>
      </c>
      <c r="O110" s="27" t="str">
        <f t="shared" si="24"/>
        <v>48 50</v>
      </c>
      <c r="P110" s="21">
        <f t="shared" si="33"/>
        <v>3.0901776848159201E-2</v>
      </c>
      <c r="Q110" s="27" t="str">
        <f t="shared" si="25"/>
        <v>90 169</v>
      </c>
      <c r="R110" s="18">
        <v>2.26017768481592E-2</v>
      </c>
      <c r="S110" s="22">
        <f>9.97/717.47</f>
        <v>1.3896051402846112E-2</v>
      </c>
      <c r="T110" s="22">
        <f>11.27/717.47</f>
        <v>1.5707973852565262E-2</v>
      </c>
      <c r="U110" s="22"/>
      <c r="V110" s="22"/>
      <c r="W110" s="22">
        <v>0</v>
      </c>
      <c r="X110" s="22">
        <v>0</v>
      </c>
      <c r="Y110" s="22"/>
      <c r="Z110" s="25">
        <f>[1]!b_stm07_bs(A110,74,$A$1,1,100000000)</f>
        <v>1473.3039884</v>
      </c>
      <c r="AA110" s="25">
        <f>[1]!b_stm07_bs(A110,109,$A$1,1,100000000)</f>
        <v>980.20763497999997</v>
      </c>
      <c r="AB110" s="10">
        <f>[1]!s_stmnote_bank_5n(A110,$A$1,1)</f>
        <v>0.83</v>
      </c>
      <c r="AC110" s="25">
        <f>IF([1]!s_stmnote_bank_23n(A110,$A$1,1)=0,"",IFERROR([1]!s_stmnote_bank_23n(A110,$A$1,1),""))</f>
        <v>257.44</v>
      </c>
      <c r="AD110" s="27" t="str">
        <f t="shared" si="26"/>
        <v>94 167</v>
      </c>
      <c r="AE110" s="25">
        <f>[1]!s_stmnote_bank_capadequacyratio(A110,$A$1,1)</f>
        <v>16.149999999999999</v>
      </c>
      <c r="AF110" s="25">
        <f>IF([1]!s_stmnote_bank_capadequacyratio_ct1(A110,$A$1,1)=0,"",IFERROR([1]!s_stmnote_bank_capadequacyratio_ct1(A110,$A$1,1),""))</f>
        <v>15.07</v>
      </c>
      <c r="AG110" s="27" t="str">
        <f>RANK(AF110,AF$5:AF$192,1)&amp;" "&amp;COUNTIF(AF$5:AF$192,"&gt;0")</f>
        <v>155 167</v>
      </c>
      <c r="AH110" s="6">
        <f>IF(OR([1]!s_fa_roe(A110,20201231)=0,[1]!s_fa_roe(A110,20211231)="0",[1]!s_fa_roe(A110,20221231)="0"),"",IFERROR(([1]!s_fa_roe(A110,20221231)+[1]!s_fa_roe(A110,20201231)+[1]!s_fa_roe(A110,20211231))/3,""))</f>
        <v>4.6349333333333336</v>
      </c>
      <c r="AI110" s="27" t="str">
        <f t="shared" si="27"/>
        <v>33 173</v>
      </c>
      <c r="AJ110" s="28">
        <f>IFERROR(([1]!s_stmnote_bank_65(A110,$A$1,1,2,4,100000000)+[1]!s_stmnote_bank_65(A110,$A$1,1,2,6,100000000))/[1]!s_stmnote_bank_1n(A110,$A$1,1,100000000),"")</f>
        <v>0.25815633469678356</v>
      </c>
      <c r="AK110" s="28">
        <f>IFERROR([1]!s_stmnote_bank_614(A110,$A$1,1,2,100000000)/[1]!s_stmnote_bank_647(A110,$A$1,1,2,100000000),"")</f>
        <v>0.28404667551450052</v>
      </c>
      <c r="AL110" s="28">
        <f>IFERROR(([1]!b_stm07_bs(A110,104,$A$1,1,100000000)+[1]!b_stm07_bs(A110,106,$A$1,1,100000000)+[1]!b_stm07_bs(A110,76,$A$1,1,100000000)+[1]!b_stm07_bs(A110,108,$A$1,1,100000000)+[1]!b_stm07_bs(A110,95,$A$1,1,100000000))/[1]!b_stm07_bs(A110,128,$A$1,1,100000000),"")</f>
        <v>0.23945779438767789</v>
      </c>
      <c r="AM110" s="28">
        <f>IFERROR(([1]!s_stmnote_bank_614(A110,$A$1,1,2,100000000)+[1]!b_stm07_bs(A110,104,$A$1,1,100000000)+[1]!b_stm07_bs(A110,106,$A$1,1,100000000)+[1]!b_stm07_bs(A110,76,$A$1,1,100000000)+[1]!b_stm07_bs(A110,108,$A$1,1,100000000)+[1]!b_stm07_bs(A110,95,$A$1,1,100000000))/[1]!b_stm07_bs(A110,128,$A$1,1,100000000),"")</f>
        <v>0.45048552434882011</v>
      </c>
      <c r="AN110" s="31" t="e">
        <f>IF(Z110&gt;#REF!,#REF!,IF(Z110&gt;#REF!,#REF!,IF(Z110&gt;#REF!,#REF!,IF(Z110&gt;#REF!,#REF!,IF(Z110&gt;#REF!,#REF!,IF(Z110&gt;#REF!,#REF!,IF(Z110&gt;#REF!,#REF!,#REF!)))))))</f>
        <v>#REF!</v>
      </c>
      <c r="AO110" s="31" t="e">
        <f>IF(AA110&gt;#REF!,#REF!,IF(AA110&gt;#REF!,#REF!,IF(AA110&gt;#REF!,#REF!,IF(AA110&gt;#REF!,#REF!,IF(AA110&gt;#REF!,#REF!,IF(AA110&gt;#REF!,#REF!,IF(AA110&gt;#REF!,#REF!,#REF!)))))))</f>
        <v>#REF!</v>
      </c>
      <c r="AP110" s="31" t="e">
        <f>IF(AB110&lt;#REF!,#REF!,IF(AB110&lt;#REF!,#REF!,IF(AB110&lt;#REF!,#REF!,IF(AB110&lt;#REF!,#REF!,IF(AB110&lt;#REF!,#REF!,IF(AB110&lt;#REF!,#REF!,#REF!))))))</f>
        <v>#REF!</v>
      </c>
      <c r="AQ110" s="31" t="e">
        <f>IF(AC110&gt;#REF!,#REF!,IF(AC110&gt;#REF!,#REF!,IF(AC110&gt;#REF!,#REF!,IF(AC110&gt;#REF!,#REF!,#REF!))))</f>
        <v>#REF!</v>
      </c>
      <c r="AR110" s="31" t="e">
        <f>IF(AE110&gt;#REF!,#REF!,IF(AE110&gt;#REF!,#REF!,IF(AE110&gt;#REF!,#REF!,IF(AE110&gt;#REF!,#REF!,#REF!))))</f>
        <v>#REF!</v>
      </c>
      <c r="AS110" s="31" t="e">
        <f>IF(AF110&gt;#REF!,#REF!,IF(AF110&gt;#REF!,#REF!,IF(AF110&gt;#REF!,#REF!,IF(AF110&gt;#REF!,#REF!,#REF!))))</f>
        <v>#REF!</v>
      </c>
      <c r="AT110" s="31" t="e">
        <f>IF(AH110&gt;#REF!,#REF!,IF(AH110&gt;#REF!,#REF!,IF(AH110&gt;#REF!,#REF!,IF(AH110&gt;#REF!,#REF!,IF(AH110&gt;#REF!,#REF!,#REF!)))))</f>
        <v>#REF!</v>
      </c>
      <c r="AU110" s="10" t="e">
        <f t="shared" si="28"/>
        <v>#REF!</v>
      </c>
      <c r="AV110" s="10" t="s">
        <v>60</v>
      </c>
      <c r="AW110" s="10" t="s">
        <v>227</v>
      </c>
      <c r="AX110" s="10" t="s">
        <v>261</v>
      </c>
      <c r="AY110" s="31" t="str">
        <f>IFERROR(VLOOKUP(AV110,#REF!,3,0),"")</f>
        <v/>
      </c>
      <c r="AZ110" s="31" t="str">
        <f>IFERROR(VLOOKUP(AW110,#REF!,3,0),"")</f>
        <v/>
      </c>
      <c r="BA110" s="31" t="str">
        <f>IFERROR(VLOOKUP(AX110,#REF!,3,0),"")</f>
        <v/>
      </c>
      <c r="BB110" s="31" t="str">
        <f>IFERROR(AY110*#REF!+AZ110*#REF!+BA110*#REF!,"")</f>
        <v/>
      </c>
      <c r="BC110" s="32" t="str">
        <f t="shared" si="29"/>
        <v/>
      </c>
      <c r="BD110" s="32" t="str">
        <f>IFERROR(VLOOKUP(BC110*10,#REF!,2,1),"")</f>
        <v/>
      </c>
      <c r="BE110" s="11">
        <v>0</v>
      </c>
      <c r="BF110" s="11">
        <v>-1</v>
      </c>
      <c r="BG110" s="10" t="s">
        <v>924</v>
      </c>
      <c r="BH110" s="11" t="s">
        <v>925</v>
      </c>
      <c r="BI110" s="10">
        <v>100</v>
      </c>
      <c r="BJ110" s="33" t="s">
        <v>486</v>
      </c>
      <c r="BK110" s="33" t="s">
        <v>487</v>
      </c>
      <c r="BL110" s="10">
        <f>IF([1]!s_stmnote_bank_17n(A110,$A$1,1)="0","",[1]!s_stmnote_bank_17n(A110,$A$1,1))</f>
        <v>0</v>
      </c>
      <c r="BM110" s="10">
        <f>IF([1]!s_stmnote_bank_18n(A110,$A$1,1)="0","",[1]!s_stmnote_bank_18n(A110,$A$1,1))</f>
        <v>0</v>
      </c>
      <c r="BN110" s="41" t="s">
        <v>67</v>
      </c>
      <c r="BO110" s="68" t="s">
        <v>67</v>
      </c>
      <c r="BP110" s="52">
        <f>[1]!s_stmnote_bank_5444(A110,$A$1,1)</f>
        <v>1.46</v>
      </c>
      <c r="BQ110" s="53">
        <f>[1]!s_stmnote_bank_129n($A110,$A$1,1)</f>
        <v>50.39</v>
      </c>
      <c r="BR110" s="52">
        <f t="shared" si="34"/>
        <v>3.450094498520611</v>
      </c>
      <c r="BS110" s="52">
        <f>[1]!b_stm07_is(A110,19,$A$1,1,100000000)</f>
        <v>49.142989559999997</v>
      </c>
      <c r="BT110" s="52">
        <f xml:space="preserve"> [1]!s_stm07_bs(A110,"W15273164",$A$1,1,100000000)-[1]!s_stm07_bs(A110,"W17642530",$A$1,1,100000000)-[1]!s_stm07_bs(A110,"W15910877",$A$1,1,100000000)-[1]!s_stm07_bs_39(A110,$A$1,1,100000000)-[1]!s_stm07_bs(A110,"W17700468",$A$1,1,100000000)-[1]!s_stm07_bs(A110,"W16504296",$A$1,1,100000000)-[1]!s_stm07_bs(A110,"W13769069",$A$1,1,100000000)</f>
        <v>1460.6924498499998</v>
      </c>
      <c r="BU110" s="52">
        <f xml:space="preserve"> [1]!s_stm07_bs(A110,"W15273164",$B$1,1,100000000)-[1]!s_stm07_bs(A110,"W17642530",$B$1,1,100000000)-[1]!s_stm07_bs(A110,"W15910877",$B$1,1,100000000)-[1]!s_stm07_bs_39(A110,$B$1,1,100000000)-[1]!s_stm07_bs(A110,"W17700468",$B$1,1,100000000)-[1]!s_stm07_bs(A110,"W16504296",$B$1,1,100000000)-[1]!s_stm07_bs(A110,"W13769069",$B$1,1,100000000)</f>
        <v>1415.5913816</v>
      </c>
      <c r="BV110" s="52">
        <f xml:space="preserve"> [1]!s_stm07_bs(A110,"W15273164",$E$1,1,100000000)-[1]!s_stm07_bs(A110,"W17642530",$E$1,1,100000000)-[1]!s_stm07_bs(A110,"W15910877",$E$1,1,100000000)-[1]!s_stm07_bs_39(A110,$E$1,1,100000000)-[1]!s_stm07_bs(A110,"W17700468",$E$1,1,100000000)-[1]!s_stm07_bs(A110,"W16504296",$E$1,1,100000000)-[1]!s_stm07_bs(A110,"W13769069",$E$1,1,100000000)</f>
        <v>0</v>
      </c>
      <c r="BW110" s="52">
        <f xml:space="preserve"> [1]!s_stm07_bs(A110,"W15273164",$F$1,1,100000000)-[1]!s_stm07_bs(A110,"W17642530",$F$1,1,100000000)-[1]!s_stm07_bs(A110,"W15910877",$F$1,1,100000000)-[1]!s_stm07_bs_39(A110,$F$1,1,100000000)-[1]!s_stm07_bs(A110,"W17700468",$F$1,1,100000000)-[1]!s_stm07_bs(A110,"W16504296",$F$1,1,100000000)-[1]!s_stm07_bs(A110,"W13769069",$F$1,1,100000000)</f>
        <v>1449.7270600000002</v>
      </c>
      <c r="BX110" s="52">
        <f xml:space="preserve"> [1]!s_stm07_bs(A110,"W15273164",$G$1,1,100000000)-[1]!s_stm07_bs(A110,"W17642530",$G$1,1,100000000)-[1]!s_stm07_bs(A110,"W15910877",$G$1,1,100000000)-[1]!s_stm07_bs_39(A110,$G$1,1,100000000)-[1]!s_stm07_bs(A110,"W17700468",$G$1,1,100000000)-[1]!s_stm07_bs(A110,"W16504296",$G$1,1,100000000)-[1]!s_stm07_bs(A110,"W13769069",$G$1,1,100000000)</f>
        <v>0</v>
      </c>
      <c r="BY110" s="52">
        <f>IFERROR([1]!b_stm07_is(A110,20,$A$1,1,100000000)/AVERAGEIF(CA110:CE110,"&gt;0")*100,0)</f>
        <v>2.4718637712088452</v>
      </c>
      <c r="BZ110" s="52">
        <f>[1]!b_stm07_is(A110,20,$A$1,1,100000000)</f>
        <v>31.688932269999999</v>
      </c>
      <c r="CA110" s="52">
        <f>[1]!s_stmnote_bank_38(A110,$A$1,1,100000000)</f>
        <v>1296.24212248</v>
      </c>
      <c r="CB110" s="52">
        <f>[1]!s_stmnote_bank_38(A110,$B$1,1,100000000)</f>
        <v>1258.8135008199999</v>
      </c>
      <c r="CC110" s="52">
        <f>[1]!s_stmnote_bank_38(A110,$E$1,1,100000000)</f>
        <v>0</v>
      </c>
      <c r="CD110" s="52">
        <f>[1]!s_stmnote_bank_38(A110,$F$1,1,100000000)</f>
        <v>1290.9005299999999</v>
      </c>
      <c r="CE110" s="52">
        <f>[1]!s_stmnote_bank_38(A110,$G$1,1,100000000)</f>
        <v>0</v>
      </c>
      <c r="CF110" s="52">
        <f>IF(BP110&lt;&gt;0,BP110,IFERROR(IF(([1]!b_stm07_is(A110,19,$A$1,1,100000000)-[1]!b_stm07_is(A110,20,$A$1,1,100000000))/AVERAGE([1]!s_stmnote_bank_35(A110,$A$1,1,100000000),[1]!s_stmnote_bank_35(A110,$B$1,1,100000000))*100=0,"",([1]!b_stm07_is(A110,19,$A$1,1,100000000)-[1]!b_stm07_is(A110,20,$A$1,1,100000000))/AVERAGE([1]!s_stmnote_bank_35(A110,$A$1,1,100000000),[1]!s_stmnote_bank_35(A110,$B$1,1,100000000))*100),""))</f>
        <v>1.46</v>
      </c>
      <c r="CG110" s="27" t="str">
        <f t="shared" si="30"/>
        <v>155 171</v>
      </c>
      <c r="CH110" s="80">
        <f t="shared" si="35"/>
        <v>0.4724647411616304</v>
      </c>
      <c r="CI110" s="27" t="str">
        <f t="shared" si="31"/>
        <v>121 169</v>
      </c>
      <c r="CJ110" s="55">
        <f>[1]!s_stmnote_bank_30(A110,$A$1,1)</f>
        <v>26.1633</v>
      </c>
      <c r="CK110" s="46"/>
      <c r="CL110" s="46"/>
      <c r="CM110" s="46"/>
      <c r="CN110" s="46"/>
      <c r="CO110" s="46"/>
      <c r="CP110" s="69">
        <f>[1]!b_stm07_bs($A110,141,$A$1,1,100000000)</f>
        <v>153.92894663999999</v>
      </c>
      <c r="CQ110" s="69">
        <f>[1]!b_stm07_bs($A110,141,$D$1,1,100000000)</f>
        <v>159.74262400000001</v>
      </c>
      <c r="CR110" s="68">
        <f>IF([1]!s_fa_roic_yearly($A110,$A$1)=0,"",[1]!s_fa_roic_yearly($A110,$A$1))</f>
        <v>4.0301</v>
      </c>
      <c r="CS110" s="27">
        <f>RANK(CR110,CR$5:CR$192,0)/COUNTIF(CR$5:CR$192,"&gt;0")</f>
        <v>0.90532544378698221</v>
      </c>
      <c r="CT110" s="68">
        <f>IF([1]!s_fa_roic_yearly($A110,$D$1)=0,"",[1]!s_fa_roic_yearly($A110,$D$1))</f>
        <v>8.2086000000000006</v>
      </c>
      <c r="CU110" s="27">
        <f>RANK(CT110,CT$5:CT$192,0)/COUNTIF(CT$5:CT$192,"&gt;0")</f>
        <v>0.6901408450704225</v>
      </c>
      <c r="CV110" s="78">
        <f>[1]!s_stm07_bs(A110,"W14578191",$A$1,1,100000000)</f>
        <v>820.18352544000004</v>
      </c>
      <c r="CW110" s="78">
        <f>[1]!s_stmnote_bank_682($A110,$A$1,1,2,100000000)</f>
        <v>220.60826373</v>
      </c>
      <c r="CX110" s="79">
        <f t="shared" si="32"/>
        <v>0.26897426842565669</v>
      </c>
    </row>
    <row r="111" spans="1:102" ht="13.5">
      <c r="A111" s="8" t="s">
        <v>448</v>
      </c>
      <c r="B111" s="8" t="s">
        <v>449</v>
      </c>
      <c r="C111" s="9" t="s">
        <v>450</v>
      </c>
      <c r="D111" s="9" t="s">
        <v>1061</v>
      </c>
      <c r="E111" s="10"/>
      <c r="F111" s="11" t="s">
        <v>66</v>
      </c>
      <c r="G111" s="11" t="s">
        <v>67</v>
      </c>
      <c r="H111" s="11" t="s">
        <v>179</v>
      </c>
      <c r="I111" s="11"/>
      <c r="J111" s="11" t="e">
        <f>VLOOKUP(B111,[3]额度信息!$B:$T,19,0)</f>
        <v>#N/A</v>
      </c>
      <c r="K111" s="11"/>
      <c r="L111" s="27">
        <f>IFERROR(([1]!b_stm07_bs($A111,47,$A$1,1,100000000))/[1]!b_stm07_bs($A111,109,$A$1,1,100000000),"")</f>
        <v>0.13175494560745557</v>
      </c>
      <c r="M111" s="20"/>
      <c r="N111" s="18"/>
      <c r="O111" s="27" t="e">
        <f t="shared" si="24"/>
        <v>#N/A</v>
      </c>
      <c r="P111" s="21">
        <f t="shared" si="33"/>
        <v>1.7311119204903823E-2</v>
      </c>
      <c r="Q111" s="27" t="str">
        <f t="shared" si="25"/>
        <v>33 169</v>
      </c>
      <c r="R111" s="18">
        <f>IFERROR([1]!s_stmnote_bank($A111,"34",$A$1,100000000)/[1]!s_stmnote_bank_1n(A111,$A$1,1,100000000),"")</f>
        <v>8.4111192049038212E-3</v>
      </c>
      <c r="S111" s="22"/>
      <c r="T111" s="22"/>
      <c r="U111" s="22"/>
      <c r="V111" s="22"/>
      <c r="W111" s="22"/>
      <c r="X111" s="22"/>
      <c r="Y111" s="22"/>
      <c r="Z111" s="25">
        <f>[1]!b_stm07_bs(A111,74,$A$1,1,100000000)</f>
        <v>3744.2440216194</v>
      </c>
      <c r="AA111" s="25">
        <f>[1]!b_stm07_bs(A111,109,$A$1,1,100000000)</f>
        <v>2694.5272506485003</v>
      </c>
      <c r="AB111" s="10">
        <f>[1]!s_stmnote_bank_5n(A111,$A$1,1)</f>
        <v>0.89</v>
      </c>
      <c r="AC111" s="25">
        <f>IF([1]!s_stmnote_bank_23n(A111,$A$1,1)=0,"",IFERROR([1]!s_stmnote_bank_23n(A111,$A$1,1),""))</f>
        <v>303.38</v>
      </c>
      <c r="AD111" s="27" t="str">
        <f t="shared" si="26"/>
        <v>110 167</v>
      </c>
      <c r="AE111" s="25">
        <f>[1]!s_stmnote_bank_capadequacyratio(A111,$A$1,1)</f>
        <v>11.41</v>
      </c>
      <c r="AF111" s="25">
        <f>IF([1]!s_stmnote_bank_capadequacyratio_ct1(A111,$A$1,1)=0,"",IFERROR([1]!s_stmnote_bank_capadequacyratio_ct1(A111,$A$1,1),""))</f>
        <v>7.94</v>
      </c>
      <c r="AG111" s="27" t="str">
        <f>RANK(AF111,AF$5:AF$192,1)&amp;" "&amp;COUNTIF(AF$5:AF$192,"&gt;0")</f>
        <v>6 167</v>
      </c>
      <c r="AH111" s="6">
        <f>IF(OR([1]!s_fa_roe(A111,20201231)=0,[1]!s_fa_roe(A111,20211231)="0",[1]!s_fa_roe(A111,20221231)="0"),"",IFERROR(([1]!s_fa_roe(A111,20221231)+[1]!s_fa_roe(A111,20201231)+[1]!s_fa_roe(A111,20211231))/3,""))</f>
        <v>13.914866666666667</v>
      </c>
      <c r="AI111" s="27" t="str">
        <f t="shared" si="27"/>
        <v>163 173</v>
      </c>
      <c r="AJ111" s="28">
        <f>IFERROR(([1]!s_stmnote_bank_65(A111,$A$1,1,2,4,100000000)+[1]!s_stmnote_bank_65(A111,$A$1,1,2,6,100000000))/[1]!s_stmnote_bank_1n(A111,$A$1,1,100000000),"")</f>
        <v>0.27952196987876782</v>
      </c>
      <c r="AK111" s="28">
        <f>IFERROR([1]!s_stmnote_bank_614(A111,$A$1,1,2,100000000)/[1]!s_stmnote_bank_647(A111,$A$1,1,2,100000000),"")</f>
        <v>0.14317402994816683</v>
      </c>
      <c r="AL111" s="28">
        <f>IFERROR(([1]!b_stm07_bs(A111,104,$A$1,1,100000000)+[1]!b_stm07_bs(A111,106,$A$1,1,100000000)+[1]!b_stm07_bs(A111,76,$A$1,1,100000000)+[1]!b_stm07_bs(A111,108,$A$1,1,100000000)+[1]!b_stm07_bs(A111,95,$A$1,1,100000000))/[1]!b_stm07_bs(A111,128,$A$1,1,100000000),"")</f>
        <v>0.21903941954652414</v>
      </c>
      <c r="AM111" s="28">
        <f>IFERROR(([1]!s_stmnote_bank_614(A111,$A$1,1,2,100000000)+[1]!b_stm07_bs(A111,104,$A$1,1,100000000)+[1]!b_stm07_bs(A111,106,$A$1,1,100000000)+[1]!b_stm07_bs(A111,76,$A$1,1,100000000)+[1]!b_stm07_bs(A111,108,$A$1,1,100000000)+[1]!b_stm07_bs(A111,95,$A$1,1,100000000))/[1]!b_stm07_bs(A111,128,$A$1,1,100000000),"")</f>
        <v>0.32848979802374118</v>
      </c>
      <c r="AN111" s="31" t="e">
        <f>IF(Z111&gt;#REF!,#REF!,IF(Z111&gt;#REF!,#REF!,IF(Z111&gt;#REF!,#REF!,IF(Z111&gt;#REF!,#REF!,IF(Z111&gt;#REF!,#REF!,IF(Z111&gt;#REF!,#REF!,IF(Z111&gt;#REF!,#REF!,#REF!)))))))</f>
        <v>#REF!</v>
      </c>
      <c r="AO111" s="31" t="e">
        <f>IF(AA111&gt;#REF!,#REF!,IF(AA111&gt;#REF!,#REF!,IF(AA111&gt;#REF!,#REF!,IF(AA111&gt;#REF!,#REF!,IF(AA111&gt;#REF!,#REF!,IF(AA111&gt;#REF!,#REF!,IF(AA111&gt;#REF!,#REF!,#REF!)))))))</f>
        <v>#REF!</v>
      </c>
      <c r="AP111" s="31" t="e">
        <f>IF(AB111&lt;#REF!,#REF!,IF(AB111&lt;#REF!,#REF!,IF(AB111&lt;#REF!,#REF!,IF(AB111&lt;#REF!,#REF!,IF(AB111&lt;#REF!,#REF!,IF(AB111&lt;#REF!,#REF!,#REF!))))))</f>
        <v>#REF!</v>
      </c>
      <c r="AQ111" s="31" t="e">
        <f>IF(AC111&gt;#REF!,#REF!,IF(AC111&gt;#REF!,#REF!,IF(AC111&gt;#REF!,#REF!,IF(AC111&gt;#REF!,#REF!,#REF!))))</f>
        <v>#REF!</v>
      </c>
      <c r="AR111" s="31" t="e">
        <f>IF(AE111&gt;#REF!,#REF!,IF(AE111&gt;#REF!,#REF!,IF(AE111&gt;#REF!,#REF!,IF(AE111&gt;#REF!,#REF!,#REF!))))</f>
        <v>#REF!</v>
      </c>
      <c r="AS111" s="31" t="e">
        <f>IF(AF111&gt;#REF!,#REF!,IF(AF111&gt;#REF!,#REF!,IF(AF111&gt;#REF!,#REF!,IF(AF111&gt;#REF!,#REF!,#REF!))))</f>
        <v>#REF!</v>
      </c>
      <c r="AT111" s="31" t="e">
        <f>IF(AH111&gt;#REF!,#REF!,IF(AH111&gt;#REF!,#REF!,IF(AH111&gt;#REF!,#REF!,IF(AH111&gt;#REF!,#REF!,IF(AH111&gt;#REF!,#REF!,#REF!)))))</f>
        <v>#REF!</v>
      </c>
      <c r="AU111" s="10" t="e">
        <f t="shared" si="28"/>
        <v>#REF!</v>
      </c>
      <c r="AV111" s="10" t="s">
        <v>60</v>
      </c>
      <c r="AW111" s="10" t="s">
        <v>161</v>
      </c>
      <c r="AX111" s="10" t="s">
        <v>359</v>
      </c>
      <c r="AY111" s="31" t="str">
        <f>IFERROR(VLOOKUP(AV111,#REF!,3,0),"")</f>
        <v/>
      </c>
      <c r="AZ111" s="31" t="str">
        <f>IFERROR(VLOOKUP(AW111,#REF!,3,0),"")</f>
        <v/>
      </c>
      <c r="BA111" s="31" t="str">
        <f>IFERROR(VLOOKUP(AX111,#REF!,3,0),"")</f>
        <v/>
      </c>
      <c r="BB111" s="31" t="str">
        <f>IFERROR(AY111*#REF!+AZ111*#REF!+BA111*#REF!,"")</f>
        <v/>
      </c>
      <c r="BC111" s="32" t="str">
        <f t="shared" si="29"/>
        <v/>
      </c>
      <c r="BD111" s="32" t="str">
        <f>IFERROR(VLOOKUP(BC111*10,#REF!,2,1),"")</f>
        <v/>
      </c>
      <c r="BE111" s="10"/>
      <c r="BF111" s="10"/>
      <c r="BG111" s="10"/>
      <c r="BH111" s="11" t="s">
        <v>451</v>
      </c>
      <c r="BI111" s="10">
        <v>20</v>
      </c>
      <c r="BJ111" s="33" t="s">
        <v>280</v>
      </c>
      <c r="BK111" s="33" t="s">
        <v>452</v>
      </c>
      <c r="BL111" s="10">
        <f>IF([1]!s_stmnote_bank_17n(A111,$A$1,1)="0","",[1]!s_stmnote_bank_17n(A111,$A$1,1))</f>
        <v>5.34</v>
      </c>
      <c r="BM111" s="10">
        <f>IF([1]!s_stmnote_bank_18n(A111,$A$1,1)="0","",[1]!s_stmnote_bank_18n(A111,$A$1,1))</f>
        <v>40.380000000000003</v>
      </c>
      <c r="BN111" s="41" t="s">
        <v>67</v>
      </c>
      <c r="BO111" s="68" t="s">
        <v>67</v>
      </c>
      <c r="BP111" s="52">
        <f>[1]!s_stmnote_bank_5444(A111,$A$1,1)</f>
        <v>2.0499999999999998</v>
      </c>
      <c r="BQ111" s="52">
        <f>[1]!s_stmnote_bank_129n($A111,$A$1,1)</f>
        <v>38.11</v>
      </c>
      <c r="BR111" s="52">
        <f t="shared" si="34"/>
        <v>4.9890940822956136</v>
      </c>
      <c r="BS111" s="52">
        <f>[1]!b_stm07_is(A111,19,$A$1,1,100000000)</f>
        <v>167.9170599176</v>
      </c>
      <c r="BT111" s="52">
        <f xml:space="preserve"> [1]!s_stm07_bs(A111,"W15273164",$A$1,1,100000000)-[1]!s_stm07_bs(A111,"W17642530",$A$1,1,100000000)-[1]!s_stm07_bs(A111,"W15910877",$A$1,1,100000000)-[1]!s_stm07_bs_39(A111,$A$1,1,100000000)-[1]!s_stm07_bs(A111,"W17700468",$A$1,1,100000000)-[1]!s_stm07_bs(A111,"W16504296",$A$1,1,100000000)-[1]!s_stm07_bs(A111,"W13769069",$A$1,1,100000000)</f>
        <v>3707.1004945786999</v>
      </c>
      <c r="BU111" s="52">
        <f xml:space="preserve"> [1]!s_stm07_bs(A111,"W15273164",$B$1,1,100000000)-[1]!s_stm07_bs(A111,"W17642530",$B$1,1,100000000)-[1]!s_stm07_bs(A111,"W15910877",$B$1,1,100000000)-[1]!s_stm07_bs_39(A111,$B$1,1,100000000)-[1]!s_stm07_bs(A111,"W17700468",$B$1,1,100000000)-[1]!s_stm07_bs(A111,"W16504296",$B$1,1,100000000)-[1]!s_stm07_bs(A111,"W13769069",$B$1,1,100000000)</f>
        <v>3275.2971893339995</v>
      </c>
      <c r="BV111" s="52">
        <f xml:space="preserve"> [1]!s_stm07_bs(A111,"W15273164",$E$1,1,100000000)-[1]!s_stm07_bs(A111,"W17642530",$E$1,1,100000000)-[1]!s_stm07_bs(A111,"W15910877",$E$1,1,100000000)-[1]!s_stm07_bs_39(A111,$E$1,1,100000000)-[1]!s_stm07_bs(A111,"W17700468",$E$1,1,100000000)-[1]!s_stm07_bs(A111,"W16504296",$E$1,1,100000000)-[1]!s_stm07_bs(A111,"W13769069",$E$1,1,100000000)</f>
        <v>3520.6142412554</v>
      </c>
      <c r="BW111" s="52">
        <f xml:space="preserve"> [1]!s_stm07_bs(A111,"W15273164",$F$1,1,100000000)-[1]!s_stm07_bs(A111,"W17642530",$F$1,1,100000000)-[1]!s_stm07_bs(A111,"W15910877",$F$1,1,100000000)-[1]!s_stm07_bs_39(A111,$F$1,1,100000000)-[1]!s_stm07_bs(A111,"W17700468",$F$1,1,100000000)-[1]!s_stm07_bs(A111,"W16504296",$F$1,1,100000000)-[1]!s_stm07_bs(A111,"W13769069",$F$1,1,100000000)</f>
        <v>3584.3262295295999</v>
      </c>
      <c r="BX111" s="52">
        <f xml:space="preserve"> [1]!s_stm07_bs(A111,"W15273164",$G$1,1,100000000)-[1]!s_stm07_bs(A111,"W17642530",$G$1,1,100000000)-[1]!s_stm07_bs(A111,"W15910877",$G$1,1,100000000)-[1]!s_stm07_bs_39(A111,$G$1,1,100000000)-[1]!s_stm07_bs(A111,"W17700468",$G$1,1,100000000)-[1]!s_stm07_bs(A111,"W16504296",$G$1,1,100000000)-[1]!s_stm07_bs(A111,"W13769069",$G$1,1,100000000)</f>
        <v>3356.0190466484996</v>
      </c>
      <c r="BY111" s="52">
        <f>IFERROR([1]!b_stm07_is(A111,20,$A$1,1,100000000)/AVERAGEIF(CA111:CE111,"&gt;0")*100,0)</f>
        <v>3.1865924353884969</v>
      </c>
      <c r="BZ111" s="52">
        <f>[1]!b_stm07_is(A111,20,$A$1,1,100000000)</f>
        <v>104.3771409205</v>
      </c>
      <c r="CA111" s="52">
        <f>[1]!s_stmnote_bank_38(A111,$A$1,1,100000000)</f>
        <v>3485.0225029593998</v>
      </c>
      <c r="CB111" s="52">
        <f>[1]!s_stmnote_bank_38(A111,$B$1,1,100000000)</f>
        <v>3051.3786235136999</v>
      </c>
      <c r="CC111" s="52">
        <f>[1]!s_stmnote_bank_38(A111,$E$1,1,100000000)</f>
        <v>3303.8570371677001</v>
      </c>
      <c r="CD111" s="52">
        <f>[1]!s_stmnote_bank_38(A111,$F$1,1,100000000)</f>
        <v>3378.6931926300999</v>
      </c>
      <c r="CE111" s="52">
        <f>[1]!s_stmnote_bank_38(A111,$G$1,1,100000000)</f>
        <v>3158.5966102255998</v>
      </c>
      <c r="CF111" s="52">
        <f>IF(BP111&lt;&gt;0,BP111,IFERROR(IF(([1]!b_stm07_is(A111,19,$A$1,1,100000000)-[1]!b_stm07_is(A111,20,$A$1,1,100000000))/AVERAGE([1]!s_stmnote_bank_35(A111,$A$1,1,100000000),[1]!s_stmnote_bank_35(A111,$B$1,1,100000000))*100=0,"",([1]!b_stm07_is(A111,19,$A$1,1,100000000)-[1]!b_stm07_is(A111,20,$A$1,1,100000000))/AVERAGE([1]!s_stmnote_bank_35(A111,$A$1,1,100000000),[1]!s_stmnote_bank_35(A111,$B$1,1,100000000))*100),""))</f>
        <v>2.0499999999999998</v>
      </c>
      <c r="CG111" s="27" t="str">
        <f t="shared" si="30"/>
        <v>85 171</v>
      </c>
      <c r="CH111" s="80">
        <f t="shared" si="35"/>
        <v>1.1842099726395992</v>
      </c>
      <c r="CI111" s="27" t="str">
        <f t="shared" si="31"/>
        <v>32 169</v>
      </c>
      <c r="CJ111" s="55">
        <f>[1]!s_stmnote_bank_30(A111,$A$1,1)</f>
        <v>30.311499999999999</v>
      </c>
      <c r="CP111" s="69">
        <f>[1]!b_stm07_bs($A111,141,$A$1,1,100000000)</f>
        <v>219.4839372054</v>
      </c>
      <c r="CQ111" s="69">
        <f>[1]!b_stm07_bs($A111,141,$D$1,1,100000000)</f>
        <v>236.1964919948</v>
      </c>
      <c r="CR111" s="68">
        <f>IF([1]!s_fa_roic_yearly($A111,$A$1)=0,"",[1]!s_fa_roic_yearly($A111,$A$1))</f>
        <v>14.963800000000001</v>
      </c>
      <c r="CS111" s="27">
        <f>RANK(CR111,CR$5:CR$192,0)/COUNTIF(CR$5:CR$192,"&gt;0")</f>
        <v>5.3254437869822487E-2</v>
      </c>
      <c r="CT111" s="68">
        <f>IF([1]!s_fa_roic_yearly($A111,$D$1)=0,"",[1]!s_fa_roic_yearly($A111,$D$1))</f>
        <v>15.8674</v>
      </c>
      <c r="CU111" s="27">
        <f>RANK(CT111,CT$5:CT$192,0)/COUNTIF(CT$5:CT$192,"&gt;0")</f>
        <v>7.0422535211267609E-2</v>
      </c>
      <c r="CV111" s="78">
        <f>[1]!s_stm07_bs(A111,"W14578191",$A$1,1,100000000)</f>
        <v>1845.1325712159</v>
      </c>
      <c r="CW111" s="78">
        <f>[1]!s_stmnote_bank_682($A111,$A$1,1,2,100000000)</f>
        <v>311.81948304999997</v>
      </c>
      <c r="CX111" s="79">
        <f t="shared" si="32"/>
        <v>0.16899570682041459</v>
      </c>
    </row>
    <row r="112" spans="1:102" s="46" customFormat="1" ht="13.5">
      <c r="A112" s="8" t="s">
        <v>555</v>
      </c>
      <c r="B112" s="8" t="s">
        <v>556</v>
      </c>
      <c r="C112" s="9" t="s">
        <v>557</v>
      </c>
      <c r="D112" s="9" t="s">
        <v>1061</v>
      </c>
      <c r="E112" s="10" t="s">
        <v>557</v>
      </c>
      <c r="F112" s="11" t="s">
        <v>178</v>
      </c>
      <c r="G112" s="11" t="s">
        <v>206</v>
      </c>
      <c r="H112" s="11" t="s">
        <v>245</v>
      </c>
      <c r="I112" s="11"/>
      <c r="J112" s="11">
        <f>VLOOKUP(B112,[3]额度信息!$B:$T,19,0)</f>
        <v>0</v>
      </c>
      <c r="K112" s="11" t="s">
        <v>558</v>
      </c>
      <c r="L112" s="27">
        <f>IFERROR(([1]!b_stm07_bs($A112,47,$A$1,1,100000000))/[1]!b_stm07_bs($A112,109,$A$1,1,100000000),"")</f>
        <v>0.10816829425193367</v>
      </c>
      <c r="M112" s="20"/>
      <c r="N112" s="18"/>
      <c r="O112" s="27" t="e">
        <f t="shared" si="24"/>
        <v>#N/A</v>
      </c>
      <c r="P112" s="21">
        <f t="shared" si="33"/>
        <v>3.7471842894393495E-2</v>
      </c>
      <c r="Q112" s="27" t="str">
        <f t="shared" si="25"/>
        <v>105 169</v>
      </c>
      <c r="R112" s="18">
        <v>2.4271842894393499E-2</v>
      </c>
      <c r="S112" s="22"/>
      <c r="T112" s="22"/>
      <c r="U112" s="22"/>
      <c r="V112" s="22"/>
      <c r="W112" s="22"/>
      <c r="X112" s="22"/>
      <c r="Y112" s="22"/>
      <c r="Z112" s="25">
        <f>[1]!b_stm07_bs(A112,74,$A$1,1,100000000)</f>
        <v>3458.6391699999999</v>
      </c>
      <c r="AA112" s="25">
        <f>[1]!b_stm07_bs(A112,109,$A$1,1,100000000)</f>
        <v>2347.23596</v>
      </c>
      <c r="AB112" s="10">
        <f>[1]!s_stmnote_bank_5n(A112,$A$1,1)</f>
        <v>1.32</v>
      </c>
      <c r="AC112" s="25">
        <f>IF([1]!s_stmnote_bank_23n(A112,$A$1,1)=0,"",IFERROR([1]!s_stmnote_bank_23n(A112,$A$1,1),""))</f>
        <v>224.21</v>
      </c>
      <c r="AD112" s="27" t="str">
        <f t="shared" si="26"/>
        <v>79 167</v>
      </c>
      <c r="AE112" s="25">
        <f>[1]!s_stmnote_bank_capadequacyratio(A112,$A$1,1)</f>
        <v>14.12</v>
      </c>
      <c r="AF112" s="25">
        <f>IF([1]!s_stmnote_bank_capadequacyratio_ct1(A112,$A$1,1)=0,"",IFERROR([1]!s_stmnote_bank_capadequacyratio_ct1(A112,$A$1,1),""))</f>
        <v>12.09</v>
      </c>
      <c r="AG112" s="27" t="str">
        <f>RANK(AF112,AF$5:AF$192,1)&amp;" "&amp;COUNTIF(AF$5:AF$192,"&gt;0")</f>
        <v>125 167</v>
      </c>
      <c r="AH112" s="6">
        <f>IF(OR([1]!s_fa_roe(A112,20201231)=0,[1]!s_fa_roe(A112,20211231)="0",[1]!s_fa_roe(A112,20221231)="0"),"",IFERROR(([1]!s_fa_roe(A112,20221231)+[1]!s_fa_roe(A112,20201231)+[1]!s_fa_roe(A112,20211231))/3,""))</f>
        <v>10.105866666666666</v>
      </c>
      <c r="AI112" s="27" t="str">
        <f t="shared" si="27"/>
        <v>121 173</v>
      </c>
      <c r="AJ112" s="28">
        <f>IFERROR(([1]!s_stmnote_bank_65(A112,$A$1,1,2,4,100000000)+[1]!s_stmnote_bank_65(A112,$A$1,1,2,6,100000000))/[1]!s_stmnote_bank_1n(A112,$A$1,1,100000000),"")</f>
        <v>0.14683466660107114</v>
      </c>
      <c r="AK112" s="28">
        <f>IFERROR([1]!s_stmnote_bank_614(A112,$A$1,1,2,100000000)/[1]!s_stmnote_bank_647(A112,$A$1,1,2,100000000),"")</f>
        <v>0.25732402161372353</v>
      </c>
      <c r="AL112" s="28">
        <f>IFERROR(([1]!b_stm07_bs(A112,104,$A$1,1,100000000)+[1]!b_stm07_bs(A112,106,$A$1,1,100000000)+[1]!b_stm07_bs(A112,76,$A$1,1,100000000)+[1]!b_stm07_bs(A112,108,$A$1,1,100000000)+[1]!b_stm07_bs(A112,95,$A$1,1,100000000))/[1]!b_stm07_bs(A112,128,$A$1,1,100000000),"")</f>
        <v>0.24055695621334836</v>
      </c>
      <c r="AM112" s="28">
        <f>IFERROR(([1]!s_stmnote_bank_614(A112,$A$1,1,2,100000000)+[1]!b_stm07_bs(A112,104,$A$1,1,100000000)+[1]!b_stm07_bs(A112,106,$A$1,1,100000000)+[1]!b_stm07_bs(A112,76,$A$1,1,100000000)+[1]!b_stm07_bs(A112,108,$A$1,1,100000000)+[1]!b_stm07_bs(A112,95,$A$1,1,100000000))/[1]!b_stm07_bs(A112,128,$A$1,1,100000000),"")</f>
        <v>0.42573013284432887</v>
      </c>
      <c r="AN112" s="31" t="e">
        <f>IF(Z112&gt;#REF!,#REF!,IF(Z112&gt;#REF!,#REF!,IF(Z112&gt;#REF!,#REF!,IF(Z112&gt;#REF!,#REF!,IF(Z112&gt;#REF!,#REF!,IF(Z112&gt;#REF!,#REF!,IF(Z112&gt;#REF!,#REF!,#REF!)))))))</f>
        <v>#REF!</v>
      </c>
      <c r="AO112" s="31" t="e">
        <f>IF(AA112&gt;#REF!,#REF!,IF(AA112&gt;#REF!,#REF!,IF(AA112&gt;#REF!,#REF!,IF(AA112&gt;#REF!,#REF!,IF(AA112&gt;#REF!,#REF!,IF(AA112&gt;#REF!,#REF!,IF(AA112&gt;#REF!,#REF!,#REF!)))))))</f>
        <v>#REF!</v>
      </c>
      <c r="AP112" s="31" t="e">
        <f>IF(AB112&lt;#REF!,#REF!,IF(AB112&lt;#REF!,#REF!,IF(AB112&lt;#REF!,#REF!,IF(AB112&lt;#REF!,#REF!,IF(AB112&lt;#REF!,#REF!,IF(AB112&lt;#REF!,#REF!,#REF!))))))</f>
        <v>#REF!</v>
      </c>
      <c r="AQ112" s="31" t="e">
        <f>IF(AC112&gt;#REF!,#REF!,IF(AC112&gt;#REF!,#REF!,IF(AC112&gt;#REF!,#REF!,IF(AC112&gt;#REF!,#REF!,#REF!))))</f>
        <v>#REF!</v>
      </c>
      <c r="AR112" s="31" t="e">
        <f>IF(AE112&gt;#REF!,#REF!,IF(AE112&gt;#REF!,#REF!,IF(AE112&gt;#REF!,#REF!,IF(AE112&gt;#REF!,#REF!,#REF!))))</f>
        <v>#REF!</v>
      </c>
      <c r="AS112" s="31" t="e">
        <f>IF(AF112&gt;#REF!,#REF!,IF(AF112&gt;#REF!,#REF!,IF(AF112&gt;#REF!,#REF!,IF(AF112&gt;#REF!,#REF!,#REF!))))</f>
        <v>#REF!</v>
      </c>
      <c r="AT112" s="31" t="e">
        <f>IF(AH112&gt;#REF!,#REF!,IF(AH112&gt;#REF!,#REF!,IF(AH112&gt;#REF!,#REF!,IF(AH112&gt;#REF!,#REF!,IF(AH112&gt;#REF!,#REF!,#REF!)))))</f>
        <v>#REF!</v>
      </c>
      <c r="AU112" s="10" t="e">
        <f t="shared" si="28"/>
        <v>#REF!</v>
      </c>
      <c r="AV112" s="10" t="s">
        <v>141</v>
      </c>
      <c r="AW112" s="10" t="s">
        <v>227</v>
      </c>
      <c r="AX112" s="10" t="s">
        <v>261</v>
      </c>
      <c r="AY112" s="31" t="str">
        <f>IFERROR(VLOOKUP(AV112,#REF!,3,0),"")</f>
        <v/>
      </c>
      <c r="AZ112" s="31" t="str">
        <f>IFERROR(VLOOKUP(AW112,#REF!,3,0),"")</f>
        <v/>
      </c>
      <c r="BA112" s="31" t="str">
        <f>IFERROR(VLOOKUP(AX112,#REF!,3,0),"")</f>
        <v/>
      </c>
      <c r="BB112" s="31" t="str">
        <f>IFERROR(AY112*#REF!+AZ112*#REF!+BA112*#REF!,"")</f>
        <v/>
      </c>
      <c r="BC112" s="32" t="str">
        <f t="shared" si="29"/>
        <v/>
      </c>
      <c r="BD112" s="32" t="str">
        <f>IFERROR(VLOOKUP(BC112*10,#REF!,2,1),"")</f>
        <v/>
      </c>
      <c r="BE112" s="11">
        <v>1</v>
      </c>
      <c r="BF112" s="11"/>
      <c r="BG112" s="10" t="s">
        <v>559</v>
      </c>
      <c r="BH112" s="11" t="s">
        <v>560</v>
      </c>
      <c r="BI112" s="10">
        <v>18.110000610351602</v>
      </c>
      <c r="BJ112" s="33" t="s">
        <v>561</v>
      </c>
      <c r="BK112" s="33" t="s">
        <v>562</v>
      </c>
      <c r="BL112" s="10">
        <f>IF([1]!s_stmnote_bank_17n(A112,$A$1,1)="0","",[1]!s_stmnote_bank_17n(A112,$A$1,1))</f>
        <v>6.63</v>
      </c>
      <c r="BM112" s="10">
        <f>IF([1]!s_stmnote_bank_18n(A112,$A$1,1)="0","",[1]!s_stmnote_bank_18n(A112,$A$1,1))</f>
        <v>39.01</v>
      </c>
      <c r="BN112" s="41">
        <v>4.17</v>
      </c>
      <c r="BO112" s="68">
        <v>2.63</v>
      </c>
      <c r="BP112" s="52">
        <f>[1]!s_stmnote_bank_5444(A112,$A$1,1)</f>
        <v>1.91</v>
      </c>
      <c r="BQ112" s="52">
        <f>[1]!s_stmnote_bank_129n($A112,$A$1,1)</f>
        <v>26.06</v>
      </c>
      <c r="BR112" s="52">
        <f t="shared" si="34"/>
        <v>4.4876732705750735</v>
      </c>
      <c r="BS112" s="52">
        <f>[1]!b_stm07_is(A112,19,$A$1,1,100000000)</f>
        <v>139.10721000000001</v>
      </c>
      <c r="BT112" s="52">
        <f xml:space="preserve"> [1]!s_stm07_bs(A112,"W15273164",$A$1,1,100000000)-[1]!s_stm07_bs(A112,"W17642530",$A$1,1,100000000)-[1]!s_stm07_bs(A112,"W15910877",$A$1,1,100000000)-[1]!s_stm07_bs_39(A112,$A$1,1,100000000)-[1]!s_stm07_bs(A112,"W17700468",$A$1,1,100000000)-[1]!s_stm07_bs(A112,"W16504296",$A$1,1,100000000)-[1]!s_stm07_bs(A112,"W13769069",$A$1,1,100000000)</f>
        <v>3419.6856699999998</v>
      </c>
      <c r="BU112" s="52">
        <f xml:space="preserve"> [1]!s_stm07_bs(A112,"W15273164",$B$1,1,100000000)-[1]!s_stm07_bs(A112,"W17642530",$B$1,1,100000000)-[1]!s_stm07_bs(A112,"W15910877",$B$1,1,100000000)-[1]!s_stm07_bs_39(A112,$B$1,1,100000000)-[1]!s_stm07_bs(A112,"W17700468",$B$1,1,100000000)-[1]!s_stm07_bs(A112,"W16504296",$B$1,1,100000000)-[1]!s_stm07_bs(A112,"W13769069",$B$1,1,100000000)</f>
        <v>3029.4568799999997</v>
      </c>
      <c r="BV112" s="52">
        <f xml:space="preserve"> [1]!s_stm07_bs(A112,"W15273164",$E$1,1,100000000)-[1]!s_stm07_bs(A112,"W17642530",$E$1,1,100000000)-[1]!s_stm07_bs(A112,"W15910877",$E$1,1,100000000)-[1]!s_stm07_bs_39(A112,$E$1,1,100000000)-[1]!s_stm07_bs(A112,"W17700468",$E$1,1,100000000)-[1]!s_stm07_bs(A112,"W16504296",$E$1,1,100000000)-[1]!s_stm07_bs(A112,"W13769069",$E$1,1,100000000)</f>
        <v>3323.9601199999997</v>
      </c>
      <c r="BW112" s="52">
        <f xml:space="preserve"> [1]!s_stm07_bs(A112,"W15273164",$F$1,1,100000000)-[1]!s_stm07_bs(A112,"W17642530",$F$1,1,100000000)-[1]!s_stm07_bs(A112,"W15910877",$F$1,1,100000000)-[1]!s_stm07_bs_39(A112,$F$1,1,100000000)-[1]!s_stm07_bs(A112,"W17700468",$F$1,1,100000000)-[1]!s_stm07_bs(A112,"W16504296",$F$1,1,100000000)-[1]!s_stm07_bs(A112,"W13769069",$F$1,1,100000000)</f>
        <v>3174.9859500000002</v>
      </c>
      <c r="BX112" s="52">
        <f xml:space="preserve"> [1]!s_stm07_bs(A112,"W15273164",$G$1,1,100000000)-[1]!s_stm07_bs(A112,"W17642530",$G$1,1,100000000)-[1]!s_stm07_bs(A112,"W15910877",$G$1,1,100000000)-[1]!s_stm07_bs_39(A112,$G$1,1,100000000)-[1]!s_stm07_bs(A112,"W17700468",$G$1,1,100000000)-[1]!s_stm07_bs(A112,"W16504296",$G$1,1,100000000)-[1]!s_stm07_bs(A112,"W13769069",$G$1,1,100000000)</f>
        <v>3069.54891</v>
      </c>
      <c r="BY112" s="52">
        <f>IFERROR([1]!b_stm07_is(A112,20,$A$1,1,100000000)/AVERAGEIF(CA112:CE112,"&gt;0")*100,0)</f>
        <v>2.6862059269757923</v>
      </c>
      <c r="BZ112" s="52">
        <f>[1]!b_stm07_is(A112,20,$A$1,1,100000000)</f>
        <v>79.17962</v>
      </c>
      <c r="CA112" s="52">
        <f>[1]!s_stmnote_bank_38(A112,$A$1,1,100000000)</f>
        <v>3154.4731299999999</v>
      </c>
      <c r="CB112" s="52">
        <f>[1]!s_stmnote_bank_38(A112,$B$1,1,100000000)</f>
        <v>2780.5768800000001</v>
      </c>
      <c r="CC112" s="52">
        <f>[1]!s_stmnote_bank_38(A112,$E$1,1,100000000)</f>
        <v>3067.65789</v>
      </c>
      <c r="CD112" s="52">
        <f>[1]!s_stmnote_bank_38(A112,$F$1,1,100000000)</f>
        <v>2923.7968599999999</v>
      </c>
      <c r="CE112" s="52">
        <f>[1]!s_stmnote_bank_38(A112,$G$1,1,100000000)</f>
        <v>2811.6840000000002</v>
      </c>
      <c r="CF112" s="52">
        <f>IF(BP112&lt;&gt;0,BP112,IFERROR(IF(([1]!b_stm07_is(A112,19,$A$1,1,100000000)-[1]!b_stm07_is(A112,20,$A$1,1,100000000))/AVERAGE([1]!s_stmnote_bank_35(A112,$A$1,1,100000000),[1]!s_stmnote_bank_35(A112,$B$1,1,100000000))*100=0,"",([1]!b_stm07_is(A112,19,$A$1,1,100000000)-[1]!b_stm07_is(A112,20,$A$1,1,100000000))/AVERAGE([1]!s_stmnote_bank_35(A112,$A$1,1,100000000),[1]!s_stmnote_bank_35(A112,$B$1,1,100000000))*100),""))</f>
        <v>1.91</v>
      </c>
      <c r="CG112" s="27" t="str">
        <f t="shared" si="30"/>
        <v>107 171</v>
      </c>
      <c r="CH112" s="80">
        <f t="shared" si="35"/>
        <v>0.50971605676906073</v>
      </c>
      <c r="CI112" s="27" t="str">
        <f t="shared" si="31"/>
        <v>116 169</v>
      </c>
      <c r="CJ112" s="55">
        <f>[1]!s_stmnote_bank_30(A112,$A$1,1)</f>
        <v>16.802399999999999</v>
      </c>
      <c r="CP112" s="69">
        <f>[1]!b_stm07_bs($A112,141,$A$1,1,100000000)</f>
        <v>276.03134999999997</v>
      </c>
      <c r="CQ112" s="69">
        <f>[1]!b_stm07_bs($A112,141,$D$1,1,100000000)</f>
        <v>282.42002000000002</v>
      </c>
      <c r="CR112" s="68">
        <f>IF([1]!s_fa_roic_yearly($A112,$A$1)=0,"",[1]!s_fa_roic_yearly($A112,$A$1))</f>
        <v>10.561199999999999</v>
      </c>
      <c r="CS112" s="27">
        <f>RANK(CR112,CR$5:CR$192,0)/COUNTIF(CR$5:CR$192,"&gt;0")</f>
        <v>0.27810650887573962</v>
      </c>
      <c r="CT112" s="68">
        <f>IF([1]!s_fa_roic_yearly($A112,$D$1)=0,"",[1]!s_fa_roic_yearly($A112,$D$1))</f>
        <v>8.8095999999999997</v>
      </c>
      <c r="CU112" s="27">
        <f>RANK(CT112,CT$5:CT$192,0)/COUNTIF(CT$5:CT$192,"&gt;0")</f>
        <v>0.60563380281690138</v>
      </c>
      <c r="CV112" s="78">
        <f>[1]!s_stm07_bs(A112,"W14578191",$A$1,1,100000000)</f>
        <v>1769.4866099999999</v>
      </c>
      <c r="CW112" s="78">
        <f>[1]!s_stmnote_bank_682($A112,$A$1,1,2,100000000)</f>
        <v>693.92465000000004</v>
      </c>
      <c r="CX112" s="79">
        <f t="shared" si="32"/>
        <v>0.39216157165495591</v>
      </c>
    </row>
    <row r="113" spans="1:102" s="46" customFormat="1" ht="13.5">
      <c r="A113" s="8" t="s">
        <v>844</v>
      </c>
      <c r="B113" s="8" t="s">
        <v>845</v>
      </c>
      <c r="C113" s="9" t="s">
        <v>846</v>
      </c>
      <c r="D113" s="9" t="s">
        <v>1064</v>
      </c>
      <c r="E113" s="10" t="s">
        <v>846</v>
      </c>
      <c r="F113" s="11" t="s">
        <v>178</v>
      </c>
      <c r="G113" s="11" t="s">
        <v>90</v>
      </c>
      <c r="H113" s="11" t="s">
        <v>66</v>
      </c>
      <c r="I113" s="11"/>
      <c r="J113" s="11">
        <f>VLOOKUP(B113,[3]额度信息!$B:$T,19,0)</f>
        <v>10.243</v>
      </c>
      <c r="K113" s="11" t="s">
        <v>847</v>
      </c>
      <c r="L113" s="27">
        <f>IFERROR(([1]!b_stm07_bs($A113,47,$A$1,1,100000000))/[1]!b_stm07_bs($A113,109,$A$1,1,100000000),"")</f>
        <v>0.10272541019361082</v>
      </c>
      <c r="M113" s="20">
        <v>467.45</v>
      </c>
      <c r="N113" s="18">
        <f>IFERROR(([1]!s_stmnote_bank_26($A113,$A$1,1,100000000)-[1]!s_stmnote_bank_26($A113,$B$1,1,100000000)+M113)/[1]!s_stmnote_bank_1n($A113,$B$1,1,100000000),"")</f>
        <v>1.1549865167938666E-2</v>
      </c>
      <c r="O113" s="27" t="str">
        <f t="shared" si="24"/>
        <v>28 50</v>
      </c>
      <c r="P113" s="21">
        <f t="shared" si="33"/>
        <v>2.5853838748500599E-2</v>
      </c>
      <c r="Q113" s="27" t="str">
        <f t="shared" si="25"/>
        <v>63 169</v>
      </c>
      <c r="R113" s="18">
        <v>1.4853838748500599E-2</v>
      </c>
      <c r="S113" s="22">
        <v>2.01278897153397E-2</v>
      </c>
      <c r="T113" s="22">
        <v>1.3588307340704301E-2</v>
      </c>
      <c r="U113" s="22">
        <v>3.8955413438116003E-2</v>
      </c>
      <c r="V113" s="22"/>
      <c r="W113" s="22">
        <v>9.3374347165038792E-3</v>
      </c>
      <c r="X113" s="22">
        <v>1.37394294708573E-2</v>
      </c>
      <c r="Y113" s="22">
        <v>0.805580939220362</v>
      </c>
      <c r="Z113" s="25">
        <f>[1]!b_stm07_bs(A113,74,$A$1,1,100000000)</f>
        <v>86030.24</v>
      </c>
      <c r="AA113" s="25">
        <f>[1]!b_stm07_bs(A113,109,$A$1,1,100000000)</f>
        <v>43557.48</v>
      </c>
      <c r="AB113" s="10">
        <f>[1]!s_stmnote_bank_5n(A113,$A$1,1)</f>
        <v>1.1000000000000001</v>
      </c>
      <c r="AC113" s="25">
        <f>IF([1]!s_stmnote_bank_23n(A113,$A$1,1)=0,"",IFERROR([1]!s_stmnote_bank_23n(A113,$A$1,1),""))</f>
        <v>268.73</v>
      </c>
      <c r="AD113" s="27" t="str">
        <f t="shared" si="26"/>
        <v>97 167</v>
      </c>
      <c r="AE113" s="25">
        <f>[1]!s_stmnote_bank_capadequacyratio(A113,$A$1,1)</f>
        <v>14.39</v>
      </c>
      <c r="AF113" s="25">
        <f>IF([1]!s_stmnote_bank_capadequacyratio_ct1(A113,$A$1,1)=0,"",IFERROR([1]!s_stmnote_bank_capadequacyratio_ct1(A113,$A$1,1),""))</f>
        <v>9.81</v>
      </c>
      <c r="AG113" s="27" t="str">
        <f>RANK(AF113,AF$5:AF$192,0)&amp;" "&amp;COUNTIF(AF$5:AF$192,"&gt;0")</f>
        <v>91 167</v>
      </c>
      <c r="AH113" s="6">
        <f>IF(OR([1]!s_fa_roe(A113,20201231)=0,[1]!s_fa_roe(A113,20211231)="0",[1]!s_fa_roe(A113,20221231)="0"),"",IFERROR(([1]!s_fa_roe(A113,20221231)+[1]!s_fa_roe(A113,20201231)+[1]!s_fa_roe(A113,20211231))/3,""))</f>
        <v>12.3393</v>
      </c>
      <c r="AI113" s="27" t="str">
        <f t="shared" si="27"/>
        <v>150 173</v>
      </c>
      <c r="AJ113" s="28">
        <f>IFERROR(([1]!s_stmnote_bank_65(A113,$A$1,1,2,4,100000000)+[1]!s_stmnote_bank_65(A113,$A$1,1,2,6,100000000))/[1]!s_stmnote_bank_1n(A113,$A$1,1,100000000),"")</f>
        <v>0.10990128456750771</v>
      </c>
      <c r="AK113" s="28">
        <f>IFERROR([1]!s_stmnote_bank_614(A113,$A$1,1,2,100000000)/[1]!s_stmnote_bank_647(A113,$A$1,1,2,100000000),"")</f>
        <v>0.3327010807830405</v>
      </c>
      <c r="AL113" s="28">
        <f>IFERROR(([1]!b_stm07_bs(A113,104,$A$1,1,100000000)+[1]!b_stm07_bs(A113,106,$A$1,1,100000000)+[1]!b_stm07_bs(A113,76,$A$1,1,100000000)+[1]!b_stm07_bs(A113,108,$A$1,1,100000000)+[1]!b_stm07_bs(A113,95,$A$1,1,100000000))/[1]!b_stm07_bs(A113,128,$A$1,1,100000000),"")</f>
        <v>0.41955923115809041</v>
      </c>
      <c r="AM113" s="28">
        <f>IFERROR(([1]!s_stmnote_bank_614(A113,$A$1,1,2,100000000)+[1]!b_stm07_bs(A113,104,$A$1,1,100000000)+[1]!b_stm07_bs(A113,106,$A$1,1,100000000)+[1]!b_stm07_bs(A113,76,$A$1,1,100000000)+[1]!b_stm07_bs(A113,108,$A$1,1,100000000)+[1]!b_stm07_bs(A113,95,$A$1,1,100000000))/[1]!b_stm07_bs(A113,128,$A$1,1,100000000),"")</f>
        <v>0.60091435712907493</v>
      </c>
      <c r="AN113" s="31" t="e">
        <f>IF(Z113&gt;#REF!,#REF!,IF(Z113&gt;#REF!,#REF!,IF(Z113&gt;#REF!,#REF!,IF(Z113&gt;#REF!,#REF!,IF(Z113&gt;#REF!,#REF!,IF(Z113&gt;#REF!,#REF!,IF(Z113&gt;#REF!,#REF!,#REF!)))))))</f>
        <v>#REF!</v>
      </c>
      <c r="AO113" s="31" t="e">
        <f>IF(AA113&gt;#REF!,#REF!,IF(AA113&gt;#REF!,#REF!,IF(AA113&gt;#REF!,#REF!,IF(AA113&gt;#REF!,#REF!,IF(AA113&gt;#REF!,#REF!,IF(AA113&gt;#REF!,#REF!,IF(AA113&gt;#REF!,#REF!,#REF!)))))))</f>
        <v>#REF!</v>
      </c>
      <c r="AP113" s="31" t="e">
        <f>IF(AB113&lt;#REF!,#REF!,IF(AB113&lt;#REF!,#REF!,IF(AB113&lt;#REF!,#REF!,IF(AB113&lt;#REF!,#REF!,IF(AB113&lt;#REF!,#REF!,IF(AB113&lt;#REF!,#REF!,#REF!))))))</f>
        <v>#REF!</v>
      </c>
      <c r="AQ113" s="31" t="e">
        <f>IF(AC113&gt;#REF!,#REF!,IF(AC113&gt;#REF!,#REF!,IF(AC113&gt;#REF!,#REF!,IF(AC113&gt;#REF!,#REF!,#REF!))))</f>
        <v>#REF!</v>
      </c>
      <c r="AR113" s="31" t="e">
        <f>IF(AE113&gt;#REF!,#REF!,IF(AE113&gt;#REF!,#REF!,IF(AE113&gt;#REF!,#REF!,IF(AE113&gt;#REF!,#REF!,#REF!))))</f>
        <v>#REF!</v>
      </c>
      <c r="AS113" s="31" t="e">
        <f>IF(AF113&gt;#REF!,#REF!,IF(AF113&gt;#REF!,#REF!,IF(AF113&gt;#REF!,#REF!,IF(AF113&gt;#REF!,#REF!,#REF!))))</f>
        <v>#REF!</v>
      </c>
      <c r="AT113" s="31" t="e">
        <f>IF(AH113&gt;#REF!,#REF!,IF(AH113&gt;#REF!,#REF!,IF(AH113&gt;#REF!,#REF!,IF(AH113&gt;#REF!,#REF!,IF(AH113&gt;#REF!,#REF!,#REF!)))))</f>
        <v>#REF!</v>
      </c>
      <c r="AU113" s="10" t="e">
        <f t="shared" si="28"/>
        <v>#REF!</v>
      </c>
      <c r="AV113" s="10" t="s">
        <v>395</v>
      </c>
      <c r="AW113" s="10" t="s">
        <v>69</v>
      </c>
      <c r="AX113" s="10" t="s">
        <v>261</v>
      </c>
      <c r="AY113" s="31" t="str">
        <f>IFERROR(VLOOKUP(AV113,#REF!,3,0),"")</f>
        <v/>
      </c>
      <c r="AZ113" s="31" t="str">
        <f>IFERROR(VLOOKUP(AW113,#REF!,3,0),"")</f>
        <v/>
      </c>
      <c r="BA113" s="31" t="str">
        <f>IFERROR(VLOOKUP(AX113,#REF!,3,0),"")</f>
        <v/>
      </c>
      <c r="BB113" s="31" t="str">
        <f>IFERROR(AY113*#REF!+AZ113*#REF!+BA113*#REF!,"")</f>
        <v/>
      </c>
      <c r="BC113" s="32" t="str">
        <f t="shared" si="29"/>
        <v/>
      </c>
      <c r="BD113" s="32" t="str">
        <f>IFERROR(VLOOKUP(BC113*10,#REF!,2,1),"")</f>
        <v/>
      </c>
      <c r="BE113" s="11">
        <v>2</v>
      </c>
      <c r="BF113" s="11">
        <v>0</v>
      </c>
      <c r="BG113" s="10" t="s">
        <v>532</v>
      </c>
      <c r="BH113" s="11" t="s">
        <v>848</v>
      </c>
      <c r="BI113" s="10">
        <v>16.909999847412099</v>
      </c>
      <c r="BJ113" s="33" t="s">
        <v>71</v>
      </c>
      <c r="BK113" s="33" t="s">
        <v>72</v>
      </c>
      <c r="BL113" s="10">
        <f>IF([1]!s_stmnote_bank_17n(A113,$A$1,1)="0","",[1]!s_stmnote_bank_17n(A113,$A$1,1))</f>
        <v>0</v>
      </c>
      <c r="BM113" s="10">
        <f>IF([1]!s_stmnote_bank_18n(A113,$A$1,1)="0","",[1]!s_stmnote_bank_18n(A113,$A$1,1))</f>
        <v>0</v>
      </c>
      <c r="BN113" s="41">
        <v>4.1399999999999997</v>
      </c>
      <c r="BO113" s="52">
        <v>2.31</v>
      </c>
      <c r="BP113" s="52">
        <f>[1]!s_stmnote_bank_5444(A113,$A$1,1)</f>
        <v>2.29</v>
      </c>
      <c r="BQ113" s="52">
        <f>[1]!s_stmnote_bank_129n($A113,$A$1,1)</f>
        <v>25.68</v>
      </c>
      <c r="BR113" s="52">
        <f t="shared" si="34"/>
        <v>3.9990503527487813</v>
      </c>
      <c r="BS113" s="52">
        <f>[1]!b_stm07_is(A113,19,$A$1,1,100000000)</f>
        <v>3151.58</v>
      </c>
      <c r="BT113" s="52">
        <f xml:space="preserve"> [1]!s_stm07_bs(A113,"W15273164",$A$1,1,100000000)-[1]!s_stm07_bs(A113,"W17642530",$A$1,1,100000000)-[1]!s_stm07_bs(A113,"W15910877",$A$1,1,100000000)-[1]!s_stm07_bs_39(A113,$A$1,1,100000000)-[1]!s_stm07_bs(A113,"W17700468",$A$1,1,100000000)-[1]!s_stm07_bs(A113,"W16504296",$A$1,1,100000000)-[1]!s_stm07_bs(A113,"W13769069",$A$1,1,100000000)</f>
        <v>84674.37999999999</v>
      </c>
      <c r="BU113" s="52">
        <f xml:space="preserve"> [1]!s_stm07_bs(A113,"W15273164",$B$1,1,100000000)-[1]!s_stm07_bs(A113,"W17642530",$B$1,1,100000000)-[1]!s_stm07_bs(A113,"W15910877",$B$1,1,100000000)-[1]!s_stm07_bs_39(A113,$B$1,1,100000000)-[1]!s_stm07_bs(A113,"W17700468",$B$1,1,100000000)-[1]!s_stm07_bs(A113,"W16504296",$B$1,1,100000000)-[1]!s_stm07_bs(A113,"W13769069",$B$1,1,100000000)</f>
        <v>77502.859999999986</v>
      </c>
      <c r="BV113" s="52">
        <f xml:space="preserve"> [1]!s_stm07_bs(A113,"W15273164",$E$1,1,100000000)-[1]!s_stm07_bs(A113,"W17642530",$E$1,1,100000000)-[1]!s_stm07_bs(A113,"W15910877",$E$1,1,100000000)-[1]!s_stm07_bs_39(A113,$E$1,1,100000000)-[1]!s_stm07_bs(A113,"W17700468",$E$1,1,100000000)-[1]!s_stm07_bs(A113,"W16504296",$E$1,1,100000000)-[1]!s_stm07_bs(A113,"W13769069",$E$1,1,100000000)</f>
        <v>83640.12000000001</v>
      </c>
      <c r="BW113" s="52">
        <f xml:space="preserve"> [1]!s_stm07_bs(A113,"W15273164",$F$1,1,100000000)-[1]!s_stm07_bs(A113,"W17642530",$F$1,1,100000000)-[1]!s_stm07_bs(A113,"W15910877",$F$1,1,100000000)-[1]!s_stm07_bs_39(A113,$F$1,1,100000000)-[1]!s_stm07_bs(A113,"W17700468",$F$1,1,100000000)-[1]!s_stm07_bs(A113,"W16504296",$F$1,1,100000000)-[1]!s_stm07_bs(A113,"W13769069",$F$1,1,100000000)</f>
        <v>79763.37000000001</v>
      </c>
      <c r="BX113" s="52">
        <f xml:space="preserve"> [1]!s_stm07_bs(A113,"W15273164",$G$1,1,100000000)-[1]!s_stm07_bs(A113,"W17642530",$G$1,1,100000000)-[1]!s_stm07_bs(A113,"W15910877",$G$1,1,100000000)-[1]!s_stm07_bs_39(A113,$G$1,1,100000000)-[1]!s_stm07_bs(A113,"W17700468",$G$1,1,100000000)-[1]!s_stm07_bs(A113,"W16504296",$G$1,1,100000000)-[1]!s_stm07_bs(A113,"W13769069",$G$1,1,100000000)</f>
        <v>78608.539999999979</v>
      </c>
      <c r="BY113" s="52">
        <f>IFERROR([1]!b_stm07_is(A113,20,$A$1,1,100000000)/AVERAGEIF(CA113:CE113,"&gt;0")*100,0)</f>
        <v>2.2820055182095098</v>
      </c>
      <c r="BZ113" s="52">
        <f>[1]!b_stm07_is(A113,20,$A$1,1,100000000)</f>
        <v>1694.79</v>
      </c>
      <c r="CA113" s="52">
        <f>[1]!s_stmnote_bank_38(A113,$A$1,1,100000000)</f>
        <v>77697.039999999994</v>
      </c>
      <c r="CB113" s="52">
        <f>[1]!s_stmnote_bank_38(A113,$B$1,1,100000000)</f>
        <v>71289.119999999995</v>
      </c>
      <c r="CC113" s="52">
        <f>[1]!s_stmnote_bank_38(A113,$E$1,1,100000000)</f>
        <v>76988.2</v>
      </c>
      <c r="CD113" s="52">
        <f>[1]!s_stmnote_bank_38(A113,$F$1,1,100000000)</f>
        <v>73397.240000000005</v>
      </c>
      <c r="CE113" s="52">
        <f>[1]!s_stmnote_bank_38(A113,$G$1,1,100000000)</f>
        <v>71966.240000000005</v>
      </c>
      <c r="CF113" s="52">
        <f>IF(BP113&lt;&gt;0,BP113,IFERROR(IF(([1]!b_stm07_is(A113,19,$A$1,1,100000000)-[1]!b_stm07_is(A113,20,$A$1,1,100000000))/AVERAGE([1]!s_stmnote_bank_35(A113,$A$1,1,100000000),[1]!s_stmnote_bank_35(A113,$B$1,1,100000000))*100=0,"",([1]!b_stm07_is(A113,19,$A$1,1,100000000)-[1]!b_stm07_is(A113,20,$A$1,1,100000000))/AVERAGE([1]!s_stmnote_bank_35(A113,$A$1,1,100000000),[1]!s_stmnote_bank_35(A113,$B$1,1,100000000))*100),""))</f>
        <v>2.29</v>
      </c>
      <c r="CG113" s="27" t="str">
        <f t="shared" si="30"/>
        <v>54 171</v>
      </c>
      <c r="CH113" s="80">
        <f t="shared" si="35"/>
        <v>0.88574854290557115</v>
      </c>
      <c r="CI113" s="27" t="str">
        <f t="shared" si="31"/>
        <v>55 169</v>
      </c>
      <c r="CJ113" s="55">
        <f>[1]!s_stmnote_bank_30(A113,$A$1,1)</f>
        <v>34.152200000000001</v>
      </c>
      <c r="CK113" s="66">
        <v>2254.6799999999998</v>
      </c>
      <c r="CL113" s="66">
        <v>762.58</v>
      </c>
      <c r="CM113" s="64">
        <f>CK113/(5/8*[1]!s_stmnote_bank_1n($A113,$A$1,1,100000000)+[1]!s_stmnote_bank_1n($A113,$B$1,1,100000000)*3/8)</f>
        <v>5.299216577079862E-2</v>
      </c>
      <c r="CN113" s="48">
        <v>1037.03</v>
      </c>
      <c r="CO113" s="61">
        <f>CN113/(5/8*[1]!b_stm07_bs($A113,109,$A$1,1,100000000)+[1]!b_stm07_bs($A113,109,$B$1,1,100000000)*3/8)</f>
        <v>2.4378144626505362E-2</v>
      </c>
      <c r="CP113" s="69">
        <f>[1]!b_stm07_bs($A113,141,$A$1,1,100000000)</f>
        <v>6942.98</v>
      </c>
      <c r="CQ113" s="69">
        <f>[1]!b_stm07_bs($A113,141,$D$1,1,100000000)</f>
        <v>7148.58</v>
      </c>
      <c r="CR113" s="68">
        <f>IF([1]!s_fa_roic_yearly($A113,$A$1)=0,"",[1]!s_fa_roic_yearly($A113,$A$1))</f>
        <v>12.723000000000001</v>
      </c>
      <c r="CS113" s="27" t="str">
        <f>RANK(CR113,CR$5:CR$192,1)&amp;" "&amp;COUNTIF(CR$5:CR$192,"&gt;0")</f>
        <v>147 169</v>
      </c>
      <c r="CT113" s="68">
        <f>IF([1]!s_fa_roic_yearly($A113,$D$1)=0,"",[1]!s_fa_roic_yearly($A113,$D$1))</f>
        <v>12.9312</v>
      </c>
      <c r="CU113" s="27" t="str">
        <f>RANK(CT113,CT$5:CT$192,1)&amp;" "&amp;COUNTIF(CT$5:CT$192,"&gt;0")</f>
        <v>116 142</v>
      </c>
      <c r="CV113" s="78">
        <f>[1]!s_stm07_bs(A113,"W14578191",$A$1,1,100000000)</f>
        <v>43103.06</v>
      </c>
      <c r="CW113" s="78">
        <f>[1]!s_stmnote_bank_682($A113,$A$1,1,2,100000000)</f>
        <v>18799.32</v>
      </c>
      <c r="CX113" s="79">
        <f t="shared" si="32"/>
        <v>0.43614815282256064</v>
      </c>
    </row>
    <row r="114" spans="1:102" s="46" customFormat="1" ht="13.5">
      <c r="A114" s="8" t="s">
        <v>406</v>
      </c>
      <c r="B114" s="8" t="s">
        <v>407</v>
      </c>
      <c r="C114" s="9" t="s">
        <v>408</v>
      </c>
      <c r="D114" s="9" t="s">
        <v>1061</v>
      </c>
      <c r="E114" s="10" t="s">
        <v>408</v>
      </c>
      <c r="F114" s="11" t="s">
        <v>66</v>
      </c>
      <c r="G114" s="11"/>
      <c r="H114" s="11" t="s">
        <v>179</v>
      </c>
      <c r="I114" s="11"/>
      <c r="J114" s="11">
        <f>VLOOKUP(B114,[3]额度信息!$B:$T,19,0)</f>
        <v>0</v>
      </c>
      <c r="K114" s="11" t="s">
        <v>409</v>
      </c>
      <c r="L114" s="27">
        <f>IFERROR(([1]!b_stm07_bs($A114,47,$A$1,1,100000000))/[1]!b_stm07_bs($A114,109,$A$1,1,100000000),"")</f>
        <v>0.10944962222001207</v>
      </c>
      <c r="M114" s="20"/>
      <c r="N114" s="18"/>
      <c r="O114" s="27" t="e">
        <f t="shared" si="24"/>
        <v>#N/A</v>
      </c>
      <c r="P114" s="21">
        <f t="shared" si="33"/>
        <v>3.6664998820880729E-2</v>
      </c>
      <c r="Q114" s="27" t="str">
        <f t="shared" si="25"/>
        <v>101 169</v>
      </c>
      <c r="R114" s="18">
        <f>IFERROR([1]!s_stmnote_bank($A114,"34",$A$1,100000000)/[1]!s_stmnote_bank_1n(A114,$A$1,1,100000000),"")</f>
        <v>1.986499882088073E-2</v>
      </c>
      <c r="S114" s="22"/>
      <c r="T114" s="22"/>
      <c r="U114" s="22"/>
      <c r="V114" s="22"/>
      <c r="W114" s="22"/>
      <c r="X114" s="22"/>
      <c r="Y114" s="22"/>
      <c r="Z114" s="25">
        <f>[1]!b_stm07_bs(A114,74,$A$1,1,100000000)</f>
        <v>1396.7596784530999</v>
      </c>
      <c r="AA114" s="25">
        <f>[1]!b_stm07_bs(A114,109,$A$1,1,100000000)</f>
        <v>1011.0518797256</v>
      </c>
      <c r="AB114" s="10">
        <f>[1]!s_stmnote_bank_5n(A114,$A$1,1)</f>
        <v>1.68</v>
      </c>
      <c r="AC114" s="25">
        <f>IF([1]!s_stmnote_bank_23n(A114,$A$1,1)=0,"",IFERROR([1]!s_stmnote_bank_23n(A114,$A$1,1),""))</f>
        <v>152.44999999999999</v>
      </c>
      <c r="AD114" s="27" t="str">
        <f t="shared" si="26"/>
        <v>22 167</v>
      </c>
      <c r="AE114" s="25">
        <f>[1]!s_stmnote_bank_capadequacyratio(A114,$A$1,1)</f>
        <v>11.75</v>
      </c>
      <c r="AF114" s="25">
        <f>IF([1]!s_stmnote_bank_capadequacyratio_ct1(A114,$A$1,1)=0,"",IFERROR([1]!s_stmnote_bank_capadequacyratio_ct1(A114,$A$1,1),""))</f>
        <v>7.58</v>
      </c>
      <c r="AG114" s="27" t="str">
        <f>RANK(AF114,AF$5:AF$192,1)&amp;" "&amp;COUNTIF(AF$5:AF$192,"&gt;0")</f>
        <v>1 167</v>
      </c>
      <c r="AH114" s="6">
        <f>IF(OR([1]!s_fa_roe(A114,20201231)=0,[1]!s_fa_roe(A114,20211231)="0",[1]!s_fa_roe(A114,20221231)="0"),"",IFERROR(([1]!s_fa_roe(A114,20221231)+[1]!s_fa_roe(A114,20201231)+[1]!s_fa_roe(A114,20211231))/3,""))</f>
        <v>5.344733333333334</v>
      </c>
      <c r="AI114" s="27" t="str">
        <f t="shared" si="27"/>
        <v>47 173</v>
      </c>
      <c r="AJ114" s="28">
        <f>IFERROR(([1]!s_stmnote_bank_65(A114,$A$1,1,2,4,100000000)+[1]!s_stmnote_bank_65(A114,$A$1,1,2,6,100000000))/[1]!s_stmnote_bank_1n(A114,$A$1,1,100000000),"")</f>
        <v>0.12741370256980267</v>
      </c>
      <c r="AK114" s="28">
        <f>IFERROR([1]!s_stmnote_bank_614(A114,$A$1,1,2,100000000)/[1]!s_stmnote_bank_647(A114,$A$1,1,2,100000000),"")</f>
        <v>0.26606199703640077</v>
      </c>
      <c r="AL114" s="28">
        <f>IFERROR(([1]!b_stm07_bs(A114,104,$A$1,1,100000000)+[1]!b_stm07_bs(A114,106,$A$1,1,100000000)+[1]!b_stm07_bs(A114,76,$A$1,1,100000000)+[1]!b_stm07_bs(A114,108,$A$1,1,100000000)+[1]!b_stm07_bs(A114,95,$A$1,1,100000000))/[1]!b_stm07_bs(A114,128,$A$1,1,100000000),"")</f>
        <v>0.19266319372557381</v>
      </c>
      <c r="AM114" s="28">
        <f>IFERROR(([1]!s_stmnote_bank_614(A114,$A$1,1,2,100000000)+[1]!b_stm07_bs(A114,104,$A$1,1,100000000)+[1]!b_stm07_bs(A114,106,$A$1,1,100000000)+[1]!b_stm07_bs(A114,76,$A$1,1,100000000)+[1]!b_stm07_bs(A114,108,$A$1,1,100000000)+[1]!b_stm07_bs(A114,95,$A$1,1,100000000))/[1]!b_stm07_bs(A114,128,$A$1,1,100000000),"")</f>
        <v>0.39936472055194328</v>
      </c>
      <c r="AN114" s="31" t="e">
        <f>IF(Z114&gt;#REF!,#REF!,IF(Z114&gt;#REF!,#REF!,IF(Z114&gt;#REF!,#REF!,IF(Z114&gt;#REF!,#REF!,IF(Z114&gt;#REF!,#REF!,IF(Z114&gt;#REF!,#REF!,IF(Z114&gt;#REF!,#REF!,#REF!)))))))</f>
        <v>#REF!</v>
      </c>
      <c r="AO114" s="31" t="e">
        <f>IF(AA114&gt;#REF!,#REF!,IF(AA114&gt;#REF!,#REF!,IF(AA114&gt;#REF!,#REF!,IF(AA114&gt;#REF!,#REF!,IF(AA114&gt;#REF!,#REF!,IF(AA114&gt;#REF!,#REF!,IF(AA114&gt;#REF!,#REF!,#REF!)))))))</f>
        <v>#REF!</v>
      </c>
      <c r="AP114" s="31" t="e">
        <f>IF(AB114&lt;#REF!,#REF!,IF(AB114&lt;#REF!,#REF!,IF(AB114&lt;#REF!,#REF!,IF(AB114&lt;#REF!,#REF!,IF(AB114&lt;#REF!,#REF!,IF(AB114&lt;#REF!,#REF!,#REF!))))))</f>
        <v>#REF!</v>
      </c>
      <c r="AQ114" s="31" t="e">
        <f>IF(AC114&gt;#REF!,#REF!,IF(AC114&gt;#REF!,#REF!,IF(AC114&gt;#REF!,#REF!,IF(AC114&gt;#REF!,#REF!,#REF!))))</f>
        <v>#REF!</v>
      </c>
      <c r="AR114" s="31" t="e">
        <f>IF(AE114&gt;#REF!,#REF!,IF(AE114&gt;#REF!,#REF!,IF(AE114&gt;#REF!,#REF!,IF(AE114&gt;#REF!,#REF!,#REF!))))</f>
        <v>#REF!</v>
      </c>
      <c r="AS114" s="31" t="e">
        <f>IF(AF114&gt;#REF!,#REF!,IF(AF114&gt;#REF!,#REF!,IF(AF114&gt;#REF!,#REF!,IF(AF114&gt;#REF!,#REF!,#REF!))))</f>
        <v>#REF!</v>
      </c>
      <c r="AT114" s="31" t="e">
        <f>IF(AH114&gt;#REF!,#REF!,IF(AH114&gt;#REF!,#REF!,IF(AH114&gt;#REF!,#REF!,IF(AH114&gt;#REF!,#REF!,IF(AH114&gt;#REF!,#REF!,#REF!)))))</f>
        <v>#REF!</v>
      </c>
      <c r="AU114" s="10" t="e">
        <f t="shared" si="28"/>
        <v>#REF!</v>
      </c>
      <c r="AV114" s="10" t="s">
        <v>141</v>
      </c>
      <c r="AW114" s="10" t="s">
        <v>227</v>
      </c>
      <c r="AX114" s="10" t="s">
        <v>261</v>
      </c>
      <c r="AY114" s="31" t="str">
        <f>IFERROR(VLOOKUP(AV114,#REF!,3,0),"")</f>
        <v/>
      </c>
      <c r="AZ114" s="31" t="str">
        <f>IFERROR(VLOOKUP(AW114,#REF!,3,0),"")</f>
        <v/>
      </c>
      <c r="BA114" s="31" t="str">
        <f>IFERROR(VLOOKUP(AX114,#REF!,3,0),"")</f>
        <v/>
      </c>
      <c r="BB114" s="31" t="str">
        <f>IFERROR(AY114*#REF!+AZ114*#REF!+BA114*#REF!,"")</f>
        <v/>
      </c>
      <c r="BC114" s="32" t="str">
        <f t="shared" si="29"/>
        <v/>
      </c>
      <c r="BD114" s="32" t="str">
        <f>IFERROR(VLOOKUP(BC114*10,#REF!,2,1),"")</f>
        <v/>
      </c>
      <c r="BE114" s="11">
        <v>0</v>
      </c>
      <c r="BF114" s="11">
        <v>-1</v>
      </c>
      <c r="BG114" s="10" t="s">
        <v>262</v>
      </c>
      <c r="BH114" s="11" t="s">
        <v>410</v>
      </c>
      <c r="BI114" s="10">
        <v>15.1400003433228</v>
      </c>
      <c r="BJ114" s="33" t="s">
        <v>144</v>
      </c>
      <c r="BK114" s="33" t="s">
        <v>411</v>
      </c>
      <c r="BL114" s="10">
        <f>IF([1]!s_stmnote_bank_17n(A114,$A$1,1)="0","",[1]!s_stmnote_bank_17n(A114,$A$1,1))</f>
        <v>4.47</v>
      </c>
      <c r="BM114" s="10">
        <f>IF([1]!s_stmnote_bank_18n(A114,$A$1,1)="0","",[1]!s_stmnote_bank_18n(A114,$A$1,1))</f>
        <v>0</v>
      </c>
      <c r="BN114" s="41" t="s">
        <v>67</v>
      </c>
      <c r="BO114" s="68" t="s">
        <v>67</v>
      </c>
      <c r="BP114" s="52">
        <f>[1]!s_stmnote_bank_5444(A114,$A$1,1)</f>
        <v>2.5</v>
      </c>
      <c r="BQ114" s="52">
        <f>[1]!s_stmnote_bank_129n($A114,$A$1,1)</f>
        <v>38.26</v>
      </c>
      <c r="BR114" s="52">
        <f t="shared" si="34"/>
        <v>5.4487088481037711</v>
      </c>
      <c r="BS114" s="52">
        <f>[1]!b_stm07_is(A114,19,$A$1,1,100000000)</f>
        <v>69.759728702200007</v>
      </c>
      <c r="BT114" s="52">
        <f xml:space="preserve"> [1]!s_stm07_bs(A114,"W15273164",$A$1,1,100000000)-[1]!s_stm07_bs(A114,"W17642530",$A$1,1,100000000)-[1]!s_stm07_bs(A114,"W15910877",$A$1,1,100000000)-[1]!s_stm07_bs_39(A114,$A$1,1,100000000)-[1]!s_stm07_bs(A114,"W17700468",$A$1,1,100000000)-[1]!s_stm07_bs(A114,"W16504296",$A$1,1,100000000)-[1]!s_stm07_bs(A114,"W13769069",$A$1,1,100000000)</f>
        <v>1367.5529124195</v>
      </c>
      <c r="BU114" s="52">
        <f xml:space="preserve"> [1]!s_stm07_bs(A114,"W15273164",$B$1,1,100000000)-[1]!s_stm07_bs(A114,"W17642530",$B$1,1,100000000)-[1]!s_stm07_bs(A114,"W15910877",$B$1,1,100000000)-[1]!s_stm07_bs_39(A114,$B$1,1,100000000)-[1]!s_stm07_bs(A114,"W17700468",$B$1,1,100000000)-[1]!s_stm07_bs(A114,"W16504296",$B$1,1,100000000)-[1]!s_stm07_bs(A114,"W13769069",$B$1,1,100000000)</f>
        <v>1262.0546564217</v>
      </c>
      <c r="BV114" s="52">
        <f xml:space="preserve"> [1]!s_stm07_bs(A114,"W15273164",$E$1,1,100000000)-[1]!s_stm07_bs(A114,"W17642530",$E$1,1,100000000)-[1]!s_stm07_bs(A114,"W15910877",$E$1,1,100000000)-[1]!s_stm07_bs_39(A114,$E$1,1,100000000)-[1]!s_stm07_bs(A114,"W17700468",$E$1,1,100000000)-[1]!s_stm07_bs(A114,"W16504296",$E$1,1,100000000)-[1]!s_stm07_bs(A114,"W13769069",$E$1,1,100000000)</f>
        <v>1361.2006930273001</v>
      </c>
      <c r="BW114" s="52">
        <f xml:space="preserve"> [1]!s_stm07_bs(A114,"W15273164",$F$1,1,100000000)-[1]!s_stm07_bs(A114,"W17642530",$F$1,1,100000000)-[1]!s_stm07_bs(A114,"W15910877",$F$1,1,100000000)-[1]!s_stm07_bs_39(A114,$F$1,1,100000000)-[1]!s_stm07_bs(A114,"W17700468",$F$1,1,100000000)-[1]!s_stm07_bs(A114,"W16504296",$F$1,1,100000000)-[1]!s_stm07_bs(A114,"W13769069",$F$1,1,100000000)</f>
        <v>0</v>
      </c>
      <c r="BX114" s="52">
        <f xml:space="preserve"> [1]!s_stm07_bs(A114,"W15273164",$G$1,1,100000000)-[1]!s_stm07_bs(A114,"W17642530",$G$1,1,100000000)-[1]!s_stm07_bs(A114,"W15910877",$G$1,1,100000000)-[1]!s_stm07_bs_39(A114,$G$1,1,100000000)-[1]!s_stm07_bs(A114,"W17700468",$G$1,1,100000000)-[1]!s_stm07_bs(A114,"W16504296",$G$1,1,100000000)-[1]!s_stm07_bs(A114,"W13769069",$G$1,1,100000000)</f>
        <v>0</v>
      </c>
      <c r="BY114" s="52">
        <f>IFERROR([1]!b_stm07_is(A114,20,$A$1,1,100000000)/AVERAGEIF(CA114:CE114,"&gt;0")*100,0)</f>
        <v>3.0684270378577363</v>
      </c>
      <c r="BZ114" s="52">
        <f>[1]!b_stm07_is(A114,20,$A$1,1,100000000)</f>
        <v>38.6460602505</v>
      </c>
      <c r="CA114" s="52">
        <f>[1]!s_stmnote_bank_38(A114,$A$1,1,100000000)</f>
        <v>1293.9595626839</v>
      </c>
      <c r="CB114" s="52">
        <f>[1]!s_stmnote_bank_38(A114,$B$1,1,100000000)</f>
        <v>1198.0424104807</v>
      </c>
      <c r="CC114" s="52">
        <f>[1]!s_stmnote_bank_38(A114,$E$1,1,100000000)</f>
        <v>1286.4219333214999</v>
      </c>
      <c r="CD114" s="52">
        <f>[1]!s_stmnote_bank_38(A114,$F$1,1,100000000)</f>
        <v>0</v>
      </c>
      <c r="CE114" s="52">
        <f>[1]!s_stmnote_bank_38(A114,$G$1,1,100000000)</f>
        <v>0</v>
      </c>
      <c r="CF114" s="52">
        <f>IF(BP114&lt;&gt;0,BP114,IFERROR(IF(([1]!b_stm07_is(A114,19,$A$1,1,100000000)-[1]!b_stm07_is(A114,20,$A$1,1,100000000))/AVERAGE([1]!s_stmnote_bank_35(A114,$A$1,1,100000000),[1]!s_stmnote_bank_35(A114,$B$1,1,100000000))*100=0,"",([1]!b_stm07_is(A114,19,$A$1,1,100000000)-[1]!b_stm07_is(A114,20,$A$1,1,100000000))/AVERAGE([1]!s_stmnote_bank_35(A114,$A$1,1,100000000),[1]!s_stmnote_bank_35(A114,$B$1,1,100000000))*100),""))</f>
        <v>2.5</v>
      </c>
      <c r="CG114" s="27" t="str">
        <f t="shared" si="30"/>
        <v>25 171</v>
      </c>
      <c r="CH114" s="80">
        <f t="shared" si="35"/>
        <v>0.68184919689026402</v>
      </c>
      <c r="CI114" s="27" t="str">
        <f t="shared" si="31"/>
        <v>83 169</v>
      </c>
      <c r="CJ114" s="55">
        <f>[1]!s_stmnote_bank_30(A114,$A$1,1)</f>
        <v>5.1684999999999999</v>
      </c>
      <c r="CP114" s="69">
        <f>[1]!b_stm07_bs($A114,141,$A$1,1,100000000)</f>
        <v>95.354283159799991</v>
      </c>
      <c r="CQ114" s="69">
        <f>[1]!b_stm07_bs($A114,141,$D$1,1,100000000)</f>
        <v>99.027173231299997</v>
      </c>
      <c r="CR114" s="68">
        <f>IF([1]!s_fa_roic_yearly($A114,$A$1)=0,"",[1]!s_fa_roic_yearly($A114,$A$1))</f>
        <v>5.8120000000000003</v>
      </c>
      <c r="CS114" s="27">
        <f>RANK(CR114,CR$5:CR$192,0)/COUNTIF(CR$5:CR$192,"&gt;0")</f>
        <v>0.74556213017751483</v>
      </c>
      <c r="CT114" s="68">
        <f>IF([1]!s_fa_roic_yearly($A114,$D$1)=0,"",[1]!s_fa_roic_yearly($A114,$D$1))</f>
        <v>7.5754000000000001</v>
      </c>
      <c r="CU114" s="27">
        <f>RANK(CT114,CT$5:CT$192,0)/COUNTIF(CT$5:CT$192,"&gt;0")</f>
        <v>0.72535211267605637</v>
      </c>
      <c r="CV114" s="78">
        <f>[1]!s_stm07_bs(A114,"W14578191",$A$1,1,100000000)</f>
        <v>801.40254452350007</v>
      </c>
      <c r="CW114" s="78">
        <f>[1]!s_stmnote_bank_682($A114,$A$1,1,2,100000000)</f>
        <v>423.03993813050005</v>
      </c>
      <c r="CX114" s="79">
        <f t="shared" si="32"/>
        <v>0.52787446336601318</v>
      </c>
    </row>
    <row r="115" spans="1:102" s="46" customFormat="1" ht="13.5">
      <c r="A115" s="8" t="s">
        <v>823</v>
      </c>
      <c r="B115" s="8" t="s">
        <v>824</v>
      </c>
      <c r="C115" s="9" t="s">
        <v>825</v>
      </c>
      <c r="D115" s="9" t="s">
        <v>1066</v>
      </c>
      <c r="E115" s="10" t="s">
        <v>138</v>
      </c>
      <c r="F115" s="11" t="s">
        <v>178</v>
      </c>
      <c r="G115" s="11" t="s">
        <v>116</v>
      </c>
      <c r="H115" s="11" t="s">
        <v>116</v>
      </c>
      <c r="I115" s="11"/>
      <c r="J115" s="11">
        <f>VLOOKUP(B115,[3]额度信息!$B:$T,19,0)</f>
        <v>0</v>
      </c>
      <c r="K115" s="11" t="s">
        <v>826</v>
      </c>
      <c r="L115" s="27">
        <f>IFERROR(([1]!b_stm07_bs($A115,47,$A$1,1,100000000))/[1]!b_stm07_bs($A115,109,$A$1,1,100000000),"")</f>
        <v>0.1043857089992859</v>
      </c>
      <c r="M115" s="20"/>
      <c r="N115" s="18"/>
      <c r="O115" s="27" t="e">
        <f t="shared" si="24"/>
        <v>#N/A</v>
      </c>
      <c r="P115" s="21">
        <f t="shared" si="33"/>
        <v>3.8165304931668802E-2</v>
      </c>
      <c r="Q115" s="27" t="str">
        <f t="shared" si="25"/>
        <v>108 169</v>
      </c>
      <c r="R115" s="18">
        <v>2.7365304931668801E-2</v>
      </c>
      <c r="S115" s="22"/>
      <c r="T115" s="22"/>
      <c r="U115" s="22"/>
      <c r="V115" s="22"/>
      <c r="W115" s="22"/>
      <c r="X115" s="22"/>
      <c r="Y115" s="22"/>
      <c r="Z115" s="25">
        <f>[1]!b_stm07_bs(A115,74,$A$1,1,100000000)</f>
        <v>2532.53692</v>
      </c>
      <c r="AA115" s="25">
        <f>[1]!b_stm07_bs(A115,109,$A$1,1,100000000)</f>
        <v>1813.8360299999999</v>
      </c>
      <c r="AB115" s="10">
        <f>[1]!s_stmnote_bank_5n(A115,$A$1,1)</f>
        <v>1.08</v>
      </c>
      <c r="AC115" s="25">
        <f>IF([1]!s_stmnote_bank_23n(A115,$A$1,1)=0,"",IFERROR([1]!s_stmnote_bank_23n(A115,$A$1,1),""))</f>
        <v>296.79000000000002</v>
      </c>
      <c r="AD115" s="27" t="str">
        <f t="shared" si="26"/>
        <v>106 167</v>
      </c>
      <c r="AE115" s="25">
        <f>[1]!s_stmnote_bank_capadequacyratio(A115,$A$1,1)</f>
        <v>16.34</v>
      </c>
      <c r="AF115" s="25">
        <f>IF([1]!s_stmnote_bank_capadequacyratio_ct1(A115,$A$1,1)=0,"",IFERROR([1]!s_stmnote_bank_capadequacyratio_ct1(A115,$A$1,1),""))</f>
        <v>15.2</v>
      </c>
      <c r="AG115" s="27" t="str">
        <f>RANK(AF115,AF$5:AF$192,1)&amp;" "&amp;COUNTIF(AF$5:AF$192,"&gt;0")</f>
        <v>156 167</v>
      </c>
      <c r="AH115" s="6">
        <f>IF(OR([1]!s_fa_roe(A115,20201231)=0,[1]!s_fa_roe(A115,20211231)="0",[1]!s_fa_roe(A115,20221231)="0"),"",IFERROR(([1]!s_fa_roe(A115,20221231)+[1]!s_fa_roe(A115,20201231)+[1]!s_fa_roe(A115,20211231))/3,""))</f>
        <v>13.324333333333334</v>
      </c>
      <c r="AI115" s="27" t="str">
        <f t="shared" si="27"/>
        <v>158 173</v>
      </c>
      <c r="AJ115" s="28">
        <f>IFERROR(([1]!s_stmnote_bank_65(A115,$A$1,1,2,4,100000000)+[1]!s_stmnote_bank_65(A115,$A$1,1,2,6,100000000))/[1]!s_stmnote_bank_1n(A115,$A$1,1,100000000),"")</f>
        <v>0.11648505336750553</v>
      </c>
      <c r="AK115" s="28">
        <f>IFERROR([1]!s_stmnote_bank_614(A115,$A$1,1,2,100000000)/[1]!s_stmnote_bank_647(A115,$A$1,1,2,100000000),"")</f>
        <v>0.24911274319262408</v>
      </c>
      <c r="AL115" s="28">
        <f>IFERROR(([1]!b_stm07_bs(A115,104,$A$1,1,100000000)+[1]!b_stm07_bs(A115,106,$A$1,1,100000000)+[1]!b_stm07_bs(A115,76,$A$1,1,100000000)+[1]!b_stm07_bs(A115,108,$A$1,1,100000000)+[1]!b_stm07_bs(A115,95,$A$1,1,100000000))/[1]!b_stm07_bs(A115,128,$A$1,1,100000000),"")</f>
        <v>0.17449201229707847</v>
      </c>
      <c r="AM115" s="28">
        <f>IFERROR(([1]!s_stmnote_bank_614(A115,$A$1,1,2,100000000)+[1]!b_stm07_bs(A115,104,$A$1,1,100000000)+[1]!b_stm07_bs(A115,106,$A$1,1,100000000)+[1]!b_stm07_bs(A115,76,$A$1,1,100000000)+[1]!b_stm07_bs(A115,108,$A$1,1,100000000)+[1]!b_stm07_bs(A115,95,$A$1,1,100000000))/[1]!b_stm07_bs(A115,128,$A$1,1,100000000),"")</f>
        <v>0.36767806763823335</v>
      </c>
      <c r="AN115" s="31" t="e">
        <f>IF(Z115&gt;#REF!,#REF!,IF(Z115&gt;#REF!,#REF!,IF(Z115&gt;#REF!,#REF!,IF(Z115&gt;#REF!,#REF!,IF(Z115&gt;#REF!,#REF!,IF(Z115&gt;#REF!,#REF!,IF(Z115&gt;#REF!,#REF!,#REF!)))))))</f>
        <v>#REF!</v>
      </c>
      <c r="AO115" s="31" t="e">
        <f>IF(AA115&gt;#REF!,#REF!,IF(AA115&gt;#REF!,#REF!,IF(AA115&gt;#REF!,#REF!,IF(AA115&gt;#REF!,#REF!,IF(AA115&gt;#REF!,#REF!,IF(AA115&gt;#REF!,#REF!,IF(AA115&gt;#REF!,#REF!,#REF!)))))))</f>
        <v>#REF!</v>
      </c>
      <c r="AP115" s="31" t="e">
        <f>IF(AB115&lt;#REF!,#REF!,IF(AB115&lt;#REF!,#REF!,IF(AB115&lt;#REF!,#REF!,IF(AB115&lt;#REF!,#REF!,IF(AB115&lt;#REF!,#REF!,IF(AB115&lt;#REF!,#REF!,#REF!))))))</f>
        <v>#REF!</v>
      </c>
      <c r="AQ115" s="31" t="e">
        <f>IF(AC115&gt;#REF!,#REF!,IF(AC115&gt;#REF!,#REF!,IF(AC115&gt;#REF!,#REF!,IF(AC115&gt;#REF!,#REF!,#REF!))))</f>
        <v>#REF!</v>
      </c>
      <c r="AR115" s="31" t="e">
        <f>IF(AE115&gt;#REF!,#REF!,IF(AE115&gt;#REF!,#REF!,IF(AE115&gt;#REF!,#REF!,IF(AE115&gt;#REF!,#REF!,#REF!))))</f>
        <v>#REF!</v>
      </c>
      <c r="AS115" s="31" t="e">
        <f>IF(AF115&gt;#REF!,#REF!,IF(AF115&gt;#REF!,#REF!,IF(AF115&gt;#REF!,#REF!,IF(AF115&gt;#REF!,#REF!,#REF!))))</f>
        <v>#REF!</v>
      </c>
      <c r="AT115" s="31" t="e">
        <f>IF(AH115&gt;#REF!,#REF!,IF(AH115&gt;#REF!,#REF!,IF(AH115&gt;#REF!,#REF!,IF(AH115&gt;#REF!,#REF!,IF(AH115&gt;#REF!,#REF!,#REF!)))))</f>
        <v>#REF!</v>
      </c>
      <c r="AU115" s="10" t="e">
        <f t="shared" si="28"/>
        <v>#REF!</v>
      </c>
      <c r="AV115" s="10" t="s">
        <v>141</v>
      </c>
      <c r="AW115" s="10" t="s">
        <v>227</v>
      </c>
      <c r="AX115" s="10" t="s">
        <v>261</v>
      </c>
      <c r="AY115" s="31" t="str">
        <f>IFERROR(VLOOKUP(AV115,#REF!,3,0),"")</f>
        <v/>
      </c>
      <c r="AZ115" s="31" t="str">
        <f>IFERROR(VLOOKUP(AW115,#REF!,3,0),"")</f>
        <v/>
      </c>
      <c r="BA115" s="31" t="str">
        <f>IFERROR(VLOOKUP(AX115,#REF!,3,0),"")</f>
        <v/>
      </c>
      <c r="BB115" s="31" t="str">
        <f>IFERROR(AY115*#REF!+AZ115*#REF!+BA115*#REF!,"")</f>
        <v/>
      </c>
      <c r="BC115" s="32" t="str">
        <f t="shared" si="29"/>
        <v/>
      </c>
      <c r="BD115" s="32" t="str">
        <f>IFERROR(VLOOKUP(BC115*10,#REF!,2,1),"")</f>
        <v/>
      </c>
      <c r="BE115" s="11">
        <v>0</v>
      </c>
      <c r="BF115" s="11">
        <v>-1</v>
      </c>
      <c r="BG115" s="10" t="s">
        <v>827</v>
      </c>
      <c r="BH115" s="11" t="s">
        <v>828</v>
      </c>
      <c r="BI115" s="10">
        <v>6.0300002098083496</v>
      </c>
      <c r="BJ115" s="33" t="s">
        <v>280</v>
      </c>
      <c r="BK115" s="33" t="s">
        <v>829</v>
      </c>
      <c r="BL115" s="10">
        <f>IF([1]!s_stmnote_bank_17n(A115,$A$1,1)="0","",[1]!s_stmnote_bank_17n(A115,$A$1,1))</f>
        <v>3.08</v>
      </c>
      <c r="BM115" s="10">
        <f>IF([1]!s_stmnote_bank_18n(A115,$A$1,1)="0","",[1]!s_stmnote_bank_18n(A115,$A$1,1))</f>
        <v>24.59</v>
      </c>
      <c r="BN115" s="41">
        <v>3.92</v>
      </c>
      <c r="BO115" s="68">
        <v>1.95</v>
      </c>
      <c r="BP115" s="52">
        <f>[1]!s_stmnote_bank_5444(A115,$A$1,1)</f>
        <v>2.04</v>
      </c>
      <c r="BQ115" s="52">
        <f>[1]!s_stmnote_bank_129n($A115,$A$1,1)</f>
        <v>33.07</v>
      </c>
      <c r="BR115" s="52">
        <f t="shared" si="34"/>
        <v>3.7286799695407735</v>
      </c>
      <c r="BS115" s="52">
        <f>[1]!b_stm07_is(A115,19,$A$1,1,100000000)</f>
        <v>83.950680000000006</v>
      </c>
      <c r="BT115" s="52">
        <f xml:space="preserve"> [1]!s_stm07_bs(A115,"W15273164",$A$1,1,100000000)-[1]!s_stm07_bs(A115,"W17642530",$A$1,1,100000000)-[1]!s_stm07_bs(A115,"W15910877",$A$1,1,100000000)-[1]!s_stm07_bs_39(A115,$A$1,1,100000000)-[1]!s_stm07_bs(A115,"W17700468",$A$1,1,100000000)-[1]!s_stm07_bs(A115,"W16504296",$A$1,1,100000000)-[1]!s_stm07_bs(A115,"W13769069",$A$1,1,100000000)</f>
        <v>2504.6727599999999</v>
      </c>
      <c r="BU115" s="52">
        <f xml:space="preserve"> [1]!s_stm07_bs(A115,"W15273164",$B$1,1,100000000)-[1]!s_stm07_bs(A115,"W17642530",$B$1,1,100000000)-[1]!s_stm07_bs(A115,"W15910877",$B$1,1,100000000)-[1]!s_stm07_bs_39(A115,$B$1,1,100000000)-[1]!s_stm07_bs(A115,"W17700468",$B$1,1,100000000)-[1]!s_stm07_bs(A115,"W16504296",$B$1,1,100000000)-[1]!s_stm07_bs(A115,"W13769069",$B$1,1,100000000)</f>
        <v>2215.3156200000003</v>
      </c>
      <c r="BV115" s="52">
        <f xml:space="preserve"> [1]!s_stm07_bs(A115,"W15273164",$E$1,1,100000000)-[1]!s_stm07_bs(A115,"W17642530",$E$1,1,100000000)-[1]!s_stm07_bs(A115,"W15910877",$E$1,1,100000000)-[1]!s_stm07_bs_39(A115,$E$1,1,100000000)-[1]!s_stm07_bs(A115,"W17700468",$E$1,1,100000000)-[1]!s_stm07_bs(A115,"W16504296",$E$1,1,100000000)-[1]!s_stm07_bs(A115,"W13769069",$E$1,1,100000000)</f>
        <v>0</v>
      </c>
      <c r="BW115" s="52">
        <f xml:space="preserve"> [1]!s_stm07_bs(A115,"W15273164",$F$1,1,100000000)-[1]!s_stm07_bs(A115,"W17642530",$F$1,1,100000000)-[1]!s_stm07_bs(A115,"W15910877",$F$1,1,100000000)-[1]!s_stm07_bs_39(A115,$F$1,1,100000000)-[1]!s_stm07_bs(A115,"W17700468",$F$1,1,100000000)-[1]!s_stm07_bs(A115,"W16504296",$F$1,1,100000000)-[1]!s_stm07_bs(A115,"W13769069",$F$1,1,100000000)</f>
        <v>0</v>
      </c>
      <c r="BX115" s="52">
        <f xml:space="preserve"> [1]!s_stm07_bs(A115,"W15273164",$G$1,1,100000000)-[1]!s_stm07_bs(A115,"W17642530",$G$1,1,100000000)-[1]!s_stm07_bs(A115,"W15910877",$G$1,1,100000000)-[1]!s_stm07_bs_39(A115,$G$1,1,100000000)-[1]!s_stm07_bs(A115,"W17700468",$G$1,1,100000000)-[1]!s_stm07_bs(A115,"W16504296",$G$1,1,100000000)-[1]!s_stm07_bs(A115,"W13769069",$G$1,1,100000000)</f>
        <v>0</v>
      </c>
      <c r="BY115" s="52">
        <f>IFERROR([1]!b_stm07_is(A115,20,$A$1,1,100000000)/AVERAGEIF(CA115:CE115,"&gt;0")*100,0)</f>
        <v>1.9884234838641375</v>
      </c>
      <c r="BZ115" s="52">
        <f>[1]!b_stm07_is(A115,20,$A$1,1,100000000)</f>
        <v>42.841349999999998</v>
      </c>
      <c r="CA115" s="52">
        <f>[1]!s_stmnote_bank_38(A115,$A$1,1,100000000)</f>
        <v>2288.0293799999999</v>
      </c>
      <c r="CB115" s="52">
        <f>[1]!s_stmnote_bank_38(A115,$B$1,1,100000000)</f>
        <v>2021.0476699999999</v>
      </c>
      <c r="CC115" s="52">
        <f>[1]!s_stmnote_bank_38(A115,$E$1,1,100000000)</f>
        <v>0</v>
      </c>
      <c r="CD115" s="52">
        <f>[1]!s_stmnote_bank_38(A115,$F$1,1,100000000)</f>
        <v>0</v>
      </c>
      <c r="CE115" s="52">
        <f>[1]!s_stmnote_bank_38(A115,$G$1,1,100000000)</f>
        <v>0</v>
      </c>
      <c r="CF115" s="52">
        <f>IF(BP115&lt;&gt;0,BP115,IFERROR(IF(([1]!b_stm07_is(A115,19,$A$1,1,100000000)-[1]!b_stm07_is(A115,20,$A$1,1,100000000))/AVERAGE([1]!s_stmnote_bank_35(A115,$A$1,1,100000000),[1]!s_stmnote_bank_35(A115,$B$1,1,100000000))*100=0,"",([1]!b_stm07_is(A115,19,$A$1,1,100000000)-[1]!b_stm07_is(A115,20,$A$1,1,100000000))/AVERAGE([1]!s_stmnote_bank_35(A115,$A$1,1,100000000),[1]!s_stmnote_bank_35(A115,$B$1,1,100000000))*100),""))</f>
        <v>2.04</v>
      </c>
      <c r="CG115" s="27" t="str">
        <f t="shared" si="30"/>
        <v>88 171</v>
      </c>
      <c r="CH115" s="80">
        <f t="shared" si="35"/>
        <v>0.53451688743281844</v>
      </c>
      <c r="CI115" s="27" t="str">
        <f t="shared" si="31"/>
        <v>110 169</v>
      </c>
      <c r="CJ115" s="55">
        <f>[1]!s_stmnote_bank_30(A115,$A$1,1)</f>
        <v>31.334900000000001</v>
      </c>
      <c r="CP115" s="69">
        <f>[1]!b_stm07_bs($A115,141,$A$1,1,100000000)</f>
        <v>226.53227999999999</v>
      </c>
      <c r="CQ115" s="69">
        <f>[1]!b_stm07_bs($A115,141,$D$1,1,100000000)</f>
        <v>238.85137</v>
      </c>
      <c r="CR115" s="68">
        <f>IF([1]!s_fa_roic_yearly($A115,$A$1)=0,"",[1]!s_fa_roic_yearly($A115,$A$1))</f>
        <v>14.1492</v>
      </c>
      <c r="CS115" s="27">
        <f>RANK(CR115,CR$5:CR$192,0)/COUNTIF(CR$5:CR$192,"&gt;0")</f>
        <v>7.6923076923076927E-2</v>
      </c>
      <c r="CT115" s="68">
        <f>IF([1]!s_fa_roic_yearly($A115,$D$1)=0,"",[1]!s_fa_roic_yearly($A115,$D$1))</f>
        <v>14.8698</v>
      </c>
      <c r="CU115" s="27">
        <f>RANK(CT115,CT$5:CT$192,0)/COUNTIF(CT$5:CT$192,"&gt;0")</f>
        <v>7.746478873239436E-2</v>
      </c>
      <c r="CV115" s="78">
        <f>[1]!s_stm07_bs(A115,"W14578191",$A$1,1,100000000)</f>
        <v>1213.31987</v>
      </c>
      <c r="CW115" s="78">
        <f>[1]!s_stmnote_bank_682($A115,$A$1,1,2,100000000)</f>
        <v>318.21906000000001</v>
      </c>
      <c r="CX115" s="79">
        <f t="shared" si="32"/>
        <v>0.2622713662473854</v>
      </c>
    </row>
    <row r="116" spans="1:102" s="46" customFormat="1" ht="13.5">
      <c r="A116" s="8" t="s">
        <v>839</v>
      </c>
      <c r="B116" s="8" t="s">
        <v>840</v>
      </c>
      <c r="C116" s="9" t="s">
        <v>841</v>
      </c>
      <c r="D116" s="9" t="s">
        <v>1064</v>
      </c>
      <c r="E116" s="10" t="s">
        <v>841</v>
      </c>
      <c r="F116" s="11" t="s">
        <v>178</v>
      </c>
      <c r="G116" s="11" t="s">
        <v>346</v>
      </c>
      <c r="H116" s="11" t="s">
        <v>259</v>
      </c>
      <c r="I116" s="11"/>
      <c r="J116" s="11">
        <f>VLOOKUP(B116,[3]额度信息!$B:$T,19,0)</f>
        <v>14.5</v>
      </c>
      <c r="K116" s="11" t="s">
        <v>842</v>
      </c>
      <c r="L116" s="27">
        <f>IFERROR(([1]!b_stm07_bs($A116,47,$A$1,1,100000000))/[1]!b_stm07_bs($A116,109,$A$1,1,100000000),"")</f>
        <v>9.9957265108196969E-2</v>
      </c>
      <c r="M116" s="20">
        <v>143.88</v>
      </c>
      <c r="N116" s="18">
        <f>IFERROR(([1]!s_stmnote_bank_26($A116,$A$1,1,100000000)-[1]!s_stmnote_bank_26($A116,$B$1,1,100000000)+M116)/[1]!s_stmnote_bank_1n($A116,$B$1,1,100000000),"")</f>
        <v>1.5082362596410714E-2</v>
      </c>
      <c r="O116" s="27" t="str">
        <f t="shared" si="24"/>
        <v>35 50</v>
      </c>
      <c r="P116" s="21">
        <f t="shared" si="33"/>
        <v>3.93608340203127E-2</v>
      </c>
      <c r="Q116" s="27" t="str">
        <f t="shared" si="25"/>
        <v>114 169</v>
      </c>
      <c r="R116" s="18">
        <v>2.4060834020312699E-2</v>
      </c>
      <c r="S116" s="22">
        <v>2.9460392818395999E-2</v>
      </c>
      <c r="T116" s="22">
        <v>1.72901675659352E-2</v>
      </c>
      <c r="U116" s="22">
        <v>3.2461965041019399E-2</v>
      </c>
      <c r="V116" s="22"/>
      <c r="W116" s="22">
        <v>2.5107435136576602E-2</v>
      </c>
      <c r="X116" s="22">
        <v>4.3317208641628802E-2</v>
      </c>
      <c r="Y116" s="22">
        <v>0.49748219110783598</v>
      </c>
      <c r="Z116" s="25">
        <f>[1]!b_stm07_bs(A116,74,$A$1,1,100000000)</f>
        <v>22867.23</v>
      </c>
      <c r="AA116" s="25">
        <f>[1]!b_stm07_bs(A116,109,$A$1,1,100000000)</f>
        <v>14157.05</v>
      </c>
      <c r="AB116" s="10">
        <f>[1]!s_stmnote_bank_5n(A116,$A$1,1)</f>
        <v>1.53</v>
      </c>
      <c r="AC116" s="25">
        <f>IF([1]!s_stmnote_bank_23n(A116,$A$1,1)=0,"",IFERROR([1]!s_stmnote_bank_23n(A116,$A$1,1),""))</f>
        <v>174.61</v>
      </c>
      <c r="AD116" s="27" t="str">
        <f t="shared" si="26"/>
        <v>44 167</v>
      </c>
      <c r="AE116" s="25">
        <f>[1]!s_stmnote_bank_capadequacyratio(A116,$A$1,1)</f>
        <v>12.89</v>
      </c>
      <c r="AF116" s="25">
        <f>IF([1]!s_stmnote_bank_capadequacyratio_ct1(A116,$A$1,1)=0,"",IFERROR([1]!s_stmnote_bank_capadequacyratio_ct1(A116,$A$1,1),""))</f>
        <v>8.1300000000000008</v>
      </c>
      <c r="AG116" s="27" t="str">
        <f>RANK(AF116,AF$5:AF$192,1)&amp;" "&amp;COUNTIF(AF$5:AF$192,"&gt;0")</f>
        <v>14 167</v>
      </c>
      <c r="AH116" s="6">
        <f>IF(OR([1]!s_fa_roe(A116,20201231)=0,[1]!s_fa_roe(A116,20211231)="0",[1]!s_fa_roe(A116,20221231)="0"),"",IFERROR(([1]!s_fa_roe(A116,20221231)+[1]!s_fa_roe(A116,20201231)+[1]!s_fa_roe(A116,20211231))/3,""))</f>
        <v>8.8328999999999986</v>
      </c>
      <c r="AI116" s="27" t="str">
        <f t="shared" si="27"/>
        <v>94 173</v>
      </c>
      <c r="AJ116" s="28">
        <f>IFERROR(([1]!s_stmnote_bank_65(A116,$A$1,1,2,4,100000000)+[1]!s_stmnote_bank_65(A116,$A$1,1,2,6,100000000))/[1]!s_stmnote_bank_1n(A116,$A$1,1,100000000),"")</f>
        <v>0.16831860027374684</v>
      </c>
      <c r="AK116" s="28">
        <f>IFERROR([1]!s_stmnote_bank_614(A116,$A$1,1,2,100000000)/[1]!s_stmnote_bank_647(A116,$A$1,1,2,100000000),"")</f>
        <v>0.40507990708428687</v>
      </c>
      <c r="AL116" s="28">
        <f>IFERROR(([1]!b_stm07_bs(A116,104,$A$1,1,100000000)+[1]!b_stm07_bs(A116,106,$A$1,1,100000000)+[1]!b_stm07_bs(A116,76,$A$1,1,100000000)+[1]!b_stm07_bs(A116,108,$A$1,1,100000000)+[1]!b_stm07_bs(A116,95,$A$1,1,100000000))/[1]!b_stm07_bs(A116,128,$A$1,1,100000000),"")</f>
        <v>0.28748254585251715</v>
      </c>
      <c r="AM116" s="28">
        <f>IFERROR(([1]!s_stmnote_bank_614(A116,$A$1,1,2,100000000)+[1]!b_stm07_bs(A116,104,$A$1,1,100000000)+[1]!b_stm07_bs(A116,106,$A$1,1,100000000)+[1]!b_stm07_bs(A116,76,$A$1,1,100000000)+[1]!b_stm07_bs(A116,108,$A$1,1,100000000)+[1]!b_stm07_bs(A116,95,$A$1,1,100000000))/[1]!b_stm07_bs(A116,128,$A$1,1,100000000),"")</f>
        <v>0.55475743452336024</v>
      </c>
      <c r="AN116" s="31" t="e">
        <f>IF(Z116&gt;#REF!,#REF!,IF(Z116&gt;#REF!,#REF!,IF(Z116&gt;#REF!,#REF!,IF(Z116&gt;#REF!,#REF!,IF(Z116&gt;#REF!,#REF!,IF(Z116&gt;#REF!,#REF!,IF(Z116&gt;#REF!,#REF!,#REF!)))))))</f>
        <v>#REF!</v>
      </c>
      <c r="AO116" s="31" t="e">
        <f>IF(AA116&gt;#REF!,#REF!,IF(AA116&gt;#REF!,#REF!,IF(AA116&gt;#REF!,#REF!,IF(AA116&gt;#REF!,#REF!,IF(AA116&gt;#REF!,#REF!,IF(AA116&gt;#REF!,#REF!,IF(AA116&gt;#REF!,#REF!,#REF!)))))))</f>
        <v>#REF!</v>
      </c>
      <c r="AP116" s="31" t="e">
        <f>IF(AB116&lt;#REF!,#REF!,IF(AB116&lt;#REF!,#REF!,IF(AB116&lt;#REF!,#REF!,IF(AB116&lt;#REF!,#REF!,IF(AB116&lt;#REF!,#REF!,IF(AB116&lt;#REF!,#REF!,#REF!))))))</f>
        <v>#REF!</v>
      </c>
      <c r="AQ116" s="31" t="e">
        <f>IF(AC116&gt;#REF!,#REF!,IF(AC116&gt;#REF!,#REF!,IF(AC116&gt;#REF!,#REF!,IF(AC116&gt;#REF!,#REF!,#REF!))))</f>
        <v>#REF!</v>
      </c>
      <c r="AR116" s="31" t="e">
        <f>IF(AE116&gt;#REF!,#REF!,IF(AE116&gt;#REF!,#REF!,IF(AE116&gt;#REF!,#REF!,IF(AE116&gt;#REF!,#REF!,#REF!))))</f>
        <v>#REF!</v>
      </c>
      <c r="AS116" s="31" t="e">
        <f>IF(AF116&gt;#REF!,#REF!,IF(AF116&gt;#REF!,#REF!,IF(AF116&gt;#REF!,#REF!,IF(AF116&gt;#REF!,#REF!,#REF!))))</f>
        <v>#REF!</v>
      </c>
      <c r="AT116" s="31" t="e">
        <f>IF(AH116&gt;#REF!,#REF!,IF(AH116&gt;#REF!,#REF!,IF(AH116&gt;#REF!,#REF!,IF(AH116&gt;#REF!,#REF!,IF(AH116&gt;#REF!,#REF!,#REF!)))))</f>
        <v>#REF!</v>
      </c>
      <c r="AU116" s="10" t="e">
        <f t="shared" si="28"/>
        <v>#REF!</v>
      </c>
      <c r="AV116" s="10" t="s">
        <v>60</v>
      </c>
      <c r="AW116" s="10" t="s">
        <v>141</v>
      </c>
      <c r="AX116" s="10" t="s">
        <v>261</v>
      </c>
      <c r="AY116" s="31" t="str">
        <f>IFERROR(VLOOKUP(AV116,#REF!,3,0),"")</f>
        <v/>
      </c>
      <c r="AZ116" s="31" t="str">
        <f>IFERROR(VLOOKUP(AW116,#REF!,3,0),"")</f>
        <v/>
      </c>
      <c r="BA116" s="31" t="str">
        <f>IFERROR(VLOOKUP(AX116,#REF!,3,0),"")</f>
        <v/>
      </c>
      <c r="BB116" s="31" t="str">
        <f>IFERROR(AY116*#REF!+AZ116*#REF!+BA116*#REF!,"")</f>
        <v/>
      </c>
      <c r="BC116" s="32" t="str">
        <f t="shared" si="29"/>
        <v/>
      </c>
      <c r="BD116" s="32" t="str">
        <f>IFERROR(VLOOKUP(BC116*10,#REF!,2,1),"")</f>
        <v/>
      </c>
      <c r="BE116" s="11">
        <v>2</v>
      </c>
      <c r="BF116" s="11">
        <v>0</v>
      </c>
      <c r="BG116" s="10" t="s">
        <v>843</v>
      </c>
      <c r="BH116" s="11" t="s">
        <v>634</v>
      </c>
      <c r="BI116" s="10">
        <v>21.409999847412099</v>
      </c>
      <c r="BJ116" s="33" t="s">
        <v>71</v>
      </c>
      <c r="BK116" s="33" t="s">
        <v>217</v>
      </c>
      <c r="BL116" s="10">
        <f>IF([1]!s_stmnote_bank_17n(A116,$A$1,1)="0","",[1]!s_stmnote_bank_17n(A116,$A$1,1))</f>
        <v>2.04</v>
      </c>
      <c r="BM116" s="10">
        <f>IF([1]!s_stmnote_bank_18n(A116,$A$1,1)="0","",[1]!s_stmnote_bank_18n(A116,$A$1,1))</f>
        <v>15.22</v>
      </c>
      <c r="BN116" s="41">
        <v>4.37</v>
      </c>
      <c r="BO116" s="52">
        <v>2.35</v>
      </c>
      <c r="BP116" s="52">
        <f>[1]!s_stmnote_bank_5444(A116,$A$1,1)</f>
        <v>2.27</v>
      </c>
      <c r="BQ116" s="52">
        <f>[1]!s_stmnote_bank_129n($A116,$A$1,1)</f>
        <v>25.31</v>
      </c>
      <c r="BR116" s="52">
        <f t="shared" si="34"/>
        <v>4.5962143876321173</v>
      </c>
      <c r="BS116" s="52">
        <f>[1]!b_stm07_is(A116,19,$A$1,1,100000000)</f>
        <v>927.57</v>
      </c>
      <c r="BT116" s="52">
        <f xml:space="preserve"> [1]!s_stm07_bs(A116,"W15273164",$A$1,1,100000000)-[1]!s_stm07_bs(A116,"W17642530",$A$1,1,100000000)-[1]!s_stm07_bs(A116,"W15910877",$A$1,1,100000000)-[1]!s_stm07_bs_39(A116,$A$1,1,100000000)-[1]!s_stm07_bs(A116,"W17700468",$A$1,1,100000000)-[1]!s_stm07_bs(A116,"W16504296",$A$1,1,100000000)-[1]!s_stm07_bs(A116,"W13769069",$A$1,1,100000000)</f>
        <v>22028.319999999996</v>
      </c>
      <c r="BU116" s="52">
        <f xml:space="preserve"> [1]!s_stm07_bs(A116,"W15273164",$B$1,1,100000000)-[1]!s_stm07_bs(A116,"W17642530",$B$1,1,100000000)-[1]!s_stm07_bs(A116,"W15910877",$B$1,1,100000000)-[1]!s_stm07_bs_39(A116,$B$1,1,100000000)-[1]!s_stm07_bs(A116,"W17700468",$B$1,1,100000000)-[1]!s_stm07_bs(A116,"W16504296",$B$1,1,100000000)-[1]!s_stm07_bs(A116,"W13769069",$B$1,1,100000000)</f>
        <v>19791.939999999999</v>
      </c>
      <c r="BV116" s="52">
        <f xml:space="preserve"> [1]!s_stm07_bs(A116,"W15273164",$E$1,1,100000000)-[1]!s_stm07_bs(A116,"W17642530",$E$1,1,100000000)-[1]!s_stm07_bs(A116,"W15910877",$E$1,1,100000000)-[1]!s_stm07_bs_39(A116,$E$1,1,100000000)-[1]!s_stm07_bs(A116,"W17700468",$E$1,1,100000000)-[1]!s_stm07_bs(A116,"W16504296",$E$1,1,100000000)-[1]!s_stm07_bs(A116,"W13769069",$E$1,1,100000000)</f>
        <v>20977.449999999997</v>
      </c>
      <c r="BW116" s="52">
        <f xml:space="preserve"> [1]!s_stm07_bs(A116,"W15273164",$F$1,1,100000000)-[1]!s_stm07_bs(A116,"W17642530",$F$1,1,100000000)-[1]!s_stm07_bs(A116,"W15910877",$F$1,1,100000000)-[1]!s_stm07_bs_39(A116,$F$1,1,100000000)-[1]!s_stm07_bs(A116,"W17700468",$F$1,1,100000000)-[1]!s_stm07_bs(A116,"W16504296",$F$1,1,100000000)-[1]!s_stm07_bs(A116,"W13769069",$F$1,1,100000000)</f>
        <v>20807.73</v>
      </c>
      <c r="BX116" s="52">
        <f xml:space="preserve"> [1]!s_stm07_bs(A116,"W15273164",$G$1,1,100000000)-[1]!s_stm07_bs(A116,"W17642530",$G$1,1,100000000)-[1]!s_stm07_bs(A116,"W15910877",$G$1,1,100000000)-[1]!s_stm07_bs_39(A116,$G$1,1,100000000)-[1]!s_stm07_bs(A116,"W17700468",$G$1,1,100000000)-[1]!s_stm07_bs(A116,"W16504296",$G$1,1,100000000)-[1]!s_stm07_bs(A116,"W13769069",$G$1,1,100000000)</f>
        <v>19886.759999999998</v>
      </c>
      <c r="BY116" s="52">
        <f>IFERROR([1]!b_stm07_is(A116,20,$A$1,1,100000000)/AVERAGEIF(CA116:CE116,"&gt;0")*100,0)</f>
        <v>2.5945349355495155</v>
      </c>
      <c r="BZ116" s="52">
        <f>[1]!b_stm07_is(A116,20,$A$1,1,100000000)</f>
        <v>508.05</v>
      </c>
      <c r="CA116" s="52">
        <f>[1]!s_stmnote_bank_38(A116,$A$1,1,100000000)</f>
        <v>20761.12</v>
      </c>
      <c r="CB116" s="52">
        <f>[1]!s_stmnote_bank_38(A116,$B$1,1,100000000)</f>
        <v>18640.330000000002</v>
      </c>
      <c r="CC116" s="52">
        <f>[1]!s_stmnote_bank_38(A116,$E$1,1,100000000)</f>
        <v>19971.46</v>
      </c>
      <c r="CD116" s="52">
        <f>[1]!s_stmnote_bank_38(A116,$F$1,1,100000000)</f>
        <v>19743.3</v>
      </c>
      <c r="CE116" s="52">
        <f>[1]!s_stmnote_bank_38(A116,$G$1,1,100000000)</f>
        <v>18791.509999999998</v>
      </c>
      <c r="CF116" s="52">
        <f>IF(BP116&lt;&gt;0,BP116,IFERROR(IF(([1]!b_stm07_is(A116,19,$A$1,1,100000000)-[1]!b_stm07_is(A116,20,$A$1,1,100000000))/AVERAGE([1]!s_stmnote_bank_35(A116,$A$1,1,100000000),[1]!s_stmnote_bank_35(A116,$B$1,1,100000000))*100=0,"",([1]!b_stm07_is(A116,19,$A$1,1,100000000)-[1]!b_stm07_is(A116,20,$A$1,1,100000000))/AVERAGE([1]!s_stmnote_bank_35(A116,$A$1,1,100000000),[1]!s_stmnote_bank_35(A116,$B$1,1,100000000))*100),""))</f>
        <v>2.27</v>
      </c>
      <c r="CG116" s="27" t="str">
        <f t="shared" si="30"/>
        <v>58 171</v>
      </c>
      <c r="CH116" s="80">
        <f t="shared" si="35"/>
        <v>0.57671542194165282</v>
      </c>
      <c r="CI116" s="27" t="str">
        <f t="shared" si="31"/>
        <v>103 169</v>
      </c>
      <c r="CJ116" s="55">
        <f>[1]!s_stmnote_bank_30(A116,$A$1,1)</f>
        <v>22.98</v>
      </c>
      <c r="CK116" s="48">
        <v>753.52</v>
      </c>
      <c r="CL116" s="48">
        <f>149.64+42.19</f>
        <v>191.82999999999998</v>
      </c>
      <c r="CM116" s="64">
        <f>CK116/(5/8*[1]!s_stmnote_bank_1n($A116,$A$1,1,100000000)+[1]!s_stmnote_bank_1n($A116,$B$1,1,100000000)*3/8)</f>
        <v>5.8524603612643028E-2</v>
      </c>
      <c r="CN116" s="48"/>
      <c r="CO116" s="48"/>
      <c r="CP116" s="69">
        <f>[1]!b_stm07_bs($A116,141,$A$1,1,100000000)</f>
        <v>1668.83</v>
      </c>
      <c r="CQ116" s="69">
        <f>[1]!b_stm07_bs($A116,141,$D$1,1,100000000)</f>
        <v>1583.52</v>
      </c>
      <c r="CR116" s="68">
        <f>IF([1]!s_fa_roic_yearly($A116,$A$1)=0,"",[1]!s_fa_roic_yearly($A116,$A$1))</f>
        <v>8.5841999999999992</v>
      </c>
      <c r="CS116" s="27">
        <f>RANK(CR116,CR$5:CR$192,0)/COUNTIF(CR$5:CR$192,"&gt;0")</f>
        <v>0.53254437869822491</v>
      </c>
      <c r="CT116" s="68">
        <f>IF([1]!s_fa_roic_yearly($A116,$D$1)=0,"",[1]!s_fa_roic_yearly($A116,$D$1))</f>
        <v>8.7257999999999996</v>
      </c>
      <c r="CU116" s="27">
        <f>RANK(CT116,CT$5:CT$192,0)/COUNTIF(CT$5:CT$192,"&gt;0")</f>
        <v>0.62676056338028174</v>
      </c>
      <c r="CV116" s="78">
        <f>[1]!s_stm07_bs(A116,"W14578191",$A$1,1,100000000)</f>
        <v>13118.89</v>
      </c>
      <c r="CW116" s="78">
        <f>[1]!s_stmnote_bank_682($A116,$A$1,1,2,100000000)</f>
        <v>3814.94</v>
      </c>
      <c r="CX116" s="79">
        <f t="shared" si="32"/>
        <v>0.29079746838337694</v>
      </c>
    </row>
    <row r="117" spans="1:102" s="46" customFormat="1" ht="13.5">
      <c r="A117" s="8" t="s">
        <v>901</v>
      </c>
      <c r="B117" s="8" t="s">
        <v>902</v>
      </c>
      <c r="C117" s="9" t="s">
        <v>903</v>
      </c>
      <c r="D117" s="9" t="s">
        <v>1061</v>
      </c>
      <c r="E117" s="10" t="s">
        <v>903</v>
      </c>
      <c r="F117" s="11" t="s">
        <v>178</v>
      </c>
      <c r="G117" s="11" t="s">
        <v>83</v>
      </c>
      <c r="H117" s="11" t="s">
        <v>206</v>
      </c>
      <c r="I117" s="11"/>
      <c r="J117" s="11">
        <f>VLOOKUP(B117,[3]额度信息!$B:$T,19,0)</f>
        <v>0</v>
      </c>
      <c r="K117" s="11" t="s">
        <v>904</v>
      </c>
      <c r="L117" s="27">
        <f>IFERROR(([1]!b_stm07_bs($A117,47,$A$1,1,100000000))/[1]!b_stm07_bs($A117,109,$A$1,1,100000000),"")</f>
        <v>0.10396684945650882</v>
      </c>
      <c r="M117" s="20">
        <v>51.08</v>
      </c>
      <c r="N117" s="18">
        <f>IFERROR(([1]!s_stmnote_bank_26($A117,$A$1,1,100000000)-[1]!s_stmnote_bank_26($A117,$B$1,1,100000000)+M117)/[1]!s_stmnote_bank_1n($A117,$B$1,1,100000000),"")</f>
        <v>2.3152289264390252E-2</v>
      </c>
      <c r="O117" s="27" t="str">
        <f t="shared" si="24"/>
        <v>46 50</v>
      </c>
      <c r="P117" s="21">
        <f t="shared" si="33"/>
        <v>3.8617998097897004E-2</v>
      </c>
      <c r="Q117" s="27" t="str">
        <f t="shared" si="25"/>
        <v>110 169</v>
      </c>
      <c r="R117" s="18">
        <v>2.0117998097897001E-2</v>
      </c>
      <c r="S117" s="22">
        <v>3.3059240100367503E-2</v>
      </c>
      <c r="T117" s="22">
        <v>2.7740751747840402E-2</v>
      </c>
      <c r="U117" s="22">
        <v>0.104479420455202</v>
      </c>
      <c r="V117" s="22"/>
      <c r="W117" s="22">
        <v>2.0569937523443002E-3</v>
      </c>
      <c r="X117" s="22">
        <v>5.9512569243961297E-2</v>
      </c>
      <c r="Y117" s="22">
        <v>0.34485467399842901</v>
      </c>
      <c r="Z117" s="25">
        <f>[1]!b_stm07_bs(A117,74,$A$1,1,100000000)</f>
        <v>5749.7966200000001</v>
      </c>
      <c r="AA117" s="25">
        <f>[1]!b_stm07_bs(A117,109,$A$1,1,100000000)</f>
        <v>3215.74215</v>
      </c>
      <c r="AB117" s="10">
        <f>[1]!s_stmnote_bank_5n(A117,$A$1,1)</f>
        <v>1.85</v>
      </c>
      <c r="AC117" s="25">
        <f>IF([1]!s_stmnote_bank_23n(A117,$A$1,1)=0,"",IFERROR([1]!s_stmnote_bank_23n(A117,$A$1,1),""))</f>
        <v>156.58000000000001</v>
      </c>
      <c r="AD117" s="27" t="str">
        <f t="shared" si="26"/>
        <v>29 167</v>
      </c>
      <c r="AE117" s="25">
        <f>[1]!s_stmnote_bank_capadequacyratio(A117,$A$1,1)</f>
        <v>15</v>
      </c>
      <c r="AF117" s="25">
        <f>IF([1]!s_stmnote_bank_capadequacyratio_ct1(A117,$A$1,1)=0,"",IFERROR([1]!s_stmnote_bank_capadequacyratio_ct1(A117,$A$1,1),""))</f>
        <v>9.49</v>
      </c>
      <c r="AG117" s="27" t="str">
        <f>RANK(AF117,AF$5:AF$192,1)&amp;" "&amp;COUNTIF(AF$5:AF$192,"&gt;0")</f>
        <v>63 167</v>
      </c>
      <c r="AH117" s="6">
        <f>IF(OR([1]!s_fa_roe(A117,20201231)=0,[1]!s_fa_roe(A117,20211231)="0",[1]!s_fa_roe(A117,20221231)="0"),"",IFERROR(([1]!s_fa_roe(A117,20221231)+[1]!s_fa_roe(A117,20201231)+[1]!s_fa_roe(A117,20211231))/3,""))</f>
        <v>6.1326999999999998</v>
      </c>
      <c r="AI117" s="27" t="str">
        <f t="shared" si="27"/>
        <v>58 173</v>
      </c>
      <c r="AJ117" s="28">
        <f>IFERROR(([1]!s_stmnote_bank_65(A117,$A$1,1,2,4,100000000)+[1]!s_stmnote_bank_65(A117,$A$1,1,2,6,100000000))/[1]!s_stmnote_bank_1n(A117,$A$1,1,100000000),"")</f>
        <v>0.18841325253331806</v>
      </c>
      <c r="AK117" s="28">
        <f>IFERROR([1]!s_stmnote_bank_614(A117,$A$1,1,2,100000000)/[1]!s_stmnote_bank_647(A117,$A$1,1,2,100000000),"")</f>
        <v>0.27673429085253459</v>
      </c>
      <c r="AL117" s="28">
        <f>IFERROR(([1]!b_stm07_bs(A117,104,$A$1,1,100000000)+[1]!b_stm07_bs(A117,106,$A$1,1,100000000)+[1]!b_stm07_bs(A117,76,$A$1,1,100000000)+[1]!b_stm07_bs(A117,108,$A$1,1,100000000)+[1]!b_stm07_bs(A117,95,$A$1,1,100000000))/[1]!b_stm07_bs(A117,128,$A$1,1,100000000),"")</f>
        <v>0.32537218621906955</v>
      </c>
      <c r="AM117" s="28">
        <f>IFERROR(([1]!s_stmnote_bank_614(A117,$A$1,1,2,100000000)+[1]!b_stm07_bs(A117,104,$A$1,1,100000000)+[1]!b_stm07_bs(A117,106,$A$1,1,100000000)+[1]!b_stm07_bs(A117,76,$A$1,1,100000000)+[1]!b_stm07_bs(A117,108,$A$1,1,100000000)+[1]!b_stm07_bs(A117,95,$A$1,1,100000000))/[1]!b_stm07_bs(A117,128,$A$1,1,100000000),"")</f>
        <v>0.49649722330970647</v>
      </c>
      <c r="AN117" s="31" t="e">
        <f>IF(Z117&gt;#REF!,#REF!,IF(Z117&gt;#REF!,#REF!,IF(Z117&gt;#REF!,#REF!,IF(Z117&gt;#REF!,#REF!,IF(Z117&gt;#REF!,#REF!,IF(Z117&gt;#REF!,#REF!,IF(Z117&gt;#REF!,#REF!,#REF!)))))))</f>
        <v>#REF!</v>
      </c>
      <c r="AO117" s="31" t="e">
        <f>IF(AA117&gt;#REF!,#REF!,IF(AA117&gt;#REF!,#REF!,IF(AA117&gt;#REF!,#REF!,IF(AA117&gt;#REF!,#REF!,IF(AA117&gt;#REF!,#REF!,IF(AA117&gt;#REF!,#REF!,IF(AA117&gt;#REF!,#REF!,#REF!)))))))</f>
        <v>#REF!</v>
      </c>
      <c r="AP117" s="31" t="e">
        <f>IF(AB117&lt;#REF!,#REF!,IF(AB117&lt;#REF!,#REF!,IF(AB117&lt;#REF!,#REF!,IF(AB117&lt;#REF!,#REF!,IF(AB117&lt;#REF!,#REF!,IF(AB117&lt;#REF!,#REF!,#REF!))))))</f>
        <v>#REF!</v>
      </c>
      <c r="AQ117" s="31" t="e">
        <f>IF(AC117&gt;#REF!,#REF!,IF(AC117&gt;#REF!,#REF!,IF(AC117&gt;#REF!,#REF!,IF(AC117&gt;#REF!,#REF!,#REF!))))</f>
        <v>#REF!</v>
      </c>
      <c r="AR117" s="31" t="e">
        <f>IF(AE117&gt;#REF!,#REF!,IF(AE117&gt;#REF!,#REF!,IF(AE117&gt;#REF!,#REF!,IF(AE117&gt;#REF!,#REF!,#REF!))))</f>
        <v>#REF!</v>
      </c>
      <c r="AS117" s="31" t="e">
        <f>IF(AF117&gt;#REF!,#REF!,IF(AF117&gt;#REF!,#REF!,IF(AF117&gt;#REF!,#REF!,IF(AF117&gt;#REF!,#REF!,#REF!))))</f>
        <v>#REF!</v>
      </c>
      <c r="AT117" s="31" t="e">
        <f>IF(AH117&gt;#REF!,#REF!,IF(AH117&gt;#REF!,#REF!,IF(AH117&gt;#REF!,#REF!,IF(AH117&gt;#REF!,#REF!,IF(AH117&gt;#REF!,#REF!,#REF!)))))</f>
        <v>#REF!</v>
      </c>
      <c r="AU117" s="10" t="e">
        <f t="shared" si="28"/>
        <v>#REF!</v>
      </c>
      <c r="AV117" s="10" t="s">
        <v>141</v>
      </c>
      <c r="AW117" s="10" t="s">
        <v>227</v>
      </c>
      <c r="AX117" s="10" t="s">
        <v>68</v>
      </c>
      <c r="AY117" s="31" t="str">
        <f>IFERROR(VLOOKUP(AV117,#REF!,3,0),"")</f>
        <v/>
      </c>
      <c r="AZ117" s="31" t="str">
        <f>IFERROR(VLOOKUP(AW117,#REF!,3,0),"")</f>
        <v/>
      </c>
      <c r="BA117" s="31" t="str">
        <f>IFERROR(VLOOKUP(AX117,#REF!,3,0),"")</f>
        <v/>
      </c>
      <c r="BB117" s="31" t="str">
        <f>IFERROR(AY117*#REF!+AZ117*#REF!+BA117*#REF!,"")</f>
        <v/>
      </c>
      <c r="BC117" s="32" t="str">
        <f t="shared" si="29"/>
        <v/>
      </c>
      <c r="BD117" s="32" t="str">
        <f>IFERROR(VLOOKUP(BC117*10,#REF!,2,1),"")</f>
        <v/>
      </c>
      <c r="BE117" s="11">
        <v>0</v>
      </c>
      <c r="BF117" s="11">
        <v>-1</v>
      </c>
      <c r="BG117" s="10" t="s">
        <v>905</v>
      </c>
      <c r="BH117" s="11" t="s">
        <v>634</v>
      </c>
      <c r="BI117" s="10">
        <v>22.219999313354499</v>
      </c>
      <c r="BJ117" s="33" t="s">
        <v>821</v>
      </c>
      <c r="BK117" s="33" t="s">
        <v>822</v>
      </c>
      <c r="BL117" s="10">
        <f>IF([1]!s_stmnote_bank_17n(A117,$A$1,1)="0","",[1]!s_stmnote_bank_17n(A117,$A$1,1))</f>
        <v>4.75</v>
      </c>
      <c r="BM117" s="10">
        <f>IF([1]!s_stmnote_bank_18n(A117,$A$1,1)="0","",[1]!s_stmnote_bank_18n(A117,$A$1,1))</f>
        <v>4.93</v>
      </c>
      <c r="BN117" s="41">
        <v>4.6500000000000004</v>
      </c>
      <c r="BO117" s="68">
        <v>2.4700000000000002</v>
      </c>
      <c r="BP117" s="52">
        <f>[1]!s_stmnote_bank_5444(A117,$A$1,1)</f>
        <v>2.31</v>
      </c>
      <c r="BQ117" s="52">
        <f>[1]!s_stmnote_bank_129n($A117,$A$1,1)</f>
        <v>22.98</v>
      </c>
      <c r="BR117" s="52">
        <f t="shared" si="34"/>
        <v>4.7017955582750295</v>
      </c>
      <c r="BS117" s="52">
        <f>[1]!b_stm07_is(A117,19,$A$1,1,100000000)</f>
        <v>255.65082000000001</v>
      </c>
      <c r="BT117" s="52">
        <f xml:space="preserve"> [1]!s_stm07_bs(A117,"W15273164",$A$1,1,100000000)-[1]!s_stm07_bs(A117,"W17642530",$A$1,1,100000000)-[1]!s_stm07_bs(A117,"W15910877",$A$1,1,100000000)-[1]!s_stm07_bs_39(A117,$A$1,1,100000000)-[1]!s_stm07_bs(A117,"W17700468",$A$1,1,100000000)-[1]!s_stm07_bs(A117,"W16504296",$A$1,1,100000000)-[1]!s_stm07_bs(A117,"W13769069",$A$1,1,100000000)</f>
        <v>5637.1757000000007</v>
      </c>
      <c r="BU117" s="52">
        <f xml:space="preserve"> [1]!s_stm07_bs(A117,"W15273164",$B$1,1,100000000)-[1]!s_stm07_bs(A117,"W17642530",$B$1,1,100000000)-[1]!s_stm07_bs(A117,"W15910877",$B$1,1,100000000)-[1]!s_stm07_bs_39(A117,$B$1,1,100000000)-[1]!s_stm07_bs(A117,"W17700468",$B$1,1,100000000)-[1]!s_stm07_bs(A117,"W16504296",$B$1,1,100000000)-[1]!s_stm07_bs(A117,"W13769069",$B$1,1,100000000)</f>
        <v>5377.7525999999998</v>
      </c>
      <c r="BV117" s="52">
        <f xml:space="preserve"> [1]!s_stm07_bs(A117,"W15273164",$E$1,1,100000000)-[1]!s_stm07_bs(A117,"W17642530",$E$1,1,100000000)-[1]!s_stm07_bs(A117,"W15910877",$E$1,1,100000000)-[1]!s_stm07_bs_39(A117,$E$1,1,100000000)-[1]!s_stm07_bs(A117,"W17700468",$E$1,1,100000000)-[1]!s_stm07_bs(A117,"W16504296",$E$1,1,100000000)-[1]!s_stm07_bs(A117,"W13769069",$E$1,1,100000000)</f>
        <v>5510.5013900000004</v>
      </c>
      <c r="BW117" s="52">
        <f xml:space="preserve"> [1]!s_stm07_bs(A117,"W15273164",$F$1,1,100000000)-[1]!s_stm07_bs(A117,"W17642530",$F$1,1,100000000)-[1]!s_stm07_bs(A117,"W15910877",$F$1,1,100000000)-[1]!s_stm07_bs_39(A117,$F$1,1,100000000)-[1]!s_stm07_bs(A117,"W17700468",$F$1,1,100000000)-[1]!s_stm07_bs(A117,"W16504296",$F$1,1,100000000)-[1]!s_stm07_bs(A117,"W13769069",$F$1,1,100000000)</f>
        <v>5614.5411299999996</v>
      </c>
      <c r="BX117" s="52">
        <f xml:space="preserve"> [1]!s_stm07_bs(A117,"W15273164",$G$1,1,100000000)-[1]!s_stm07_bs(A117,"W17642530",$G$1,1,100000000)-[1]!s_stm07_bs(A117,"W15910877",$G$1,1,100000000)-[1]!s_stm07_bs_39(A117,$G$1,1,100000000)-[1]!s_stm07_bs(A117,"W17700468",$G$1,1,100000000)-[1]!s_stm07_bs(A117,"W16504296",$G$1,1,100000000)-[1]!s_stm07_bs(A117,"W13769069",$G$1,1,100000000)</f>
        <v>5443.5668799999994</v>
      </c>
      <c r="BY117" s="52">
        <f>IFERROR([1]!b_stm07_is(A117,20,$A$1,1,100000000)/AVERAGEIF(CA117:CE117,"&gt;0")*100,0)</f>
        <v>2.6817690218161072</v>
      </c>
      <c r="BZ117" s="52">
        <f>[1]!b_stm07_is(A117,20,$A$1,1,100000000)</f>
        <v>136.16211000000001</v>
      </c>
      <c r="CA117" s="52">
        <f>[1]!s_stmnote_bank_38(A117,$A$1,1,100000000)</f>
        <v>5121.1143700000002</v>
      </c>
      <c r="CB117" s="52">
        <f>[1]!s_stmnote_bank_38(A117,$B$1,1,100000000)</f>
        <v>4976.2486399999998</v>
      </c>
      <c r="CC117" s="52">
        <f>[1]!s_stmnote_bank_38(A117,$E$1,1,100000000)</f>
        <v>5078.4859699999997</v>
      </c>
      <c r="CD117" s="52">
        <f>[1]!s_stmnote_bank_38(A117,$F$1,1,100000000)</f>
        <v>5186.2752300000002</v>
      </c>
      <c r="CE117" s="52">
        <f>[1]!s_stmnote_bank_38(A117,$G$1,1,100000000)</f>
        <v>5024.4972500000003</v>
      </c>
      <c r="CF117" s="52">
        <f>IF(BP117&lt;&gt;0,BP117,IFERROR(IF(([1]!b_stm07_is(A117,19,$A$1,1,100000000)-[1]!b_stm07_is(A117,20,$A$1,1,100000000))/AVERAGE([1]!s_stmnote_bank_35(A117,$A$1,1,100000000),[1]!s_stmnote_bank_35(A117,$B$1,1,100000000))*100=0,"",([1]!b_stm07_is(A117,19,$A$1,1,100000000)-[1]!b_stm07_is(A117,20,$A$1,1,100000000))/AVERAGE([1]!s_stmnote_bank_35(A117,$A$1,1,100000000),[1]!s_stmnote_bank_35(A117,$B$1,1,100000000))*100),""))</f>
        <v>2.31</v>
      </c>
      <c r="CG117" s="27" t="str">
        <f t="shared" si="30"/>
        <v>52 171</v>
      </c>
      <c r="CH117" s="80">
        <f t="shared" si="35"/>
        <v>0.59816668749740143</v>
      </c>
      <c r="CI117" s="27" t="str">
        <f t="shared" si="31"/>
        <v>98 169</v>
      </c>
      <c r="CJ117" s="55">
        <f>[1]!s_stmnote_bank_30(A117,$A$1,1)</f>
        <v>19.267299999999999</v>
      </c>
      <c r="CP117" s="69">
        <f>[1]!b_stm07_bs($A117,141,$A$1,1,100000000)</f>
        <v>594.11540000000002</v>
      </c>
      <c r="CQ117" s="69">
        <f>[1]!b_stm07_bs($A117,141,$D$1,1,100000000)</f>
        <v>621.46154000000001</v>
      </c>
      <c r="CR117" s="68">
        <f>IF([1]!s_fa_roic_yearly($A117,$A$1)=0,"",[1]!s_fa_roic_yearly($A117,$A$1))</f>
        <v>6.3097000000000003</v>
      </c>
      <c r="CS117" s="27">
        <f>RANK(CR117,CR$5:CR$192,0)/COUNTIF(CR$5:CR$192,"&gt;0")</f>
        <v>0.69822485207100593</v>
      </c>
      <c r="CT117" s="68">
        <f>IF([1]!s_fa_roic_yearly($A117,$D$1)=0,"",[1]!s_fa_roic_yearly($A117,$D$1))</f>
        <v>8.5673999999999992</v>
      </c>
      <c r="CU117" s="27">
        <f>RANK(CT117,CT$5:CT$192,0)/COUNTIF(CT$5:CT$192,"&gt;0")</f>
        <v>0.6619718309859155</v>
      </c>
      <c r="CV117" s="78">
        <f>[1]!s_stm07_bs(A117,"W14578191",$A$1,1,100000000)</f>
        <v>2823.99091</v>
      </c>
      <c r="CW117" s="78">
        <f>[1]!s_stmnote_bank_682($A117,$A$1,1,2,100000000)</f>
        <v>761.38099</v>
      </c>
      <c r="CX117" s="79">
        <f t="shared" si="32"/>
        <v>0.26961169998950174</v>
      </c>
    </row>
    <row r="118" spans="1:102" s="46" customFormat="1" ht="13.5">
      <c r="A118" s="8" t="s">
        <v>714</v>
      </c>
      <c r="B118" s="8" t="s">
        <v>715</v>
      </c>
      <c r="C118" s="9" t="s">
        <v>716</v>
      </c>
      <c r="D118" s="9" t="s">
        <v>1061</v>
      </c>
      <c r="E118" s="10" t="s">
        <v>716</v>
      </c>
      <c r="F118" s="11" t="s">
        <v>178</v>
      </c>
      <c r="G118" s="11" t="s">
        <v>206</v>
      </c>
      <c r="H118" s="11" t="s">
        <v>245</v>
      </c>
      <c r="I118" s="11"/>
      <c r="J118" s="11">
        <f>VLOOKUP(B118,[3]额度信息!$B:$T,19,0)</f>
        <v>0</v>
      </c>
      <c r="K118" s="11" t="s">
        <v>717</v>
      </c>
      <c r="L118" s="27">
        <f>IFERROR(([1]!b_stm07_bs($A118,47,$A$1,1,100000000))/[1]!b_stm07_bs($A118,109,$A$1,1,100000000),"")</f>
        <v>0.10510133031288812</v>
      </c>
      <c r="M118" s="20"/>
      <c r="N118" s="18"/>
      <c r="O118" s="27" t="e">
        <f t="shared" si="24"/>
        <v>#N/A</v>
      </c>
      <c r="P118" s="21">
        <f t="shared" si="33"/>
        <v>2.6793371016197103E-2</v>
      </c>
      <c r="Q118" s="27" t="str">
        <f t="shared" si="25"/>
        <v>68 169</v>
      </c>
      <c r="R118" s="18">
        <v>1.4793371016197101E-2</v>
      </c>
      <c r="S118" s="22"/>
      <c r="T118" s="22"/>
      <c r="U118" s="22"/>
      <c r="V118" s="22"/>
      <c r="W118" s="22"/>
      <c r="X118" s="22"/>
      <c r="Y118" s="22"/>
      <c r="Z118" s="25">
        <f>[1]!b_stm07_bs(A118,74,$A$1,1,100000000)</f>
        <v>7961.5031799999997</v>
      </c>
      <c r="AA118" s="25">
        <f>[1]!b_stm07_bs(A118,109,$A$1,1,100000000)</f>
        <v>5161.8615900000004</v>
      </c>
      <c r="AB118" s="10">
        <f>[1]!s_stmnote_bank_5n(A118,$A$1,1)</f>
        <v>1.2</v>
      </c>
      <c r="AC118" s="25">
        <f>IF([1]!s_stmnote_bank_23n(A118,$A$1,1)=0,"",IFERROR([1]!s_stmnote_bank_23n(A118,$A$1,1),""))</f>
        <v>297.87</v>
      </c>
      <c r="AD118" s="27" t="str">
        <f t="shared" si="26"/>
        <v>107 167</v>
      </c>
      <c r="AE118" s="25">
        <f>[1]!s_stmnote_bank_capadequacyratio(A118,$A$1,1)</f>
        <v>13.66</v>
      </c>
      <c r="AF118" s="25">
        <f>IF([1]!s_stmnote_bank_capadequacyratio_ct1(A118,$A$1,1)=0,"",IFERROR([1]!s_stmnote_bank_capadequacyratio_ct1(A118,$A$1,1),""))</f>
        <v>9.69</v>
      </c>
      <c r="AG118" s="27" t="str">
        <f>RANK(AF118,AF$5:AF$192,0)&amp;" "&amp;COUNTIF(AF$5:AF$192,"&gt;0")</f>
        <v>97 167</v>
      </c>
      <c r="AH118" s="6">
        <f>IF(OR([1]!s_fa_roe(A118,20201231)=0,[1]!s_fa_roe(A118,20211231)="0",[1]!s_fa_roe(A118,20221231)="0"),"",IFERROR(([1]!s_fa_roe(A118,20221231)+[1]!s_fa_roe(A118,20201231)+[1]!s_fa_roe(A118,20211231))/3,""))</f>
        <v>12.358333333333334</v>
      </c>
      <c r="AI118" s="27" t="str">
        <f t="shared" si="27"/>
        <v>151 173</v>
      </c>
      <c r="AJ118" s="28">
        <f>IFERROR(([1]!s_stmnote_bank_65(A118,$A$1,1,2,4,100000000)+[1]!s_stmnote_bank_65(A118,$A$1,1,2,6,100000000))/[1]!s_stmnote_bank_1n(A118,$A$1,1,100000000),"")</f>
        <v>0.11849195409817073</v>
      </c>
      <c r="AK118" s="28">
        <f>IFERROR([1]!s_stmnote_bank_614(A118,$A$1,1,2,100000000)/[1]!s_stmnote_bank_647(A118,$A$1,1,2,100000000),"")</f>
        <v>0.33279092633410434</v>
      </c>
      <c r="AL118" s="28">
        <f>IFERROR(([1]!b_stm07_bs(A118,104,$A$1,1,100000000)+[1]!b_stm07_bs(A118,106,$A$1,1,100000000)+[1]!b_stm07_bs(A118,76,$A$1,1,100000000)+[1]!b_stm07_bs(A118,108,$A$1,1,100000000)+[1]!b_stm07_bs(A118,95,$A$1,1,100000000))/[1]!b_stm07_bs(A118,128,$A$1,1,100000000),"")</f>
        <v>0.26212275781865946</v>
      </c>
      <c r="AM118" s="28">
        <f>IFERROR(([1]!s_stmnote_bank_614(A118,$A$1,1,2,100000000)+[1]!b_stm07_bs(A118,104,$A$1,1,100000000)+[1]!b_stm07_bs(A118,106,$A$1,1,100000000)+[1]!b_stm07_bs(A118,76,$A$1,1,100000000)+[1]!b_stm07_bs(A118,108,$A$1,1,100000000)+[1]!b_stm07_bs(A118,95,$A$1,1,100000000))/[1]!b_stm07_bs(A118,128,$A$1,1,100000000),"")</f>
        <v>0.489998572138234</v>
      </c>
      <c r="AN118" s="31" t="e">
        <f>IF(Z118&gt;#REF!,#REF!,IF(Z118&gt;#REF!,#REF!,IF(Z118&gt;#REF!,#REF!,IF(Z118&gt;#REF!,#REF!,IF(Z118&gt;#REF!,#REF!,IF(Z118&gt;#REF!,#REF!,IF(Z118&gt;#REF!,#REF!,#REF!)))))))</f>
        <v>#REF!</v>
      </c>
      <c r="AO118" s="31" t="e">
        <f>IF(AA118&gt;#REF!,#REF!,IF(AA118&gt;#REF!,#REF!,IF(AA118&gt;#REF!,#REF!,IF(AA118&gt;#REF!,#REF!,IF(AA118&gt;#REF!,#REF!,IF(AA118&gt;#REF!,#REF!,IF(AA118&gt;#REF!,#REF!,#REF!)))))))</f>
        <v>#REF!</v>
      </c>
      <c r="AP118" s="31" t="e">
        <f>IF(AB118&lt;#REF!,#REF!,IF(AB118&lt;#REF!,#REF!,IF(AB118&lt;#REF!,#REF!,IF(AB118&lt;#REF!,#REF!,IF(AB118&lt;#REF!,#REF!,IF(AB118&lt;#REF!,#REF!,#REF!))))))</f>
        <v>#REF!</v>
      </c>
      <c r="AQ118" s="31" t="e">
        <f>IF(AC118&gt;#REF!,#REF!,IF(AC118&gt;#REF!,#REF!,IF(AC118&gt;#REF!,#REF!,IF(AC118&gt;#REF!,#REF!,#REF!))))</f>
        <v>#REF!</v>
      </c>
      <c r="AR118" s="31" t="e">
        <f>IF(AE118&gt;#REF!,#REF!,IF(AE118&gt;#REF!,#REF!,IF(AE118&gt;#REF!,#REF!,IF(AE118&gt;#REF!,#REF!,#REF!))))</f>
        <v>#REF!</v>
      </c>
      <c r="AS118" s="31" t="e">
        <f>IF(AF118&gt;#REF!,#REF!,IF(AF118&gt;#REF!,#REF!,IF(AF118&gt;#REF!,#REF!,IF(AF118&gt;#REF!,#REF!,#REF!))))</f>
        <v>#REF!</v>
      </c>
      <c r="AT118" s="31" t="e">
        <f>IF(AH118&gt;#REF!,#REF!,IF(AH118&gt;#REF!,#REF!,IF(AH118&gt;#REF!,#REF!,IF(AH118&gt;#REF!,#REF!,IF(AH118&gt;#REF!,#REF!,#REF!)))))</f>
        <v>#REF!</v>
      </c>
      <c r="AU118" s="10" t="e">
        <f t="shared" si="28"/>
        <v>#REF!</v>
      </c>
      <c r="AV118" s="10" t="s">
        <v>141</v>
      </c>
      <c r="AW118" s="10" t="s">
        <v>141</v>
      </c>
      <c r="AX118" s="10" t="s">
        <v>141</v>
      </c>
      <c r="AY118" s="31" t="str">
        <f>IFERROR(VLOOKUP(AV118,#REF!,3,0),"")</f>
        <v/>
      </c>
      <c r="AZ118" s="31" t="str">
        <f>IFERROR(VLOOKUP(AW118,#REF!,3,0),"")</f>
        <v/>
      </c>
      <c r="BA118" s="31" t="str">
        <f>IFERROR(VLOOKUP(AX118,#REF!,3,0),"")</f>
        <v/>
      </c>
      <c r="BB118" s="31" t="str">
        <f>IFERROR(AY118*#REF!+AZ118*#REF!+BA118*#REF!,"")</f>
        <v/>
      </c>
      <c r="BC118" s="32" t="str">
        <f t="shared" si="29"/>
        <v/>
      </c>
      <c r="BD118" s="32" t="str">
        <f>IFERROR(VLOOKUP(BC118*10,#REF!,2,1),"")</f>
        <v/>
      </c>
      <c r="BE118" s="11">
        <v>0</v>
      </c>
      <c r="BF118" s="11">
        <v>0</v>
      </c>
      <c r="BG118" s="10" t="s">
        <v>718</v>
      </c>
      <c r="BH118" s="11" t="s">
        <v>719</v>
      </c>
      <c r="BI118" s="10">
        <v>16.819999694824201</v>
      </c>
      <c r="BJ118" s="33" t="s">
        <v>590</v>
      </c>
      <c r="BK118" s="33" t="s">
        <v>591</v>
      </c>
      <c r="BL118" s="10">
        <f>IF([1]!s_stmnote_bank_17n(A118,$A$1,1)="0","",[1]!s_stmnote_bank_17n(A118,$A$1,1))</f>
        <v>2.2400000000000002</v>
      </c>
      <c r="BM118" s="10">
        <f>IF([1]!s_stmnote_bank_18n(A118,$A$1,1)="0","",[1]!s_stmnote_bank_18n(A118,$A$1,1))</f>
        <v>18.89</v>
      </c>
      <c r="BN118" s="41">
        <v>4.8</v>
      </c>
      <c r="BO118" s="68">
        <v>2.2799999999999998</v>
      </c>
      <c r="BP118" s="52">
        <f>[1]!s_stmnote_bank_5444(A118,$A$1,1)</f>
        <v>2.4</v>
      </c>
      <c r="BQ118" s="52">
        <f>[1]!s_stmnote_bank_129n($A118,$A$1,1)</f>
        <v>28.44</v>
      </c>
      <c r="BR118" s="52">
        <f t="shared" si="34"/>
        <v>4.542335810429412</v>
      </c>
      <c r="BS118" s="52">
        <f>[1]!b_stm07_is(A118,19,$A$1,1,100000000)</f>
        <v>325.80671999999998</v>
      </c>
      <c r="BT118" s="52">
        <f xml:space="preserve"> [1]!s_stm07_bs(A118,"W15273164",$A$1,1,100000000)-[1]!s_stm07_bs(A118,"W17642530",$A$1,1,100000000)-[1]!s_stm07_bs(A118,"W15910877",$A$1,1,100000000)-[1]!s_stm07_bs_39(A118,$A$1,1,100000000)-[1]!s_stm07_bs(A118,"W17700468",$A$1,1,100000000)-[1]!s_stm07_bs(A118,"W16504296",$A$1,1,100000000)-[1]!s_stm07_bs(A118,"W13769069",$A$1,1,100000000)</f>
        <v>7885.2811099999999</v>
      </c>
      <c r="BU118" s="52">
        <f xml:space="preserve"> [1]!s_stm07_bs(A118,"W15273164",$B$1,1,100000000)-[1]!s_stm07_bs(A118,"W17642530",$B$1,1,100000000)-[1]!s_stm07_bs(A118,"W15910877",$B$1,1,100000000)-[1]!s_stm07_bs_39(A118,$B$1,1,100000000)-[1]!s_stm07_bs(A118,"W17700468",$B$1,1,100000000)-[1]!s_stm07_bs(A118,"W16504296",$B$1,1,100000000)-[1]!s_stm07_bs(A118,"W13769069",$B$1,1,100000000)</f>
        <v>6969.8129799999997</v>
      </c>
      <c r="BV118" s="52">
        <f xml:space="preserve"> [1]!s_stm07_bs(A118,"W15273164",$E$1,1,100000000)-[1]!s_stm07_bs(A118,"W17642530",$E$1,1,100000000)-[1]!s_stm07_bs(A118,"W15910877",$E$1,1,100000000)-[1]!s_stm07_bs_39(A118,$E$1,1,100000000)-[1]!s_stm07_bs(A118,"W17700468",$E$1,1,100000000)-[1]!s_stm07_bs(A118,"W16504296",$E$1,1,100000000)-[1]!s_stm07_bs(A118,"W13769069",$E$1,1,100000000)</f>
        <v>7791.0330699999995</v>
      </c>
      <c r="BW118" s="52">
        <f xml:space="preserve"> [1]!s_stm07_bs(A118,"W15273164",$F$1,1,100000000)-[1]!s_stm07_bs(A118,"W17642530",$F$1,1,100000000)-[1]!s_stm07_bs(A118,"W15910877",$F$1,1,100000000)-[1]!s_stm07_bs_39(A118,$F$1,1,100000000)-[1]!s_stm07_bs(A118,"W17700468",$F$1,1,100000000)-[1]!s_stm07_bs(A118,"W16504296",$F$1,1,100000000)-[1]!s_stm07_bs(A118,"W13769069",$F$1,1,100000000)</f>
        <v>7518.5815499999999</v>
      </c>
      <c r="BX118" s="52">
        <f xml:space="preserve"> [1]!s_stm07_bs(A118,"W15273164",$G$1,1,100000000)-[1]!s_stm07_bs(A118,"W17642530",$G$1,1,100000000)-[1]!s_stm07_bs(A118,"W15910877",$G$1,1,100000000)-[1]!s_stm07_bs_39(A118,$G$1,1,100000000)-[1]!s_stm07_bs(A118,"W17700468",$G$1,1,100000000)-[1]!s_stm07_bs(A118,"W16504296",$G$1,1,100000000)-[1]!s_stm07_bs(A118,"W13769069",$G$1,1,100000000)</f>
        <v>7277.2431699999997</v>
      </c>
      <c r="BY118" s="52">
        <f>IFERROR([1]!b_stm07_is(A118,20,$A$1,1,100000000)/AVERAGEIF(CA118:CE118,"&gt;0")*100,0)</f>
        <v>2.3637469384551317</v>
      </c>
      <c r="BZ118" s="52">
        <f>[1]!b_stm07_is(A118,20,$A$1,1,100000000)</f>
        <v>164.69121999999999</v>
      </c>
      <c r="CA118" s="52">
        <f>[1]!s_stmnote_bank_38(A118,$A$1,1,100000000)</f>
        <v>7329.2194399999998</v>
      </c>
      <c r="CB118" s="52">
        <f>[1]!s_stmnote_bank_38(A118,$B$1,1,100000000)</f>
        <v>6534.0153499999997</v>
      </c>
      <c r="CC118" s="52">
        <f>[1]!s_stmnote_bank_38(A118,$E$1,1,100000000)</f>
        <v>7240.9537600000003</v>
      </c>
      <c r="CD118" s="52">
        <f>[1]!s_stmnote_bank_38(A118,$F$1,1,100000000)</f>
        <v>6975.0367999999999</v>
      </c>
      <c r="CE118" s="52">
        <f>[1]!s_stmnote_bank_38(A118,$G$1,1,100000000)</f>
        <v>6757.6722300000001</v>
      </c>
      <c r="CF118" s="52">
        <f>IF(BP118&lt;&gt;0,BP118,IFERROR(IF(([1]!b_stm07_is(A118,19,$A$1,1,100000000)-[1]!b_stm07_is(A118,20,$A$1,1,100000000))/AVERAGE([1]!s_stmnote_bank_35(A118,$A$1,1,100000000),[1]!s_stmnote_bank_35(A118,$B$1,1,100000000))*100=0,"",([1]!b_stm07_is(A118,19,$A$1,1,100000000)-[1]!b_stm07_is(A118,20,$A$1,1,100000000))/AVERAGE([1]!s_stmnote_bank_35(A118,$A$1,1,100000000),[1]!s_stmnote_bank_35(A118,$B$1,1,100000000))*100),""))</f>
        <v>2.4</v>
      </c>
      <c r="CG118" s="27" t="str">
        <f t="shared" si="30"/>
        <v>35 171</v>
      </c>
      <c r="CH118" s="80">
        <f t="shared" si="35"/>
        <v>0.89574395045295141</v>
      </c>
      <c r="CI118" s="27" t="str">
        <f t="shared" si="31"/>
        <v>53 169</v>
      </c>
      <c r="CJ118" s="55">
        <f>[1]!s_stmnote_bank_30(A118,$A$1,1)</f>
        <v>22.7925</v>
      </c>
      <c r="CP118" s="69">
        <f>[1]!b_stm07_bs($A118,141,$A$1,1,100000000)</f>
        <v>566.45959000000005</v>
      </c>
      <c r="CQ118" s="69">
        <f>[1]!b_stm07_bs($A118,141,$D$1,1,100000000)</f>
        <v>589.30129999999997</v>
      </c>
      <c r="CR118" s="68">
        <f>IF([1]!s_fa_roic_yearly($A118,$A$1)=0,"",[1]!s_fa_roic_yearly($A118,$A$1))</f>
        <v>12.6906</v>
      </c>
      <c r="CS118" s="27" t="str">
        <f>RANK(CR118,CR$5:CR$192,1)&amp;" "&amp;COUNTIF(CR$5:CR$192,"&gt;0")</f>
        <v>146 169</v>
      </c>
      <c r="CT118" s="68">
        <f>IF([1]!s_fa_roic_yearly($A118,$D$1)=0,"",[1]!s_fa_roic_yearly($A118,$D$1))</f>
        <v>12.769</v>
      </c>
      <c r="CU118" s="27" t="str">
        <f>RANK(CT118,CT$5:CT$192,1)&amp;" "&amp;COUNTIF(CT$5:CT$192,"&gt;0")</f>
        <v>114 142</v>
      </c>
      <c r="CV118" s="78">
        <f>[1]!s_stm07_bs(A118,"W14578191",$A$1,1,100000000)</f>
        <v>3575.7038699999998</v>
      </c>
      <c r="CW118" s="78">
        <f>[1]!s_stmnote_bank_682($A118,$A$1,1,2,100000000)</f>
        <v>1518.2443499999999</v>
      </c>
      <c r="CX118" s="79">
        <f t="shared" si="32"/>
        <v>0.42460013614046849</v>
      </c>
    </row>
    <row r="119" spans="1:102" s="46" customFormat="1" ht="13.5">
      <c r="A119" s="8" t="s">
        <v>505</v>
      </c>
      <c r="B119" s="8" t="s">
        <v>506</v>
      </c>
      <c r="C119" s="9" t="s">
        <v>507</v>
      </c>
      <c r="D119" s="9" t="s">
        <v>1061</v>
      </c>
      <c r="E119" s="10"/>
      <c r="F119" s="11" t="s">
        <v>66</v>
      </c>
      <c r="G119" s="11" t="s">
        <v>67</v>
      </c>
      <c r="H119" s="11" t="s">
        <v>103</v>
      </c>
      <c r="I119" s="11"/>
      <c r="J119" s="11" t="e">
        <f>VLOOKUP(B119,[3]额度信息!$B:$T,19,0)</f>
        <v>#N/A</v>
      </c>
      <c r="K119" s="11"/>
      <c r="L119" s="27">
        <f>IFERROR(([1]!b_stm07_bs($A119,47,$A$1,1,100000000))/[1]!b_stm07_bs($A119,109,$A$1,1,100000000),"")</f>
        <v>8.3510756032070851E-2</v>
      </c>
      <c r="M119" s="20"/>
      <c r="N119" s="18"/>
      <c r="O119" s="27" t="e">
        <f t="shared" si="24"/>
        <v>#N/A</v>
      </c>
      <c r="P119" s="21">
        <f t="shared" si="33"/>
        <v>5.0991470631421426E-2</v>
      </c>
      <c r="Q119" s="27" t="str">
        <f t="shared" si="25"/>
        <v>133 169</v>
      </c>
      <c r="R119" s="18">
        <f>IFERROR([1]!s_stmnote_bank($A119,"34",$A$1,100000000)/[1]!s_stmnote_bank_1n(A119,$A$1,1,100000000),"")</f>
        <v>3.2891470631421428E-2</v>
      </c>
      <c r="S119" s="22"/>
      <c r="T119" s="22"/>
      <c r="U119" s="22"/>
      <c r="V119" s="22"/>
      <c r="W119" s="22"/>
      <c r="X119" s="22"/>
      <c r="Y119" s="22"/>
      <c r="Z119" s="25">
        <f>[1]!b_stm07_bs(A119,74,$A$1,1,100000000)</f>
        <v>1741.2814126992998</v>
      </c>
      <c r="AA119" s="25">
        <f>[1]!b_stm07_bs(A119,109,$A$1,1,100000000)</f>
        <v>1141.3760692646001</v>
      </c>
      <c r="AB119" s="10">
        <f>[1]!s_stmnote_bank_5n(A119,$A$1,1)</f>
        <v>1.81</v>
      </c>
      <c r="AC119" s="25">
        <f>IF([1]!s_stmnote_bank_23n(A119,$A$1,1)=0,"",IFERROR([1]!s_stmnote_bank_23n(A119,$A$1,1),""))</f>
        <v>168.84</v>
      </c>
      <c r="AD119" s="27" t="str">
        <f t="shared" si="26"/>
        <v>38 167</v>
      </c>
      <c r="AE119" s="25">
        <f>[1]!s_stmnote_bank_capadequacyratio(A119,$A$1,1)</f>
        <v>12.69</v>
      </c>
      <c r="AF119" s="25">
        <f>IF([1]!s_stmnote_bank_capadequacyratio_ct1(A119,$A$1,1)=0,"",IFERROR([1]!s_stmnote_bank_capadequacyratio_ct1(A119,$A$1,1),""))</f>
        <v>11.43</v>
      </c>
      <c r="AG119" s="27" t="str">
        <f t="shared" ref="AG119:AG126" si="36">RANK(AF119,AF$5:AF$192,1)&amp;" "&amp;COUNTIF(AF$5:AF$192,"&gt;0")</f>
        <v>111 167</v>
      </c>
      <c r="AH119" s="6">
        <f>IF(OR([1]!s_fa_roe(A119,20201231)=0,[1]!s_fa_roe(A119,20211231)="0",[1]!s_fa_roe(A119,20221231)="0"),"",IFERROR(([1]!s_fa_roe(A119,20221231)+[1]!s_fa_roe(A119,20201231)+[1]!s_fa_roe(A119,20211231))/3,""))</f>
        <v>4.5554333333333332</v>
      </c>
      <c r="AI119" s="27" t="str">
        <f t="shared" si="27"/>
        <v>31 173</v>
      </c>
      <c r="AJ119" s="28">
        <f>IFERROR(([1]!s_stmnote_bank_65(A119,$A$1,1,2,4,100000000)+[1]!s_stmnote_bank_65(A119,$A$1,1,2,6,100000000))/[1]!s_stmnote_bank_1n(A119,$A$1,1,100000000),"")</f>
        <v>0.12858148336463548</v>
      </c>
      <c r="AK119" s="28">
        <f>IFERROR([1]!s_stmnote_bank_614(A119,$A$1,1,2,100000000)/[1]!s_stmnote_bank_647(A119,$A$1,1,2,100000000),"")</f>
        <v>0.11956514985076583</v>
      </c>
      <c r="AL119" s="28">
        <f>IFERROR(([1]!b_stm07_bs(A119,104,$A$1,1,100000000)+[1]!b_stm07_bs(A119,106,$A$1,1,100000000)+[1]!b_stm07_bs(A119,76,$A$1,1,100000000)+[1]!b_stm07_bs(A119,108,$A$1,1,100000000)+[1]!b_stm07_bs(A119,95,$A$1,1,100000000))/[1]!b_stm07_bs(A119,128,$A$1,1,100000000),"")</f>
        <v>0.22139536021238321</v>
      </c>
      <c r="AM119" s="28">
        <f>IFERROR(([1]!s_stmnote_bank_614(A119,$A$1,1,2,100000000)+[1]!b_stm07_bs(A119,104,$A$1,1,100000000)+[1]!b_stm07_bs(A119,106,$A$1,1,100000000)+[1]!b_stm07_bs(A119,76,$A$1,1,100000000)+[1]!b_stm07_bs(A119,108,$A$1,1,100000000)+[1]!b_stm07_bs(A119,95,$A$1,1,100000000))/[1]!b_stm07_bs(A119,128,$A$1,1,100000000),"")</f>
        <v>0.30705726269956024</v>
      </c>
      <c r="AN119" s="31" t="e">
        <f>IF(Z119&gt;#REF!,#REF!,IF(Z119&gt;#REF!,#REF!,IF(Z119&gt;#REF!,#REF!,IF(Z119&gt;#REF!,#REF!,IF(Z119&gt;#REF!,#REF!,IF(Z119&gt;#REF!,#REF!,IF(Z119&gt;#REF!,#REF!,#REF!)))))))</f>
        <v>#REF!</v>
      </c>
      <c r="AO119" s="31" t="e">
        <f>IF(AA119&gt;#REF!,#REF!,IF(AA119&gt;#REF!,#REF!,IF(AA119&gt;#REF!,#REF!,IF(AA119&gt;#REF!,#REF!,IF(AA119&gt;#REF!,#REF!,IF(AA119&gt;#REF!,#REF!,IF(AA119&gt;#REF!,#REF!,#REF!)))))))</f>
        <v>#REF!</v>
      </c>
      <c r="AP119" s="31" t="e">
        <f>IF(AB119&lt;#REF!,#REF!,IF(AB119&lt;#REF!,#REF!,IF(AB119&lt;#REF!,#REF!,IF(AB119&lt;#REF!,#REF!,IF(AB119&lt;#REF!,#REF!,IF(AB119&lt;#REF!,#REF!,#REF!))))))</f>
        <v>#REF!</v>
      </c>
      <c r="AQ119" s="31" t="e">
        <f>IF(AC119&gt;#REF!,#REF!,IF(AC119&gt;#REF!,#REF!,IF(AC119&gt;#REF!,#REF!,IF(AC119&gt;#REF!,#REF!,#REF!))))</f>
        <v>#REF!</v>
      </c>
      <c r="AR119" s="31" t="e">
        <f>IF(AE119&gt;#REF!,#REF!,IF(AE119&gt;#REF!,#REF!,IF(AE119&gt;#REF!,#REF!,IF(AE119&gt;#REF!,#REF!,#REF!))))</f>
        <v>#REF!</v>
      </c>
      <c r="AS119" s="31" t="e">
        <f>IF(AF119&gt;#REF!,#REF!,IF(AF119&gt;#REF!,#REF!,IF(AF119&gt;#REF!,#REF!,IF(AF119&gt;#REF!,#REF!,#REF!))))</f>
        <v>#REF!</v>
      </c>
      <c r="AT119" s="31" t="e">
        <f>IF(AH119&gt;#REF!,#REF!,IF(AH119&gt;#REF!,#REF!,IF(AH119&gt;#REF!,#REF!,IF(AH119&gt;#REF!,#REF!,IF(AH119&gt;#REF!,#REF!,#REF!)))))</f>
        <v>#REF!</v>
      </c>
      <c r="AU119" s="10" t="e">
        <f t="shared" si="28"/>
        <v>#REF!</v>
      </c>
      <c r="AV119" s="10"/>
      <c r="AW119" s="10"/>
      <c r="AX119" s="10"/>
      <c r="AY119" s="31" t="str">
        <f>IFERROR(VLOOKUP(AV119,#REF!,3,0),"")</f>
        <v/>
      </c>
      <c r="AZ119" s="31" t="str">
        <f>IFERROR(VLOOKUP(AW119,#REF!,3,0),"")</f>
        <v/>
      </c>
      <c r="BA119" s="31" t="str">
        <f>IFERROR(VLOOKUP(AX119,#REF!,3,0),"")</f>
        <v/>
      </c>
      <c r="BB119" s="31" t="str">
        <f>IFERROR(AY119*#REF!+AZ119*#REF!+BA119*#REF!,"")</f>
        <v/>
      </c>
      <c r="BC119" s="32" t="str">
        <f t="shared" si="29"/>
        <v/>
      </c>
      <c r="BD119" s="32" t="str">
        <f>IFERROR(VLOOKUP(BC119*10,#REF!,2,1),"")</f>
        <v/>
      </c>
      <c r="BE119" s="10"/>
      <c r="BF119" s="10"/>
      <c r="BG119" s="10"/>
      <c r="BH119" s="11" t="s">
        <v>508</v>
      </c>
      <c r="BI119" s="10">
        <v>10.6499996185303</v>
      </c>
      <c r="BJ119" s="33" t="s">
        <v>420</v>
      </c>
      <c r="BK119" s="33" t="s">
        <v>509</v>
      </c>
      <c r="BL119" s="10">
        <f>IF([1]!s_stmnote_bank_17n(A119,$A$1,1)="0","",[1]!s_stmnote_bank_17n(A119,$A$1,1))</f>
        <v>0</v>
      </c>
      <c r="BM119" s="10">
        <f>IF([1]!s_stmnote_bank_18n(A119,$A$1,1)="0","",[1]!s_stmnote_bank_18n(A119,$A$1,1))</f>
        <v>0</v>
      </c>
      <c r="BN119" s="41" t="s">
        <v>67</v>
      </c>
      <c r="BO119" s="68" t="s">
        <v>67</v>
      </c>
      <c r="BP119" s="52">
        <f>[1]!s_stmnote_bank_5444(A119,$A$1,1)</f>
        <v>1.98</v>
      </c>
      <c r="BQ119" s="52">
        <f>[1]!s_stmnote_bank_129n($A119,$A$1,1)</f>
        <v>42.476500000000001</v>
      </c>
      <c r="BR119" s="52">
        <f t="shared" si="34"/>
        <v>4.9022515793555801</v>
      </c>
      <c r="BS119" s="52">
        <f>[1]!b_stm07_is(A119,19,$A$1,1,100000000)</f>
        <v>81.459832308100005</v>
      </c>
      <c r="BT119" s="52">
        <f xml:space="preserve"> [1]!s_stm07_bs(A119,"W15273164",$A$1,1,100000000)-[1]!s_stm07_bs(A119,"W17642530",$A$1,1,100000000)-[1]!s_stm07_bs(A119,"W15910877",$A$1,1,100000000)-[1]!s_stm07_bs_39(A119,$A$1,1,100000000)-[1]!s_stm07_bs(A119,"W17700468",$A$1,1,100000000)-[1]!s_stm07_bs(A119,"W16504296",$A$1,1,100000000)-[1]!s_stm07_bs(A119,"W13769069",$A$1,1,100000000)</f>
        <v>1714.1473421945998</v>
      </c>
      <c r="BU119" s="52">
        <f xml:space="preserve"> [1]!s_stm07_bs(A119,"W15273164",$B$1,1,100000000)-[1]!s_stm07_bs(A119,"W17642530",$B$1,1,100000000)-[1]!s_stm07_bs(A119,"W15910877",$B$1,1,100000000)-[1]!s_stm07_bs_39(A119,$B$1,1,100000000)-[1]!s_stm07_bs(A119,"W17700468",$B$1,1,100000000)-[1]!s_stm07_bs(A119,"W16504296",$B$1,1,100000000)-[1]!s_stm07_bs(A119,"W13769069",$B$1,1,100000000)</f>
        <v>1644.7486359440002</v>
      </c>
      <c r="BV119" s="52">
        <f xml:space="preserve"> [1]!s_stm07_bs(A119,"W15273164",$E$1,1,100000000)-[1]!s_stm07_bs(A119,"W17642530",$E$1,1,100000000)-[1]!s_stm07_bs(A119,"W15910877",$E$1,1,100000000)-[1]!s_stm07_bs_39(A119,$E$1,1,100000000)-[1]!s_stm07_bs(A119,"W17700468",$E$1,1,100000000)-[1]!s_stm07_bs(A119,"W16504296",$E$1,1,100000000)-[1]!s_stm07_bs(A119,"W13769069",$E$1,1,100000000)</f>
        <v>1727.1734450094998</v>
      </c>
      <c r="BW119" s="52">
        <f xml:space="preserve"> [1]!s_stm07_bs(A119,"W15273164",$F$1,1,100000000)-[1]!s_stm07_bs(A119,"W17642530",$F$1,1,100000000)-[1]!s_stm07_bs(A119,"W15910877",$F$1,1,100000000)-[1]!s_stm07_bs_39(A119,$F$1,1,100000000)-[1]!s_stm07_bs(A119,"W17700468",$F$1,1,100000000)-[1]!s_stm07_bs(A119,"W16504296",$F$1,1,100000000)-[1]!s_stm07_bs(A119,"W13769069",$F$1,1,100000000)</f>
        <v>1688.4830709555004</v>
      </c>
      <c r="BX119" s="52">
        <f xml:space="preserve"> [1]!s_stm07_bs(A119,"W15273164",$G$1,1,100000000)-[1]!s_stm07_bs(A119,"W17642530",$G$1,1,100000000)-[1]!s_stm07_bs(A119,"W15910877",$G$1,1,100000000)-[1]!s_stm07_bs_39(A119,$G$1,1,100000000)-[1]!s_stm07_bs(A119,"W17700468",$G$1,1,100000000)-[1]!s_stm07_bs(A119,"W16504296",$G$1,1,100000000)-[1]!s_stm07_bs(A119,"W13769069",$G$1,1,100000000)</f>
        <v>1674.7249149158999</v>
      </c>
      <c r="BY119" s="52">
        <f>IFERROR([1]!b_stm07_is(A119,20,$A$1,1,100000000)/AVERAGEIF(CA119:CE119,"&gt;0")*100,0)</f>
        <v>3.1796719153568063</v>
      </c>
      <c r="BZ119" s="52">
        <f>[1]!b_stm07_is(A119,20,$A$1,1,100000000)</f>
        <v>48.979076301599996</v>
      </c>
      <c r="CA119" s="52">
        <f>[1]!s_stmnote_bank_38(A119,$A$1,1,100000000)</f>
        <v>1556.7170940233</v>
      </c>
      <c r="CB119" s="52">
        <f>[1]!s_stmnote_bank_38(A119,$B$1,1,100000000)</f>
        <v>1493.5565307564002</v>
      </c>
      <c r="CC119" s="52">
        <f>[1]!s_stmnote_bank_38(A119,$E$1,1,100000000)</f>
        <v>1578.0122449579001</v>
      </c>
      <c r="CD119" s="52">
        <f>[1]!s_stmnote_bank_38(A119,$F$1,1,100000000)</f>
        <v>1542.4509996784</v>
      </c>
      <c r="CE119" s="52">
        <f>[1]!s_stmnote_bank_38(A119,$G$1,1,100000000)</f>
        <v>1531.1703721844001</v>
      </c>
      <c r="CF119" s="52">
        <f>IF(BP119&lt;&gt;0,BP119,IFERROR(IF(([1]!b_stm07_is(A119,19,$A$1,1,100000000)-[1]!b_stm07_is(A119,20,$A$1,1,100000000))/AVERAGE([1]!s_stmnote_bank_35(A119,$A$1,1,100000000),[1]!s_stmnote_bank_35(A119,$B$1,1,100000000))*100=0,"",([1]!b_stm07_is(A119,19,$A$1,1,100000000)-[1]!b_stm07_is(A119,20,$A$1,1,100000000))/AVERAGE([1]!s_stmnote_bank_35(A119,$A$1,1,100000000),[1]!s_stmnote_bank_35(A119,$B$1,1,100000000))*100),""))</f>
        <v>1.98</v>
      </c>
      <c r="CG119" s="27" t="str">
        <f t="shared" si="30"/>
        <v>97 171</v>
      </c>
      <c r="CH119" s="80">
        <f t="shared" si="35"/>
        <v>0.38830023442781531</v>
      </c>
      <c r="CI119" s="27" t="str">
        <f t="shared" si="31"/>
        <v>133 169</v>
      </c>
      <c r="CJ119" s="55">
        <f>[1]!s_stmnote_bank_30(A119,$A$1,1)</f>
        <v>10.368499999999999</v>
      </c>
      <c r="CP119" s="69">
        <f>[1]!b_stm07_bs($A119,141,$A$1,1,100000000)</f>
        <v>148.17179459190001</v>
      </c>
      <c r="CQ119" s="69">
        <f>[1]!b_stm07_bs($A119,141,$D$1,1,100000000)</f>
        <v>152.2370591808</v>
      </c>
      <c r="CR119" s="68">
        <f>IF([1]!s_fa_roic_yearly($A119,$A$1)=0,"",[1]!s_fa_roic_yearly($A119,$A$1))</f>
        <v>4.3373999999999997</v>
      </c>
      <c r="CS119" s="27">
        <f t="shared" ref="CS119:CS126" si="37">RANK(CR119,CR$5:CR$192,0)/COUNTIF(CR$5:CR$192,"&gt;0")</f>
        <v>0.86982248520710059</v>
      </c>
      <c r="CT119" s="68">
        <f>IF([1]!s_fa_roic_yearly($A119,$D$1)=0,"",[1]!s_fa_roic_yearly($A119,$D$1))</f>
        <v>7.0007999999999999</v>
      </c>
      <c r="CU119" s="27">
        <f t="shared" ref="CU119:CU126" si="38">RANK(CT119,CT$5:CT$192,0)/COUNTIF(CT$5:CT$192,"&gt;0")</f>
        <v>0.78169014084507038</v>
      </c>
      <c r="CV119" s="78">
        <f>[1]!s_stm07_bs(A119,"W14578191",$A$1,1,100000000)</f>
        <v>996.76835106100009</v>
      </c>
      <c r="CW119" s="78">
        <f>[1]!s_stmnote_bank_682($A119,$A$1,1,2,100000000)</f>
        <v>212.02807038700001</v>
      </c>
      <c r="CX119" s="79">
        <f t="shared" si="32"/>
        <v>0.21271549218161759</v>
      </c>
    </row>
    <row r="120" spans="1:102" s="46" customFormat="1" ht="13.5">
      <c r="A120" s="8" t="s">
        <v>687</v>
      </c>
      <c r="B120" s="8" t="s">
        <v>688</v>
      </c>
      <c r="C120" s="9" t="s">
        <v>689</v>
      </c>
      <c r="D120" s="9" t="s">
        <v>1061</v>
      </c>
      <c r="E120" s="10" t="s">
        <v>689</v>
      </c>
      <c r="F120" s="11" t="s">
        <v>178</v>
      </c>
      <c r="G120" s="11" t="s">
        <v>139</v>
      </c>
      <c r="H120" s="11" t="s">
        <v>116</v>
      </c>
      <c r="I120" s="11"/>
      <c r="J120" s="11">
        <f>VLOOKUP(B120,[3]额度信息!$B:$T,19,0)</f>
        <v>0</v>
      </c>
      <c r="K120" s="11" t="s">
        <v>690</v>
      </c>
      <c r="L120" s="27">
        <f>IFERROR(([1]!b_stm07_bs($A120,47,$A$1,1,100000000))/[1]!b_stm07_bs($A120,109,$A$1,1,100000000),"")</f>
        <v>0.11775476877213734</v>
      </c>
      <c r="M120" s="20"/>
      <c r="N120" s="18"/>
      <c r="O120" s="27" t="e">
        <f t="shared" si="24"/>
        <v>#N/A</v>
      </c>
      <c r="P120" s="21">
        <f t="shared" si="33"/>
        <v>4.13590067265543E-2</v>
      </c>
      <c r="Q120" s="27" t="str">
        <f t="shared" si="25"/>
        <v>118 169</v>
      </c>
      <c r="R120" s="18">
        <v>2.6659006726554298E-2</v>
      </c>
      <c r="S120" s="22"/>
      <c r="T120" s="22"/>
      <c r="U120" s="22"/>
      <c r="V120" s="22"/>
      <c r="W120" s="22"/>
      <c r="X120" s="22"/>
      <c r="Y120" s="22"/>
      <c r="Z120" s="25">
        <f>[1]!b_stm07_bs(A120,74,$A$1,1,100000000)</f>
        <v>3045.2081525351</v>
      </c>
      <c r="AA120" s="25">
        <f>[1]!b_stm07_bs(A120,109,$A$1,1,100000000)</f>
        <v>2068.419622847</v>
      </c>
      <c r="AB120" s="10">
        <f>[1]!s_stmnote_bank_5n(A120,$A$1,1)</f>
        <v>1.47</v>
      </c>
      <c r="AC120" s="25">
        <f>IF([1]!s_stmnote_bank_23n(A120,$A$1,1)=0,"",IFERROR([1]!s_stmnote_bank_23n(A120,$A$1,1),""))</f>
        <v>171.56</v>
      </c>
      <c r="AD120" s="27" t="str">
        <f t="shared" si="26"/>
        <v>42 167</v>
      </c>
      <c r="AE120" s="25">
        <f>[1]!s_stmnote_bank_capadequacyratio(A120,$A$1,1)</f>
        <v>14.59</v>
      </c>
      <c r="AF120" s="25">
        <f>IF([1]!s_stmnote_bank_capadequacyratio_ct1(A120,$A$1,1)=0,"",IFERROR([1]!s_stmnote_bank_capadequacyratio_ct1(A120,$A$1,1),""))</f>
        <v>9.35</v>
      </c>
      <c r="AG120" s="27" t="str">
        <f t="shared" si="36"/>
        <v>56 167</v>
      </c>
      <c r="AH120" s="6">
        <f>IF(OR([1]!s_fa_roe(A120,20201231)=0,[1]!s_fa_roe(A120,20211231)="0",[1]!s_fa_roe(A120,20221231)="0"),"",IFERROR(([1]!s_fa_roe(A120,20221231)+[1]!s_fa_roe(A120,20201231)+[1]!s_fa_roe(A120,20211231))/3,""))</f>
        <v>7.9224666666666677</v>
      </c>
      <c r="AI120" s="27" t="str">
        <f t="shared" si="27"/>
        <v>79 173</v>
      </c>
      <c r="AJ120" s="28">
        <f>IFERROR(([1]!s_stmnote_bank_65(A120,$A$1,1,2,4,100000000)+[1]!s_stmnote_bank_65(A120,$A$1,1,2,6,100000000))/[1]!s_stmnote_bank_1n(A120,$A$1,1,100000000),"")</f>
        <v>0.12439270756724687</v>
      </c>
      <c r="AK120" s="28">
        <f>IFERROR([1]!s_stmnote_bank_614(A120,$A$1,1,2,100000000)/[1]!s_stmnote_bank_647(A120,$A$1,1,2,100000000),"")</f>
        <v>0.26689130015250995</v>
      </c>
      <c r="AL120" s="28">
        <f>IFERROR(([1]!b_stm07_bs(A120,104,$A$1,1,100000000)+[1]!b_stm07_bs(A120,106,$A$1,1,100000000)+[1]!b_stm07_bs(A120,76,$A$1,1,100000000)+[1]!b_stm07_bs(A120,108,$A$1,1,100000000)+[1]!b_stm07_bs(A120,95,$A$1,1,100000000))/[1]!b_stm07_bs(A120,128,$A$1,1,100000000),"")</f>
        <v>0.20973836976410998</v>
      </c>
      <c r="AM120" s="28">
        <f>IFERROR(([1]!s_stmnote_bank_614(A120,$A$1,1,2,100000000)+[1]!b_stm07_bs(A120,104,$A$1,1,100000000)+[1]!b_stm07_bs(A120,106,$A$1,1,100000000)+[1]!b_stm07_bs(A120,76,$A$1,1,100000000)+[1]!b_stm07_bs(A120,108,$A$1,1,100000000)+[1]!b_stm07_bs(A120,95,$A$1,1,100000000))/[1]!b_stm07_bs(A120,128,$A$1,1,100000000),"")</f>
        <v>0.40665008992653268</v>
      </c>
      <c r="AN120" s="31" t="e">
        <f>IF(Z120&gt;#REF!,#REF!,IF(Z120&gt;#REF!,#REF!,IF(Z120&gt;#REF!,#REF!,IF(Z120&gt;#REF!,#REF!,IF(Z120&gt;#REF!,#REF!,IF(Z120&gt;#REF!,#REF!,IF(Z120&gt;#REF!,#REF!,#REF!)))))))</f>
        <v>#REF!</v>
      </c>
      <c r="AO120" s="31" t="e">
        <f>IF(AA120&gt;#REF!,#REF!,IF(AA120&gt;#REF!,#REF!,IF(AA120&gt;#REF!,#REF!,IF(AA120&gt;#REF!,#REF!,IF(AA120&gt;#REF!,#REF!,IF(AA120&gt;#REF!,#REF!,IF(AA120&gt;#REF!,#REF!,#REF!)))))))</f>
        <v>#REF!</v>
      </c>
      <c r="AP120" s="31" t="e">
        <f>IF(AB120&lt;#REF!,#REF!,IF(AB120&lt;#REF!,#REF!,IF(AB120&lt;#REF!,#REF!,IF(AB120&lt;#REF!,#REF!,IF(AB120&lt;#REF!,#REF!,IF(AB120&lt;#REF!,#REF!,#REF!))))))</f>
        <v>#REF!</v>
      </c>
      <c r="AQ120" s="31" t="e">
        <f>IF(AC120&gt;#REF!,#REF!,IF(AC120&gt;#REF!,#REF!,IF(AC120&gt;#REF!,#REF!,IF(AC120&gt;#REF!,#REF!,#REF!))))</f>
        <v>#REF!</v>
      </c>
      <c r="AR120" s="31" t="e">
        <f>IF(AE120&gt;#REF!,#REF!,IF(AE120&gt;#REF!,#REF!,IF(AE120&gt;#REF!,#REF!,IF(AE120&gt;#REF!,#REF!,#REF!))))</f>
        <v>#REF!</v>
      </c>
      <c r="AS120" s="31" t="e">
        <f>IF(AF120&gt;#REF!,#REF!,IF(AF120&gt;#REF!,#REF!,IF(AF120&gt;#REF!,#REF!,IF(AF120&gt;#REF!,#REF!,#REF!))))</f>
        <v>#REF!</v>
      </c>
      <c r="AT120" s="31" t="e">
        <f>IF(AH120&gt;#REF!,#REF!,IF(AH120&gt;#REF!,#REF!,IF(AH120&gt;#REF!,#REF!,IF(AH120&gt;#REF!,#REF!,IF(AH120&gt;#REF!,#REF!,#REF!)))))</f>
        <v>#REF!</v>
      </c>
      <c r="AU120" s="10" t="e">
        <f t="shared" si="28"/>
        <v>#REF!</v>
      </c>
      <c r="AV120" s="10" t="s">
        <v>141</v>
      </c>
      <c r="AW120" s="10" t="s">
        <v>227</v>
      </c>
      <c r="AX120" s="10" t="s">
        <v>261</v>
      </c>
      <c r="AY120" s="31" t="str">
        <f>IFERROR(VLOOKUP(AV120,#REF!,3,0),"")</f>
        <v/>
      </c>
      <c r="AZ120" s="31" t="str">
        <f>IFERROR(VLOOKUP(AW120,#REF!,3,0),"")</f>
        <v/>
      </c>
      <c r="BA120" s="31" t="str">
        <f>IFERROR(VLOOKUP(AX120,#REF!,3,0),"")</f>
        <v/>
      </c>
      <c r="BB120" s="31" t="str">
        <f>IFERROR(AY120*#REF!+AZ120*#REF!+BA120*#REF!,"")</f>
        <v/>
      </c>
      <c r="BC120" s="32" t="str">
        <f t="shared" si="29"/>
        <v/>
      </c>
      <c r="BD120" s="32" t="str">
        <f>IFERROR(VLOOKUP(BC120*10,#REF!,2,1),"")</f>
        <v/>
      </c>
      <c r="BE120" s="11">
        <v>1</v>
      </c>
      <c r="BF120" s="11"/>
      <c r="BG120" s="10" t="s">
        <v>691</v>
      </c>
      <c r="BH120" s="11" t="s">
        <v>104</v>
      </c>
      <c r="BI120" s="10">
        <v>37.060001373291001</v>
      </c>
      <c r="BJ120" s="33" t="s">
        <v>105</v>
      </c>
      <c r="BK120" s="33" t="s">
        <v>692</v>
      </c>
      <c r="BL120" s="10">
        <f>IF([1]!s_stmnote_bank_17n(A120,$A$1,1)="0","",[1]!s_stmnote_bank_17n(A120,$A$1,1))</f>
        <v>6.41</v>
      </c>
      <c r="BM120" s="10">
        <f>IF([1]!s_stmnote_bank_18n(A120,$A$1,1)="0","",[1]!s_stmnote_bank_18n(A120,$A$1,1))</f>
        <v>51.22</v>
      </c>
      <c r="BN120" s="41">
        <v>4.66</v>
      </c>
      <c r="BO120" s="68">
        <v>2.72</v>
      </c>
      <c r="BP120" s="52">
        <f>[1]!s_stmnote_bank_5444(A120,$A$1,1)</f>
        <v>2.2400000000000002</v>
      </c>
      <c r="BQ120" s="52">
        <f>[1]!s_stmnote_bank_129n($A120,$A$1,1)</f>
        <v>20.5</v>
      </c>
      <c r="BR120" s="52">
        <f t="shared" si="34"/>
        <v>5.151516486604244</v>
      </c>
      <c r="BS120" s="52">
        <f>[1]!b_stm07_is(A120,19,$A$1,1,100000000)</f>
        <v>131.23112571299998</v>
      </c>
      <c r="BT120" s="52">
        <f xml:space="preserve"> [1]!s_stm07_bs(A120,"W15273164",$A$1,1,100000000)-[1]!s_stm07_bs(A120,"W17642530",$A$1,1,100000000)-[1]!s_stm07_bs(A120,"W15910877",$A$1,1,100000000)-[1]!s_stm07_bs_39(A120,$A$1,1,100000000)-[1]!s_stm07_bs(A120,"W17700468",$A$1,1,100000000)-[1]!s_stm07_bs(A120,"W16504296",$A$1,1,100000000)-[1]!s_stm07_bs(A120,"W13769069",$A$1,1,100000000)</f>
        <v>2843.7738804586998</v>
      </c>
      <c r="BU120" s="52">
        <f xml:space="preserve"> [1]!s_stm07_bs(A120,"W15273164",$B$1,1,100000000)-[1]!s_stm07_bs(A120,"W17642530",$B$1,1,100000000)-[1]!s_stm07_bs(A120,"W15910877",$B$1,1,100000000)-[1]!s_stm07_bs_39(A120,$B$1,1,100000000)-[1]!s_stm07_bs(A120,"W17700468",$B$1,1,100000000)-[1]!s_stm07_bs(A120,"W16504296",$B$1,1,100000000)-[1]!s_stm07_bs(A120,"W13769069",$B$1,1,100000000)</f>
        <v>2486.7857025895</v>
      </c>
      <c r="BV120" s="52">
        <f xml:space="preserve"> [1]!s_stm07_bs(A120,"W15273164",$E$1,1,100000000)-[1]!s_stm07_bs(A120,"W17642530",$E$1,1,100000000)-[1]!s_stm07_bs(A120,"W15910877",$E$1,1,100000000)-[1]!s_stm07_bs_39(A120,$E$1,1,100000000)-[1]!s_stm07_bs(A120,"W17700468",$E$1,1,100000000)-[1]!s_stm07_bs(A120,"W16504296",$E$1,1,100000000)-[1]!s_stm07_bs(A120,"W13769069",$E$1,1,100000000)</f>
        <v>0</v>
      </c>
      <c r="BW120" s="52">
        <f xml:space="preserve"> [1]!s_stm07_bs(A120,"W15273164",$F$1,1,100000000)-[1]!s_stm07_bs(A120,"W17642530",$F$1,1,100000000)-[1]!s_stm07_bs(A120,"W15910877",$F$1,1,100000000)-[1]!s_stm07_bs_39(A120,$F$1,1,100000000)-[1]!s_stm07_bs(A120,"W17700468",$F$1,1,100000000)-[1]!s_stm07_bs(A120,"W16504296",$F$1,1,100000000)-[1]!s_stm07_bs(A120,"W13769069",$F$1,1,100000000)</f>
        <v>2675.5698694535999</v>
      </c>
      <c r="BX120" s="52">
        <f xml:space="preserve"> [1]!s_stm07_bs(A120,"W15273164",$G$1,1,100000000)-[1]!s_stm07_bs(A120,"W17642530",$G$1,1,100000000)-[1]!s_stm07_bs(A120,"W15910877",$G$1,1,100000000)-[1]!s_stm07_bs_39(A120,$G$1,1,100000000)-[1]!s_stm07_bs(A120,"W17700468",$G$1,1,100000000)-[1]!s_stm07_bs(A120,"W16504296",$G$1,1,100000000)-[1]!s_stm07_bs(A120,"W13769069",$G$1,1,100000000)</f>
        <v>0</v>
      </c>
      <c r="BY120" s="52">
        <f>IFERROR([1]!b_stm07_is(A120,20,$A$1,1,100000000)/AVERAGEIF(CA120:CE120,"&gt;0")*100,0)</f>
        <v>2.711427396827796</v>
      </c>
      <c r="BZ120" s="52">
        <f>[1]!b_stm07_is(A120,20,$A$1,1,100000000)</f>
        <v>70.755797036099992</v>
      </c>
      <c r="CA120" s="52">
        <f>[1]!s_stmnote_bank_38(A120,$A$1,1,100000000)</f>
        <v>2769.2398635303998</v>
      </c>
      <c r="CB120" s="52">
        <f>[1]!s_stmnote_bank_38(A120,$B$1,1,100000000)</f>
        <v>2425.6797631579002</v>
      </c>
      <c r="CC120" s="52">
        <f>[1]!s_stmnote_bank_38(A120,$E$1,1,100000000)</f>
        <v>0</v>
      </c>
      <c r="CD120" s="52">
        <f>[1]!s_stmnote_bank_38(A120,$F$1,1,100000000)</f>
        <v>2633.7019826027999</v>
      </c>
      <c r="CE120" s="52">
        <f>[1]!s_stmnote_bank_38(A120,$G$1,1,100000000)</f>
        <v>0</v>
      </c>
      <c r="CF120" s="52">
        <f>IF(BP120&lt;&gt;0,BP120,IFERROR(IF(([1]!b_stm07_is(A120,19,$A$1,1,100000000)-[1]!b_stm07_is(A120,20,$A$1,1,100000000))/AVERAGE([1]!s_stmnote_bank_35(A120,$A$1,1,100000000),[1]!s_stmnote_bank_35(A120,$B$1,1,100000000))*100=0,"",([1]!b_stm07_is(A120,19,$A$1,1,100000000)-[1]!b_stm07_is(A120,20,$A$1,1,100000000))/AVERAGE([1]!s_stmnote_bank_35(A120,$A$1,1,100000000),[1]!s_stmnote_bank_35(A120,$B$1,1,100000000))*100),""))</f>
        <v>2.2400000000000002</v>
      </c>
      <c r="CG120" s="27" t="str">
        <f t="shared" si="30"/>
        <v>61 171</v>
      </c>
      <c r="CH120" s="80">
        <f t="shared" si="35"/>
        <v>0.54159908017370784</v>
      </c>
      <c r="CI120" s="27" t="str">
        <f t="shared" si="31"/>
        <v>106 169</v>
      </c>
      <c r="CJ120" s="55">
        <f>[1]!s_stmnote_bank_30(A120,$A$1,1)</f>
        <v>17.961300000000001</v>
      </c>
      <c r="CP120" s="69">
        <f>[1]!b_stm07_bs($A120,141,$A$1,1,100000000)</f>
        <v>241.7020841952</v>
      </c>
      <c r="CQ120" s="69">
        <f>[1]!b_stm07_bs($A120,141,$D$1,1,100000000)</f>
        <v>250.3646805436</v>
      </c>
      <c r="CR120" s="68">
        <f>IF([1]!s_fa_roic_yearly($A120,$A$1)=0,"",[1]!s_fa_roic_yearly($A120,$A$1))</f>
        <v>7.9047999999999998</v>
      </c>
      <c r="CS120" s="27">
        <f t="shared" si="37"/>
        <v>0.59763313609467461</v>
      </c>
      <c r="CT120" s="68">
        <f>IF([1]!s_fa_roic_yearly($A120,$D$1)=0,"",[1]!s_fa_roic_yearly($A120,$D$1))</f>
        <v>8.4841999999999995</v>
      </c>
      <c r="CU120" s="27">
        <f t="shared" si="38"/>
        <v>0.66901408450704225</v>
      </c>
      <c r="CV120" s="78">
        <f>[1]!s_stm07_bs(A120,"W14578191",$A$1,1,100000000)</f>
        <v>1403.6727854785001</v>
      </c>
      <c r="CW120" s="78">
        <f>[1]!s_stmnote_bank_682($A120,$A$1,1,2,100000000)</f>
        <v>401.307133561</v>
      </c>
      <c r="CX120" s="79">
        <f t="shared" si="32"/>
        <v>0.28589792273004555</v>
      </c>
    </row>
    <row r="121" spans="1:102" s="46" customFormat="1" ht="13.5">
      <c r="A121" s="8" t="s">
        <v>207</v>
      </c>
      <c r="B121" s="8" t="s">
        <v>208</v>
      </c>
      <c r="C121" s="9" t="s">
        <v>209</v>
      </c>
      <c r="D121" s="9" t="s">
        <v>1061</v>
      </c>
      <c r="E121" s="10"/>
      <c r="F121" s="11" t="s">
        <v>178</v>
      </c>
      <c r="G121" s="11" t="s">
        <v>67</v>
      </c>
      <c r="H121" s="11" t="s">
        <v>116</v>
      </c>
      <c r="I121" s="11"/>
      <c r="J121" s="11" t="e">
        <f>VLOOKUP(B121,[3]额度信息!$B:$T,19,0)</f>
        <v>#N/A</v>
      </c>
      <c r="K121" s="11"/>
      <c r="L121" s="27">
        <f>IFERROR(([1]!b_stm07_bs($A121,47,$A$1,1,100000000))/[1]!b_stm07_bs($A121,109,$A$1,1,100000000),"")</f>
        <v>0.11679048024135479</v>
      </c>
      <c r="M121" s="20"/>
      <c r="N121" s="18"/>
      <c r="O121" s="27" t="e">
        <f t="shared" si="24"/>
        <v>#N/A</v>
      </c>
      <c r="P121" s="21">
        <f t="shared" si="33"/>
        <v>3.8426669771247202E-2</v>
      </c>
      <c r="Q121" s="27" t="str">
        <f t="shared" si="25"/>
        <v>109 169</v>
      </c>
      <c r="R121" s="18">
        <v>2.6926669771247198E-2</v>
      </c>
      <c r="S121" s="22"/>
      <c r="T121" s="22"/>
      <c r="U121" s="22"/>
      <c r="V121" s="22"/>
      <c r="W121" s="22"/>
      <c r="X121" s="22"/>
      <c r="Y121" s="22"/>
      <c r="Z121" s="25">
        <f>[1]!b_stm07_bs(A121,74,$A$1,1,100000000)</f>
        <v>5038.8016600000001</v>
      </c>
      <c r="AA121" s="25">
        <f>[1]!b_stm07_bs(A121,109,$A$1,1,100000000)</f>
        <v>3055.2102300000001</v>
      </c>
      <c r="AB121" s="10">
        <f>[1]!s_stmnote_bank_5n(A121,$A$1,1)</f>
        <v>1.1499999999999999</v>
      </c>
      <c r="AC121" s="25">
        <f>IF([1]!s_stmnote_bank_23n(A121,$A$1,1)=0,"",IFERROR([1]!s_stmnote_bank_23n(A121,$A$1,1),""))</f>
        <v>426.41</v>
      </c>
      <c r="AD121" s="27" t="str">
        <f t="shared" si="26"/>
        <v>138 167</v>
      </c>
      <c r="AE121" s="25">
        <f>[1]!s_stmnote_bank_capadequacyratio(A121,$A$1,1)</f>
        <v>13.78</v>
      </c>
      <c r="AF121" s="25">
        <f>IF([1]!s_stmnote_bank_capadequacyratio_ct1(A121,$A$1,1)=0,"",IFERROR([1]!s_stmnote_bank_capadequacyratio_ct1(A121,$A$1,1),""))</f>
        <v>11.79</v>
      </c>
      <c r="AG121" s="27" t="str">
        <f t="shared" si="36"/>
        <v>120 167</v>
      </c>
      <c r="AH121" s="6">
        <f>IF(OR([1]!s_fa_roe(A121,20201231)=0,[1]!s_fa_roe(A121,20211231)="0",[1]!s_fa_roe(A121,20221231)="0"),"",IFERROR(([1]!s_fa_roe(A121,20221231)+[1]!s_fa_roe(A121,20201231)+[1]!s_fa_roe(A121,20211231))/3,""))</f>
        <v>9.8706666666666667</v>
      </c>
      <c r="AI121" s="27" t="str">
        <f t="shared" si="27"/>
        <v>116 173</v>
      </c>
      <c r="AJ121" s="28">
        <f>IFERROR(([1]!s_stmnote_bank_65(A121,$A$1,1,2,4,100000000)+[1]!s_stmnote_bank_65(A121,$A$1,1,2,6,100000000))/[1]!s_stmnote_bank_1n(A121,$A$1,1,100000000),"")</f>
        <v>9.4730600316913591E-2</v>
      </c>
      <c r="AK121" s="28">
        <f>IFERROR([1]!s_stmnote_bank_614(A121,$A$1,1,2,100000000)/[1]!s_stmnote_bank_647(A121,$A$1,1,2,100000000),"")</f>
        <v>0.3016183406796199</v>
      </c>
      <c r="AL121" s="28">
        <f>IFERROR(([1]!b_stm07_bs(A121,104,$A$1,1,100000000)+[1]!b_stm07_bs(A121,106,$A$1,1,100000000)+[1]!b_stm07_bs(A121,76,$A$1,1,100000000)+[1]!b_stm07_bs(A121,108,$A$1,1,100000000)+[1]!b_stm07_bs(A121,95,$A$1,1,100000000))/[1]!b_stm07_bs(A121,128,$A$1,1,100000000),"")</f>
        <v>0.26432157401708595</v>
      </c>
      <c r="AM121" s="28">
        <f>IFERROR(([1]!s_stmnote_bank_614(A121,$A$1,1,2,100000000)+[1]!b_stm07_bs(A121,104,$A$1,1,100000000)+[1]!b_stm07_bs(A121,106,$A$1,1,100000000)+[1]!b_stm07_bs(A121,76,$A$1,1,100000000)+[1]!b_stm07_bs(A121,108,$A$1,1,100000000)+[1]!b_stm07_bs(A121,95,$A$1,1,100000000))/[1]!b_stm07_bs(A121,128,$A$1,1,100000000),"")</f>
        <v>0.46254111188445152</v>
      </c>
      <c r="AN121" s="31" t="e">
        <f>IF(Z121&gt;#REF!,#REF!,IF(Z121&gt;#REF!,#REF!,IF(Z121&gt;#REF!,#REF!,IF(Z121&gt;#REF!,#REF!,IF(Z121&gt;#REF!,#REF!,IF(Z121&gt;#REF!,#REF!,IF(Z121&gt;#REF!,#REF!,#REF!)))))))</f>
        <v>#REF!</v>
      </c>
      <c r="AO121" s="31" t="e">
        <f>IF(AA121&gt;#REF!,#REF!,IF(AA121&gt;#REF!,#REF!,IF(AA121&gt;#REF!,#REF!,IF(AA121&gt;#REF!,#REF!,IF(AA121&gt;#REF!,#REF!,IF(AA121&gt;#REF!,#REF!,IF(AA121&gt;#REF!,#REF!,#REF!)))))))</f>
        <v>#REF!</v>
      </c>
      <c r="AP121" s="31" t="e">
        <f>IF(AB121&lt;#REF!,#REF!,IF(AB121&lt;#REF!,#REF!,IF(AB121&lt;#REF!,#REF!,IF(AB121&lt;#REF!,#REF!,IF(AB121&lt;#REF!,#REF!,IF(AB121&lt;#REF!,#REF!,#REF!))))))</f>
        <v>#REF!</v>
      </c>
      <c r="AQ121" s="31" t="e">
        <f>IF(AC121&gt;#REF!,#REF!,IF(AC121&gt;#REF!,#REF!,IF(AC121&gt;#REF!,#REF!,IF(AC121&gt;#REF!,#REF!,#REF!))))</f>
        <v>#REF!</v>
      </c>
      <c r="AR121" s="31" t="e">
        <f>IF(AE121&gt;#REF!,#REF!,IF(AE121&gt;#REF!,#REF!,IF(AE121&gt;#REF!,#REF!,IF(AE121&gt;#REF!,#REF!,#REF!))))</f>
        <v>#REF!</v>
      </c>
      <c r="AS121" s="31" t="e">
        <f>IF(AF121&gt;#REF!,#REF!,IF(AF121&gt;#REF!,#REF!,IF(AF121&gt;#REF!,#REF!,IF(AF121&gt;#REF!,#REF!,#REF!))))</f>
        <v>#REF!</v>
      </c>
      <c r="AT121" s="31" t="e">
        <f>IF(AH121&gt;#REF!,#REF!,IF(AH121&gt;#REF!,#REF!,IF(AH121&gt;#REF!,#REF!,IF(AH121&gt;#REF!,#REF!,IF(AH121&gt;#REF!,#REF!,#REF!)))))</f>
        <v>#REF!</v>
      </c>
      <c r="AU121" s="10" t="e">
        <f t="shared" si="28"/>
        <v>#REF!</v>
      </c>
      <c r="AV121" s="10"/>
      <c r="AW121" s="10"/>
      <c r="AX121" s="10"/>
      <c r="AY121" s="31" t="str">
        <f>IFERROR(VLOOKUP(AV121,#REF!,3,0),"")</f>
        <v/>
      </c>
      <c r="AZ121" s="31" t="str">
        <f>IFERROR(VLOOKUP(AW121,#REF!,3,0),"")</f>
        <v/>
      </c>
      <c r="BA121" s="31" t="str">
        <f>IFERROR(VLOOKUP(AX121,#REF!,3,0),"")</f>
        <v/>
      </c>
      <c r="BB121" s="31" t="str">
        <f>IFERROR(AY121*#REF!+AZ121*#REF!+BA121*#REF!,"")</f>
        <v/>
      </c>
      <c r="BC121" s="32" t="str">
        <f t="shared" si="29"/>
        <v/>
      </c>
      <c r="BD121" s="32" t="str">
        <f>IFERROR(VLOOKUP(BC121*10,#REF!,2,1),"")</f>
        <v/>
      </c>
      <c r="BE121" s="10"/>
      <c r="BF121" s="10"/>
      <c r="BG121" s="10"/>
      <c r="BH121" s="11" t="s">
        <v>210</v>
      </c>
      <c r="BI121" s="10">
        <v>17.2600002288818</v>
      </c>
      <c r="BJ121" s="33" t="s">
        <v>211</v>
      </c>
      <c r="BK121" s="33" t="s">
        <v>212</v>
      </c>
      <c r="BL121" s="10">
        <f>IF([1]!s_stmnote_bank_17n(A121,$A$1,1)="0","",[1]!s_stmnote_bank_17n(A121,$A$1,1))</f>
        <v>7.7</v>
      </c>
      <c r="BM121" s="10">
        <f>IF([1]!s_stmnote_bank_18n(A121,$A$1,1)="0","",[1]!s_stmnote_bank_18n(A121,$A$1,1))</f>
        <v>50.67</v>
      </c>
      <c r="BN121" s="41">
        <v>4.95</v>
      </c>
      <c r="BO121" s="68">
        <v>2.67</v>
      </c>
      <c r="BP121" s="52">
        <f>[1]!s_stmnote_bank_5444(A121,$A$1,1)</f>
        <v>2.29</v>
      </c>
      <c r="BQ121" s="52">
        <f>[1]!s_stmnote_bank_129n($A121,$A$1,1)</f>
        <v>31.09</v>
      </c>
      <c r="BR121" s="52">
        <f t="shared" si="34"/>
        <v>4.6074450927912682</v>
      </c>
      <c r="BS121" s="52">
        <f>[1]!b_stm07_is(A121,19,$A$1,1,100000000)</f>
        <v>211.58420000000001</v>
      </c>
      <c r="BT121" s="52">
        <f xml:space="preserve"> [1]!s_stm07_bs(A121,"W15273164",$A$1,1,100000000)-[1]!s_stm07_bs(A121,"W17642530",$A$1,1,100000000)-[1]!s_stm07_bs(A121,"W15910877",$A$1,1,100000000)-[1]!s_stm07_bs_39(A121,$A$1,1,100000000)-[1]!s_stm07_bs(A121,"W17700468",$A$1,1,100000000)-[1]!s_stm07_bs(A121,"W16504296",$A$1,1,100000000)-[1]!s_stm07_bs(A121,"W13769069",$A$1,1,100000000)</f>
        <v>4952.5178700000006</v>
      </c>
      <c r="BU121" s="52">
        <f xml:space="preserve"> [1]!s_stm07_bs(A121,"W15273164",$B$1,1,100000000)-[1]!s_stm07_bs(A121,"W17642530",$B$1,1,100000000)-[1]!s_stm07_bs(A121,"W15910877",$B$1,1,100000000)-[1]!s_stm07_bs_39(A121,$B$1,1,100000000)-[1]!s_stm07_bs(A121,"W17700468",$B$1,1,100000000)-[1]!s_stm07_bs(A121,"W16504296",$B$1,1,100000000)-[1]!s_stm07_bs(A121,"W13769069",$B$1,1,100000000)</f>
        <v>4484.5954600000005</v>
      </c>
      <c r="BV121" s="52">
        <f xml:space="preserve"> [1]!s_stm07_bs(A121,"W15273164",$E$1,1,100000000)-[1]!s_stm07_bs(A121,"W17642530",$E$1,1,100000000)-[1]!s_stm07_bs(A121,"W15910877",$E$1,1,100000000)-[1]!s_stm07_bs_39(A121,$E$1,1,100000000)-[1]!s_stm07_bs(A121,"W17700468",$E$1,1,100000000)-[1]!s_stm07_bs(A121,"W16504296",$E$1,1,100000000)-[1]!s_stm07_bs(A121,"W13769069",$E$1,1,100000000)</f>
        <v>4818.6508730000005</v>
      </c>
      <c r="BW121" s="52">
        <f xml:space="preserve"> [1]!s_stm07_bs(A121,"W15273164",$F$1,1,100000000)-[1]!s_stm07_bs(A121,"W17642530",$F$1,1,100000000)-[1]!s_stm07_bs(A121,"W15910877",$F$1,1,100000000)-[1]!s_stm07_bs_39(A121,$F$1,1,100000000)-[1]!s_stm07_bs(A121,"W17700468",$F$1,1,100000000)-[1]!s_stm07_bs(A121,"W16504296",$F$1,1,100000000)-[1]!s_stm07_bs(A121,"W13769069",$F$1,1,100000000)</f>
        <v>4872.11661</v>
      </c>
      <c r="BX121" s="52">
        <f xml:space="preserve"> [1]!s_stm07_bs(A121,"W15273164",$G$1,1,100000000)-[1]!s_stm07_bs(A121,"W17642530",$G$1,1,100000000)-[1]!s_stm07_bs(A121,"W15910877",$G$1,1,100000000)-[1]!s_stm07_bs_39(A121,$G$1,1,100000000)-[1]!s_stm07_bs(A121,"W17700468",$G$1,1,100000000)-[1]!s_stm07_bs(A121,"W16504296",$G$1,1,100000000)-[1]!s_stm07_bs(A121,"W13769069",$G$1,1,100000000)</f>
        <v>0</v>
      </c>
      <c r="BY121" s="52">
        <f>IFERROR([1]!b_stm07_is(A121,20,$A$1,1,100000000)/AVERAGEIF(CA121:CE121,"&gt;0")*100,0)</f>
        <v>2.6186865443622516</v>
      </c>
      <c r="BZ121" s="52">
        <f>[1]!b_stm07_is(A121,20,$A$1,1,100000000)</f>
        <v>116.43926999999999</v>
      </c>
      <c r="CA121" s="52">
        <f>[1]!s_stmnote_bank_38(A121,$A$1,1,100000000)</f>
        <v>4606.2159799999999</v>
      </c>
      <c r="CB121" s="52">
        <f>[1]!s_stmnote_bank_38(A121,$B$1,1,100000000)</f>
        <v>4165.8355499999998</v>
      </c>
      <c r="CC121" s="52">
        <f>[1]!s_stmnote_bank_38(A121,$E$1,1,100000000)</f>
        <v>4471.246247</v>
      </c>
      <c r="CD121" s="52">
        <f>[1]!s_stmnote_bank_38(A121,$F$1,1,100000000)</f>
        <v>4542.6064200000001</v>
      </c>
      <c r="CE121" s="52">
        <f>[1]!s_stmnote_bank_38(A121,$G$1,1,100000000)</f>
        <v>0</v>
      </c>
      <c r="CF121" s="52">
        <f>IF(BP121&lt;&gt;0,BP121,IFERROR(IF(([1]!b_stm07_is(A121,19,$A$1,1,100000000)-[1]!b_stm07_is(A121,20,$A$1,1,100000000))/AVERAGE([1]!s_stmnote_bank_35(A121,$A$1,1,100000000),[1]!s_stmnote_bank_35(A121,$B$1,1,100000000))*100=0,"",([1]!b_stm07_is(A121,19,$A$1,1,100000000)-[1]!b_stm07_is(A121,20,$A$1,1,100000000))/AVERAGE([1]!s_stmnote_bank_35(A121,$A$1,1,100000000),[1]!s_stmnote_bank_35(A121,$B$1,1,100000000))*100),""))</f>
        <v>2.29</v>
      </c>
      <c r="CG121" s="27" t="str">
        <f t="shared" si="30"/>
        <v>54 171</v>
      </c>
      <c r="CH121" s="80">
        <f t="shared" si="35"/>
        <v>0.59594027107534964</v>
      </c>
      <c r="CI121" s="27" t="str">
        <f t="shared" si="31"/>
        <v>99 169</v>
      </c>
      <c r="CJ121" s="55">
        <f>[1]!s_stmnote_bank_30(A121,$A$1,1)</f>
        <v>19.321300000000001</v>
      </c>
      <c r="CP121" s="69">
        <f>[1]!b_stm07_bs($A121,141,$A$1,1,100000000)</f>
        <v>389.87830000000002</v>
      </c>
      <c r="CQ121" s="69">
        <f>[1]!b_stm07_bs($A121,141,$D$1,1,100000000)</f>
        <v>403.66392000000002</v>
      </c>
      <c r="CR121" s="68">
        <f>IF([1]!s_fa_roic_yearly($A121,$A$1)=0,"",[1]!s_fa_roic_yearly($A121,$A$1))</f>
        <v>9.8797999999999995</v>
      </c>
      <c r="CS121" s="27">
        <f t="shared" si="37"/>
        <v>0.35502958579881655</v>
      </c>
      <c r="CT121" s="68">
        <f>IF([1]!s_fa_roic_yearly($A121,$D$1)=0,"",[1]!s_fa_roic_yearly($A121,$D$1))</f>
        <v>11.0116</v>
      </c>
      <c r="CU121" s="27">
        <f t="shared" si="38"/>
        <v>0.35915492957746481</v>
      </c>
      <c r="CV121" s="78">
        <f>[1]!s_stm07_bs(A121,"W14578191",$A$1,1,100000000)</f>
        <v>2388.3474200000001</v>
      </c>
      <c r="CW121" s="78">
        <f>[1]!s_stmnote_bank_682($A121,$A$1,1,2,100000000)</f>
        <v>339.12759999999997</v>
      </c>
      <c r="CX121" s="79">
        <f t="shared" si="32"/>
        <v>0.14199257493283785</v>
      </c>
    </row>
    <row r="122" spans="1:102" s="46" customFormat="1" ht="13.5">
      <c r="A122" s="8" t="s">
        <v>366</v>
      </c>
      <c r="B122" s="8" t="s">
        <v>367</v>
      </c>
      <c r="C122" s="9" t="s">
        <v>368</v>
      </c>
      <c r="D122" s="9" t="s">
        <v>1061</v>
      </c>
      <c r="E122" s="10"/>
      <c r="F122" s="11" t="s">
        <v>66</v>
      </c>
      <c r="G122" s="11" t="s">
        <v>67</v>
      </c>
      <c r="H122" s="11" t="s">
        <v>179</v>
      </c>
      <c r="I122" s="11"/>
      <c r="J122" s="11" t="e">
        <f>VLOOKUP(B122,[3]额度信息!$B:$T,19,0)</f>
        <v>#N/A</v>
      </c>
      <c r="K122" s="11"/>
      <c r="L122" s="27">
        <f>IFERROR(([1]!b_stm07_bs($A122,47,$A$1,1,100000000))/[1]!b_stm07_bs($A122,109,$A$1,1,100000000),"")</f>
        <v>9.8378390169707411E-2</v>
      </c>
      <c r="M122" s="20"/>
      <c r="N122" s="18"/>
      <c r="O122" s="27" t="e">
        <f t="shared" si="24"/>
        <v>#N/A</v>
      </c>
      <c r="P122" s="21">
        <f t="shared" si="33"/>
        <v>3.7557094953176981E-2</v>
      </c>
      <c r="Q122" s="27" t="str">
        <f t="shared" si="25"/>
        <v>106 169</v>
      </c>
      <c r="R122" s="18">
        <f>IFERROR([1]!s_stmnote_bank($A122,"34",$A$1,100000000)/[1]!s_stmnote_bank_1n(A122,$A$1,1,100000000),"")</f>
        <v>2.0357094953176978E-2</v>
      </c>
      <c r="S122" s="22"/>
      <c r="T122" s="22"/>
      <c r="U122" s="22"/>
      <c r="V122" s="22"/>
      <c r="W122" s="22"/>
      <c r="X122" s="22"/>
      <c r="Y122" s="22"/>
      <c r="Z122" s="25">
        <f>[1]!b_stm07_bs(A122,74,$A$1,1,100000000)</f>
        <v>1714.3099494870999</v>
      </c>
      <c r="AA122" s="25">
        <f>[1]!b_stm07_bs(A122,109,$A$1,1,100000000)</f>
        <v>1247.7677603958</v>
      </c>
      <c r="AB122" s="10">
        <f>[1]!s_stmnote_bank_5n(A122,$A$1,1)</f>
        <v>1.72</v>
      </c>
      <c r="AC122" s="25">
        <f>IF([1]!s_stmnote_bank_23n(A122,$A$1,1)=0,"",IFERROR([1]!s_stmnote_bank_23n(A122,$A$1,1),""))</f>
        <v>233.79</v>
      </c>
      <c r="AD122" s="27" t="str">
        <f t="shared" si="26"/>
        <v>85 167</v>
      </c>
      <c r="AE122" s="25">
        <f>[1]!s_stmnote_bank_capadequacyratio(A122,$A$1,1)</f>
        <v>14.12</v>
      </c>
      <c r="AF122" s="25">
        <f>IF([1]!s_stmnote_bank_capadequacyratio_ct1(A122,$A$1,1)=0,"",IFERROR([1]!s_stmnote_bank_capadequacyratio_ct1(A122,$A$1,1),""))</f>
        <v>10.66</v>
      </c>
      <c r="AG122" s="27" t="str">
        <f t="shared" si="36"/>
        <v>101 167</v>
      </c>
      <c r="AH122" s="6">
        <f>IF(OR([1]!s_fa_roe(A122,20201231)=0,[1]!s_fa_roe(A122,20211231)="0",[1]!s_fa_roe(A122,20221231)="0"),"",IFERROR(([1]!s_fa_roe(A122,20221231)+[1]!s_fa_roe(A122,20201231)+[1]!s_fa_roe(A122,20211231))/3,""))</f>
        <v>15.122199999999999</v>
      </c>
      <c r="AI122" s="27" t="str">
        <f t="shared" si="27"/>
        <v>171 173</v>
      </c>
      <c r="AJ122" s="28">
        <f>IFERROR(([1]!s_stmnote_bank_65(A122,$A$1,1,2,4,100000000)+[1]!s_stmnote_bank_65(A122,$A$1,1,2,6,100000000))/[1]!s_stmnote_bank_1n(A122,$A$1,1,100000000),"")</f>
        <v>0.19897587772199099</v>
      </c>
      <c r="AK122" s="28">
        <f>IFERROR([1]!s_stmnote_bank_614(A122,$A$1,1,2,100000000)/[1]!s_stmnote_bank_647(A122,$A$1,1,2,100000000),"")</f>
        <v>0.15988924345730476</v>
      </c>
      <c r="AL122" s="28">
        <f>IFERROR(([1]!b_stm07_bs(A122,104,$A$1,1,100000000)+[1]!b_stm07_bs(A122,106,$A$1,1,100000000)+[1]!b_stm07_bs(A122,76,$A$1,1,100000000)+[1]!b_stm07_bs(A122,108,$A$1,1,100000000)+[1]!b_stm07_bs(A122,95,$A$1,1,100000000))/[1]!b_stm07_bs(A122,128,$A$1,1,100000000),"")</f>
        <v>0.19132469682143849</v>
      </c>
      <c r="AM122" s="28">
        <f>IFERROR(([1]!s_stmnote_bank_614(A122,$A$1,1,2,100000000)+[1]!b_stm07_bs(A122,104,$A$1,1,100000000)+[1]!b_stm07_bs(A122,106,$A$1,1,100000000)+[1]!b_stm07_bs(A122,76,$A$1,1,100000000)+[1]!b_stm07_bs(A122,108,$A$1,1,100000000)+[1]!b_stm07_bs(A122,95,$A$1,1,100000000))/[1]!b_stm07_bs(A122,128,$A$1,1,100000000),"")</f>
        <v>0.31481940948368298</v>
      </c>
      <c r="AN122" s="31" t="e">
        <f>IF(Z122&gt;#REF!,#REF!,IF(Z122&gt;#REF!,#REF!,IF(Z122&gt;#REF!,#REF!,IF(Z122&gt;#REF!,#REF!,IF(Z122&gt;#REF!,#REF!,IF(Z122&gt;#REF!,#REF!,IF(Z122&gt;#REF!,#REF!,#REF!)))))))</f>
        <v>#REF!</v>
      </c>
      <c r="AO122" s="31" t="e">
        <f>IF(AA122&gt;#REF!,#REF!,IF(AA122&gt;#REF!,#REF!,IF(AA122&gt;#REF!,#REF!,IF(AA122&gt;#REF!,#REF!,IF(AA122&gt;#REF!,#REF!,IF(AA122&gt;#REF!,#REF!,IF(AA122&gt;#REF!,#REF!,#REF!)))))))</f>
        <v>#REF!</v>
      </c>
      <c r="AP122" s="31" t="e">
        <f>IF(AB122&lt;#REF!,#REF!,IF(AB122&lt;#REF!,#REF!,IF(AB122&lt;#REF!,#REF!,IF(AB122&lt;#REF!,#REF!,IF(AB122&lt;#REF!,#REF!,IF(AB122&lt;#REF!,#REF!,#REF!))))))</f>
        <v>#REF!</v>
      </c>
      <c r="AQ122" s="31" t="e">
        <f>IF(AC122&gt;#REF!,#REF!,IF(AC122&gt;#REF!,#REF!,IF(AC122&gt;#REF!,#REF!,IF(AC122&gt;#REF!,#REF!,#REF!))))</f>
        <v>#REF!</v>
      </c>
      <c r="AR122" s="31" t="e">
        <f>IF(AE122&gt;#REF!,#REF!,IF(AE122&gt;#REF!,#REF!,IF(AE122&gt;#REF!,#REF!,IF(AE122&gt;#REF!,#REF!,#REF!))))</f>
        <v>#REF!</v>
      </c>
      <c r="AS122" s="31" t="e">
        <f>IF(AF122&gt;#REF!,#REF!,IF(AF122&gt;#REF!,#REF!,IF(AF122&gt;#REF!,#REF!,IF(AF122&gt;#REF!,#REF!,#REF!))))</f>
        <v>#REF!</v>
      </c>
      <c r="AT122" s="31" t="e">
        <f>IF(AH122&gt;#REF!,#REF!,IF(AH122&gt;#REF!,#REF!,IF(AH122&gt;#REF!,#REF!,IF(AH122&gt;#REF!,#REF!,IF(AH122&gt;#REF!,#REF!,#REF!)))))</f>
        <v>#REF!</v>
      </c>
      <c r="AU122" s="10" t="e">
        <f t="shared" si="28"/>
        <v>#REF!</v>
      </c>
      <c r="AV122" s="10" t="s">
        <v>141</v>
      </c>
      <c r="AW122" s="10" t="s">
        <v>161</v>
      </c>
      <c r="AX122" s="10" t="s">
        <v>141</v>
      </c>
      <c r="AY122" s="31" t="str">
        <f>IFERROR(VLOOKUP(AV122,#REF!,3,0),"")</f>
        <v/>
      </c>
      <c r="AZ122" s="31" t="str">
        <f>IFERROR(VLOOKUP(AW122,#REF!,3,0),"")</f>
        <v/>
      </c>
      <c r="BA122" s="31" t="str">
        <f>IFERROR(VLOOKUP(AX122,#REF!,3,0),"")</f>
        <v/>
      </c>
      <c r="BB122" s="31" t="str">
        <f>IFERROR(AY122*#REF!+AZ122*#REF!+BA122*#REF!,"")</f>
        <v/>
      </c>
      <c r="BC122" s="32" t="str">
        <f t="shared" si="29"/>
        <v/>
      </c>
      <c r="BD122" s="32" t="str">
        <f>IFERROR(VLOOKUP(BC122*10,#REF!,2,1),"")</f>
        <v/>
      </c>
      <c r="BE122" s="10"/>
      <c r="BF122" s="10"/>
      <c r="BG122" s="10"/>
      <c r="BH122" s="11" t="s">
        <v>369</v>
      </c>
      <c r="BI122" s="10">
        <v>8.8400001525878906</v>
      </c>
      <c r="BJ122" s="11" t="s">
        <v>156</v>
      </c>
      <c r="BK122" s="33" t="s">
        <v>370</v>
      </c>
      <c r="BL122" s="10">
        <f>IF([1]!s_stmnote_bank_17n(A122,$A$1,1)="0","",[1]!s_stmnote_bank_17n(A122,$A$1,1))</f>
        <v>6.95</v>
      </c>
      <c r="BM122" s="10">
        <f>IF([1]!s_stmnote_bank_18n(A122,$A$1,1)="0","",[1]!s_stmnote_bank_18n(A122,$A$1,1))</f>
        <v>0</v>
      </c>
      <c r="BN122" s="41" t="s">
        <v>67</v>
      </c>
      <c r="BO122" s="68" t="s">
        <v>67</v>
      </c>
      <c r="BP122" s="52">
        <f>[1]!s_stmnote_bank_5444(A122,$A$1,1)</f>
        <v>0</v>
      </c>
      <c r="BQ122" s="52">
        <f>[1]!s_stmnote_bank_129n($A122,$A$1,1)</f>
        <v>26.19</v>
      </c>
      <c r="BR122" s="52">
        <f t="shared" si="34"/>
        <v>4.8723822833668153</v>
      </c>
      <c r="BS122" s="52">
        <f>[1]!b_stm07_is(A122,19,$A$1,1,100000000)</f>
        <v>78.263514518400001</v>
      </c>
      <c r="BT122" s="52">
        <f xml:space="preserve"> [1]!s_stm07_bs(A122,"W15273164",$A$1,1,100000000)-[1]!s_stm07_bs(A122,"W17642530",$A$1,1,100000000)-[1]!s_stm07_bs(A122,"W15910877",$A$1,1,100000000)-[1]!s_stm07_bs_39(A122,$A$1,1,100000000)-[1]!s_stm07_bs(A122,"W17700468",$A$1,1,100000000)-[1]!s_stm07_bs(A122,"W16504296",$A$1,1,100000000)-[1]!s_stm07_bs(A122,"W13769069",$A$1,1,100000000)</f>
        <v>1690.8700886565998</v>
      </c>
      <c r="BU122" s="52">
        <f xml:space="preserve"> [1]!s_stm07_bs(A122,"W15273164",$B$1,1,100000000)-[1]!s_stm07_bs(A122,"W17642530",$B$1,1,100000000)-[1]!s_stm07_bs(A122,"W15910877",$B$1,1,100000000)-[1]!s_stm07_bs_39(A122,$B$1,1,100000000)-[1]!s_stm07_bs(A122,"W17700468",$B$1,1,100000000)-[1]!s_stm07_bs(A122,"W16504296",$B$1,1,100000000)-[1]!s_stm07_bs(A122,"W13769069",$B$1,1,100000000)</f>
        <v>1584.8424040249001</v>
      </c>
      <c r="BV122" s="52">
        <f xml:space="preserve"> [1]!s_stm07_bs(A122,"W15273164",$E$1,1,100000000)-[1]!s_stm07_bs(A122,"W17642530",$E$1,1,100000000)-[1]!s_stm07_bs(A122,"W15910877",$E$1,1,100000000)-[1]!s_stm07_bs_39(A122,$E$1,1,100000000)-[1]!s_stm07_bs(A122,"W17700468",$E$1,1,100000000)-[1]!s_stm07_bs(A122,"W16504296",$E$1,1,100000000)-[1]!s_stm07_bs(A122,"W13769069",$E$1,1,100000000)</f>
        <v>1639.905683</v>
      </c>
      <c r="BW122" s="52">
        <f xml:space="preserve"> [1]!s_stm07_bs(A122,"W15273164",$F$1,1,100000000)-[1]!s_stm07_bs(A122,"W17642530",$F$1,1,100000000)-[1]!s_stm07_bs(A122,"W15910877",$F$1,1,100000000)-[1]!s_stm07_bs_39(A122,$F$1,1,100000000)-[1]!s_stm07_bs(A122,"W17700468",$F$1,1,100000000)-[1]!s_stm07_bs(A122,"W16504296",$F$1,1,100000000)-[1]!s_stm07_bs(A122,"W13769069",$F$1,1,100000000)</f>
        <v>1654.825669025</v>
      </c>
      <c r="BX122" s="52">
        <f xml:space="preserve"> [1]!s_stm07_bs(A122,"W15273164",$G$1,1,100000000)-[1]!s_stm07_bs(A122,"W17642530",$G$1,1,100000000)-[1]!s_stm07_bs(A122,"W15910877",$G$1,1,100000000)-[1]!s_stm07_bs_39(A122,$G$1,1,100000000)-[1]!s_stm07_bs(A122,"W17700468",$G$1,1,100000000)-[1]!s_stm07_bs(A122,"W16504296",$G$1,1,100000000)-[1]!s_stm07_bs(A122,"W13769069",$G$1,1,100000000)</f>
        <v>0</v>
      </c>
      <c r="BY122" s="52">
        <f>IFERROR([1]!b_stm07_is(A122,20,$A$1,1,100000000)/AVERAGEIF(CA122:CE122,"&gt;0")*100,0)</f>
        <v>2.7706262460415494</v>
      </c>
      <c r="BZ122" s="52">
        <f>[1]!b_stm07_is(A122,20,$A$1,1,100000000)</f>
        <v>43.141513832600005</v>
      </c>
      <c r="CA122" s="52">
        <f>[1]!s_stmnote_bank_38(A122,$A$1,1,100000000)</f>
        <v>1606.3902827923</v>
      </c>
      <c r="CB122" s="52">
        <f>[1]!s_stmnote_bank_38(A122,$B$1,1,100000000)</f>
        <v>1488.5887609685999</v>
      </c>
      <c r="CC122" s="52">
        <f>[1]!s_stmnote_bank_38(A122,$E$1,1,100000000)</f>
        <v>1557.9098779999999</v>
      </c>
      <c r="CD122" s="52">
        <f>[1]!s_stmnote_bank_38(A122,$F$1,1,100000000)</f>
        <v>1575.5244406314002</v>
      </c>
      <c r="CE122" s="52">
        <f>[1]!s_stmnote_bank_38(A122,$G$1,1,100000000)</f>
        <v>0</v>
      </c>
      <c r="CF122" s="52">
        <f>IF(BP122&lt;&gt;0,BP122,IFERROR(IF(([1]!b_stm07_is(A122,19,$A$1,1,100000000)-[1]!b_stm07_is(A122,20,$A$1,1,100000000))/AVERAGE([1]!s_stmnote_bank_35(A122,$A$1,1,100000000),[1]!s_stmnote_bank_35(A122,$B$1,1,100000000))*100=0,"",([1]!b_stm07_is(A122,19,$A$1,1,100000000)-[1]!b_stm07_is(A122,20,$A$1,1,100000000))/AVERAGE([1]!s_stmnote_bank_35(A122,$A$1,1,100000000),[1]!s_stmnote_bank_35(A122,$B$1,1,100000000))*100),""))</f>
        <v>2.3514669851734284</v>
      </c>
      <c r="CG122" s="27" t="str">
        <f t="shared" si="30"/>
        <v>42 171</v>
      </c>
      <c r="CH122" s="80">
        <f t="shared" si="35"/>
        <v>0.62610459837350019</v>
      </c>
      <c r="CI122" s="27" t="str">
        <f t="shared" si="31"/>
        <v>92 169</v>
      </c>
      <c r="CJ122" s="55">
        <f>[1]!s_stmnote_bank_30(A122,$A$1,1)</f>
        <v>10.2666</v>
      </c>
      <c r="CP122" s="69">
        <f>[1]!b_stm07_bs($A122,141,$A$1,1,100000000)</f>
        <v>98.818574032499995</v>
      </c>
      <c r="CQ122" s="69">
        <f>[1]!b_stm07_bs($A122,141,$D$1,1,100000000)</f>
        <v>0</v>
      </c>
      <c r="CR122" s="68">
        <f>IF([1]!s_fa_roic_yearly($A122,$A$1)=0,"",[1]!s_fa_roic_yearly($A122,$A$1))</f>
        <v>15.2033</v>
      </c>
      <c r="CS122" s="27">
        <f t="shared" si="37"/>
        <v>3.5502958579881658E-2</v>
      </c>
      <c r="CT122" s="68" t="str">
        <f>IF([1]!s_fa_roic_yearly($A122,$D$1)=0,"",[1]!s_fa_roic_yearly($A122,$D$1))</f>
        <v/>
      </c>
      <c r="CU122" s="27" t="e">
        <f t="shared" si="38"/>
        <v>#VALUE!</v>
      </c>
      <c r="CV122" s="78">
        <f>[1]!s_stm07_bs(A122,"W14578191",$A$1,1,100000000)</f>
        <v>757.10218314660005</v>
      </c>
      <c r="CW122" s="78">
        <f>[1]!s_stmnote_bank_682($A122,$A$1,1,2,100000000)</f>
        <v>0</v>
      </c>
      <c r="CX122" s="79" t="str">
        <f t="shared" si="32"/>
        <v/>
      </c>
    </row>
    <row r="123" spans="1:102" s="46" customFormat="1" ht="13.5">
      <c r="A123" s="8" t="s">
        <v>401</v>
      </c>
      <c r="B123" s="8" t="s">
        <v>402</v>
      </c>
      <c r="C123" s="9" t="s">
        <v>403</v>
      </c>
      <c r="D123" s="9" t="s">
        <v>1061</v>
      </c>
      <c r="E123" s="10"/>
      <c r="F123" s="11" t="s">
        <v>66</v>
      </c>
      <c r="G123" s="11" t="s">
        <v>67</v>
      </c>
      <c r="H123" s="11" t="s">
        <v>116</v>
      </c>
      <c r="I123" s="11"/>
      <c r="J123" s="11" t="e">
        <f>VLOOKUP(B123,[3]额度信息!$B:$T,19,0)</f>
        <v>#N/A</v>
      </c>
      <c r="K123" s="11"/>
      <c r="L123" s="27">
        <f>IFERROR(([1]!b_stm07_bs($A123,47,$A$1,1,100000000))/[1]!b_stm07_bs($A123,109,$A$1,1,100000000),"")</f>
        <v>0.13984484699044464</v>
      </c>
      <c r="M123" s="20"/>
      <c r="N123" s="18"/>
      <c r="O123" s="27" t="e">
        <f t="shared" si="24"/>
        <v>#N/A</v>
      </c>
      <c r="P123" s="21">
        <f t="shared" si="33"/>
        <v>4.078631781206455E-2</v>
      </c>
      <c r="Q123" s="27" t="str">
        <f t="shared" si="25"/>
        <v>116 169</v>
      </c>
      <c r="R123" s="18">
        <f>IFERROR([1]!s_stmnote_bank($A123,"34",$A$1,100000000)/[1]!s_stmnote_bank_1n(A123,$A$1,1,100000000),"")</f>
        <v>2.6586317812064549E-2</v>
      </c>
      <c r="S123" s="22"/>
      <c r="T123" s="22"/>
      <c r="U123" s="22"/>
      <c r="V123" s="22"/>
      <c r="W123" s="22"/>
      <c r="X123" s="22"/>
      <c r="Y123" s="22"/>
      <c r="Z123" s="25">
        <f>[1]!b_stm07_bs(A123,74,$A$1,1,100000000)</f>
        <v>2960.4576674279997</v>
      </c>
      <c r="AA123" s="25">
        <f>[1]!b_stm07_bs(A123,109,$A$1,1,100000000)</f>
        <v>1998.1047541551002</v>
      </c>
      <c r="AB123" s="10">
        <f>[1]!s_stmnote_bank_5n(A123,$A$1,1)</f>
        <v>1.42</v>
      </c>
      <c r="AC123" s="25">
        <f>IF([1]!s_stmnote_bank_23n(A123,$A$1,1)=0,"",IFERROR([1]!s_stmnote_bank_23n(A123,$A$1,1),""))</f>
        <v>222.37</v>
      </c>
      <c r="AD123" s="27" t="str">
        <f t="shared" si="26"/>
        <v>77 167</v>
      </c>
      <c r="AE123" s="25">
        <f>[1]!s_stmnote_bank_capadequacyratio(A123,$A$1,1)</f>
        <v>14.2171</v>
      </c>
      <c r="AF123" s="25">
        <f>IF([1]!s_stmnote_bank_capadequacyratio_ct1(A123,$A$1,1)=0,"",IFERROR([1]!s_stmnote_bank_capadequacyratio_ct1(A123,$A$1,1),""))</f>
        <v>9.2138000000000009</v>
      </c>
      <c r="AG123" s="27" t="str">
        <f t="shared" si="36"/>
        <v>49 167</v>
      </c>
      <c r="AH123" s="6">
        <f>IF(OR([1]!s_fa_roe(A123,20201231)=0,[1]!s_fa_roe(A123,20211231)="0",[1]!s_fa_roe(A123,20221231)="0"),"",IFERROR(([1]!s_fa_roe(A123,20221231)+[1]!s_fa_roe(A123,20201231)+[1]!s_fa_roe(A123,20211231))/3,""))</f>
        <v>8.384666666666666</v>
      </c>
      <c r="AI123" s="27" t="str">
        <f t="shared" si="27"/>
        <v>82 173</v>
      </c>
      <c r="AJ123" s="28">
        <f>IFERROR(([1]!s_stmnote_bank_65(A123,$A$1,1,2,4,100000000)+[1]!s_stmnote_bank_65(A123,$A$1,1,2,6,100000000))/[1]!s_stmnote_bank_1n(A123,$A$1,1,100000000),"")</f>
        <v>0.17605719454436544</v>
      </c>
      <c r="AK123" s="28">
        <f>IFERROR([1]!s_stmnote_bank_614(A123,$A$1,1,2,100000000)/[1]!s_stmnote_bank_647(A123,$A$1,1,2,100000000),"")</f>
        <v>0.33000874868241048</v>
      </c>
      <c r="AL123" s="28">
        <f>IFERROR(([1]!b_stm07_bs(A123,104,$A$1,1,100000000)+[1]!b_stm07_bs(A123,106,$A$1,1,100000000)+[1]!b_stm07_bs(A123,76,$A$1,1,100000000)+[1]!b_stm07_bs(A123,108,$A$1,1,100000000)+[1]!b_stm07_bs(A123,95,$A$1,1,100000000))/[1]!b_stm07_bs(A123,128,$A$1,1,100000000),"")</f>
        <v>0.21580032402458654</v>
      </c>
      <c r="AM123" s="28">
        <f>IFERROR(([1]!s_stmnote_bank_614(A123,$A$1,1,2,100000000)+[1]!b_stm07_bs(A123,104,$A$1,1,100000000)+[1]!b_stm07_bs(A123,106,$A$1,1,100000000)+[1]!b_stm07_bs(A123,76,$A$1,1,100000000)+[1]!b_stm07_bs(A123,108,$A$1,1,100000000)+[1]!b_stm07_bs(A123,95,$A$1,1,100000000))/[1]!b_stm07_bs(A123,128,$A$1,1,100000000),"")</f>
        <v>0.45756751782087912</v>
      </c>
      <c r="AN123" s="31" t="e">
        <f>IF(Z123&gt;#REF!,#REF!,IF(Z123&gt;#REF!,#REF!,IF(Z123&gt;#REF!,#REF!,IF(Z123&gt;#REF!,#REF!,IF(Z123&gt;#REF!,#REF!,IF(Z123&gt;#REF!,#REF!,IF(Z123&gt;#REF!,#REF!,#REF!)))))))</f>
        <v>#REF!</v>
      </c>
      <c r="AO123" s="31" t="e">
        <f>IF(AA123&gt;#REF!,#REF!,IF(AA123&gt;#REF!,#REF!,IF(AA123&gt;#REF!,#REF!,IF(AA123&gt;#REF!,#REF!,IF(AA123&gt;#REF!,#REF!,IF(AA123&gt;#REF!,#REF!,IF(AA123&gt;#REF!,#REF!,#REF!)))))))</f>
        <v>#REF!</v>
      </c>
      <c r="AP123" s="31" t="e">
        <f>IF(AB123&lt;#REF!,#REF!,IF(AB123&lt;#REF!,#REF!,IF(AB123&lt;#REF!,#REF!,IF(AB123&lt;#REF!,#REF!,IF(AB123&lt;#REF!,#REF!,IF(AB123&lt;#REF!,#REF!,#REF!))))))</f>
        <v>#REF!</v>
      </c>
      <c r="AQ123" s="31" t="e">
        <f>IF(AC123&gt;#REF!,#REF!,IF(AC123&gt;#REF!,#REF!,IF(AC123&gt;#REF!,#REF!,IF(AC123&gt;#REF!,#REF!,#REF!))))</f>
        <v>#REF!</v>
      </c>
      <c r="AR123" s="31" t="e">
        <f>IF(AE123&gt;#REF!,#REF!,IF(AE123&gt;#REF!,#REF!,IF(AE123&gt;#REF!,#REF!,IF(AE123&gt;#REF!,#REF!,#REF!))))</f>
        <v>#REF!</v>
      </c>
      <c r="AS123" s="31" t="e">
        <f>IF(AF123&gt;#REF!,#REF!,IF(AF123&gt;#REF!,#REF!,IF(AF123&gt;#REF!,#REF!,IF(AF123&gt;#REF!,#REF!,#REF!))))</f>
        <v>#REF!</v>
      </c>
      <c r="AT123" s="31" t="e">
        <f>IF(AH123&gt;#REF!,#REF!,IF(AH123&gt;#REF!,#REF!,IF(AH123&gt;#REF!,#REF!,IF(AH123&gt;#REF!,#REF!,IF(AH123&gt;#REF!,#REF!,#REF!)))))</f>
        <v>#REF!</v>
      </c>
      <c r="AU123" s="10" t="e">
        <f t="shared" si="28"/>
        <v>#REF!</v>
      </c>
      <c r="AV123" s="10"/>
      <c r="AW123" s="10"/>
      <c r="AX123" s="10"/>
      <c r="AY123" s="31" t="str">
        <f>IFERROR(VLOOKUP(AV123,#REF!,3,0),"")</f>
        <v/>
      </c>
      <c r="AZ123" s="31" t="str">
        <f>IFERROR(VLOOKUP(AW123,#REF!,3,0),"")</f>
        <v/>
      </c>
      <c r="BA123" s="31" t="str">
        <f>IFERROR(VLOOKUP(AX123,#REF!,3,0),"")</f>
        <v/>
      </c>
      <c r="BB123" s="31" t="str">
        <f>IFERROR(AY123*#REF!+AZ123*#REF!+BA123*#REF!,"")</f>
        <v/>
      </c>
      <c r="BC123" s="32" t="str">
        <f t="shared" si="29"/>
        <v/>
      </c>
      <c r="BD123" s="32" t="str">
        <f>IFERROR(VLOOKUP(BC123*10,#REF!,2,1),"")</f>
        <v/>
      </c>
      <c r="BE123" s="10"/>
      <c r="BF123" s="10"/>
      <c r="BG123" s="10"/>
      <c r="BH123" s="11" t="s">
        <v>404</v>
      </c>
      <c r="BI123" s="10">
        <v>7.0599999427795401</v>
      </c>
      <c r="BJ123" s="33" t="s">
        <v>111</v>
      </c>
      <c r="BK123" s="33" t="s">
        <v>405</v>
      </c>
      <c r="BL123" s="10">
        <f>IF([1]!s_stmnote_bank_17n(A123,$A$1,1)="0","",[1]!s_stmnote_bank_17n(A123,$A$1,1))</f>
        <v>0</v>
      </c>
      <c r="BM123" s="10">
        <f>IF([1]!s_stmnote_bank_18n(A123,$A$1,1)="0","",[1]!s_stmnote_bank_18n(A123,$A$1,1))</f>
        <v>0</v>
      </c>
      <c r="BN123" s="41" t="s">
        <v>67</v>
      </c>
      <c r="BO123" s="68" t="s">
        <v>67</v>
      </c>
      <c r="BP123" s="52">
        <f>[1]!s_stmnote_bank_5444(A123,$A$1,1)</f>
        <v>0</v>
      </c>
      <c r="BQ123" s="52">
        <f>[1]!s_stmnote_bank_129n($A123,$A$1,1)</f>
        <v>34.119999999999997</v>
      </c>
      <c r="BR123" s="52">
        <f t="shared" si="34"/>
        <v>4.1240888700577933</v>
      </c>
      <c r="BS123" s="52">
        <f>[1]!b_stm07_is(A123,19,$A$1,1,100000000)</f>
        <v>105.7370266937</v>
      </c>
      <c r="BT123" s="52">
        <f xml:space="preserve"> [1]!s_stm07_bs(A123,"W15273164",$A$1,1,100000000)-[1]!s_stm07_bs(A123,"W17642530",$A$1,1,100000000)-[1]!s_stm07_bs(A123,"W15910877",$A$1,1,100000000)-[1]!s_stm07_bs_39(A123,$A$1,1,100000000)-[1]!s_stm07_bs(A123,"W17700468",$A$1,1,100000000)-[1]!s_stm07_bs(A123,"W16504296",$A$1,1,100000000)-[1]!s_stm07_bs(A123,"W13769069",$A$1,1,100000000)</f>
        <v>2757.4132232952998</v>
      </c>
      <c r="BU123" s="52">
        <f xml:space="preserve"> [1]!s_stm07_bs(A123,"W15273164",$B$1,1,100000000)-[1]!s_stm07_bs(A123,"W17642530",$B$1,1,100000000)-[1]!s_stm07_bs(A123,"W15910877",$B$1,1,100000000)-[1]!s_stm07_bs_39(A123,$B$1,1,100000000)-[1]!s_stm07_bs(A123,"W17700468",$B$1,1,100000000)-[1]!s_stm07_bs(A123,"W16504296",$B$1,1,100000000)-[1]!s_stm07_bs(A123,"W13769069",$B$1,1,100000000)</f>
        <v>2536.2417347572004</v>
      </c>
      <c r="BV123" s="52">
        <f xml:space="preserve"> [1]!s_stm07_bs(A123,"W15273164",$E$1,1,100000000)-[1]!s_stm07_bs(A123,"W17642530",$E$1,1,100000000)-[1]!s_stm07_bs(A123,"W15910877",$E$1,1,100000000)-[1]!s_stm07_bs_39(A123,$E$1,1,100000000)-[1]!s_stm07_bs(A123,"W17700468",$E$1,1,100000000)-[1]!s_stm07_bs(A123,"W16504296",$E$1,1,100000000)-[1]!s_stm07_bs(A123,"W13769069",$E$1,1,100000000)</f>
        <v>0</v>
      </c>
      <c r="BW123" s="52">
        <f xml:space="preserve"> [1]!s_stm07_bs(A123,"W15273164",$F$1,1,100000000)-[1]!s_stm07_bs(A123,"W17642530",$F$1,1,100000000)-[1]!s_stm07_bs(A123,"W15910877",$F$1,1,100000000)-[1]!s_stm07_bs_39(A123,$F$1,1,100000000)-[1]!s_stm07_bs(A123,"W17700468",$F$1,1,100000000)-[1]!s_stm07_bs(A123,"W16504296",$F$1,1,100000000)-[1]!s_stm07_bs(A123,"W13769069",$F$1,1,100000000)</f>
        <v>0</v>
      </c>
      <c r="BX123" s="52">
        <f xml:space="preserve"> [1]!s_stm07_bs(A123,"W15273164",$G$1,1,100000000)-[1]!s_stm07_bs(A123,"W17642530",$G$1,1,100000000)-[1]!s_stm07_bs(A123,"W15910877",$G$1,1,100000000)-[1]!s_stm07_bs_39(A123,$G$1,1,100000000)-[1]!s_stm07_bs(A123,"W17700468",$G$1,1,100000000)-[1]!s_stm07_bs(A123,"W16504296",$G$1,1,100000000)-[1]!s_stm07_bs(A123,"W13769069",$G$1,1,100000000)</f>
        <v>0</v>
      </c>
      <c r="BY123" s="52">
        <f>IFERROR([1]!b_stm07_is(A123,20,$A$1,1,100000000)/AVERAGEIF(CA123:CE123,"&gt;0")*100,0)</f>
        <v>2.5977374801554989</v>
      </c>
      <c r="BZ123" s="52">
        <f>[1]!b_stm07_is(A123,20,$A$1,1,100000000)</f>
        <v>66.415350263999997</v>
      </c>
      <c r="CA123" s="52">
        <f>[1]!s_stmnote_bank_38(A123,$A$1,1,100000000)</f>
        <v>2661.7973253368</v>
      </c>
      <c r="CB123" s="52">
        <f>[1]!s_stmnote_bank_38(A123,$B$1,1,100000000)</f>
        <v>2451.5253850107001</v>
      </c>
      <c r="CC123" s="52">
        <f>[1]!s_stmnote_bank_38(A123,$E$1,1,100000000)</f>
        <v>0</v>
      </c>
      <c r="CD123" s="52">
        <f>[1]!s_stmnote_bank_38(A123,$F$1,1,100000000)</f>
        <v>0</v>
      </c>
      <c r="CE123" s="52">
        <f>[1]!s_stmnote_bank_38(A123,$G$1,1,100000000)</f>
        <v>0</v>
      </c>
      <c r="CF123" s="52">
        <f>IF(BP123&lt;&gt;0,BP123,IFERROR(IF(([1]!b_stm07_is(A123,19,$A$1,1,100000000)-[1]!b_stm07_is(A123,20,$A$1,1,100000000))/AVERAGE([1]!s_stmnote_bank_35(A123,$A$1,1,100000000),[1]!s_stmnote_bank_35(A123,$B$1,1,100000000))*100=0,"",([1]!b_stm07_is(A123,19,$A$1,1,100000000)-[1]!b_stm07_is(A123,20,$A$1,1,100000000))/AVERAGE([1]!s_stmnote_bank_35(A123,$A$1,1,100000000),[1]!s_stmnote_bank_35(A123,$B$1,1,100000000))*100),""))</f>
        <v>1.8107087103281283</v>
      </c>
      <c r="CG123" s="27" t="str">
        <f t="shared" si="30"/>
        <v>125 171</v>
      </c>
      <c r="CH123" s="80">
        <f t="shared" si="35"/>
        <v>0.44395003213369821</v>
      </c>
      <c r="CI123" s="27" t="str">
        <f t="shared" si="31"/>
        <v>125 169</v>
      </c>
      <c r="CJ123" s="55">
        <f>[1]!s_stmnote_bank_30(A123,$A$1,1)</f>
        <v>48.259900000000002</v>
      </c>
      <c r="CP123" s="69">
        <f>[1]!b_stm07_bs($A123,141,$A$1,1,100000000)</f>
        <v>233.07336312619998</v>
      </c>
      <c r="CQ123" s="69">
        <f>[1]!b_stm07_bs($A123,141,$D$1,1,100000000)</f>
        <v>0</v>
      </c>
      <c r="CR123" s="68">
        <f>IF([1]!s_fa_roic_yearly($A123,$A$1)=0,"",[1]!s_fa_roic_yearly($A123,$A$1))</f>
        <v>8.4925999999999995</v>
      </c>
      <c r="CS123" s="27">
        <f t="shared" si="37"/>
        <v>0.53846153846153844</v>
      </c>
      <c r="CT123" s="68" t="str">
        <f>IF([1]!s_fa_roic_yearly($A123,$D$1)=0,"",[1]!s_fa_roic_yearly($A123,$D$1))</f>
        <v/>
      </c>
      <c r="CU123" s="27" t="e">
        <f t="shared" si="38"/>
        <v>#VALUE!</v>
      </c>
      <c r="CV123" s="78">
        <f>[1]!s_stm07_bs(A123,"W14578191",$A$1,1,100000000)</f>
        <v>1503.1420104367</v>
      </c>
      <c r="CW123" s="78">
        <f>[1]!s_stmnote_bank_682($A123,$A$1,1,2,100000000)</f>
        <v>847.77387569100006</v>
      </c>
      <c r="CX123" s="79">
        <f t="shared" si="32"/>
        <v>0.56400118538680233</v>
      </c>
    </row>
    <row r="124" spans="1:102" s="46" customFormat="1" ht="13.5">
      <c r="A124" s="8" t="s">
        <v>592</v>
      </c>
      <c r="B124" s="8" t="s">
        <v>593</v>
      </c>
      <c r="C124" s="9" t="s">
        <v>594</v>
      </c>
      <c r="D124" s="9" t="s">
        <v>1061</v>
      </c>
      <c r="E124" s="10" t="s">
        <v>594</v>
      </c>
      <c r="F124" s="11" t="s">
        <v>178</v>
      </c>
      <c r="G124" s="11" t="s">
        <v>139</v>
      </c>
      <c r="H124" s="11" t="s">
        <v>206</v>
      </c>
      <c r="I124" s="11"/>
      <c r="J124" s="11">
        <f>VLOOKUP(B124,[3]额度信息!$B:$T,19,0)</f>
        <v>1.7</v>
      </c>
      <c r="K124" s="11" t="s">
        <v>595</v>
      </c>
      <c r="L124" s="27">
        <f>IFERROR(([1]!b_stm07_bs($A124,47,$A$1,1,100000000))/[1]!b_stm07_bs($A124,109,$A$1,1,100000000),"")</f>
        <v>9.4188465628813806E-2</v>
      </c>
      <c r="M124" s="20"/>
      <c r="N124" s="43"/>
      <c r="O124" s="27" t="e">
        <f t="shared" si="24"/>
        <v>#N/A</v>
      </c>
      <c r="P124" s="21">
        <f t="shared" si="33"/>
        <v>4.30280597241854E-2</v>
      </c>
      <c r="Q124" s="27" t="str">
        <f t="shared" si="25"/>
        <v>122 169</v>
      </c>
      <c r="R124" s="18">
        <v>2.8528059724185401E-2</v>
      </c>
      <c r="S124" s="22"/>
      <c r="T124" s="22"/>
      <c r="U124" s="22"/>
      <c r="V124" s="22"/>
      <c r="W124" s="22"/>
      <c r="X124" s="22"/>
      <c r="Y124" s="22"/>
      <c r="Z124" s="25">
        <f>[1]!b_stm07_bs(A124,74,$A$1,1,100000000)</f>
        <v>6086.8684599999997</v>
      </c>
      <c r="AA124" s="25">
        <f>[1]!b_stm07_bs(A124,109,$A$1,1,100000000)</f>
        <v>3674.2838700000002</v>
      </c>
      <c r="AB124" s="10">
        <f>[1]!s_stmnote_bank_5n(A124,$A$1,1)</f>
        <v>1.45</v>
      </c>
      <c r="AC124" s="25">
        <f>IF([1]!s_stmnote_bank_23n(A124,$A$1,1)=0,"",IFERROR([1]!s_stmnote_bank_23n(A124,$A$1,1),""))</f>
        <v>271.02999999999997</v>
      </c>
      <c r="AD124" s="27" t="str">
        <f t="shared" si="26"/>
        <v>98 167</v>
      </c>
      <c r="AE124" s="25">
        <f>[1]!s_stmnote_bank_capadequacyratio(A124,$A$1,1)</f>
        <v>13.96</v>
      </c>
      <c r="AF124" s="25">
        <f>IF([1]!s_stmnote_bank_capadequacyratio_ct1(A124,$A$1,1)=0,"",IFERROR([1]!s_stmnote_bank_capadequacyratio_ct1(A124,$A$1,1),""))</f>
        <v>10.62</v>
      </c>
      <c r="AG124" s="27" t="str">
        <f t="shared" si="36"/>
        <v>98 167</v>
      </c>
      <c r="AH124" s="6">
        <f>IF(OR([1]!s_fa_roe(A124,20201231)=0,[1]!s_fa_roe(A124,20211231)="0",[1]!s_fa_roe(A124,20221231)="0"),"",IFERROR(([1]!s_fa_roe(A124,20221231)+[1]!s_fa_roe(A124,20201231)+[1]!s_fa_roe(A124,20211231))/3,""))</f>
        <v>12.7799</v>
      </c>
      <c r="AI124" s="27" t="str">
        <f t="shared" si="27"/>
        <v>154 173</v>
      </c>
      <c r="AJ124" s="28">
        <f>IFERROR(([1]!s_stmnote_bank_65(A124,$A$1,1,2,4,100000000)+[1]!s_stmnote_bank_65(A124,$A$1,1,2,6,100000000))/[1]!s_stmnote_bank_1n(A124,$A$1,1,100000000),"")</f>
        <v>0.31577803212837469</v>
      </c>
      <c r="AK124" s="28">
        <f>IFERROR([1]!s_stmnote_bank_614(A124,$A$1,1,2,100000000)/[1]!s_stmnote_bank_647(A124,$A$1,1,2,100000000),"")</f>
        <v>0.24916980099852595</v>
      </c>
      <c r="AL124" s="28">
        <f>IFERROR(([1]!b_stm07_bs(A124,104,$A$1,1,100000000)+[1]!b_stm07_bs(A124,106,$A$1,1,100000000)+[1]!b_stm07_bs(A124,76,$A$1,1,100000000)+[1]!b_stm07_bs(A124,108,$A$1,1,100000000)+[1]!b_stm07_bs(A124,95,$A$1,1,100000000))/[1]!b_stm07_bs(A124,128,$A$1,1,100000000),"")</f>
        <v>0.27759518520874787</v>
      </c>
      <c r="AM124" s="28">
        <f>IFERROR(([1]!s_stmnote_bank_614(A124,$A$1,1,2,100000000)+[1]!b_stm07_bs(A124,104,$A$1,1,100000000)+[1]!b_stm07_bs(A124,106,$A$1,1,100000000)+[1]!b_stm07_bs(A124,76,$A$1,1,100000000)+[1]!b_stm07_bs(A124,108,$A$1,1,100000000)+[1]!b_stm07_bs(A124,95,$A$1,1,100000000))/[1]!b_stm07_bs(A124,128,$A$1,1,100000000),"")</f>
        <v>0.43921254103964991</v>
      </c>
      <c r="AN124" s="31" t="e">
        <f>IF(Z124&gt;#REF!,#REF!,IF(Z124&gt;#REF!,#REF!,IF(Z124&gt;#REF!,#REF!,IF(Z124&gt;#REF!,#REF!,IF(Z124&gt;#REF!,#REF!,IF(Z124&gt;#REF!,#REF!,IF(Z124&gt;#REF!,#REF!,#REF!)))))))</f>
        <v>#REF!</v>
      </c>
      <c r="AO124" s="31" t="e">
        <f>IF(AA124&gt;#REF!,#REF!,IF(AA124&gt;#REF!,#REF!,IF(AA124&gt;#REF!,#REF!,IF(AA124&gt;#REF!,#REF!,IF(AA124&gt;#REF!,#REF!,IF(AA124&gt;#REF!,#REF!,IF(AA124&gt;#REF!,#REF!,#REF!)))))))</f>
        <v>#REF!</v>
      </c>
      <c r="AP124" s="31" t="e">
        <f>IF(AB124&lt;#REF!,#REF!,IF(AB124&lt;#REF!,#REF!,IF(AB124&lt;#REF!,#REF!,IF(AB124&lt;#REF!,#REF!,IF(AB124&lt;#REF!,#REF!,IF(AB124&lt;#REF!,#REF!,#REF!))))))</f>
        <v>#REF!</v>
      </c>
      <c r="AQ124" s="31" t="e">
        <f>IF(AC124&gt;#REF!,#REF!,IF(AC124&gt;#REF!,#REF!,IF(AC124&gt;#REF!,#REF!,IF(AC124&gt;#REF!,#REF!,#REF!))))</f>
        <v>#REF!</v>
      </c>
      <c r="AR124" s="31" t="e">
        <f>IF(AE124&gt;#REF!,#REF!,IF(AE124&gt;#REF!,#REF!,IF(AE124&gt;#REF!,#REF!,IF(AE124&gt;#REF!,#REF!,#REF!))))</f>
        <v>#REF!</v>
      </c>
      <c r="AS124" s="31" t="e">
        <f>IF(AF124&gt;#REF!,#REF!,IF(AF124&gt;#REF!,#REF!,IF(AF124&gt;#REF!,#REF!,IF(AF124&gt;#REF!,#REF!,#REF!))))</f>
        <v>#REF!</v>
      </c>
      <c r="AT124" s="31" t="e">
        <f>IF(AH124&gt;#REF!,#REF!,IF(AH124&gt;#REF!,#REF!,IF(AH124&gt;#REF!,#REF!,IF(AH124&gt;#REF!,#REF!,IF(AH124&gt;#REF!,#REF!,#REF!)))))</f>
        <v>#REF!</v>
      </c>
      <c r="AU124" s="10" t="e">
        <f t="shared" si="28"/>
        <v>#REF!</v>
      </c>
      <c r="AV124" s="10" t="s">
        <v>141</v>
      </c>
      <c r="AW124" s="10" t="s">
        <v>227</v>
      </c>
      <c r="AX124" s="10" t="s">
        <v>359</v>
      </c>
      <c r="AY124" s="31" t="str">
        <f>IFERROR(VLOOKUP(AV124,#REF!,3,0),"")</f>
        <v/>
      </c>
      <c r="AZ124" s="31" t="str">
        <f>IFERROR(VLOOKUP(AW124,#REF!,3,0),"")</f>
        <v/>
      </c>
      <c r="BA124" s="31" t="str">
        <f>IFERROR(VLOOKUP(AX124,#REF!,3,0),"")</f>
        <v/>
      </c>
      <c r="BB124" s="31" t="str">
        <f>IFERROR(AY124*#REF!+AZ124*#REF!+BA124*#REF!,"")</f>
        <v/>
      </c>
      <c r="BC124" s="32" t="str">
        <f t="shared" si="29"/>
        <v/>
      </c>
      <c r="BD124" s="32" t="str">
        <f>IFERROR(VLOOKUP(BC124*10,#REF!,2,1),"")</f>
        <v/>
      </c>
      <c r="BE124" s="11">
        <v>1</v>
      </c>
      <c r="BF124" s="11">
        <v>0</v>
      </c>
      <c r="BG124" s="10" t="s">
        <v>596</v>
      </c>
      <c r="BH124" s="11" t="s">
        <v>597</v>
      </c>
      <c r="BI124" s="10">
        <v>12.819999694824199</v>
      </c>
      <c r="BJ124" s="33" t="s">
        <v>211</v>
      </c>
      <c r="BK124" s="33" t="s">
        <v>212</v>
      </c>
      <c r="BL124" s="10">
        <f>IF([1]!s_stmnote_bank_17n(A124,$A$1,1)="0","",[1]!s_stmnote_bank_17n(A124,$A$1,1))</f>
        <v>6</v>
      </c>
      <c r="BM124" s="10">
        <f>IF([1]!s_stmnote_bank_18n(A124,$A$1,1)="0","",[1]!s_stmnote_bank_18n(A124,$A$1,1))</f>
        <v>30.93</v>
      </c>
      <c r="BN124" s="41" t="s">
        <v>67</v>
      </c>
      <c r="BO124" s="68" t="s">
        <v>67</v>
      </c>
      <c r="BP124" s="52">
        <f>[1]!s_stmnote_bank_5444(A124,$A$1,1)</f>
        <v>2.2599999999999998</v>
      </c>
      <c r="BQ124" s="52">
        <f>[1]!s_stmnote_bank_129n($A124,$A$1,1)</f>
        <v>27.46</v>
      </c>
      <c r="BR124" s="52">
        <f t="shared" si="34"/>
        <v>4.9655406545642213</v>
      </c>
      <c r="BS124" s="52">
        <f>[1]!b_stm07_is(A124,19,$A$1,1,100000000)</f>
        <v>289.04673000000003</v>
      </c>
      <c r="BT124" s="52">
        <f xml:space="preserve"> [1]!s_stm07_bs(A124,"W15273164",$A$1,1,100000000)-[1]!s_stm07_bs(A124,"W17642530",$A$1,1,100000000)-[1]!s_stm07_bs(A124,"W15910877",$A$1,1,100000000)-[1]!s_stm07_bs_39(A124,$A$1,1,100000000)-[1]!s_stm07_bs(A124,"W17700468",$A$1,1,100000000)-[1]!s_stm07_bs(A124,"W16504296",$A$1,1,100000000)-[1]!s_stm07_bs(A124,"W13769069",$A$1,1,100000000)</f>
        <v>5975.8733499999998</v>
      </c>
      <c r="BU124" s="52">
        <f xml:space="preserve"> [1]!s_stm07_bs(A124,"W15273164",$B$1,1,100000000)-[1]!s_stm07_bs(A124,"W17642530",$B$1,1,100000000)-[1]!s_stm07_bs(A124,"W15910877",$B$1,1,100000000)-[1]!s_stm07_bs_39(A124,$B$1,1,100000000)-[1]!s_stm07_bs(A124,"W17700468",$B$1,1,100000000)-[1]!s_stm07_bs(A124,"W16504296",$B$1,1,100000000)-[1]!s_stm07_bs(A124,"W13769069",$B$1,1,100000000)</f>
        <v>5791.0164500000001</v>
      </c>
      <c r="BV124" s="52">
        <f xml:space="preserve"> [1]!s_stm07_bs(A124,"W15273164",$E$1,1,100000000)-[1]!s_stm07_bs(A124,"W17642530",$E$1,1,100000000)-[1]!s_stm07_bs(A124,"W15910877",$E$1,1,100000000)-[1]!s_stm07_bs_39(A124,$E$1,1,100000000)-[1]!s_stm07_bs(A124,"W17700468",$E$1,1,100000000)-[1]!s_stm07_bs(A124,"W16504296",$E$1,1,100000000)-[1]!s_stm07_bs(A124,"W13769069",$E$1,1,100000000)</f>
        <v>5848.8207699999994</v>
      </c>
      <c r="BW124" s="52">
        <f xml:space="preserve"> [1]!s_stm07_bs(A124,"W15273164",$F$1,1,100000000)-[1]!s_stm07_bs(A124,"W17642530",$F$1,1,100000000)-[1]!s_stm07_bs(A124,"W15910877",$F$1,1,100000000)-[1]!s_stm07_bs_39(A124,$F$1,1,100000000)-[1]!s_stm07_bs(A124,"W17700468",$F$1,1,100000000)-[1]!s_stm07_bs(A124,"W16504296",$F$1,1,100000000)-[1]!s_stm07_bs(A124,"W13769069",$F$1,1,100000000)</f>
        <v>5843.1870100000006</v>
      </c>
      <c r="BX124" s="52">
        <f xml:space="preserve"> [1]!s_stm07_bs(A124,"W15273164",$G$1,1,100000000)-[1]!s_stm07_bs(A124,"W17642530",$G$1,1,100000000)-[1]!s_stm07_bs(A124,"W15910877",$G$1,1,100000000)-[1]!s_stm07_bs_39(A124,$G$1,1,100000000)-[1]!s_stm07_bs(A124,"W17700468",$G$1,1,100000000)-[1]!s_stm07_bs(A124,"W16504296",$G$1,1,100000000)-[1]!s_stm07_bs(A124,"W13769069",$G$1,1,100000000)</f>
        <v>5859.8788499999991</v>
      </c>
      <c r="BY124" s="52">
        <f>IFERROR([1]!b_stm07_is(A124,20,$A$1,1,100000000)/AVERAGEIF(CA124:CE124,"&gt;0")*100,0)</f>
        <v>2.92844354397891</v>
      </c>
      <c r="BZ124" s="52">
        <f>[1]!b_stm07_is(A124,20,$A$1,1,100000000)</f>
        <v>159.11850000000001</v>
      </c>
      <c r="CA124" s="52">
        <f>[1]!s_stmnote_bank_38(A124,$A$1,1,100000000)</f>
        <v>5490.6219300000002</v>
      </c>
      <c r="CB124" s="52">
        <f>[1]!s_stmnote_bank_38(A124,$B$1,1,100000000)</f>
        <v>5405.1689299999998</v>
      </c>
      <c r="CC124" s="52">
        <f>[1]!s_stmnote_bank_38(A124,$E$1,1,100000000)</f>
        <v>5387.6307800000004</v>
      </c>
      <c r="CD124" s="52">
        <f>[1]!s_stmnote_bank_38(A124,$F$1,1,100000000)</f>
        <v>5411.7027099999996</v>
      </c>
      <c r="CE124" s="52">
        <f>[1]!s_stmnote_bank_38(A124,$G$1,1,100000000)</f>
        <v>5472.6351800000002</v>
      </c>
      <c r="CF124" s="52">
        <f>IF(BP124&lt;&gt;0,BP124,IFERROR(IF(([1]!b_stm07_is(A124,19,$A$1,1,100000000)-[1]!b_stm07_is(A124,20,$A$1,1,100000000))/AVERAGE([1]!s_stmnote_bank_35(A124,$A$1,1,100000000),[1]!s_stmnote_bank_35(A124,$B$1,1,100000000))*100=0,"",([1]!b_stm07_is(A124,19,$A$1,1,100000000)-[1]!b_stm07_is(A124,20,$A$1,1,100000000))/AVERAGE([1]!s_stmnote_bank_35(A124,$A$1,1,100000000),[1]!s_stmnote_bank_35(A124,$B$1,1,100000000))*100),""))</f>
        <v>2.2599999999999998</v>
      </c>
      <c r="CG124" s="27" t="str">
        <f t="shared" si="30"/>
        <v>60 171</v>
      </c>
      <c r="CH124" s="80">
        <f t="shared" si="35"/>
        <v>0.52523864996164105</v>
      </c>
      <c r="CI124" s="27" t="str">
        <f t="shared" si="31"/>
        <v>114 169</v>
      </c>
      <c r="CJ124" s="55">
        <f>[1]!s_stmnote_bank_30(A124,$A$1,1)</f>
        <v>13.4049</v>
      </c>
      <c r="CP124" s="69">
        <f>[1]!b_stm07_bs($A124,141,$A$1,1,100000000)</f>
        <v>540.60100999999997</v>
      </c>
      <c r="CQ124" s="69">
        <f>[1]!b_stm07_bs($A124,141,$D$1,1,100000000)</f>
        <v>561.08055000000002</v>
      </c>
      <c r="CR124" s="68">
        <f>IF([1]!s_fa_roic_yearly($A124,$A$1)=0,"",[1]!s_fa_roic_yearly($A124,$A$1))</f>
        <v>12.686999999999999</v>
      </c>
      <c r="CS124" s="27">
        <f t="shared" si="37"/>
        <v>0.14792899408284024</v>
      </c>
      <c r="CT124" s="68">
        <f>IF([1]!s_fa_roic_yearly($A124,$D$1)=0,"",[1]!s_fa_roic_yearly($A124,$D$1))</f>
        <v>11.026400000000001</v>
      </c>
      <c r="CU124" s="27">
        <f t="shared" si="38"/>
        <v>0.352112676056338</v>
      </c>
      <c r="CV124" s="78">
        <f>[1]!s_stm07_bs(A124,"W14578191",$A$1,1,100000000)</f>
        <v>2458.3056499999998</v>
      </c>
      <c r="CW124" s="78">
        <f>[1]!s_stmnote_bank_682($A124,$A$1,1,2,100000000)</f>
        <v>470.29147</v>
      </c>
      <c r="CX124" s="79">
        <f t="shared" si="32"/>
        <v>0.1913071590589234</v>
      </c>
    </row>
    <row r="125" spans="1:102" s="46" customFormat="1" ht="13.5">
      <c r="A125" s="8" t="s">
        <v>87</v>
      </c>
      <c r="B125" s="8" t="s">
        <v>88</v>
      </c>
      <c r="C125" s="9" t="s">
        <v>89</v>
      </c>
      <c r="D125" s="9" t="s">
        <v>1066</v>
      </c>
      <c r="E125" s="10"/>
      <c r="F125" s="11" t="s">
        <v>90</v>
      </c>
      <c r="G125" s="11" t="s">
        <v>67</v>
      </c>
      <c r="H125" s="11" t="s">
        <v>67</v>
      </c>
      <c r="I125" s="11"/>
      <c r="J125" s="11" t="e">
        <f>VLOOKUP(B125,[3]额度信息!$B:$T,19,0)</f>
        <v>#N/A</v>
      </c>
      <c r="K125" s="11"/>
      <c r="L125" s="27">
        <f>IFERROR(([1]!b_stm07_bs($A125,47,$A$1,1,100000000))/[1]!b_stm07_bs($A125,109,$A$1,1,100000000),"")</f>
        <v>7.1183510666928379E-2</v>
      </c>
      <c r="M125" s="20"/>
      <c r="N125" s="18"/>
      <c r="O125" s="27" t="e">
        <f t="shared" si="24"/>
        <v>#N/A</v>
      </c>
      <c r="P125" s="21">
        <f t="shared" si="33"/>
        <v>4.0127820842094847E-2</v>
      </c>
      <c r="Q125" s="27" t="str">
        <f t="shared" si="25"/>
        <v>115 169</v>
      </c>
      <c r="R125" s="18">
        <f>IFERROR([1]!s_stmnote_bank($A125,"34",$A$1,100000000)/[1]!s_stmnote_bank_1n(A125,$A$1,1,100000000),"")</f>
        <v>2.6927820842094843E-2</v>
      </c>
      <c r="S125" s="22"/>
      <c r="T125" s="22"/>
      <c r="U125" s="22"/>
      <c r="V125" s="22"/>
      <c r="W125" s="22"/>
      <c r="X125" s="22"/>
      <c r="Y125" s="22"/>
      <c r="Z125" s="25">
        <f>[1]!b_stm07_bs(A125,74,$A$1,1,100000000)</f>
        <v>769.2437093742999</v>
      </c>
      <c r="AA125" s="25">
        <f>[1]!b_stm07_bs(A125,109,$A$1,1,100000000)</f>
        <v>638.17288566669993</v>
      </c>
      <c r="AB125" s="10">
        <f>[1]!s_stmnote_bank_5n(A125,$A$1,1)</f>
        <v>1.32</v>
      </c>
      <c r="AC125" s="25">
        <f>IF([1]!s_stmnote_bank_23n(A125,$A$1,1)=0,"",IFERROR([1]!s_stmnote_bank_23n(A125,$A$1,1),""))</f>
        <v>345.46</v>
      </c>
      <c r="AD125" s="27" t="str">
        <f t="shared" si="26"/>
        <v>122 167</v>
      </c>
      <c r="AE125" s="25">
        <f>[1]!s_stmnote_bank_capadequacyratio(A125,$A$1,1)</f>
        <v>15.36</v>
      </c>
      <c r="AF125" s="25">
        <f>IF([1]!s_stmnote_bank_capadequacyratio_ct1(A125,$A$1,1)=0,"",IFERROR([1]!s_stmnote_bank_capadequacyratio_ct1(A125,$A$1,1),""))</f>
        <v>14.21</v>
      </c>
      <c r="AG125" s="27" t="str">
        <f t="shared" si="36"/>
        <v>150 167</v>
      </c>
      <c r="AH125" s="6">
        <f>IF(OR([1]!s_fa_roe(A125,20201231)=0,[1]!s_fa_roe(A125,20211231)="0",[1]!s_fa_roe(A125,20221231)="0"),"",IFERROR(([1]!s_fa_roe(A125,20221231)+[1]!s_fa_roe(A125,20201231)+[1]!s_fa_roe(A125,20211231))/3,""))</f>
        <v>6.7075666666666676</v>
      </c>
      <c r="AI125" s="27" t="str">
        <f t="shared" si="27"/>
        <v>66 173</v>
      </c>
      <c r="AJ125" s="28">
        <f>IFERROR(([1]!s_stmnote_bank_65(A125,$A$1,1,2,4,100000000)+[1]!s_stmnote_bank_65(A125,$A$1,1,2,6,100000000))/[1]!s_stmnote_bank_1n(A125,$A$1,1,100000000),"")</f>
        <v>0.21183541579226664</v>
      </c>
      <c r="AK125" s="28">
        <f>IFERROR([1]!s_stmnote_bank_614(A125,$A$1,1,2,100000000)/[1]!s_stmnote_bank_647(A125,$A$1,1,2,100000000),"")</f>
        <v>8.3105454143971649E-2</v>
      </c>
      <c r="AL125" s="28">
        <f>IFERROR(([1]!b_stm07_bs(A125,104,$A$1,1,100000000)+[1]!b_stm07_bs(A125,106,$A$1,1,100000000)+[1]!b_stm07_bs(A125,76,$A$1,1,100000000)+[1]!b_stm07_bs(A125,108,$A$1,1,100000000)+[1]!b_stm07_bs(A125,95,$A$1,1,100000000))/[1]!b_stm07_bs(A125,128,$A$1,1,100000000),"")</f>
        <v>2.7714238938947231E-2</v>
      </c>
      <c r="AM125" s="28">
        <f>IFERROR(([1]!s_stmnote_bank_614(A125,$A$1,1,2,100000000)+[1]!b_stm07_bs(A125,104,$A$1,1,100000000)+[1]!b_stm07_bs(A125,106,$A$1,1,100000000)+[1]!b_stm07_bs(A125,76,$A$1,1,100000000)+[1]!b_stm07_bs(A125,108,$A$1,1,100000000)+[1]!b_stm07_bs(A125,95,$A$1,1,100000000))/[1]!b_stm07_bs(A125,128,$A$1,1,100000000),"")</f>
        <v>0.10400274864847009</v>
      </c>
      <c r="AN125" s="31" t="e">
        <f>IF(Z125&gt;#REF!,#REF!,IF(Z125&gt;#REF!,#REF!,IF(Z125&gt;#REF!,#REF!,IF(Z125&gt;#REF!,#REF!,IF(Z125&gt;#REF!,#REF!,IF(Z125&gt;#REF!,#REF!,IF(Z125&gt;#REF!,#REF!,#REF!)))))))</f>
        <v>#REF!</v>
      </c>
      <c r="AO125" s="31" t="e">
        <f>IF(AA125&gt;#REF!,#REF!,IF(AA125&gt;#REF!,#REF!,IF(AA125&gt;#REF!,#REF!,IF(AA125&gt;#REF!,#REF!,IF(AA125&gt;#REF!,#REF!,IF(AA125&gt;#REF!,#REF!,IF(AA125&gt;#REF!,#REF!,#REF!)))))))</f>
        <v>#REF!</v>
      </c>
      <c r="AP125" s="31" t="e">
        <f>IF(AB125&lt;#REF!,#REF!,IF(AB125&lt;#REF!,#REF!,IF(AB125&lt;#REF!,#REF!,IF(AB125&lt;#REF!,#REF!,IF(AB125&lt;#REF!,#REF!,IF(AB125&lt;#REF!,#REF!,#REF!))))))</f>
        <v>#REF!</v>
      </c>
      <c r="AQ125" s="31" t="e">
        <f>IF(AC125&gt;#REF!,#REF!,IF(AC125&gt;#REF!,#REF!,IF(AC125&gt;#REF!,#REF!,IF(AC125&gt;#REF!,#REF!,#REF!))))</f>
        <v>#REF!</v>
      </c>
      <c r="AR125" s="31" t="e">
        <f>IF(AE125&gt;#REF!,#REF!,IF(AE125&gt;#REF!,#REF!,IF(AE125&gt;#REF!,#REF!,IF(AE125&gt;#REF!,#REF!,#REF!))))</f>
        <v>#REF!</v>
      </c>
      <c r="AS125" s="31" t="e">
        <f>IF(AF125&gt;#REF!,#REF!,IF(AF125&gt;#REF!,#REF!,IF(AF125&gt;#REF!,#REF!,IF(AF125&gt;#REF!,#REF!,#REF!))))</f>
        <v>#REF!</v>
      </c>
      <c r="AT125" s="31" t="e">
        <f>IF(AH125&gt;#REF!,#REF!,IF(AH125&gt;#REF!,#REF!,IF(AH125&gt;#REF!,#REF!,IF(AH125&gt;#REF!,#REF!,IF(AH125&gt;#REF!,#REF!,#REF!)))))</f>
        <v>#REF!</v>
      </c>
      <c r="AU125" s="10" t="e">
        <f t="shared" si="28"/>
        <v>#REF!</v>
      </c>
      <c r="AV125" s="10"/>
      <c r="AW125" s="10"/>
      <c r="AX125" s="10"/>
      <c r="AY125" s="31" t="str">
        <f>IFERROR(VLOOKUP(AV125,#REF!,3,0),"")</f>
        <v/>
      </c>
      <c r="AZ125" s="31" t="str">
        <f>IFERROR(VLOOKUP(AW125,#REF!,3,0),"")</f>
        <v/>
      </c>
      <c r="BA125" s="31" t="str">
        <f>IFERROR(VLOOKUP(AX125,#REF!,3,0),"")</f>
        <v/>
      </c>
      <c r="BB125" s="31" t="str">
        <f>IFERROR(AY125*#REF!+AZ125*#REF!+BA125*#REF!,"")</f>
        <v/>
      </c>
      <c r="BC125" s="32" t="str">
        <f t="shared" si="29"/>
        <v/>
      </c>
      <c r="BD125" s="32" t="str">
        <f>IFERROR(VLOOKUP(BC125*10,#REF!,2,1),"")</f>
        <v/>
      </c>
      <c r="BE125" s="10"/>
      <c r="BF125" s="10"/>
      <c r="BG125" s="10"/>
      <c r="BH125" s="11" t="s">
        <v>91</v>
      </c>
      <c r="BI125" s="10">
        <v>9.9899997711181605</v>
      </c>
      <c r="BJ125" s="11" t="s">
        <v>92</v>
      </c>
      <c r="BK125" s="33" t="s">
        <v>93</v>
      </c>
      <c r="BL125" s="10">
        <f>IF([1]!s_stmnote_bank_17n(A125,$A$1,1)="0","",[1]!s_stmnote_bank_17n(A125,$A$1,1))</f>
        <v>0</v>
      </c>
      <c r="BM125" s="10">
        <f>IF([1]!s_stmnote_bank_18n(A125,$A$1,1)="0","",[1]!s_stmnote_bank_18n(A125,$A$1,1))</f>
        <v>0</v>
      </c>
      <c r="BN125" s="41" t="s">
        <v>67</v>
      </c>
      <c r="BO125" s="68" t="s">
        <v>67</v>
      </c>
      <c r="BP125" s="52">
        <f>[1]!s_stmnote_bank_5444(A125,$A$1,1)</f>
        <v>2.4300000000000002</v>
      </c>
      <c r="BQ125" s="52">
        <f>[1]!s_stmnote_bank_129n($A125,$A$1,1)</f>
        <v>38.090000000000003</v>
      </c>
      <c r="BR125" s="52">
        <f t="shared" si="34"/>
        <v>4.6448799121717084</v>
      </c>
      <c r="BS125" s="52">
        <f>[1]!b_stm07_is(A125,19,$A$1,1,100000000)</f>
        <v>35.020514921500002</v>
      </c>
      <c r="BT125" s="52">
        <f xml:space="preserve"> [1]!s_stm07_bs(A125,"W15273164",$A$1,1,100000000)-[1]!s_stm07_bs(A125,"W17642530",$A$1,1,100000000)-[1]!s_stm07_bs(A125,"W15910877",$A$1,1,100000000)-[1]!s_stm07_bs_39(A125,$A$1,1,100000000)-[1]!s_stm07_bs(A125,"W17700468",$A$1,1,100000000)-[1]!s_stm07_bs(A125,"W16504296",$A$1,1,100000000)-[1]!s_stm07_bs(A125,"W13769069",$A$1,1,100000000)</f>
        <v>757.67113062249996</v>
      </c>
      <c r="BU125" s="52">
        <f xml:space="preserve"> [1]!s_stm07_bs(A125,"W15273164",$B$1,1,100000000)-[1]!s_stm07_bs(A125,"W17642530",$B$1,1,100000000)-[1]!s_stm07_bs(A125,"W15910877",$B$1,1,100000000)-[1]!s_stm07_bs_39(A125,$B$1,1,100000000)-[1]!s_stm07_bs(A125,"W17700468",$B$1,1,100000000)-[1]!s_stm07_bs(A125,"W16504296",$B$1,1,100000000)-[1]!s_stm07_bs(A125,"W13769069",$B$1,1,100000000)</f>
        <v>751.95674301119993</v>
      </c>
      <c r="BV125" s="52">
        <f xml:space="preserve"> [1]!s_stm07_bs(A125,"W15273164",$E$1,1,100000000)-[1]!s_stm07_bs(A125,"W17642530",$E$1,1,100000000)-[1]!s_stm07_bs(A125,"W15910877",$E$1,1,100000000)-[1]!s_stm07_bs_39(A125,$E$1,1,100000000)-[1]!s_stm07_bs(A125,"W17700468",$E$1,1,100000000)-[1]!s_stm07_bs(A125,"W16504296",$E$1,1,100000000)-[1]!s_stm07_bs(A125,"W13769069",$E$1,1,100000000)</f>
        <v>0</v>
      </c>
      <c r="BW125" s="52">
        <f xml:space="preserve"> [1]!s_stm07_bs(A125,"W15273164",$F$1,1,100000000)-[1]!s_stm07_bs(A125,"W17642530",$F$1,1,100000000)-[1]!s_stm07_bs(A125,"W15910877",$F$1,1,100000000)-[1]!s_stm07_bs_39(A125,$F$1,1,100000000)-[1]!s_stm07_bs(A125,"W17700468",$F$1,1,100000000)-[1]!s_stm07_bs(A125,"W16504296",$F$1,1,100000000)-[1]!s_stm07_bs(A125,"W13769069",$F$1,1,100000000)</f>
        <v>764.26747058479998</v>
      </c>
      <c r="BX125" s="52">
        <f xml:space="preserve"> [1]!s_stm07_bs(A125,"W15273164",$G$1,1,100000000)-[1]!s_stm07_bs(A125,"W17642530",$G$1,1,100000000)-[1]!s_stm07_bs(A125,"W15910877",$G$1,1,100000000)-[1]!s_stm07_bs_39(A125,$G$1,1,100000000)-[1]!s_stm07_bs(A125,"W17700468",$G$1,1,100000000)-[1]!s_stm07_bs(A125,"W16504296",$G$1,1,100000000)-[1]!s_stm07_bs(A125,"W13769069",$G$1,1,100000000)</f>
        <v>0</v>
      </c>
      <c r="BY125" s="52">
        <f>IFERROR([1]!b_stm07_is(A125,20,$A$1,1,100000000)/AVERAGEIF(CA125:CE125,"&gt;0")*100,0)</f>
        <v>2.4239057239244235</v>
      </c>
      <c r="BZ125" s="52">
        <f>[1]!b_stm07_is(A125,20,$A$1,1,100000000)</f>
        <v>16.758840782899998</v>
      </c>
      <c r="CA125" s="52">
        <f>[1]!s_stmnote_bank_38(A125,$A$1,1,100000000)</f>
        <v>690.16346843039992</v>
      </c>
      <c r="CB125" s="52">
        <f>[1]!s_stmnote_bank_38(A125,$B$1,1,100000000)</f>
        <v>687.52616482960002</v>
      </c>
      <c r="CC125" s="52">
        <f>[1]!s_stmnote_bank_38(A125,$E$1,1,100000000)</f>
        <v>0</v>
      </c>
      <c r="CD125" s="52">
        <f>[1]!s_stmnote_bank_38(A125,$F$1,1,100000000)</f>
        <v>696.50499619530001</v>
      </c>
      <c r="CE125" s="52">
        <f>[1]!s_stmnote_bank_38(A125,$G$1,1,100000000)</f>
        <v>0</v>
      </c>
      <c r="CF125" s="52">
        <f>IF(BP125&lt;&gt;0,BP125,IFERROR(IF(([1]!b_stm07_is(A125,19,$A$1,1,100000000)-[1]!b_stm07_is(A125,20,$A$1,1,100000000))/AVERAGE([1]!s_stmnote_bank_35(A125,$A$1,1,100000000),[1]!s_stmnote_bank_35(A125,$B$1,1,100000000))*100=0,"",([1]!b_stm07_is(A125,19,$A$1,1,100000000)-[1]!b_stm07_is(A125,20,$A$1,1,100000000))/AVERAGE([1]!s_stmnote_bank_35(A125,$A$1,1,100000000),[1]!s_stmnote_bank_35(A125,$B$1,1,100000000))*100),""))</f>
        <v>2.4300000000000002</v>
      </c>
      <c r="CG125" s="27" t="str">
        <f t="shared" si="30"/>
        <v>31 171</v>
      </c>
      <c r="CH125" s="80">
        <f t="shared" si="35"/>
        <v>0.60556490459877754</v>
      </c>
      <c r="CI125" s="27" t="str">
        <f t="shared" si="31"/>
        <v>94 169</v>
      </c>
      <c r="CJ125" s="55">
        <f>[1]!s_stmnote_bank_30(A125,$A$1,1)</f>
        <v>-1.4300999999999999</v>
      </c>
      <c r="CP125" s="69">
        <f>[1]!b_stm07_bs($A125,141,$A$1,1,100000000)</f>
        <v>74.0453408698</v>
      </c>
      <c r="CQ125" s="69">
        <f>[1]!b_stm07_bs($A125,141,$D$1,1,100000000)</f>
        <v>77.193301660900005</v>
      </c>
      <c r="CR125" s="68">
        <f>IF([1]!s_fa_roic_yearly($A125,$A$1)=0,"",[1]!s_fa_roic_yearly($A125,$A$1))</f>
        <v>7.5509000000000004</v>
      </c>
      <c r="CS125" s="27">
        <f t="shared" si="37"/>
        <v>0.62721893491124259</v>
      </c>
      <c r="CT125" s="68">
        <f>IF([1]!s_fa_roic_yearly($A125,$D$1)=0,"",[1]!s_fa_roic_yearly($A125,$D$1))</f>
        <v>8.4608000000000008</v>
      </c>
      <c r="CU125" s="27">
        <f t="shared" si="38"/>
        <v>0.68309859154929575</v>
      </c>
      <c r="CV125" s="78">
        <f>[1]!s_stm07_bs(A125,"W14578191",$A$1,1,100000000)</f>
        <v>488.12773764489998</v>
      </c>
      <c r="CW125" s="78">
        <f>[1]!s_stmnote_bank_682($A125,$A$1,1,2,100000000)</f>
        <v>164.20378072739999</v>
      </c>
      <c r="CX125" s="79">
        <f t="shared" si="32"/>
        <v>0.33639510329743627</v>
      </c>
    </row>
    <row r="126" spans="1:102" s="46" customFormat="1" ht="13.5">
      <c r="A126" s="8" t="s">
        <v>816</v>
      </c>
      <c r="B126" s="8" t="s">
        <v>817</v>
      </c>
      <c r="C126" s="9" t="s">
        <v>818</v>
      </c>
      <c r="D126" s="9" t="s">
        <v>1061</v>
      </c>
      <c r="E126" s="10" t="s">
        <v>818</v>
      </c>
      <c r="F126" s="11" t="s">
        <v>178</v>
      </c>
      <c r="G126" s="11"/>
      <c r="H126" s="11" t="s">
        <v>179</v>
      </c>
      <c r="I126" s="11"/>
      <c r="J126" s="11">
        <f>VLOOKUP(B126,[3]额度信息!$B:$T,19,0)</f>
        <v>0</v>
      </c>
      <c r="K126" s="11" t="s">
        <v>819</v>
      </c>
      <c r="L126" s="27">
        <f>IFERROR(([1]!b_stm07_bs($A126,47,$A$1,1,100000000))/[1]!b_stm07_bs($A126,109,$A$1,1,100000000),"")</f>
        <v>0.13965923260312388</v>
      </c>
      <c r="M126" s="20">
        <v>115.32</v>
      </c>
      <c r="N126" s="18">
        <f>IFERROR(([1]!s_stmnote_bank_26($A126,$A$1,1,100000000)-[1]!s_stmnote_bank_26($A126,$B$1,1,100000000)+M126)/[1]!s_stmnote_bank_1n($A126,$B$1,1,100000000),"")</f>
        <v>3.3962524615127825E-2</v>
      </c>
      <c r="O126" s="27" t="str">
        <f t="shared" si="24"/>
        <v>49 50</v>
      </c>
      <c r="P126" s="21">
        <f t="shared" si="33"/>
        <v>4.7832391477839901E-2</v>
      </c>
      <c r="Q126" s="27" t="str">
        <f t="shared" si="25"/>
        <v>129 169</v>
      </c>
      <c r="R126" s="18">
        <v>2.6032391477839902E-2</v>
      </c>
      <c r="S126" s="22">
        <v>2.60205506654584E-2</v>
      </c>
      <c r="T126" s="22">
        <v>1.9291753209666002E-2</v>
      </c>
      <c r="U126" s="23">
        <v>2.8350980035834899E-2</v>
      </c>
      <c r="V126" s="22"/>
      <c r="W126" s="22">
        <v>6.6844710660511994E-2</v>
      </c>
      <c r="X126" s="22">
        <v>7.0667174972960406E-2</v>
      </c>
      <c r="Y126" s="22">
        <v>0.46956152942711699</v>
      </c>
      <c r="Z126" s="25">
        <f>[1]!b_stm07_bs(A126,74,$A$1,1,100000000)</f>
        <v>7677.6495100000002</v>
      </c>
      <c r="AA126" s="25">
        <f>[1]!b_stm07_bs(A126,109,$A$1,1,100000000)</f>
        <v>4556.9218600000004</v>
      </c>
      <c r="AB126" s="10">
        <f>[1]!s_stmnote_bank_5n(A126,$A$1,1)</f>
        <v>2.1800000000000002</v>
      </c>
      <c r="AC126" s="25">
        <f>IF([1]!s_stmnote_bank_23n(A126,$A$1,1)=0,"",IFERROR([1]!s_stmnote_bank_23n(A126,$A$1,1),""))</f>
        <v>153.49</v>
      </c>
      <c r="AD126" s="27" t="str">
        <f t="shared" si="26"/>
        <v>25 167</v>
      </c>
      <c r="AE126" s="25">
        <f>[1]!s_stmnote_bank_capadequacyratio(A126,$A$1,1)</f>
        <v>13.3</v>
      </c>
      <c r="AF126" s="25">
        <f>IF([1]!s_stmnote_bank_capadequacyratio_ct1(A126,$A$1,1)=0,"",IFERROR([1]!s_stmnote_bank_capadequacyratio_ct1(A126,$A$1,1),""))</f>
        <v>8.6999999999999993</v>
      </c>
      <c r="AG126" s="27" t="str">
        <f t="shared" si="36"/>
        <v>31 167</v>
      </c>
      <c r="AH126" s="6">
        <f>IF(OR([1]!s_fa_roe(A126,20201231)=0,[1]!s_fa_roe(A126,20211231)="0",[1]!s_fa_roe(A126,20221231)="0"),"",IFERROR(([1]!s_fa_roe(A126,20221231)+[1]!s_fa_roe(A126,20201231)+[1]!s_fa_roe(A126,20211231))/3,""))</f>
        <v>5.561866666666667</v>
      </c>
      <c r="AI126" s="27" t="str">
        <f t="shared" si="27"/>
        <v>50 173</v>
      </c>
      <c r="AJ126" s="28">
        <f>IFERROR(([1]!s_stmnote_bank_65(A126,$A$1,1,2,4,100000000)+[1]!s_stmnote_bank_65(A126,$A$1,1,2,6,100000000))/[1]!s_stmnote_bank_1n(A126,$A$1,1,100000000),"")</f>
        <v>8.4461905009495658E-2</v>
      </c>
      <c r="AK126" s="28">
        <f>IFERROR([1]!s_stmnote_bank_614(A126,$A$1,1,2,100000000)/[1]!s_stmnote_bank_647(A126,$A$1,1,2,100000000),"")</f>
        <v>0.27133705338541836</v>
      </c>
      <c r="AL126" s="28">
        <f>IFERROR(([1]!b_stm07_bs(A126,104,$A$1,1,100000000)+[1]!b_stm07_bs(A126,106,$A$1,1,100000000)+[1]!b_stm07_bs(A126,76,$A$1,1,100000000)+[1]!b_stm07_bs(A126,108,$A$1,1,100000000)+[1]!b_stm07_bs(A126,95,$A$1,1,100000000))/[1]!b_stm07_bs(A126,128,$A$1,1,100000000),"")</f>
        <v>0.27128604222011354</v>
      </c>
      <c r="AM126" s="28">
        <f>IFERROR(([1]!s_stmnote_bank_614(A126,$A$1,1,2,100000000)+[1]!b_stm07_bs(A126,104,$A$1,1,100000000)+[1]!b_stm07_bs(A126,106,$A$1,1,100000000)+[1]!b_stm07_bs(A126,76,$A$1,1,100000000)+[1]!b_stm07_bs(A126,108,$A$1,1,100000000)+[1]!b_stm07_bs(A126,95,$A$1,1,100000000))/[1]!b_stm07_bs(A126,128,$A$1,1,100000000),"")</f>
        <v>0.44645856337745765</v>
      </c>
      <c r="AN126" s="31" t="e">
        <f>IF(Z126&gt;#REF!,#REF!,IF(Z126&gt;#REF!,#REF!,IF(Z126&gt;#REF!,#REF!,IF(Z126&gt;#REF!,#REF!,IF(Z126&gt;#REF!,#REF!,IF(Z126&gt;#REF!,#REF!,IF(Z126&gt;#REF!,#REF!,#REF!)))))))</f>
        <v>#REF!</v>
      </c>
      <c r="AO126" s="31" t="e">
        <f>IF(AA126&gt;#REF!,#REF!,IF(AA126&gt;#REF!,#REF!,IF(AA126&gt;#REF!,#REF!,IF(AA126&gt;#REF!,#REF!,IF(AA126&gt;#REF!,#REF!,IF(AA126&gt;#REF!,#REF!,IF(AA126&gt;#REF!,#REF!,#REF!)))))))</f>
        <v>#REF!</v>
      </c>
      <c r="AP126" s="31" t="e">
        <f>IF(AB126&lt;#REF!,#REF!,IF(AB126&lt;#REF!,#REF!,IF(AB126&lt;#REF!,#REF!,IF(AB126&lt;#REF!,#REF!,IF(AB126&lt;#REF!,#REF!,IF(AB126&lt;#REF!,#REF!,#REF!))))))</f>
        <v>#REF!</v>
      </c>
      <c r="AQ126" s="31" t="e">
        <f>IF(AC126&gt;#REF!,#REF!,IF(AC126&gt;#REF!,#REF!,IF(AC126&gt;#REF!,#REF!,IF(AC126&gt;#REF!,#REF!,#REF!))))</f>
        <v>#REF!</v>
      </c>
      <c r="AR126" s="31" t="e">
        <f>IF(AE126&gt;#REF!,#REF!,IF(AE126&gt;#REF!,#REF!,IF(AE126&gt;#REF!,#REF!,IF(AE126&gt;#REF!,#REF!,#REF!))))</f>
        <v>#REF!</v>
      </c>
      <c r="AS126" s="31" t="e">
        <f>IF(AF126&gt;#REF!,#REF!,IF(AF126&gt;#REF!,#REF!,IF(AF126&gt;#REF!,#REF!,IF(AF126&gt;#REF!,#REF!,#REF!))))</f>
        <v>#REF!</v>
      </c>
      <c r="AT126" s="31" t="e">
        <f>IF(AH126&gt;#REF!,#REF!,IF(AH126&gt;#REF!,#REF!,IF(AH126&gt;#REF!,#REF!,IF(AH126&gt;#REF!,#REF!,IF(AH126&gt;#REF!,#REF!,#REF!)))))</f>
        <v>#REF!</v>
      </c>
      <c r="AU126" s="10" t="e">
        <f t="shared" si="28"/>
        <v>#REF!</v>
      </c>
      <c r="AV126" s="10" t="s">
        <v>141</v>
      </c>
      <c r="AW126" s="10" t="s">
        <v>227</v>
      </c>
      <c r="AX126" s="10" t="s">
        <v>68</v>
      </c>
      <c r="AY126" s="31" t="str">
        <f>IFERROR(VLOOKUP(AV126,#REF!,3,0),"")</f>
        <v/>
      </c>
      <c r="AZ126" s="31" t="str">
        <f>IFERROR(VLOOKUP(AW126,#REF!,3,0),"")</f>
        <v/>
      </c>
      <c r="BA126" s="31" t="str">
        <f>IFERROR(VLOOKUP(AX126,#REF!,3,0),"")</f>
        <v/>
      </c>
      <c r="BB126" s="31" t="str">
        <f>IFERROR(AY126*#REF!+AZ126*#REF!+BA126*#REF!,"")</f>
        <v/>
      </c>
      <c r="BC126" s="32" t="str">
        <f t="shared" si="29"/>
        <v/>
      </c>
      <c r="BD126" s="32" t="str">
        <f>IFERROR(VLOOKUP(BC126*10,#REF!,2,1),"")</f>
        <v/>
      </c>
      <c r="BE126" s="11">
        <v>0</v>
      </c>
      <c r="BF126" s="11">
        <v>0</v>
      </c>
      <c r="BG126" s="10" t="s">
        <v>532</v>
      </c>
      <c r="BH126" s="11" t="s">
        <v>820</v>
      </c>
      <c r="BI126" s="10">
        <v>10.25</v>
      </c>
      <c r="BJ126" s="33" t="s">
        <v>821</v>
      </c>
      <c r="BK126" s="33" t="s">
        <v>822</v>
      </c>
      <c r="BL126" s="10">
        <f>IF([1]!s_stmnote_bank_17n(A126,$A$1,1)="0","",[1]!s_stmnote_bank_17n(A126,$A$1,1))</f>
        <v>3.6</v>
      </c>
      <c r="BM126" s="10">
        <f>IF([1]!s_stmnote_bank_18n(A126,$A$1,1)="0","",[1]!s_stmnote_bank_18n(A126,$A$1,1))</f>
        <v>17.8</v>
      </c>
      <c r="BN126" s="41">
        <v>4.22</v>
      </c>
      <c r="BO126" s="68">
        <v>2.33</v>
      </c>
      <c r="BP126" s="52">
        <f>[1]!s_stmnote_bank_5444(A126,$A$1,1)</f>
        <v>2.31</v>
      </c>
      <c r="BQ126" s="52">
        <f>[1]!s_stmnote_bank_129n($A126,$A$1,1)</f>
        <v>35.950000000000003</v>
      </c>
      <c r="BR126" s="52">
        <f t="shared" si="34"/>
        <v>4.3228789565163996</v>
      </c>
      <c r="BS126" s="52">
        <f>[1]!b_stm07_is(A126,19,$A$1,1,100000000)</f>
        <v>318.68391000000003</v>
      </c>
      <c r="BT126" s="52">
        <f xml:space="preserve"> [1]!s_stm07_bs(A126,"W15273164",$A$1,1,100000000)-[1]!s_stm07_bs(A126,"W17642530",$A$1,1,100000000)-[1]!s_stm07_bs(A126,"W15910877",$A$1,1,100000000)-[1]!s_stm07_bs_39(A126,$A$1,1,100000000)-[1]!s_stm07_bs(A126,"W17700468",$A$1,1,100000000)-[1]!s_stm07_bs(A126,"W16504296",$A$1,1,100000000)-[1]!s_stm07_bs(A126,"W13769069",$A$1,1,100000000)</f>
        <v>7487.944480000001</v>
      </c>
      <c r="BU126" s="52">
        <f xml:space="preserve"> [1]!s_stm07_bs(A126,"W15273164",$B$1,1,100000000)-[1]!s_stm07_bs(A126,"W17642530",$B$1,1,100000000)-[1]!s_stm07_bs(A126,"W15910877",$B$1,1,100000000)-[1]!s_stm07_bs_39(A126,$B$1,1,100000000)-[1]!s_stm07_bs(A126,"W17700468",$B$1,1,100000000)-[1]!s_stm07_bs(A126,"W16504296",$B$1,1,100000000)-[1]!s_stm07_bs(A126,"W13769069",$B$1,1,100000000)</f>
        <v>7389.0466199999992</v>
      </c>
      <c r="BV126" s="52">
        <f xml:space="preserve"> [1]!s_stm07_bs(A126,"W15273164",$E$1,1,100000000)-[1]!s_stm07_bs(A126,"W17642530",$E$1,1,100000000)-[1]!s_stm07_bs(A126,"W15910877",$E$1,1,100000000)-[1]!s_stm07_bs_39(A126,$E$1,1,100000000)-[1]!s_stm07_bs(A126,"W17700468",$E$1,1,100000000)-[1]!s_stm07_bs(A126,"W16504296",$E$1,1,100000000)-[1]!s_stm07_bs(A126,"W13769069",$E$1,1,100000000)</f>
        <v>7130.5674999999992</v>
      </c>
      <c r="BW126" s="52">
        <f xml:space="preserve"> [1]!s_stm07_bs(A126,"W15273164",$F$1,1,100000000)-[1]!s_stm07_bs(A126,"W17642530",$F$1,1,100000000)-[1]!s_stm07_bs(A126,"W15910877",$F$1,1,100000000)-[1]!s_stm07_bs_39(A126,$F$1,1,100000000)-[1]!s_stm07_bs(A126,"W17700468",$F$1,1,100000000)-[1]!s_stm07_bs(A126,"W16504296",$F$1,1,100000000)-[1]!s_stm07_bs(A126,"W13769069",$F$1,1,100000000)</f>
        <v>7338.4401399999997</v>
      </c>
      <c r="BX126" s="52">
        <f xml:space="preserve"> [1]!s_stm07_bs(A126,"W15273164",$G$1,1,100000000)-[1]!s_stm07_bs(A126,"W17642530",$G$1,1,100000000)-[1]!s_stm07_bs(A126,"W15910877",$G$1,1,100000000)-[1]!s_stm07_bs_39(A126,$G$1,1,100000000)-[1]!s_stm07_bs(A126,"W17700468",$G$1,1,100000000)-[1]!s_stm07_bs(A126,"W16504296",$G$1,1,100000000)-[1]!s_stm07_bs(A126,"W13769069",$G$1,1,100000000)</f>
        <v>7210.5996899999991</v>
      </c>
      <c r="BY126" s="52">
        <f>IFERROR([1]!b_stm07_is(A126,20,$A$1,1,100000000)/AVERAGEIF(CA126:CE126,"&gt;0")*100,0)</f>
        <v>2.2381470509929526</v>
      </c>
      <c r="BZ126" s="52">
        <f>[1]!b_stm07_is(A126,20,$A$1,1,100000000)</f>
        <v>151.75422</v>
      </c>
      <c r="CA126" s="52">
        <f>[1]!s_stmnote_bank_38(A126,$A$1,1,100000000)</f>
        <v>6948.3447200000001</v>
      </c>
      <c r="CB126" s="52">
        <f>[1]!s_stmnote_bank_38(A126,$B$1,1,100000000)</f>
        <v>6882.0707199999997</v>
      </c>
      <c r="CC126" s="52">
        <f>[1]!s_stmnote_bank_38(A126,$E$1,1,100000000)</f>
        <v>6566.1871899999996</v>
      </c>
      <c r="CD126" s="52">
        <f>[1]!s_stmnote_bank_38(A126,$F$1,1,100000000)</f>
        <v>6817.3403500000004</v>
      </c>
      <c r="CE126" s="52">
        <f>[1]!s_stmnote_bank_38(A126,$G$1,1,100000000)</f>
        <v>6687.8106900000002</v>
      </c>
      <c r="CF126" s="52">
        <f>IF(BP126&lt;&gt;0,BP126,IFERROR(IF(([1]!b_stm07_is(A126,19,$A$1,1,100000000)-[1]!b_stm07_is(A126,20,$A$1,1,100000000))/AVERAGE([1]!s_stmnote_bank_35(A126,$A$1,1,100000000),[1]!s_stmnote_bank_35(A126,$B$1,1,100000000))*100=0,"",([1]!b_stm07_is(A126,19,$A$1,1,100000000)-[1]!b_stm07_is(A126,20,$A$1,1,100000000))/AVERAGE([1]!s_stmnote_bank_35(A126,$A$1,1,100000000),[1]!s_stmnote_bank_35(A126,$B$1,1,100000000))*100),""))</f>
        <v>2.31</v>
      </c>
      <c r="CG126" s="27" t="str">
        <f t="shared" si="30"/>
        <v>52 171</v>
      </c>
      <c r="CH126" s="80">
        <f t="shared" si="35"/>
        <v>0.48293633845804923</v>
      </c>
      <c r="CI126" s="27" t="str">
        <f t="shared" si="31"/>
        <v>117 169</v>
      </c>
      <c r="CJ126" s="55">
        <f>[1]!s_stmnote_bank_30(A126,$A$1,1)</f>
        <v>13.777200000000001</v>
      </c>
      <c r="CP126" s="69">
        <f>[1]!b_stm07_bs($A126,141,$A$1,1,100000000)</f>
        <v>619.11234999999999</v>
      </c>
      <c r="CQ126" s="69">
        <f>[1]!b_stm07_bs($A126,141,$D$1,1,100000000)</f>
        <v>924.66326000000004</v>
      </c>
      <c r="CR126" s="68">
        <f>IF([1]!s_fa_roic_yearly($A126,$A$1)=0,"",[1]!s_fa_roic_yearly($A126,$A$1))</f>
        <v>6.0151000000000003</v>
      </c>
      <c r="CS126" s="27">
        <f t="shared" si="37"/>
        <v>0.71597633136094674</v>
      </c>
      <c r="CT126" s="68">
        <f>IF([1]!s_fa_roic_yearly($A126,$D$1)=0,"",[1]!s_fa_roic_yearly($A126,$D$1))</f>
        <v>5.6162000000000001</v>
      </c>
      <c r="CU126" s="27">
        <f t="shared" si="38"/>
        <v>0.88028169014084512</v>
      </c>
      <c r="CV126" s="78">
        <f>[1]!s_stm07_bs(A126,"W14578191",$A$1,1,100000000)</f>
        <v>3781.16534</v>
      </c>
      <c r="CW126" s="78">
        <f>[1]!s_stmnote_bank_682($A126,$A$1,1,2,100000000)</f>
        <v>1841.12978</v>
      </c>
      <c r="CX126" s="79">
        <f t="shared" si="32"/>
        <v>0.4869212569265749</v>
      </c>
    </row>
    <row r="127" spans="1:102" s="46" customFormat="1" ht="13.5">
      <c r="A127" s="8" t="s">
        <v>629</v>
      </c>
      <c r="B127" s="8" t="s">
        <v>630</v>
      </c>
      <c r="C127" s="9" t="s">
        <v>631</v>
      </c>
      <c r="D127" s="9" t="s">
        <v>1066</v>
      </c>
      <c r="E127" s="10" t="s">
        <v>456</v>
      </c>
      <c r="F127" s="11" t="s">
        <v>178</v>
      </c>
      <c r="G127" s="11" t="s">
        <v>245</v>
      </c>
      <c r="H127" s="11" t="s">
        <v>245</v>
      </c>
      <c r="I127" s="11"/>
      <c r="J127" s="11">
        <f>VLOOKUP(B127,[3]额度信息!$B:$T,19,0)</f>
        <v>1</v>
      </c>
      <c r="K127" s="11" t="s">
        <v>632</v>
      </c>
      <c r="L127" s="27">
        <f>IFERROR(([1]!b_stm07_bs($A127,47,$A$1,1,100000000))/[1]!b_stm07_bs($A127,109,$A$1,1,100000000),"")</f>
        <v>8.6409665150282464E-2</v>
      </c>
      <c r="M127" s="20"/>
      <c r="N127" s="18"/>
      <c r="O127" s="27" t="e">
        <f t="shared" si="24"/>
        <v>#N/A</v>
      </c>
      <c r="P127" s="21">
        <f t="shared" si="33"/>
        <v>2.1939157007596299E-2</v>
      </c>
      <c r="Q127" s="27" t="str">
        <f t="shared" si="25"/>
        <v>47 169</v>
      </c>
      <c r="R127" s="18">
        <v>1.35391570075963E-2</v>
      </c>
      <c r="S127" s="22"/>
      <c r="T127" s="22"/>
      <c r="U127" s="22"/>
      <c r="V127" s="22"/>
      <c r="W127" s="22"/>
      <c r="X127" s="22"/>
      <c r="Y127" s="22"/>
      <c r="Z127" s="25">
        <f>[1]!b_stm07_bs(A127,74,$A$1,1,100000000)</f>
        <v>5933.6109299999998</v>
      </c>
      <c r="AA127" s="25">
        <f>[1]!b_stm07_bs(A127,109,$A$1,1,100000000)</f>
        <v>4190.65517</v>
      </c>
      <c r="AB127" s="10">
        <f>[1]!s_stmnote_bank_5n(A127,$A$1,1)</f>
        <v>0.84</v>
      </c>
      <c r="AC127" s="25">
        <f>IF([1]!s_stmnote_bank_23n(A127,$A$1,1)=0,"",IFERROR([1]!s_stmnote_bank_23n(A127,$A$1,1),""))</f>
        <v>375.34</v>
      </c>
      <c r="AD127" s="27" t="str">
        <f t="shared" si="26"/>
        <v>129 167</v>
      </c>
      <c r="AE127" s="25">
        <f>[1]!s_stmnote_bank_capadequacyratio(A127,$A$1,1)</f>
        <v>16.29</v>
      </c>
      <c r="AF127" s="25">
        <f>IF([1]!s_stmnote_bank_capadequacyratio_ct1(A127,$A$1,1)=0,"",IFERROR([1]!s_stmnote_bank_capadequacyratio_ct1(A127,$A$1,1),""))</f>
        <v>13.9</v>
      </c>
      <c r="AG127" s="27" t="str">
        <f>RANK(AF127,AF$5:AF$192,0)&amp;" "&amp;COUNTIF(AF$5:AF$192,"&gt;0")</f>
        <v>20 167</v>
      </c>
      <c r="AH127" s="6">
        <f>IF(OR([1]!s_fa_roe(A127,20201231)=0,[1]!s_fa_roe(A127,20211231)="0",[1]!s_fa_roe(A127,20221231)="0"),"",IFERROR(([1]!s_fa_roe(A127,20221231)+[1]!s_fa_roe(A127,20201231)+[1]!s_fa_roe(A127,20211231))/3,""))</f>
        <v>13.104266666666668</v>
      </c>
      <c r="AI127" s="27" t="str">
        <f t="shared" si="27"/>
        <v>157 173</v>
      </c>
      <c r="AJ127" s="28">
        <f>IFERROR(([1]!s_stmnote_bank_65(A127,$A$1,1,2,4,100000000)+[1]!s_stmnote_bank_65(A127,$A$1,1,2,6,100000000))/[1]!s_stmnote_bank_1n(A127,$A$1,1,100000000),"")</f>
        <v>0.11777526222332771</v>
      </c>
      <c r="AK127" s="28">
        <f>IFERROR([1]!s_stmnote_bank_614(A127,$A$1,1,2,100000000)/[1]!s_stmnote_bank_647(A127,$A$1,1,2,100000000),"")</f>
        <v>0.23023097364510667</v>
      </c>
      <c r="AL127" s="28">
        <f>IFERROR(([1]!b_stm07_bs(A127,104,$A$1,1,100000000)+[1]!b_stm07_bs(A127,106,$A$1,1,100000000)+[1]!b_stm07_bs(A127,76,$A$1,1,100000000)+[1]!b_stm07_bs(A127,108,$A$1,1,100000000)+[1]!b_stm07_bs(A127,95,$A$1,1,100000000))/[1]!b_stm07_bs(A127,128,$A$1,1,100000000),"")</f>
        <v>0.19977772235503113</v>
      </c>
      <c r="AM127" s="28">
        <f>IFERROR(([1]!s_stmnote_bank_614(A127,$A$1,1,2,100000000)+[1]!b_stm07_bs(A127,104,$A$1,1,100000000)+[1]!b_stm07_bs(A127,106,$A$1,1,100000000)+[1]!b_stm07_bs(A127,76,$A$1,1,100000000)+[1]!b_stm07_bs(A127,108,$A$1,1,100000000)+[1]!b_stm07_bs(A127,95,$A$1,1,100000000))/[1]!b_stm07_bs(A127,128,$A$1,1,100000000),"")</f>
        <v>0.37733678435628853</v>
      </c>
      <c r="AN127" s="31" t="e">
        <f>IF(Z127&gt;#REF!,#REF!,IF(Z127&gt;#REF!,#REF!,IF(Z127&gt;#REF!,#REF!,IF(Z127&gt;#REF!,#REF!,IF(Z127&gt;#REF!,#REF!,IF(Z127&gt;#REF!,#REF!,IF(Z127&gt;#REF!,#REF!,#REF!)))))))</f>
        <v>#REF!</v>
      </c>
      <c r="AO127" s="31" t="e">
        <f>IF(AA127&gt;#REF!,#REF!,IF(AA127&gt;#REF!,#REF!,IF(AA127&gt;#REF!,#REF!,IF(AA127&gt;#REF!,#REF!,IF(AA127&gt;#REF!,#REF!,IF(AA127&gt;#REF!,#REF!,IF(AA127&gt;#REF!,#REF!,#REF!)))))))</f>
        <v>#REF!</v>
      </c>
      <c r="AP127" s="31" t="e">
        <f>IF(AB127&lt;#REF!,#REF!,IF(AB127&lt;#REF!,#REF!,IF(AB127&lt;#REF!,#REF!,IF(AB127&lt;#REF!,#REF!,IF(AB127&lt;#REF!,#REF!,IF(AB127&lt;#REF!,#REF!,#REF!))))))</f>
        <v>#REF!</v>
      </c>
      <c r="AQ127" s="31" t="e">
        <f>IF(AC127&gt;#REF!,#REF!,IF(AC127&gt;#REF!,#REF!,IF(AC127&gt;#REF!,#REF!,IF(AC127&gt;#REF!,#REF!,#REF!))))</f>
        <v>#REF!</v>
      </c>
      <c r="AR127" s="31" t="e">
        <f>IF(AE127&gt;#REF!,#REF!,IF(AE127&gt;#REF!,#REF!,IF(AE127&gt;#REF!,#REF!,IF(AE127&gt;#REF!,#REF!,#REF!))))</f>
        <v>#REF!</v>
      </c>
      <c r="AS127" s="31" t="e">
        <f>IF(AF127&gt;#REF!,#REF!,IF(AF127&gt;#REF!,#REF!,IF(AF127&gt;#REF!,#REF!,IF(AF127&gt;#REF!,#REF!,#REF!))))</f>
        <v>#REF!</v>
      </c>
      <c r="AT127" s="31" t="e">
        <f>IF(AH127&gt;#REF!,#REF!,IF(AH127&gt;#REF!,#REF!,IF(AH127&gt;#REF!,#REF!,IF(AH127&gt;#REF!,#REF!,IF(AH127&gt;#REF!,#REF!,#REF!)))))</f>
        <v>#REF!</v>
      </c>
      <c r="AU127" s="10" t="e">
        <f t="shared" si="28"/>
        <v>#REF!</v>
      </c>
      <c r="AV127" s="10" t="s">
        <v>60</v>
      </c>
      <c r="AW127" s="10" t="s">
        <v>61</v>
      </c>
      <c r="AX127" s="10" t="s">
        <v>261</v>
      </c>
      <c r="AY127" s="31" t="str">
        <f>IFERROR(VLOOKUP(AV127,#REF!,3,0),"")</f>
        <v/>
      </c>
      <c r="AZ127" s="31" t="str">
        <f>IFERROR(VLOOKUP(AW127,#REF!,3,0),"")</f>
        <v/>
      </c>
      <c r="BA127" s="31" t="str">
        <f>IFERROR(VLOOKUP(AX127,#REF!,3,0),"")</f>
        <v/>
      </c>
      <c r="BB127" s="31" t="str">
        <f>IFERROR(AY127*#REF!+AZ127*#REF!+BA127*#REF!,"")</f>
        <v/>
      </c>
      <c r="BC127" s="32" t="str">
        <f t="shared" si="29"/>
        <v/>
      </c>
      <c r="BD127" s="32" t="str">
        <f>IFERROR(VLOOKUP(BC127*10,#REF!,2,1),"")</f>
        <v/>
      </c>
      <c r="BE127" s="11">
        <v>0</v>
      </c>
      <c r="BF127" s="11">
        <v>-1</v>
      </c>
      <c r="BG127" s="10" t="s">
        <v>633</v>
      </c>
      <c r="BH127" s="11" t="s">
        <v>634</v>
      </c>
      <c r="BI127" s="10">
        <v>16.670000076293899</v>
      </c>
      <c r="BJ127" s="33" t="s">
        <v>280</v>
      </c>
      <c r="BK127" s="33" t="s">
        <v>635</v>
      </c>
      <c r="BL127" s="10">
        <f>IF([1]!s_stmnote_bank_17n(A127,$A$1,1)="0","",[1]!s_stmnote_bank_17n(A127,$A$1,1))</f>
        <v>5.33</v>
      </c>
      <c r="BM127" s="10">
        <f>IF([1]!s_stmnote_bank_18n(A127,$A$1,1)="0","",[1]!s_stmnote_bank_18n(A127,$A$1,1))</f>
        <v>25.25</v>
      </c>
      <c r="BN127" s="41">
        <v>4</v>
      </c>
      <c r="BO127" s="68" t="s">
        <v>67</v>
      </c>
      <c r="BP127" s="52">
        <f>[1]!s_stmnote_bank_5444(A127,$A$1,1)</f>
        <v>1.96</v>
      </c>
      <c r="BQ127" s="52">
        <f>[1]!s_stmnote_bank_129n($A127,$A$1,1)</f>
        <v>34.18</v>
      </c>
      <c r="BR127" s="52">
        <f t="shared" si="34"/>
        <v>3.9846444316839729</v>
      </c>
      <c r="BS127" s="52">
        <f>[1]!b_stm07_is(A127,19,$A$1,1,100000000)</f>
        <v>219.56335000000001</v>
      </c>
      <c r="BT127" s="52">
        <f xml:space="preserve"> [1]!s_stm07_bs(A127,"W15273164",$A$1,1,100000000)-[1]!s_stm07_bs(A127,"W17642530",$A$1,1,100000000)-[1]!s_stm07_bs(A127,"W15910877",$A$1,1,100000000)-[1]!s_stm07_bs_39(A127,$A$1,1,100000000)-[1]!s_stm07_bs(A127,"W17700468",$A$1,1,100000000)-[1]!s_stm07_bs(A127,"W16504296",$A$1,1,100000000)-[1]!s_stm07_bs(A127,"W13769069",$A$1,1,100000000)</f>
        <v>5854.0382</v>
      </c>
      <c r="BU127" s="52">
        <f xml:space="preserve"> [1]!s_stm07_bs(A127,"W15273164",$B$1,1,100000000)-[1]!s_stm07_bs(A127,"W17642530",$B$1,1,100000000)-[1]!s_stm07_bs(A127,"W15910877",$B$1,1,100000000)-[1]!s_stm07_bs_39(A127,$B$1,1,100000000)-[1]!s_stm07_bs(A127,"W17700468",$B$1,1,100000000)-[1]!s_stm07_bs(A127,"W16504296",$B$1,1,100000000)-[1]!s_stm07_bs(A127,"W13769069",$B$1,1,100000000)</f>
        <v>5407.3604500000001</v>
      </c>
      <c r="BV127" s="52">
        <f xml:space="preserve"> [1]!s_stm07_bs(A127,"W15273164",$E$1,1,100000000)-[1]!s_stm07_bs(A127,"W17642530",$E$1,1,100000000)-[1]!s_stm07_bs(A127,"W15910877",$E$1,1,100000000)-[1]!s_stm07_bs_39(A127,$E$1,1,100000000)-[1]!s_stm07_bs(A127,"W17700468",$E$1,1,100000000)-[1]!s_stm07_bs(A127,"W16504296",$E$1,1,100000000)-[1]!s_stm07_bs(A127,"W13769069",$E$1,1,100000000)</f>
        <v>5788.9600399999999</v>
      </c>
      <c r="BW127" s="52">
        <f xml:space="preserve"> [1]!s_stm07_bs(A127,"W15273164",$F$1,1,100000000)-[1]!s_stm07_bs(A127,"W17642530",$F$1,1,100000000)-[1]!s_stm07_bs(A127,"W15910877",$F$1,1,100000000)-[1]!s_stm07_bs_39(A127,$F$1,1,100000000)-[1]!s_stm07_bs(A127,"W17700468",$F$1,1,100000000)-[1]!s_stm07_bs(A127,"W16504296",$F$1,1,100000000)-[1]!s_stm07_bs(A127,"W13769069",$F$1,1,100000000)</f>
        <v>5752.6507600000004</v>
      </c>
      <c r="BX127" s="52">
        <f xml:space="preserve"> [1]!s_stm07_bs(A127,"W15273164",$G$1,1,100000000)-[1]!s_stm07_bs(A127,"W17642530",$G$1,1,100000000)-[1]!s_stm07_bs(A127,"W15910877",$G$1,1,100000000)-[1]!s_stm07_bs_39(A127,$G$1,1,100000000)-[1]!s_stm07_bs(A127,"W17700468",$G$1,1,100000000)-[1]!s_stm07_bs(A127,"W16504296",$G$1,1,100000000)-[1]!s_stm07_bs(A127,"W13769069",$G$1,1,100000000)</f>
        <v>5499.35484</v>
      </c>
      <c r="BY127" s="52">
        <f>IFERROR([1]!b_stm07_is(A127,20,$A$1,1,100000000)/AVERAGEIF(CA127:CE127,"&gt;0")*100,0)</f>
        <v>2.1737841436672163</v>
      </c>
      <c r="BZ127" s="52">
        <f>[1]!b_stm07_is(A127,20,$A$1,1,100000000)</f>
        <v>114.245</v>
      </c>
      <c r="CA127" s="52">
        <f>[1]!s_stmnote_bank_38(A127,$A$1,1,100000000)</f>
        <v>5388.9512999999997</v>
      </c>
      <c r="CB127" s="52">
        <f>[1]!s_stmnote_bank_38(A127,$B$1,1,100000000)</f>
        <v>5021.7254599999997</v>
      </c>
      <c r="CC127" s="52">
        <f>[1]!s_stmnote_bank_38(A127,$E$1,1,100000000)</f>
        <v>5340.8129200000003</v>
      </c>
      <c r="CD127" s="52">
        <f>[1]!s_stmnote_bank_38(A127,$F$1,1,100000000)</f>
        <v>5387.9943599999997</v>
      </c>
      <c r="CE127" s="52">
        <f>[1]!s_stmnote_bank_38(A127,$G$1,1,100000000)</f>
        <v>5138.4240799999998</v>
      </c>
      <c r="CF127" s="52">
        <f>IF(BP127&lt;&gt;0,BP127,IFERROR(IF(([1]!b_stm07_is(A127,19,$A$1,1,100000000)-[1]!b_stm07_is(A127,20,$A$1,1,100000000))/AVERAGE([1]!s_stmnote_bank_35(A127,$A$1,1,100000000),[1]!s_stmnote_bank_35(A127,$B$1,1,100000000))*100=0,"",([1]!b_stm07_is(A127,19,$A$1,1,100000000)-[1]!b_stm07_is(A127,20,$A$1,1,100000000))/AVERAGE([1]!s_stmnote_bank_35(A127,$A$1,1,100000000),[1]!s_stmnote_bank_35(A127,$B$1,1,100000000))*100),""))</f>
        <v>1.96</v>
      </c>
      <c r="CG127" s="27" t="str">
        <f t="shared" si="30"/>
        <v>99 171</v>
      </c>
      <c r="CH127" s="80">
        <f t="shared" si="35"/>
        <v>0.89337981369173025</v>
      </c>
      <c r="CI127" s="27" t="str">
        <f t="shared" si="31"/>
        <v>54 169</v>
      </c>
      <c r="CJ127" s="55">
        <f>[1]!s_stmnote_bank_30(A127,$A$1,1)</f>
        <v>19.712700000000002</v>
      </c>
      <c r="CP127" s="69">
        <f>[1]!b_stm07_bs($A127,141,$A$1,1,100000000)</f>
        <v>499.82112999999998</v>
      </c>
      <c r="CQ127" s="69">
        <f>[1]!b_stm07_bs($A127,141,$D$1,1,100000000)</f>
        <v>515.30222000000003</v>
      </c>
      <c r="CR127" s="68">
        <f>IF([1]!s_fa_roic_yearly($A127,$A$1)=0,"",[1]!s_fa_roic_yearly($A127,$A$1))</f>
        <v>13.384600000000001</v>
      </c>
      <c r="CS127" s="27" t="str">
        <f>RANK(CR127,CR$5:CR$192,1)&amp;" "&amp;COUNTIF(CR$5:CR$192,"&gt;0")</f>
        <v>152 169</v>
      </c>
      <c r="CT127" s="68">
        <f>IF([1]!s_fa_roic_yearly($A127,$D$1)=0,"",[1]!s_fa_roic_yearly($A127,$D$1))</f>
        <v>14.7134</v>
      </c>
      <c r="CU127" s="27" t="str">
        <f>RANK(CT127,CT$5:CT$192,1)&amp;" "&amp;COUNTIF(CT$5:CT$192,"&gt;0")</f>
        <v>130 142</v>
      </c>
      <c r="CV127" s="78">
        <f>[1]!s_stm07_bs(A127,"W14578191",$A$1,1,100000000)</f>
        <v>2896.8453399999999</v>
      </c>
      <c r="CW127" s="78">
        <f>[1]!s_stmnote_bank_682($A127,$A$1,1,2,100000000)</f>
        <v>1088.6690100000001</v>
      </c>
      <c r="CX127" s="79">
        <f t="shared" si="32"/>
        <v>0.37581192028705274</v>
      </c>
    </row>
    <row r="128" spans="1:102" s="46" customFormat="1" ht="13.5">
      <c r="A128" s="8" t="s">
        <v>584</v>
      </c>
      <c r="B128" s="8" t="s">
        <v>585</v>
      </c>
      <c r="C128" s="9" t="s">
        <v>586</v>
      </c>
      <c r="D128" s="9" t="s">
        <v>1061</v>
      </c>
      <c r="E128" s="10" t="s">
        <v>586</v>
      </c>
      <c r="F128" s="11" t="s">
        <v>178</v>
      </c>
      <c r="G128" s="11"/>
      <c r="H128" s="11" t="s">
        <v>116</v>
      </c>
      <c r="I128" s="11"/>
      <c r="J128" s="11">
        <f>VLOOKUP(B128,[3]额度信息!$B:$T,19,0)</f>
        <v>0</v>
      </c>
      <c r="K128" s="11" t="s">
        <v>587</v>
      </c>
      <c r="L128" s="27">
        <f>IFERROR(([1]!b_stm07_bs($A128,47,$A$1,1,100000000))/[1]!b_stm07_bs($A128,109,$A$1,1,100000000),"")</f>
        <v>9.280286713227244E-2</v>
      </c>
      <c r="M128" s="20"/>
      <c r="N128" s="18"/>
      <c r="O128" s="27" t="e">
        <f t="shared" si="24"/>
        <v>#N/A</v>
      </c>
      <c r="P128" s="21">
        <f t="shared" si="33"/>
        <v>4.7862799675025575E-2</v>
      </c>
      <c r="Q128" s="27" t="str">
        <f t="shared" si="25"/>
        <v>130 169</v>
      </c>
      <c r="R128" s="18">
        <f>IFERROR([1]!s_stmnote_bank($A128,"34",$A$1,100000000)/[1]!s_stmnote_bank_1n(A128,$A$1,1,100000000),"")</f>
        <v>2.8862799675025579E-2</v>
      </c>
      <c r="S128" s="22"/>
      <c r="T128" s="22"/>
      <c r="U128" s="22"/>
      <c r="V128" s="22"/>
      <c r="W128" s="22"/>
      <c r="X128" s="22"/>
      <c r="Y128" s="22"/>
      <c r="Z128" s="25">
        <f>[1]!b_stm07_bs(A128,74,$A$1,1,100000000)</f>
        <v>4259.8368</v>
      </c>
      <c r="AA128" s="25">
        <f>[1]!b_stm07_bs(A128,109,$A$1,1,100000000)</f>
        <v>2578.74953</v>
      </c>
      <c r="AB128" s="10">
        <f>[1]!s_stmnote_bank_5n(A128,$A$1,1)</f>
        <v>1.9</v>
      </c>
      <c r="AC128" s="25">
        <f>IF([1]!s_stmnote_bank_23n(A128,$A$1,1)=0,"",IFERROR([1]!s_stmnote_bank_23n(A128,$A$1,1),""))</f>
        <v>155.22</v>
      </c>
      <c r="AD128" s="27" t="str">
        <f t="shared" si="26"/>
        <v>27 167</v>
      </c>
      <c r="AE128" s="25">
        <f>[1]!s_stmnote_bank_capadequacyratio(A128,$A$1,1)</f>
        <v>13.39</v>
      </c>
      <c r="AF128" s="25">
        <f>IF([1]!s_stmnote_bank_capadequacyratio_ct1(A128,$A$1,1)=0,"",IFERROR([1]!s_stmnote_bank_capadequacyratio_ct1(A128,$A$1,1),""))</f>
        <v>9</v>
      </c>
      <c r="AG128" s="27" t="str">
        <f>RANK(AF128,AF$5:AF$192,1)&amp;" "&amp;COUNTIF(AF$5:AF$192,"&gt;0")</f>
        <v>44 167</v>
      </c>
      <c r="AH128" s="6">
        <f>IF(OR([1]!s_fa_roe(A128,20201231)=0,[1]!s_fa_roe(A128,20211231)="0",[1]!s_fa_roe(A128,20221231)="0"),"",IFERROR(([1]!s_fa_roe(A128,20221231)+[1]!s_fa_roe(A128,20201231)+[1]!s_fa_roe(A128,20211231))/3,""))</f>
        <v>9.7249999999999996</v>
      </c>
      <c r="AI128" s="27" t="str">
        <f t="shared" si="27"/>
        <v>114 173</v>
      </c>
      <c r="AJ128" s="28">
        <f>IFERROR(([1]!s_stmnote_bank_65(A128,$A$1,1,2,4,100000000)+[1]!s_stmnote_bank_65(A128,$A$1,1,2,6,100000000))/[1]!s_stmnote_bank_1n(A128,$A$1,1,100000000),"")</f>
        <v>0.133707967610942</v>
      </c>
      <c r="AK128" s="28">
        <f>IFERROR([1]!s_stmnote_bank_614(A128,$A$1,1,2,100000000)/[1]!s_stmnote_bank_647(A128,$A$1,1,2,100000000),"")</f>
        <v>0.30726553346187135</v>
      </c>
      <c r="AL128" s="28">
        <f>IFERROR(([1]!b_stm07_bs(A128,104,$A$1,1,100000000)+[1]!b_stm07_bs(A128,106,$A$1,1,100000000)+[1]!b_stm07_bs(A128,76,$A$1,1,100000000)+[1]!b_stm07_bs(A128,108,$A$1,1,100000000)+[1]!b_stm07_bs(A128,95,$A$1,1,100000000))/[1]!b_stm07_bs(A128,128,$A$1,1,100000000),"")</f>
        <v>0.27623165174065967</v>
      </c>
      <c r="AM128" s="28">
        <f>IFERROR(([1]!s_stmnote_bank_614(A128,$A$1,1,2,100000000)+[1]!b_stm07_bs(A128,104,$A$1,1,100000000)+[1]!b_stm07_bs(A128,106,$A$1,1,100000000)+[1]!b_stm07_bs(A128,76,$A$1,1,100000000)+[1]!b_stm07_bs(A128,108,$A$1,1,100000000)+[1]!b_stm07_bs(A128,95,$A$1,1,100000000))/[1]!b_stm07_bs(A128,128,$A$1,1,100000000),"")</f>
        <v>0.47789719877397985</v>
      </c>
      <c r="AN128" s="31" t="e">
        <f>IF(Z128&gt;#REF!,#REF!,IF(Z128&gt;#REF!,#REF!,IF(Z128&gt;#REF!,#REF!,IF(Z128&gt;#REF!,#REF!,IF(Z128&gt;#REF!,#REF!,IF(Z128&gt;#REF!,#REF!,IF(Z128&gt;#REF!,#REF!,#REF!)))))))</f>
        <v>#REF!</v>
      </c>
      <c r="AO128" s="31" t="e">
        <f>IF(AA128&gt;#REF!,#REF!,IF(AA128&gt;#REF!,#REF!,IF(AA128&gt;#REF!,#REF!,IF(AA128&gt;#REF!,#REF!,IF(AA128&gt;#REF!,#REF!,IF(AA128&gt;#REF!,#REF!,IF(AA128&gt;#REF!,#REF!,#REF!)))))))</f>
        <v>#REF!</v>
      </c>
      <c r="AP128" s="31" t="e">
        <f>IF(AB128&lt;#REF!,#REF!,IF(AB128&lt;#REF!,#REF!,IF(AB128&lt;#REF!,#REF!,IF(AB128&lt;#REF!,#REF!,IF(AB128&lt;#REF!,#REF!,IF(AB128&lt;#REF!,#REF!,#REF!))))))</f>
        <v>#REF!</v>
      </c>
      <c r="AQ128" s="31" t="e">
        <f>IF(AC128&gt;#REF!,#REF!,IF(AC128&gt;#REF!,#REF!,IF(AC128&gt;#REF!,#REF!,IF(AC128&gt;#REF!,#REF!,#REF!))))</f>
        <v>#REF!</v>
      </c>
      <c r="AR128" s="31" t="e">
        <f>IF(AE128&gt;#REF!,#REF!,IF(AE128&gt;#REF!,#REF!,IF(AE128&gt;#REF!,#REF!,IF(AE128&gt;#REF!,#REF!,#REF!))))</f>
        <v>#REF!</v>
      </c>
      <c r="AS128" s="31" t="e">
        <f>IF(AF128&gt;#REF!,#REF!,IF(AF128&gt;#REF!,#REF!,IF(AF128&gt;#REF!,#REF!,IF(AF128&gt;#REF!,#REF!,#REF!))))</f>
        <v>#REF!</v>
      </c>
      <c r="AT128" s="31" t="e">
        <f>IF(AH128&gt;#REF!,#REF!,IF(AH128&gt;#REF!,#REF!,IF(AH128&gt;#REF!,#REF!,IF(AH128&gt;#REF!,#REF!,IF(AH128&gt;#REF!,#REF!,#REF!)))))</f>
        <v>#REF!</v>
      </c>
      <c r="AU128" s="10" t="e">
        <f t="shared" si="28"/>
        <v>#REF!</v>
      </c>
      <c r="AV128" s="10" t="s">
        <v>141</v>
      </c>
      <c r="AW128" s="10" t="s">
        <v>161</v>
      </c>
      <c r="AX128" s="10" t="s">
        <v>141</v>
      </c>
      <c r="AY128" s="31" t="str">
        <f>IFERROR(VLOOKUP(AV128,#REF!,3,0),"")</f>
        <v/>
      </c>
      <c r="AZ128" s="31" t="str">
        <f>IFERROR(VLOOKUP(AW128,#REF!,3,0),"")</f>
        <v/>
      </c>
      <c r="BA128" s="31" t="str">
        <f>IFERROR(VLOOKUP(AX128,#REF!,3,0),"")</f>
        <v/>
      </c>
      <c r="BB128" s="31" t="str">
        <f>IFERROR(AY128*#REF!+AZ128*#REF!+BA128*#REF!,"")</f>
        <v/>
      </c>
      <c r="BC128" s="32" t="str">
        <f t="shared" si="29"/>
        <v/>
      </c>
      <c r="BD128" s="32" t="str">
        <f>IFERROR(VLOOKUP(BC128*10,#REF!,2,1),"")</f>
        <v/>
      </c>
      <c r="BE128" s="11">
        <v>0</v>
      </c>
      <c r="BF128" s="11">
        <v>0</v>
      </c>
      <c r="BG128" s="10" t="s">
        <v>588</v>
      </c>
      <c r="BH128" s="11" t="s">
        <v>589</v>
      </c>
      <c r="BI128" s="10">
        <v>20.530000686645501</v>
      </c>
      <c r="BJ128" s="33" t="s">
        <v>590</v>
      </c>
      <c r="BK128" s="33" t="s">
        <v>591</v>
      </c>
      <c r="BL128" s="10">
        <f>IF([1]!s_stmnote_bank_17n(A128,$A$1,1)="0","",[1]!s_stmnote_bank_17n(A128,$A$1,1))</f>
        <v>2.96</v>
      </c>
      <c r="BM128" s="10">
        <f>IF([1]!s_stmnote_bank_18n(A128,$A$1,1)="0","",[1]!s_stmnote_bank_18n(A128,$A$1,1))</f>
        <v>3.49</v>
      </c>
      <c r="BN128" s="41" t="s">
        <v>67</v>
      </c>
      <c r="BO128" s="68" t="s">
        <v>67</v>
      </c>
      <c r="BP128" s="52">
        <f>[1]!s_stmnote_bank_5444(A128,$A$1,1)</f>
        <v>2.59</v>
      </c>
      <c r="BQ128" s="52">
        <f>[1]!s_stmnote_bank_129n($A128,$A$1,1)</f>
        <v>24.82</v>
      </c>
      <c r="BR128" s="52">
        <f t="shared" si="34"/>
        <v>4.878571389861146</v>
      </c>
      <c r="BS128" s="52">
        <f>[1]!b_stm07_is(A128,19,$A$1,1,100000000)</f>
        <v>197.16327999999999</v>
      </c>
      <c r="BT128" s="52">
        <f xml:space="preserve"> [1]!s_stm07_bs(A128,"W15273164",$A$1,1,100000000)-[1]!s_stm07_bs(A128,"W17642530",$A$1,1,100000000)-[1]!s_stm07_bs(A128,"W15910877",$A$1,1,100000000)-[1]!s_stm07_bs_39(A128,$A$1,1,100000000)-[1]!s_stm07_bs(A128,"W17700468",$A$1,1,100000000)-[1]!s_stm07_bs(A128,"W16504296",$A$1,1,100000000)-[1]!s_stm07_bs(A128,"W13769069",$A$1,1,100000000)</f>
        <v>4180.0483300000005</v>
      </c>
      <c r="BU128" s="52">
        <f xml:space="preserve"> [1]!s_stm07_bs(A128,"W15273164",$B$1,1,100000000)-[1]!s_stm07_bs(A128,"W17642530",$B$1,1,100000000)-[1]!s_stm07_bs(A128,"W15910877",$B$1,1,100000000)-[1]!s_stm07_bs_39(A128,$B$1,1,100000000)-[1]!s_stm07_bs(A128,"W17700468",$B$1,1,100000000)-[1]!s_stm07_bs(A128,"W16504296",$B$1,1,100000000)-[1]!s_stm07_bs(A128,"W13769069",$B$1,1,100000000)</f>
        <v>3986.4546400000004</v>
      </c>
      <c r="BV128" s="52">
        <f xml:space="preserve"> [1]!s_stm07_bs(A128,"W15273164",$E$1,1,100000000)-[1]!s_stm07_bs(A128,"W17642530",$E$1,1,100000000)-[1]!s_stm07_bs(A128,"W15910877",$E$1,1,100000000)-[1]!s_stm07_bs_39(A128,$E$1,1,100000000)-[1]!s_stm07_bs(A128,"W17700468",$E$1,1,100000000)-[1]!s_stm07_bs(A128,"W16504296",$E$1,1,100000000)-[1]!s_stm07_bs(A128,"W13769069",$E$1,1,100000000)</f>
        <v>4111.1697000000004</v>
      </c>
      <c r="BW128" s="52">
        <f xml:space="preserve"> [1]!s_stm07_bs(A128,"W15273164",$F$1,1,100000000)-[1]!s_stm07_bs(A128,"W17642530",$F$1,1,100000000)-[1]!s_stm07_bs(A128,"W15910877",$F$1,1,100000000)-[1]!s_stm07_bs_39(A128,$F$1,1,100000000)-[1]!s_stm07_bs(A128,"W17700468",$F$1,1,100000000)-[1]!s_stm07_bs(A128,"W16504296",$F$1,1,100000000)-[1]!s_stm07_bs(A128,"W13769069",$F$1,1,100000000)</f>
        <v>4160.8448239999998</v>
      </c>
      <c r="BX128" s="52">
        <f xml:space="preserve"> [1]!s_stm07_bs(A128,"W15273164",$G$1,1,100000000)-[1]!s_stm07_bs(A128,"W17642530",$G$1,1,100000000)-[1]!s_stm07_bs(A128,"W15910877",$G$1,1,100000000)-[1]!s_stm07_bs_39(A128,$G$1,1,100000000)-[1]!s_stm07_bs(A128,"W17700468",$G$1,1,100000000)-[1]!s_stm07_bs(A128,"W16504296",$G$1,1,100000000)-[1]!s_stm07_bs(A128,"W13769069",$G$1,1,100000000)</f>
        <v>4224.9642999999996</v>
      </c>
      <c r="BY128" s="52">
        <f>IFERROR([1]!b_stm07_is(A128,20,$A$1,1,100000000)/AVERAGEIF(CA128:CE128,"&gt;0")*100,0)</f>
        <v>2.5799297200816365</v>
      </c>
      <c r="BZ128" s="52">
        <f>[1]!b_stm07_is(A128,20,$A$1,1,100000000)</f>
        <v>98.252560000000003</v>
      </c>
      <c r="CA128" s="52">
        <f>[1]!s_stmnote_bank_38(A128,$A$1,1,100000000)</f>
        <v>3895.5631400000002</v>
      </c>
      <c r="CB128" s="52">
        <f>[1]!s_stmnote_bank_38(A128,$B$1,1,100000000)</f>
        <v>3721.1218600000002</v>
      </c>
      <c r="CC128" s="52">
        <f>[1]!s_stmnote_bank_38(A128,$E$1,1,100000000)</f>
        <v>0</v>
      </c>
      <c r="CD128" s="52">
        <f>[1]!s_stmnote_bank_38(A128,$F$1,1,100000000)</f>
        <v>0</v>
      </c>
      <c r="CE128" s="52">
        <f>[1]!s_stmnote_bank_38(A128,$G$1,1,100000000)</f>
        <v>0</v>
      </c>
      <c r="CF128" s="52">
        <f>IF(BP128&lt;&gt;0,BP128,IFERROR(IF(([1]!b_stm07_is(A128,19,$A$1,1,100000000)-[1]!b_stm07_is(A128,20,$A$1,1,100000000))/AVERAGE([1]!s_stmnote_bank_35(A128,$A$1,1,100000000),[1]!s_stmnote_bank_35(A128,$B$1,1,100000000))*100=0,"",([1]!b_stm07_is(A128,19,$A$1,1,100000000)-[1]!b_stm07_is(A128,20,$A$1,1,100000000))/AVERAGE([1]!s_stmnote_bank_35(A128,$A$1,1,100000000),[1]!s_stmnote_bank_35(A128,$B$1,1,100000000))*100),""))</f>
        <v>2.59</v>
      </c>
      <c r="CG128" s="27" t="str">
        <f t="shared" si="30"/>
        <v>23 171</v>
      </c>
      <c r="CH128" s="80">
        <f t="shared" si="35"/>
        <v>0.54113006710542289</v>
      </c>
      <c r="CI128" s="27" t="str">
        <f t="shared" si="31"/>
        <v>108 169</v>
      </c>
      <c r="CJ128" s="55">
        <f>[1]!s_stmnote_bank_30(A128,$A$1,1)</f>
        <v>14.0427</v>
      </c>
      <c r="CP128" s="69">
        <f>[1]!b_stm07_bs($A128,141,$A$1,1,100000000)</f>
        <v>330.75292000000002</v>
      </c>
      <c r="CQ128" s="69">
        <f>[1]!b_stm07_bs($A128,141,$D$1,1,100000000)</f>
        <v>343.39526765070002</v>
      </c>
      <c r="CR128" s="68">
        <f>IF([1]!s_fa_roic_yearly($A128,$A$1)=0,"",[1]!s_fa_roic_yearly($A128,$A$1))</f>
        <v>9.6170000000000009</v>
      </c>
      <c r="CS128" s="27">
        <f>RANK(CR128,CR$5:CR$192,0)/COUNTIF(CR$5:CR$192,"&gt;0")</f>
        <v>0.38461538461538464</v>
      </c>
      <c r="CT128" s="68">
        <f>IF([1]!s_fa_roic_yearly($A128,$D$1)=0,"",[1]!s_fa_roic_yearly($A128,$D$1))</f>
        <v>10.7928</v>
      </c>
      <c r="CU128" s="27">
        <f>RANK(CT128,CT$5:CT$192,0)/COUNTIF(CT$5:CT$192,"&gt;0")</f>
        <v>0.39436619718309857</v>
      </c>
      <c r="CV128" s="78">
        <f>[1]!s_stm07_bs(A128,"W14578191",$A$1,1,100000000)</f>
        <v>2434.1139899999998</v>
      </c>
      <c r="CW128" s="78">
        <f>[1]!s_stmnote_bank_682($A128,$A$1,1,2,100000000)</f>
        <v>886.46918000000005</v>
      </c>
      <c r="CX128" s="79">
        <f t="shared" si="32"/>
        <v>0.36418556552480935</v>
      </c>
    </row>
    <row r="129" spans="1:102" s="46" customFormat="1" ht="13.5">
      <c r="A129" s="8" t="s">
        <v>371</v>
      </c>
      <c r="B129" s="8" t="s">
        <v>372</v>
      </c>
      <c r="C129" s="9" t="s">
        <v>373</v>
      </c>
      <c r="D129" s="9" t="s">
        <v>1061</v>
      </c>
      <c r="E129" s="10" t="s">
        <v>373</v>
      </c>
      <c r="F129" s="11" t="s">
        <v>66</v>
      </c>
      <c r="G129" s="11" t="s">
        <v>83</v>
      </c>
      <c r="H129" s="11" t="s">
        <v>179</v>
      </c>
      <c r="I129" s="11"/>
      <c r="J129" s="11">
        <f>VLOOKUP(B129,[3]额度信息!$B:$T,19,0)</f>
        <v>0</v>
      </c>
      <c r="K129" s="11" t="s">
        <v>374</v>
      </c>
      <c r="L129" s="27">
        <f>IFERROR(([1]!b_stm07_bs($A129,47,$A$1,1,100000000))/[1]!b_stm07_bs($A129,109,$A$1,1,100000000),"")</f>
        <v>0.10447217464866292</v>
      </c>
      <c r="M129" s="20">
        <v>30.8</v>
      </c>
      <c r="N129" s="18">
        <f>IFERROR(([1]!s_stmnote_bank_26($A129,$A$1,1,100000000)-[1]!s_stmnote_bank_26($A129,$B$1,1,100000000)+M129)/[1]!s_stmnote_bank_1n($A129,$B$1,1,100000000),"")</f>
        <v>1.8087737232672194E-2</v>
      </c>
      <c r="O129" s="27" t="str">
        <f t="shared" si="24"/>
        <v>41 50</v>
      </c>
      <c r="P129" s="21">
        <f t="shared" si="33"/>
        <v>4.9034035619631405E-2</v>
      </c>
      <c r="Q129" s="27" t="str">
        <f t="shared" si="25"/>
        <v>131 169</v>
      </c>
      <c r="R129" s="18">
        <f>IFERROR([1]!s_stmnote_bank($A129,"34",$A$1,100000000)/[1]!s_stmnote_bank_1n(A129,$A$1,1,100000000),"")</f>
        <v>2.0334035619631402E-2</v>
      </c>
      <c r="S129" s="22"/>
      <c r="T129" s="22"/>
      <c r="U129" s="22">
        <v>1.6728265869281798E-2</v>
      </c>
      <c r="V129" s="22"/>
      <c r="W129" s="22">
        <v>2.54909373489825E-3</v>
      </c>
      <c r="X129" s="22">
        <v>7.3749916466488E-2</v>
      </c>
      <c r="Y129" s="22">
        <v>0.34485467399842901</v>
      </c>
      <c r="Z129" s="25">
        <f>[1]!b_stm07_bs(A129,74,$A$1,1,100000000)</f>
        <v>4687.5593399999998</v>
      </c>
      <c r="AA129" s="25">
        <f>[1]!b_stm07_bs(A129,109,$A$1,1,100000000)</f>
        <v>3164.0533099999998</v>
      </c>
      <c r="AB129" s="10">
        <f>[1]!s_stmnote_bank_5n(A129,$A$1,1)</f>
        <v>2.87</v>
      </c>
      <c r="AC129" s="25">
        <f>IF([1]!s_stmnote_bank_23n(A129,$A$1,1)=0,"",IFERROR([1]!s_stmnote_bank_23n(A129,$A$1,1),""))</f>
        <v>135.24</v>
      </c>
      <c r="AD129" s="27" t="str">
        <f t="shared" si="26"/>
        <v>8 167</v>
      </c>
      <c r="AE129" s="25">
        <f>[1]!s_stmnote_bank_capadequacyratio(A129,$A$1,1)</f>
        <v>12.29</v>
      </c>
      <c r="AF129" s="25">
        <f>IF([1]!s_stmnote_bank_capadequacyratio_ct1(A129,$A$1,1)=0,"",IFERROR([1]!s_stmnote_bank_capadequacyratio_ct1(A129,$A$1,1),""))</f>
        <v>8.6999999999999993</v>
      </c>
      <c r="AG129" s="27" t="str">
        <f>RANK(AF129,AF$5:AF$192,1)&amp;" "&amp;COUNTIF(AF$5:AF$192,"&gt;0")</f>
        <v>31 167</v>
      </c>
      <c r="AH129" s="6">
        <f>IF(OR([1]!s_fa_roe(A129,20201231)=0,[1]!s_fa_roe(A129,20211231)="0",[1]!s_fa_roe(A129,20221231)="0"),"",IFERROR(([1]!s_fa_roe(A129,20221231)+[1]!s_fa_roe(A129,20201231)+[1]!s_fa_roe(A129,20211231))/3,""))</f>
        <v>5.1875666666666662</v>
      </c>
      <c r="AI129" s="27" t="str">
        <f t="shared" si="27"/>
        <v>42 173</v>
      </c>
      <c r="AJ129" s="28">
        <f>IFERROR(([1]!s_stmnote_bank_65(A129,$A$1,1,2,4,100000000)+[1]!s_stmnote_bank_65(A129,$A$1,1,2,6,100000000))/[1]!s_stmnote_bank_1n(A129,$A$1,1,100000000),"")</f>
        <v>0.13317061831399016</v>
      </c>
      <c r="AK129" s="28">
        <f>IFERROR([1]!s_stmnote_bank_614(A129,$A$1,1,2,100000000)/[1]!s_stmnote_bank_647(A129,$A$1,1,2,100000000),"")</f>
        <v>0.34791159381571862</v>
      </c>
      <c r="AL129" s="28">
        <f>IFERROR(([1]!b_stm07_bs(A129,104,$A$1,1,100000000)+[1]!b_stm07_bs(A129,106,$A$1,1,100000000)+[1]!b_stm07_bs(A129,76,$A$1,1,100000000)+[1]!b_stm07_bs(A129,108,$A$1,1,100000000)+[1]!b_stm07_bs(A129,95,$A$1,1,100000000))/[1]!b_stm07_bs(A129,128,$A$1,1,100000000),"")</f>
        <v>0.20603620989589183</v>
      </c>
      <c r="AM129" s="28">
        <f>IFERROR(([1]!s_stmnote_bank_614(A129,$A$1,1,2,100000000)+[1]!b_stm07_bs(A129,104,$A$1,1,100000000)+[1]!b_stm07_bs(A129,106,$A$1,1,100000000)+[1]!b_stm07_bs(A129,76,$A$1,1,100000000)+[1]!b_stm07_bs(A129,108,$A$1,1,100000000)+[1]!b_stm07_bs(A129,95,$A$1,1,100000000))/[1]!b_stm07_bs(A129,128,$A$1,1,100000000),"")</f>
        <v>0.45748807716313056</v>
      </c>
      <c r="AN129" s="31" t="e">
        <f>IF(Z129&gt;#REF!,#REF!,IF(Z129&gt;#REF!,#REF!,IF(Z129&gt;#REF!,#REF!,IF(Z129&gt;#REF!,#REF!,IF(Z129&gt;#REF!,#REF!,IF(Z129&gt;#REF!,#REF!,IF(Z129&gt;#REF!,#REF!,#REF!)))))))</f>
        <v>#REF!</v>
      </c>
      <c r="AO129" s="31" t="e">
        <f>IF(AA129&gt;#REF!,#REF!,IF(AA129&gt;#REF!,#REF!,IF(AA129&gt;#REF!,#REF!,IF(AA129&gt;#REF!,#REF!,IF(AA129&gt;#REF!,#REF!,IF(AA129&gt;#REF!,#REF!,IF(AA129&gt;#REF!,#REF!,#REF!)))))))</f>
        <v>#REF!</v>
      </c>
      <c r="AP129" s="31" t="e">
        <f>IF(AB129&lt;#REF!,#REF!,IF(AB129&lt;#REF!,#REF!,IF(AB129&lt;#REF!,#REF!,IF(AB129&lt;#REF!,#REF!,IF(AB129&lt;#REF!,#REF!,IF(AB129&lt;#REF!,#REF!,#REF!))))))</f>
        <v>#REF!</v>
      </c>
      <c r="AQ129" s="31" t="e">
        <f>IF(AC129&gt;#REF!,#REF!,IF(AC129&gt;#REF!,#REF!,IF(AC129&gt;#REF!,#REF!,IF(AC129&gt;#REF!,#REF!,#REF!))))</f>
        <v>#REF!</v>
      </c>
      <c r="AR129" s="31" t="e">
        <f>IF(AE129&gt;#REF!,#REF!,IF(AE129&gt;#REF!,#REF!,IF(AE129&gt;#REF!,#REF!,IF(AE129&gt;#REF!,#REF!,#REF!))))</f>
        <v>#REF!</v>
      </c>
      <c r="AS129" s="31" t="e">
        <f>IF(AF129&gt;#REF!,#REF!,IF(AF129&gt;#REF!,#REF!,IF(AF129&gt;#REF!,#REF!,IF(AF129&gt;#REF!,#REF!,#REF!))))</f>
        <v>#REF!</v>
      </c>
      <c r="AT129" s="31" t="e">
        <f>IF(AH129&gt;#REF!,#REF!,IF(AH129&gt;#REF!,#REF!,IF(AH129&gt;#REF!,#REF!,IF(AH129&gt;#REF!,#REF!,IF(AH129&gt;#REF!,#REF!,#REF!)))))</f>
        <v>#REF!</v>
      </c>
      <c r="AU129" s="10" t="e">
        <f t="shared" si="28"/>
        <v>#REF!</v>
      </c>
      <c r="AV129" s="10" t="s">
        <v>141</v>
      </c>
      <c r="AW129" s="10" t="s">
        <v>161</v>
      </c>
      <c r="AX129" s="10" t="s">
        <v>141</v>
      </c>
      <c r="AY129" s="31" t="str">
        <f>IFERROR(VLOOKUP(AV129,#REF!,3,0),"")</f>
        <v/>
      </c>
      <c r="AZ129" s="31" t="str">
        <f>IFERROR(VLOOKUP(AW129,#REF!,3,0),"")</f>
        <v/>
      </c>
      <c r="BA129" s="31" t="str">
        <f>IFERROR(VLOOKUP(AX129,#REF!,3,0),"")</f>
        <v/>
      </c>
      <c r="BB129" s="31" t="str">
        <f>IFERROR(AY129*#REF!+AZ129*#REF!+BA129*#REF!,"")</f>
        <v/>
      </c>
      <c r="BC129" s="32" t="str">
        <f t="shared" si="29"/>
        <v/>
      </c>
      <c r="BD129" s="32" t="str">
        <f>IFERROR(VLOOKUP(BC129*10,#REF!,2,1),"")</f>
        <v/>
      </c>
      <c r="BE129" s="11">
        <v>0</v>
      </c>
      <c r="BF129" s="11"/>
      <c r="BG129" s="10"/>
      <c r="BH129" s="11" t="s">
        <v>375</v>
      </c>
      <c r="BI129" s="10">
        <v>13.1099996566772</v>
      </c>
      <c r="BJ129" s="33" t="s">
        <v>376</v>
      </c>
      <c r="BK129" s="33" t="s">
        <v>377</v>
      </c>
      <c r="BL129" s="10">
        <f>IF([1]!s_stmnote_bank_17n(A129,$A$1,1)="0","",[1]!s_stmnote_bank_17n(A129,$A$1,1))</f>
        <v>7.1</v>
      </c>
      <c r="BM129" s="10">
        <f>IF([1]!s_stmnote_bank_18n(A129,$A$1,1)="0","",[1]!s_stmnote_bank_18n(A129,$A$1,1))</f>
        <v>0</v>
      </c>
      <c r="BN129" s="41"/>
      <c r="BO129" s="52"/>
      <c r="BP129" s="52">
        <f>[1]!s_stmnote_bank_5444(A129,$A$1,1)</f>
        <v>0</v>
      </c>
      <c r="BQ129" s="52">
        <f>[1]!s_stmnote_bank_129n($A129,$A$1,1)</f>
        <v>35.090000000000003</v>
      </c>
      <c r="BR129" s="52">
        <f t="shared" si="34"/>
        <v>3.5911477127299944</v>
      </c>
      <c r="BS129" s="52">
        <f>[1]!b_stm07_is(A129,19,$A$1,1,100000000)</f>
        <v>157.65996000000001</v>
      </c>
      <c r="BT129" s="52">
        <f xml:space="preserve"> [1]!s_stm07_bs(A129,"W15273164",$A$1,1,100000000)-[1]!s_stm07_bs(A129,"W17642530",$A$1,1,100000000)-[1]!s_stm07_bs(A129,"W15910877",$A$1,1,100000000)-[1]!s_stm07_bs_39(A129,$A$1,1,100000000)-[1]!s_stm07_bs(A129,"W17700468",$A$1,1,100000000)-[1]!s_stm07_bs(A129,"W16504296",$A$1,1,100000000)-[1]!s_stm07_bs(A129,"W13769069",$A$1,1,100000000)</f>
        <v>4611.9678400000003</v>
      </c>
      <c r="BU129" s="52">
        <f xml:space="preserve"> [1]!s_stm07_bs(A129,"W15273164",$B$1,1,100000000)-[1]!s_stm07_bs(A129,"W17642530",$B$1,1,100000000)-[1]!s_stm07_bs(A129,"W15910877",$B$1,1,100000000)-[1]!s_stm07_bs_39(A129,$B$1,1,100000000)-[1]!s_stm07_bs(A129,"W17700468",$B$1,1,100000000)-[1]!s_stm07_bs(A129,"W16504296",$B$1,1,100000000)-[1]!s_stm07_bs(A129,"W13769069",$B$1,1,100000000)</f>
        <v>4319.9846400000006</v>
      </c>
      <c r="BV129" s="52">
        <f xml:space="preserve"> [1]!s_stm07_bs(A129,"W15273164",$E$1,1,100000000)-[1]!s_stm07_bs(A129,"W17642530",$E$1,1,100000000)-[1]!s_stm07_bs(A129,"W15910877",$E$1,1,100000000)-[1]!s_stm07_bs_39(A129,$E$1,1,100000000)-[1]!s_stm07_bs(A129,"W17700468",$E$1,1,100000000)-[1]!s_stm07_bs(A129,"W16504296",$E$1,1,100000000)-[1]!s_stm07_bs(A129,"W13769069",$E$1,1,100000000)</f>
        <v>4714.5328449999997</v>
      </c>
      <c r="BW129" s="52">
        <f xml:space="preserve"> [1]!s_stm07_bs(A129,"W15273164",$F$1,1,100000000)-[1]!s_stm07_bs(A129,"W17642530",$F$1,1,100000000)-[1]!s_stm07_bs(A129,"W15910877",$F$1,1,100000000)-[1]!s_stm07_bs_39(A129,$F$1,1,100000000)-[1]!s_stm07_bs(A129,"W17700468",$F$1,1,100000000)-[1]!s_stm07_bs(A129,"W16504296",$F$1,1,100000000)-[1]!s_stm07_bs(A129,"W13769069",$F$1,1,100000000)</f>
        <v>4571.8612830000002</v>
      </c>
      <c r="BX129" s="52">
        <f xml:space="preserve"> [1]!s_stm07_bs(A129,"W15273164",$G$1,1,100000000)-[1]!s_stm07_bs(A129,"W17642530",$G$1,1,100000000)-[1]!s_stm07_bs(A129,"W15910877",$G$1,1,100000000)-[1]!s_stm07_bs_39(A129,$G$1,1,100000000)-[1]!s_stm07_bs(A129,"W17700468",$G$1,1,100000000)-[1]!s_stm07_bs(A129,"W16504296",$G$1,1,100000000)-[1]!s_stm07_bs(A129,"W13769069",$G$1,1,100000000)</f>
        <v>4242.7998100000004</v>
      </c>
      <c r="BY129" s="52">
        <f>IFERROR([1]!b_stm07_is(A129,20,$A$1,1,100000000)/AVERAGEIF(CA129:CE129,"&gt;0")*100,0)</f>
        <v>2.671130585212528</v>
      </c>
      <c r="BZ129" s="52">
        <f>[1]!b_stm07_is(A129,20,$A$1,1,100000000)</f>
        <v>110.92128</v>
      </c>
      <c r="CA129" s="52">
        <f>[1]!s_stmnote_bank_38(A129,$A$1,1,100000000)</f>
        <v>4317.5867500000004</v>
      </c>
      <c r="CB129" s="52">
        <f>[1]!s_stmnote_bank_38(A129,$B$1,1,100000000)</f>
        <v>4115.3791499999998</v>
      </c>
      <c r="CC129" s="52">
        <f>[1]!s_stmnote_bank_38(A129,$E$1,1,100000000)</f>
        <v>0</v>
      </c>
      <c r="CD129" s="52">
        <f>[1]!s_stmnote_bank_38(A129,$F$1,1,100000000)</f>
        <v>0</v>
      </c>
      <c r="CE129" s="52">
        <f>[1]!s_stmnote_bank_38(A129,$G$1,1,100000000)</f>
        <v>4024.8241400000002</v>
      </c>
      <c r="CF129" s="52">
        <f>IF(BP129&lt;&gt;0,BP129,IFERROR(IF(([1]!b_stm07_is(A129,19,$A$1,1,100000000)-[1]!b_stm07_is(A129,20,$A$1,1,100000000))/AVERAGE([1]!s_stmnote_bank_35(A129,$A$1,1,100000000),[1]!s_stmnote_bank_35(A129,$B$1,1,100000000))*100=0,"",([1]!b_stm07_is(A129,19,$A$1,1,100000000)-[1]!b_stm07_is(A129,20,$A$1,1,100000000))/AVERAGE([1]!s_stmnote_bank_35(A129,$A$1,1,100000000),[1]!s_stmnote_bank_35(A129,$B$1,1,100000000))*100),""))</f>
        <v>1.1279848653750237</v>
      </c>
      <c r="CG129" s="27" t="str">
        <f t="shared" si="30"/>
        <v>166 171</v>
      </c>
      <c r="CH129" s="80">
        <f t="shared" si="35"/>
        <v>0.23004120528138222</v>
      </c>
      <c r="CI129" s="27" t="str">
        <f t="shared" si="31"/>
        <v>156 169</v>
      </c>
      <c r="CJ129" s="55">
        <f>[1]!s_stmnote_bank_30(A129,$A$1,1)</f>
        <v>31.283000000000001</v>
      </c>
      <c r="CP129" s="69">
        <f>[1]!b_stm07_bs($A129,141,$A$1,1,100000000)</f>
        <v>309.74007</v>
      </c>
      <c r="CQ129" s="69">
        <f>[1]!b_stm07_bs($A129,141,$D$1,1,100000000)</f>
        <v>312.255155</v>
      </c>
      <c r="CR129" s="68">
        <f>IF([1]!s_fa_roic_yearly($A129,$A$1)=0,"",[1]!s_fa_roic_yearly($A129,$A$1))</f>
        <v>4.6333000000000002</v>
      </c>
      <c r="CS129" s="27">
        <f>RANK(CR129,CR$5:CR$192,0)/COUNTIF(CR$5:CR$192,"&gt;0")</f>
        <v>0.83431952662721898</v>
      </c>
      <c r="CT129" s="68" t="str">
        <f>IF([1]!s_fa_roic_yearly($A129,$D$1)=0,"",[1]!s_fa_roic_yearly($A129,$D$1))</f>
        <v/>
      </c>
      <c r="CU129" s="27" t="e">
        <f>RANK(CT129,CT$5:CT$192,0)/COUNTIF(CT$5:CT$192,"&gt;0")</f>
        <v>#VALUE!</v>
      </c>
      <c r="CV129" s="78">
        <f>[1]!s_stm07_bs(A129,"W14578191",$A$1,1,100000000)</f>
        <v>2404.5761200000002</v>
      </c>
      <c r="CW129" s="78">
        <f>[1]!s_stmnote_bank_682($A129,$A$1,1,2,100000000)</f>
        <v>800.45138999999995</v>
      </c>
      <c r="CX129" s="79">
        <f t="shared" si="32"/>
        <v>0.33288669189644948</v>
      </c>
    </row>
    <row r="130" spans="1:102" s="46" customFormat="1" ht="13.5">
      <c r="A130" s="8" t="s">
        <v>385</v>
      </c>
      <c r="B130" s="8" t="s">
        <v>386</v>
      </c>
      <c r="C130" s="9" t="s">
        <v>387</v>
      </c>
      <c r="D130" s="9" t="s">
        <v>1061</v>
      </c>
      <c r="E130" s="10" t="s">
        <v>167</v>
      </c>
      <c r="F130" s="11" t="s">
        <v>178</v>
      </c>
      <c r="G130" s="11" t="s">
        <v>346</v>
      </c>
      <c r="H130" s="11" t="s">
        <v>245</v>
      </c>
      <c r="I130" s="11"/>
      <c r="J130" s="11">
        <f>VLOOKUP(B130,[3]额度信息!$B:$T,19,0)</f>
        <v>0</v>
      </c>
      <c r="K130" s="11" t="s">
        <v>388</v>
      </c>
      <c r="L130" s="27">
        <f>IFERROR(([1]!b_stm07_bs($A130,47,$A$1,1,100000000))/[1]!b_stm07_bs($A130,109,$A$1,1,100000000),"")</f>
        <v>0.10642764929436012</v>
      </c>
      <c r="M130" s="20">
        <v>6.9</v>
      </c>
      <c r="N130" s="18">
        <f>IFERROR(([1]!s_stmnote_bank_26($A130,$A$1,1,100000000)-[1]!s_stmnote_bank_26($A130,$B$1,1,100000000)+M130)/[1]!s_stmnote_bank_1n($A130,$B$1,1,100000000),"")</f>
        <v>5.8914807457064863E-3</v>
      </c>
      <c r="O130" s="27" t="str">
        <f t="shared" si="24"/>
        <v>17 50</v>
      </c>
      <c r="P130" s="21">
        <f t="shared" si="33"/>
        <v>1.2576439526155602E-2</v>
      </c>
      <c r="Q130" s="27" t="str">
        <f t="shared" si="25"/>
        <v>12 169</v>
      </c>
      <c r="R130" s="18">
        <f>IFERROR([1]!s_stmnote_bank($A130,"34",$A$1,100000000)/[1]!s_stmnote_bank_1n(A130,$A$1,1,100000000),"")</f>
        <v>3.2764395261556012E-3</v>
      </c>
      <c r="S130" s="22"/>
      <c r="T130" s="22"/>
      <c r="U130" s="22"/>
      <c r="V130" s="22"/>
      <c r="W130" s="22"/>
      <c r="X130" s="22"/>
      <c r="Y130" s="22"/>
      <c r="Z130" s="25">
        <f>[1]!b_stm07_bs(A130,74,$A$1,1,100000000)</f>
        <v>3125.5326306365996</v>
      </c>
      <c r="AA130" s="25">
        <f>[1]!b_stm07_bs(A130,109,$A$1,1,100000000)</f>
        <v>2195.5254140004999</v>
      </c>
      <c r="AB130" s="10">
        <f>[1]!s_stmnote_bank_5n(A130,$A$1,1)</f>
        <v>0.93</v>
      </c>
      <c r="AC130" s="25">
        <f>IF([1]!s_stmnote_bank_23n(A130,$A$1,1)=0,"",IFERROR([1]!s_stmnote_bank_23n(A130,$A$1,1),""))</f>
        <v>293.79000000000002</v>
      </c>
      <c r="AD130" s="27" t="str">
        <f t="shared" si="26"/>
        <v>105 167</v>
      </c>
      <c r="AE130" s="25">
        <f>[1]!s_stmnote_bank_capadequacyratio(A130,$A$1,1)</f>
        <v>14.77</v>
      </c>
      <c r="AF130" s="25">
        <f>IF([1]!s_stmnote_bank_capadequacyratio_ct1(A130,$A$1,1)=0,"",IFERROR([1]!s_stmnote_bank_capadequacyratio_ct1(A130,$A$1,1),""))</f>
        <v>9.68</v>
      </c>
      <c r="AG130" s="27" t="str">
        <f>RANK(AF130,AF$5:AF$192,0)&amp;" "&amp;COUNTIF(AF$5:AF$192,"&gt;0")</f>
        <v>98 167</v>
      </c>
      <c r="AH130" s="6">
        <f>IF(OR([1]!s_fa_roe(A130,20201231)=0,[1]!s_fa_roe(A130,20211231)="0",[1]!s_fa_roe(A130,20221231)="0"),"",IFERROR(([1]!s_fa_roe(A130,20221231)+[1]!s_fa_roe(A130,20201231)+[1]!s_fa_roe(A130,20211231))/3,""))</f>
        <v>16.115300000000001</v>
      </c>
      <c r="AI130" s="27" t="str">
        <f t="shared" si="27"/>
        <v>172 173</v>
      </c>
      <c r="AJ130" s="28">
        <f>IFERROR(([1]!s_stmnote_bank_65(A130,$A$1,1,2,4,100000000)+[1]!s_stmnote_bank_65(A130,$A$1,1,2,6,100000000))/[1]!s_stmnote_bank_1n(A130,$A$1,1,100000000),"")</f>
        <v>0.13071473383857968</v>
      </c>
      <c r="AK130" s="28">
        <f>IFERROR([1]!s_stmnote_bank_614(A130,$A$1,1,2,100000000)/[1]!s_stmnote_bank_647(A130,$A$1,1,2,100000000),"")</f>
        <v>0.27057376126704435</v>
      </c>
      <c r="AL130" s="28">
        <f>IFERROR(([1]!b_stm07_bs(A130,104,$A$1,1,100000000)+[1]!b_stm07_bs(A130,106,$A$1,1,100000000)+[1]!b_stm07_bs(A130,76,$A$1,1,100000000)+[1]!b_stm07_bs(A130,108,$A$1,1,100000000)+[1]!b_stm07_bs(A130,95,$A$1,1,100000000))/[1]!b_stm07_bs(A130,128,$A$1,1,100000000),"")</f>
        <v>0.11989579453441947</v>
      </c>
      <c r="AM130" s="28">
        <f>IFERROR(([1]!s_stmnote_bank_614(A130,$A$1,1,2,100000000)+[1]!b_stm07_bs(A130,104,$A$1,1,100000000)+[1]!b_stm07_bs(A130,106,$A$1,1,100000000)+[1]!b_stm07_bs(A130,76,$A$1,1,100000000)+[1]!b_stm07_bs(A130,108,$A$1,1,100000000)+[1]!b_stm07_bs(A130,95,$A$1,1,100000000))/[1]!b_stm07_bs(A130,128,$A$1,1,100000000),"")</f>
        <v>0.3260533313876709</v>
      </c>
      <c r="AN130" s="31" t="e">
        <f>IF(Z130&gt;#REF!,#REF!,IF(Z130&gt;#REF!,#REF!,IF(Z130&gt;#REF!,#REF!,IF(Z130&gt;#REF!,#REF!,IF(Z130&gt;#REF!,#REF!,IF(Z130&gt;#REF!,#REF!,IF(Z130&gt;#REF!,#REF!,#REF!)))))))</f>
        <v>#REF!</v>
      </c>
      <c r="AO130" s="31" t="e">
        <f>IF(AA130&gt;#REF!,#REF!,IF(AA130&gt;#REF!,#REF!,IF(AA130&gt;#REF!,#REF!,IF(AA130&gt;#REF!,#REF!,IF(AA130&gt;#REF!,#REF!,IF(AA130&gt;#REF!,#REF!,IF(AA130&gt;#REF!,#REF!,#REF!)))))))</f>
        <v>#REF!</v>
      </c>
      <c r="AP130" s="31" t="e">
        <f>IF(AB130&lt;#REF!,#REF!,IF(AB130&lt;#REF!,#REF!,IF(AB130&lt;#REF!,#REF!,IF(AB130&lt;#REF!,#REF!,IF(AB130&lt;#REF!,#REF!,IF(AB130&lt;#REF!,#REF!,#REF!))))))</f>
        <v>#REF!</v>
      </c>
      <c r="AQ130" s="31" t="e">
        <f>IF(AC130&gt;#REF!,#REF!,IF(AC130&gt;#REF!,#REF!,IF(AC130&gt;#REF!,#REF!,IF(AC130&gt;#REF!,#REF!,#REF!))))</f>
        <v>#REF!</v>
      </c>
      <c r="AR130" s="31" t="e">
        <f>IF(AE130&gt;#REF!,#REF!,IF(AE130&gt;#REF!,#REF!,IF(AE130&gt;#REF!,#REF!,IF(AE130&gt;#REF!,#REF!,#REF!))))</f>
        <v>#REF!</v>
      </c>
      <c r="AS130" s="31" t="e">
        <f>IF(AF130&gt;#REF!,#REF!,IF(AF130&gt;#REF!,#REF!,IF(AF130&gt;#REF!,#REF!,IF(AF130&gt;#REF!,#REF!,#REF!))))</f>
        <v>#REF!</v>
      </c>
      <c r="AT130" s="31" t="e">
        <f>IF(AH130&gt;#REF!,#REF!,IF(AH130&gt;#REF!,#REF!,IF(AH130&gt;#REF!,#REF!,IF(AH130&gt;#REF!,#REF!,IF(AH130&gt;#REF!,#REF!,#REF!)))))</f>
        <v>#REF!</v>
      </c>
      <c r="AU130" s="10" t="e">
        <f t="shared" si="28"/>
        <v>#REF!</v>
      </c>
      <c r="AV130" s="10" t="s">
        <v>141</v>
      </c>
      <c r="AW130" s="10" t="s">
        <v>69</v>
      </c>
      <c r="AX130" s="10" t="s">
        <v>62</v>
      </c>
      <c r="AY130" s="31" t="str">
        <f>IFERROR(VLOOKUP(AV130,#REF!,3,0),"")</f>
        <v/>
      </c>
      <c r="AZ130" s="31" t="str">
        <f>IFERROR(VLOOKUP(AW130,#REF!,3,0),"")</f>
        <v/>
      </c>
      <c r="BA130" s="31" t="str">
        <f>IFERROR(VLOOKUP(AX130,#REF!,3,0),"")</f>
        <v/>
      </c>
      <c r="BB130" s="31" t="str">
        <f>IFERROR(AY130*#REF!+AZ130*#REF!+BA130*#REF!,"")</f>
        <v/>
      </c>
      <c r="BC130" s="32" t="str">
        <f t="shared" si="29"/>
        <v/>
      </c>
      <c r="BD130" s="32" t="str">
        <f>IFERROR(VLOOKUP(BC130*10,#REF!,2,1),"")</f>
        <v/>
      </c>
      <c r="BE130" s="11">
        <v>0</v>
      </c>
      <c r="BF130" s="11">
        <v>-2</v>
      </c>
      <c r="BG130" s="10" t="s">
        <v>389</v>
      </c>
      <c r="BH130" s="11" t="s">
        <v>390</v>
      </c>
      <c r="BI130" s="10">
        <v>19.5200004577637</v>
      </c>
      <c r="BJ130" s="33" t="s">
        <v>111</v>
      </c>
      <c r="BK130" s="33" t="s">
        <v>112</v>
      </c>
      <c r="BL130" s="10">
        <f>IF([1]!s_stmnote_bank_17n(A130,$A$1,1)="0","",[1]!s_stmnote_bank_17n(A130,$A$1,1))</f>
        <v>0.77</v>
      </c>
      <c r="BM130" s="10">
        <f>IF([1]!s_stmnote_bank_18n(A130,$A$1,1)="0","",[1]!s_stmnote_bank_18n(A130,$A$1,1))</f>
        <v>0</v>
      </c>
      <c r="BN130" s="41" t="s">
        <v>67</v>
      </c>
      <c r="BO130" s="68" t="s">
        <v>67</v>
      </c>
      <c r="BP130" s="52">
        <f>[1]!s_stmnote_bank_5444(A130,$A$1,1)</f>
        <v>0</v>
      </c>
      <c r="BQ130" s="52">
        <f>[1]!s_stmnote_bank_129n($A130,$A$1,1)</f>
        <v>44.588999999999999</v>
      </c>
      <c r="BR130" s="52">
        <f t="shared" si="34"/>
        <v>6.0290393768774084</v>
      </c>
      <c r="BS130" s="52">
        <f>[1]!b_stm07_is(A130,19,$A$1,1,100000000)</f>
        <v>154.6749824323</v>
      </c>
      <c r="BT130" s="52">
        <f xml:space="preserve"> [1]!s_stm07_bs(A130,"W15273164",$A$1,1,100000000)-[1]!s_stm07_bs(A130,"W17642530",$A$1,1,100000000)-[1]!s_stm07_bs(A130,"W15910877",$A$1,1,100000000)-[1]!s_stm07_bs_39(A130,$A$1,1,100000000)-[1]!s_stm07_bs(A130,"W17700468",$A$1,1,100000000)-[1]!s_stm07_bs(A130,"W16504296",$A$1,1,100000000)-[1]!s_stm07_bs(A130,"W13769069",$A$1,1,100000000)</f>
        <v>3024.7182587761995</v>
      </c>
      <c r="BU130" s="52">
        <f xml:space="preserve"> [1]!s_stm07_bs(A130,"W15273164",$B$1,1,100000000)-[1]!s_stm07_bs(A130,"W17642530",$B$1,1,100000000)-[1]!s_stm07_bs(A130,"W15910877",$B$1,1,100000000)-[1]!s_stm07_bs_39(A130,$B$1,1,100000000)-[1]!s_stm07_bs(A130,"W17700468",$B$1,1,100000000)-[1]!s_stm07_bs(A130,"W16504296",$B$1,1,100000000)-[1]!s_stm07_bs(A130,"W13769069",$B$1,1,100000000)</f>
        <v>2476.5197620403001</v>
      </c>
      <c r="BV130" s="52">
        <f xml:space="preserve"> [1]!s_stm07_bs(A130,"W15273164",$E$1,1,100000000)-[1]!s_stm07_bs(A130,"W17642530",$E$1,1,100000000)-[1]!s_stm07_bs(A130,"W15910877",$E$1,1,100000000)-[1]!s_stm07_bs_39(A130,$E$1,1,100000000)-[1]!s_stm07_bs(A130,"W17700468",$E$1,1,100000000)-[1]!s_stm07_bs(A130,"W16504296",$E$1,1,100000000)-[1]!s_stm07_bs(A130,"W13769069",$E$1,1,100000000)</f>
        <v>2892.7803902177998</v>
      </c>
      <c r="BW130" s="52">
        <f xml:space="preserve"> [1]!s_stm07_bs(A130,"W15273164",$F$1,1,100000000)-[1]!s_stm07_bs(A130,"W17642530",$F$1,1,100000000)-[1]!s_stm07_bs(A130,"W15910877",$F$1,1,100000000)-[1]!s_stm07_bs_39(A130,$F$1,1,100000000)-[1]!s_stm07_bs(A130,"W17700468",$F$1,1,100000000)-[1]!s_stm07_bs(A130,"W16504296",$F$1,1,100000000)-[1]!s_stm07_bs(A130,"W13769069",$F$1,1,100000000)</f>
        <v>0</v>
      </c>
      <c r="BX130" s="52">
        <f xml:space="preserve"> [1]!s_stm07_bs(A130,"W15273164",$G$1,1,100000000)-[1]!s_stm07_bs(A130,"W17642530",$G$1,1,100000000)-[1]!s_stm07_bs(A130,"W15910877",$G$1,1,100000000)-[1]!s_stm07_bs_39(A130,$G$1,1,100000000)-[1]!s_stm07_bs(A130,"W17700468",$G$1,1,100000000)-[1]!s_stm07_bs(A130,"W16504296",$G$1,1,100000000)-[1]!s_stm07_bs(A130,"W13769069",$G$1,1,100000000)</f>
        <v>0</v>
      </c>
      <c r="BY130" s="52">
        <f>IFERROR([1]!b_stm07_is(A130,20,$A$1,1,100000000)/AVERAGEIF(CA130:CE130,"&gt;0")*100,0)</f>
        <v>2.2736768347850012</v>
      </c>
      <c r="BZ130" s="52">
        <f>[1]!b_stm07_is(A130,20,$A$1,1,100000000)</f>
        <v>56.299925811599998</v>
      </c>
      <c r="CA130" s="52">
        <f>[1]!s_stmnote_bank_38(A130,$A$1,1,100000000)</f>
        <v>2700.1132064507997</v>
      </c>
      <c r="CB130" s="52">
        <f>[1]!s_stmnote_bank_38(A130,$B$1,1,100000000)</f>
        <v>2175.3458126528999</v>
      </c>
      <c r="CC130" s="52">
        <f>[1]!s_stmnote_bank_38(A130,$E$1,1,100000000)</f>
        <v>2553.0275120867</v>
      </c>
      <c r="CD130" s="52">
        <f>[1]!s_stmnote_bank_38(A130,$F$1,1,100000000)</f>
        <v>0</v>
      </c>
      <c r="CE130" s="52">
        <f>[1]!s_stmnote_bank_38(A130,$G$1,1,100000000)</f>
        <v>0</v>
      </c>
      <c r="CF130" s="52">
        <f>IF(BP130&lt;&gt;0,BP130,IFERROR(IF(([1]!b_stm07_is(A130,19,$A$1,1,100000000)-[1]!b_stm07_is(A130,20,$A$1,1,100000000))/AVERAGE([1]!s_stmnote_bank_35(A130,$A$1,1,100000000),[1]!s_stmnote_bank_35(A130,$B$1,1,100000000))*100=0,"",([1]!b_stm07_is(A130,19,$A$1,1,100000000)-[1]!b_stm07_is(A130,20,$A$1,1,100000000))/AVERAGE([1]!s_stmnote_bank_35(A130,$A$1,1,100000000),[1]!s_stmnote_bank_35(A130,$B$1,1,100000000))*100),""))</f>
        <v>3.9145585539744925</v>
      </c>
      <c r="CG130" s="27" t="str">
        <f t="shared" si="30"/>
        <v>2 171</v>
      </c>
      <c r="CH130" s="80">
        <f t="shared" si="35"/>
        <v>3.1126127119152178</v>
      </c>
      <c r="CI130" s="27" t="str">
        <f t="shared" si="31"/>
        <v>2 169</v>
      </c>
      <c r="CJ130" s="55">
        <f>[1]!s_stmnote_bank_30(A130,$A$1,1)</f>
        <v>22.4253</v>
      </c>
      <c r="CP130" s="69">
        <f>[1]!b_stm07_bs($A130,141,$A$1,1,100000000)</f>
        <v>243.99078506070001</v>
      </c>
      <c r="CQ130" s="69">
        <f>[1]!b_stm07_bs($A130,141,$D$1,1,100000000)</f>
        <v>260.47384803720001</v>
      </c>
      <c r="CR130" s="68">
        <f>IF([1]!s_fa_roic_yearly($A130,$A$1)=0,"",[1]!s_fa_roic_yearly($A130,$A$1))</f>
        <v>15.9091</v>
      </c>
      <c r="CS130" s="27" t="str">
        <f>RANK(CR130,CR$5:CR$192,1)&amp;" "&amp;COUNTIF(CR$5:CR$192,"&gt;0")</f>
        <v>166 169</v>
      </c>
      <c r="CT130" s="68">
        <f>IF([1]!s_fa_roic_yearly($A130,$D$1)=0,"",[1]!s_fa_roic_yearly($A130,$D$1))</f>
        <v>17.7134</v>
      </c>
      <c r="CU130" s="27" t="str">
        <f>RANK(CT130,CT$5:CT$192,1)&amp;" "&amp;COUNTIF(CT$5:CT$192,"&gt;0")</f>
        <v>140 142</v>
      </c>
      <c r="CV130" s="78">
        <f>[1]!s_stm07_bs(A130,"W14578191",$A$1,1,100000000)</f>
        <v>1978.3210522023999</v>
      </c>
      <c r="CW130" s="78">
        <f>[1]!s_stmnote_bank_682($A130,$A$1,1,2,100000000)</f>
        <v>1423.2797391488</v>
      </c>
      <c r="CX130" s="79">
        <f t="shared" si="32"/>
        <v>0.71943820117786716</v>
      </c>
    </row>
    <row r="131" spans="1:102" s="46" customFormat="1" ht="13.5">
      <c r="A131" s="8" t="s">
        <v>915</v>
      </c>
      <c r="B131" s="8" t="s">
        <v>916</v>
      </c>
      <c r="C131" s="9" t="s">
        <v>917</v>
      </c>
      <c r="D131" s="9" t="s">
        <v>1061</v>
      </c>
      <c r="E131" s="10" t="s">
        <v>917</v>
      </c>
      <c r="F131" s="11" t="s">
        <v>178</v>
      </c>
      <c r="G131" s="11" t="s">
        <v>245</v>
      </c>
      <c r="H131" s="11" t="s">
        <v>245</v>
      </c>
      <c r="I131" s="11"/>
      <c r="J131" s="11">
        <f>VLOOKUP(B131,[3]额度信息!$B:$T,19,0)</f>
        <v>6</v>
      </c>
      <c r="K131" s="11" t="s">
        <v>918</v>
      </c>
      <c r="L131" s="27">
        <f>IFERROR(([1]!b_stm07_bs($A131,47,$A$1,1,100000000))/[1]!b_stm07_bs($A131,109,$A$1,1,100000000),"")</f>
        <v>0.10619233164546214</v>
      </c>
      <c r="M131" s="20"/>
      <c r="N131" s="18"/>
      <c r="O131" s="27" t="e">
        <f t="shared" si="24"/>
        <v>#N/A</v>
      </c>
      <c r="P131" s="21">
        <f t="shared" si="33"/>
        <v>1.440729597976779E-2</v>
      </c>
      <c r="Q131" s="27" t="str">
        <f t="shared" si="25"/>
        <v>20 169</v>
      </c>
      <c r="R131" s="18">
        <v>4.6072959797677903E-3</v>
      </c>
      <c r="S131" s="22"/>
      <c r="T131" s="22"/>
      <c r="U131" s="22"/>
      <c r="V131" s="22"/>
      <c r="W131" s="22"/>
      <c r="X131" s="22"/>
      <c r="Y131" s="22"/>
      <c r="Z131" s="25">
        <f>[1]!b_stm07_bs(A131,74,$A$1,1,100000000)</f>
        <v>7683.4633700000004</v>
      </c>
      <c r="AA131" s="25">
        <f>[1]!b_stm07_bs(A131,109,$A$1,1,100000000)</f>
        <v>5441.42238</v>
      </c>
      <c r="AB131" s="10">
        <f>[1]!s_stmnote_bank_5n(A131,$A$1,1)</f>
        <v>0.98</v>
      </c>
      <c r="AC131" s="25">
        <f>IF([1]!s_stmnote_bank_23n(A131,$A$1,1)=0,"",IFERROR([1]!s_stmnote_bank_23n(A131,$A$1,1),""))</f>
        <v>402.88</v>
      </c>
      <c r="AD131" s="27" t="str">
        <f t="shared" si="26"/>
        <v>131 167</v>
      </c>
      <c r="AE131" s="25">
        <f>[1]!s_stmnote_bank_capadequacyratio(A131,$A$1,1)</f>
        <v>13</v>
      </c>
      <c r="AF131" s="25">
        <f>IF([1]!s_stmnote_bank_capadequacyratio_ct1(A131,$A$1,1)=0,"",IFERROR([1]!s_stmnote_bank_capadequacyratio_ct1(A131,$A$1,1),""))</f>
        <v>8.6999999999999993</v>
      </c>
      <c r="AG131" s="27" t="str">
        <f>RANK(AF131,AF$5:AF$192,0)&amp;" "&amp;COUNTIF(AF$5:AF$192,"&gt;0")</f>
        <v>135 167</v>
      </c>
      <c r="AH131" s="6">
        <f>IF(OR([1]!s_fa_roe(A131,20201231)=0,[1]!s_fa_roe(A131,20211231)="0",[1]!s_fa_roe(A131,20221231)="0"),"",IFERROR(([1]!s_fa_roe(A131,20221231)+[1]!s_fa_roe(A131,20201231)+[1]!s_fa_roe(A131,20211231))/3,""))</f>
        <v>16.161566666666669</v>
      </c>
      <c r="AI131" s="27" t="str">
        <f t="shared" si="27"/>
        <v>173 173</v>
      </c>
      <c r="AJ131" s="28">
        <f>IFERROR(([1]!s_stmnote_bank_65(A131,$A$1,1,2,4,100000000)+[1]!s_stmnote_bank_65(A131,$A$1,1,2,6,100000000))/[1]!s_stmnote_bank_1n(A131,$A$1,1,100000000),"")</f>
        <v>0.10276018932408576</v>
      </c>
      <c r="AK131" s="28">
        <f>IFERROR([1]!s_stmnote_bank_614(A131,$A$1,1,2,100000000)/[1]!s_stmnote_bank_647(A131,$A$1,1,2,100000000),"")</f>
        <v>0.35695053479201883</v>
      </c>
      <c r="AL131" s="28">
        <f>IFERROR(([1]!b_stm07_bs(A131,104,$A$1,1,100000000)+[1]!b_stm07_bs(A131,106,$A$1,1,100000000)+[1]!b_stm07_bs(A131,76,$A$1,1,100000000)+[1]!b_stm07_bs(A131,108,$A$1,1,100000000)+[1]!b_stm07_bs(A131,95,$A$1,1,100000000))/[1]!b_stm07_bs(A131,128,$A$1,1,100000000),"")</f>
        <v>0.1768620647762178</v>
      </c>
      <c r="AM131" s="28">
        <f>IFERROR(([1]!s_stmnote_bank_614(A131,$A$1,1,2,100000000)+[1]!b_stm07_bs(A131,104,$A$1,1,100000000)+[1]!b_stm07_bs(A131,106,$A$1,1,100000000)+[1]!b_stm07_bs(A131,76,$A$1,1,100000000)+[1]!b_stm07_bs(A131,108,$A$1,1,100000000)+[1]!b_stm07_bs(A131,95,$A$1,1,100000000))/[1]!b_stm07_bs(A131,128,$A$1,1,100000000),"")</f>
        <v>0.44306753514456887</v>
      </c>
      <c r="AN131" s="31" t="e">
        <f>IF(Z131&gt;#REF!,#REF!,IF(Z131&gt;#REF!,#REF!,IF(Z131&gt;#REF!,#REF!,IF(Z131&gt;#REF!,#REF!,IF(Z131&gt;#REF!,#REF!,IF(Z131&gt;#REF!,#REF!,IF(Z131&gt;#REF!,#REF!,#REF!)))))))</f>
        <v>#REF!</v>
      </c>
      <c r="AO131" s="31" t="e">
        <f>IF(AA131&gt;#REF!,#REF!,IF(AA131&gt;#REF!,#REF!,IF(AA131&gt;#REF!,#REF!,IF(AA131&gt;#REF!,#REF!,IF(AA131&gt;#REF!,#REF!,IF(AA131&gt;#REF!,#REF!,IF(AA131&gt;#REF!,#REF!,#REF!)))))))</f>
        <v>#REF!</v>
      </c>
      <c r="AP131" s="31" t="e">
        <f>IF(AB131&lt;#REF!,#REF!,IF(AB131&lt;#REF!,#REF!,IF(AB131&lt;#REF!,#REF!,IF(AB131&lt;#REF!,#REF!,IF(AB131&lt;#REF!,#REF!,IF(AB131&lt;#REF!,#REF!,#REF!))))))</f>
        <v>#REF!</v>
      </c>
      <c r="AQ131" s="31" t="e">
        <f>IF(AC131&gt;#REF!,#REF!,IF(AC131&gt;#REF!,#REF!,IF(AC131&gt;#REF!,#REF!,IF(AC131&gt;#REF!,#REF!,#REF!))))</f>
        <v>#REF!</v>
      </c>
      <c r="AR131" s="31" t="e">
        <f>IF(AE131&gt;#REF!,#REF!,IF(AE131&gt;#REF!,#REF!,IF(AE131&gt;#REF!,#REF!,IF(AE131&gt;#REF!,#REF!,#REF!))))</f>
        <v>#REF!</v>
      </c>
      <c r="AS131" s="31" t="e">
        <f>IF(AF131&gt;#REF!,#REF!,IF(AF131&gt;#REF!,#REF!,IF(AF131&gt;#REF!,#REF!,IF(AF131&gt;#REF!,#REF!,#REF!))))</f>
        <v>#REF!</v>
      </c>
      <c r="AT131" s="31" t="e">
        <f>IF(AH131&gt;#REF!,#REF!,IF(AH131&gt;#REF!,#REF!,IF(AH131&gt;#REF!,#REF!,IF(AH131&gt;#REF!,#REF!,IF(AH131&gt;#REF!,#REF!,#REF!)))))</f>
        <v>#REF!</v>
      </c>
      <c r="AU131" s="10" t="e">
        <f t="shared" si="28"/>
        <v>#REF!</v>
      </c>
      <c r="AV131" s="10" t="s">
        <v>141</v>
      </c>
      <c r="AW131" s="10" t="s">
        <v>61</v>
      </c>
      <c r="AX131" s="10" t="s">
        <v>141</v>
      </c>
      <c r="AY131" s="31" t="str">
        <f>IFERROR(VLOOKUP(AV131,#REF!,3,0),"")</f>
        <v/>
      </c>
      <c r="AZ131" s="31" t="str">
        <f>IFERROR(VLOOKUP(AW131,#REF!,3,0),"")</f>
        <v/>
      </c>
      <c r="BA131" s="31" t="str">
        <f>IFERROR(VLOOKUP(AX131,#REF!,3,0),"")</f>
        <v/>
      </c>
      <c r="BB131" s="31" t="str">
        <f>IFERROR(AY131*#REF!+AZ131*#REF!+BA131*#REF!,"")</f>
        <v/>
      </c>
      <c r="BC131" s="32" t="str">
        <f t="shared" si="29"/>
        <v/>
      </c>
      <c r="BD131" s="32" t="str">
        <f>IFERROR(VLOOKUP(BC131*10,#REF!,2,1),"")</f>
        <v/>
      </c>
      <c r="BE131" s="11">
        <v>1</v>
      </c>
      <c r="BF131" s="11">
        <v>0</v>
      </c>
      <c r="BG131" s="10" t="s">
        <v>532</v>
      </c>
      <c r="BH131" s="11" t="s">
        <v>919</v>
      </c>
      <c r="BI131" s="10">
        <v>20</v>
      </c>
      <c r="BJ131" s="33" t="s">
        <v>319</v>
      </c>
      <c r="BK131" s="33" t="s">
        <v>320</v>
      </c>
      <c r="BL131" s="10">
        <f>IF([1]!s_stmnote_bank_17n(A131,$A$1,1)="0","",[1]!s_stmnote_bank_17n(A131,$A$1,1))</f>
        <v>4.72</v>
      </c>
      <c r="BM131" s="10">
        <f>IF([1]!s_stmnote_bank_18n(A131,$A$1,1)="0","",[1]!s_stmnote_bank_18n(A131,$A$1,1))</f>
        <v>34.369999999999997</v>
      </c>
      <c r="BN131" s="41">
        <v>4.24</v>
      </c>
      <c r="BO131" s="68">
        <v>2.2400000000000002</v>
      </c>
      <c r="BP131" s="52">
        <f>[1]!s_stmnote_bank_5444(A131,$A$1,1)</f>
        <v>2.13</v>
      </c>
      <c r="BQ131" s="52">
        <f>[1]!s_stmnote_bank_129n($A131,$A$1,1)</f>
        <v>22.8</v>
      </c>
      <c r="BR131" s="52">
        <f t="shared" si="34"/>
        <v>4.3363363489857001</v>
      </c>
      <c r="BS131" s="52">
        <f>[1]!b_stm07_is(A131,19,$A$1,1,100000000)</f>
        <v>291.85228999999998</v>
      </c>
      <c r="BT131" s="52">
        <f xml:space="preserve"> [1]!s_stm07_bs(A131,"W15273164",$A$1,1,100000000)-[1]!s_stm07_bs(A131,"W17642530",$A$1,1,100000000)-[1]!s_stm07_bs(A131,"W15910877",$A$1,1,100000000)-[1]!s_stm07_bs_39(A131,$A$1,1,100000000)-[1]!s_stm07_bs(A131,"W17700468",$A$1,1,100000000)-[1]!s_stm07_bs(A131,"W16504296",$A$1,1,100000000)-[1]!s_stm07_bs(A131,"W13769069",$A$1,1,100000000)</f>
        <v>7604.7881300000008</v>
      </c>
      <c r="BU131" s="52">
        <f xml:space="preserve"> [1]!s_stm07_bs(A131,"W15273164",$B$1,1,100000000)-[1]!s_stm07_bs(A131,"W17642530",$B$1,1,100000000)-[1]!s_stm07_bs(A131,"W15910877",$B$1,1,100000000)-[1]!s_stm07_bs_39(A131,$B$1,1,100000000)-[1]!s_stm07_bs(A131,"W17700468",$B$1,1,100000000)-[1]!s_stm07_bs(A131,"W16504296",$B$1,1,100000000)-[1]!s_stm07_bs(A131,"W13769069",$B$1,1,100000000)</f>
        <v>6455.8123999999989</v>
      </c>
      <c r="BV131" s="52">
        <f xml:space="preserve"> [1]!s_stm07_bs(A131,"W15273164",$E$1,1,100000000)-[1]!s_stm07_bs(A131,"W17642530",$E$1,1,100000000)-[1]!s_stm07_bs(A131,"W15910877",$E$1,1,100000000)-[1]!s_stm07_bs_39(A131,$E$1,1,100000000)-[1]!s_stm07_bs(A131,"W17700468",$E$1,1,100000000)-[1]!s_stm07_bs(A131,"W16504296",$E$1,1,100000000)-[1]!s_stm07_bs(A131,"W13769069",$E$1,1,100000000)</f>
        <v>7390.2920299999996</v>
      </c>
      <c r="BW131" s="52">
        <f xml:space="preserve"> [1]!s_stm07_bs(A131,"W15273164",$F$1,1,100000000)-[1]!s_stm07_bs(A131,"W17642530",$F$1,1,100000000)-[1]!s_stm07_bs(A131,"W15910877",$F$1,1,100000000)-[1]!s_stm07_bs_39(A131,$F$1,1,100000000)-[1]!s_stm07_bs(A131,"W17700468",$F$1,1,100000000)-[1]!s_stm07_bs(A131,"W16504296",$F$1,1,100000000)-[1]!s_stm07_bs(A131,"W13769069",$F$1,1,100000000)</f>
        <v>7278.7120899999991</v>
      </c>
      <c r="BX131" s="52">
        <f xml:space="preserve"> [1]!s_stm07_bs(A131,"W15273164",$G$1,1,100000000)-[1]!s_stm07_bs(A131,"W17642530",$G$1,1,100000000)-[1]!s_stm07_bs(A131,"W15910877",$G$1,1,100000000)-[1]!s_stm07_bs_39(A131,$G$1,1,100000000)-[1]!s_stm07_bs(A131,"W17700468",$G$1,1,100000000)-[1]!s_stm07_bs(A131,"W16504296",$G$1,1,100000000)-[1]!s_stm07_bs(A131,"W13769069",$G$1,1,100000000)</f>
        <v>7069.1071800000009</v>
      </c>
      <c r="BY131" s="52">
        <f>IFERROR([1]!b_stm07_is(A131,20,$A$1,1,100000000)/AVERAGEIF(CA131:CE131,"&gt;0")*100,0)</f>
        <v>2.2090238738291017</v>
      </c>
      <c r="BZ131" s="52">
        <f>[1]!b_stm07_is(A131,20,$A$1,1,100000000)</f>
        <v>147.63290000000001</v>
      </c>
      <c r="CA131" s="52">
        <f>[1]!s_stmnote_bank_38(A131,$A$1,1,100000000)</f>
        <v>7091.4172799999997</v>
      </c>
      <c r="CB131" s="52">
        <f>[1]!s_stmnote_bank_38(A131,$B$1,1,100000000)</f>
        <v>6007.9016300000003</v>
      </c>
      <c r="CC131" s="52">
        <f>[1]!s_stmnote_bank_38(A131,$E$1,1,100000000)</f>
        <v>6905.8905500000001</v>
      </c>
      <c r="CD131" s="52">
        <f>[1]!s_stmnote_bank_38(A131,$F$1,1,100000000)</f>
        <v>6810.6206599999996</v>
      </c>
      <c r="CE131" s="52">
        <f>[1]!s_stmnote_bank_38(A131,$G$1,1,100000000)</f>
        <v>6600.0378000000001</v>
      </c>
      <c r="CF131" s="52">
        <f>IF(BP131&lt;&gt;0,BP131,IFERROR(IF(([1]!b_stm07_is(A131,19,$A$1,1,100000000)-[1]!b_stm07_is(A131,20,$A$1,1,100000000))/AVERAGE([1]!s_stmnote_bank_35(A131,$A$1,1,100000000),[1]!s_stmnote_bank_35(A131,$B$1,1,100000000))*100=0,"",([1]!b_stm07_is(A131,19,$A$1,1,100000000)-[1]!b_stm07_is(A131,20,$A$1,1,100000000))/AVERAGE([1]!s_stmnote_bank_35(A131,$A$1,1,100000000),[1]!s_stmnote_bank_35(A131,$B$1,1,100000000))*100),""))</f>
        <v>2.13</v>
      </c>
      <c r="CG131" s="27" t="str">
        <f t="shared" si="30"/>
        <v>74 171</v>
      </c>
      <c r="CH131" s="80">
        <f t="shared" si="35"/>
        <v>1.4784176038245938</v>
      </c>
      <c r="CI131" s="27" t="str">
        <f t="shared" si="31"/>
        <v>26 169</v>
      </c>
      <c r="CJ131" s="55">
        <f>[1]!s_stmnote_bank_30(A131,$A$1,1)</f>
        <v>19.387699999999999</v>
      </c>
      <c r="CP131" s="69">
        <f>[1]!b_stm07_bs($A131,141,$A$1,1,100000000)</f>
        <v>520.22143000000005</v>
      </c>
      <c r="CQ131" s="69">
        <f>[1]!b_stm07_bs($A131,141,$D$1,1,100000000)</f>
        <v>546.20775000000003</v>
      </c>
      <c r="CR131" s="68">
        <f>IF([1]!s_fa_roic_yearly($A131,$A$1)=0,"",[1]!s_fa_roic_yearly($A131,$A$1))</f>
        <v>15.9857</v>
      </c>
      <c r="CS131" s="27" t="str">
        <f>RANK(CR131,CR$5:CR$192,1)&amp;" "&amp;COUNTIF(CR$5:CR$192,"&gt;0")</f>
        <v>167 169</v>
      </c>
      <c r="CT131" s="68">
        <f>IF([1]!s_fa_roic_yearly($A131,$D$1)=0,"",[1]!s_fa_roic_yearly($A131,$D$1))</f>
        <v>16.744800000000001</v>
      </c>
      <c r="CU131" s="27" t="str">
        <f>RANK(CT131,CT$5:CT$192,1)&amp;" "&amp;COUNTIF(CT$5:CT$192,"&gt;0")</f>
        <v>137 142</v>
      </c>
      <c r="CV131" s="78">
        <f>[1]!s_stm07_bs(A131,"W14578191",$A$1,1,100000000)</f>
        <v>3743.09834</v>
      </c>
      <c r="CW131" s="78">
        <f>[1]!s_stmnote_bank_682($A131,$A$1,1,2,100000000)</f>
        <v>982.11860000000001</v>
      </c>
      <c r="CX131" s="79">
        <f t="shared" si="32"/>
        <v>0.26238119087194489</v>
      </c>
    </row>
    <row r="132" spans="1:102" s="46" customFormat="1" ht="13.5">
      <c r="A132" s="8" t="s">
        <v>891</v>
      </c>
      <c r="B132" s="8" t="s">
        <v>892</v>
      </c>
      <c r="C132" s="9" t="s">
        <v>893</v>
      </c>
      <c r="D132" s="9" t="s">
        <v>1064</v>
      </c>
      <c r="E132" s="10" t="s">
        <v>893</v>
      </c>
      <c r="F132" s="11" t="s">
        <v>178</v>
      </c>
      <c r="G132" s="11"/>
      <c r="H132" s="11" t="s">
        <v>116</v>
      </c>
      <c r="I132" s="11"/>
      <c r="J132" s="11">
        <f>VLOOKUP(B132,[3]额度信息!$B:$T,19,0)</f>
        <v>0</v>
      </c>
      <c r="K132" s="11" t="s">
        <v>894</v>
      </c>
      <c r="L132" s="27">
        <f>IFERROR(([1]!b_stm07_bs($A132,47,$A$1,1,100000000))/[1]!b_stm07_bs($A132,109,$A$1,1,100000000),"")</f>
        <v>0.13774447483003666</v>
      </c>
      <c r="M132" s="20">
        <v>186.49</v>
      </c>
      <c r="N132" s="18">
        <f>IFERROR(([1]!s_stmnote_bank_26($A132,$A$1,1,100000000)-[1]!s_stmnote_bank_26($A132,$B$1,1,100000000)+M132)/[1]!s_stmnote_bank_1n($A132,$B$1,1,100000000),"")</f>
        <v>2.2274852609193003E-2</v>
      </c>
      <c r="O132" s="27" t="str">
        <f t="shared" ref="O132:O192" si="39">RANK(N132,N$5:N$192,1)&amp;" "&amp;COUNTIF(N$5:N$192,"&gt;0")</f>
        <v>44 50</v>
      </c>
      <c r="P132" s="21">
        <f t="shared" si="33"/>
        <v>4.65474786144046E-2</v>
      </c>
      <c r="Q132" s="27" t="str">
        <f t="shared" ref="Q132:Q192" si="40">RANK(P132,P$5:P$192,1)&amp;" "&amp;COUNTIF(P$5:P$192,"&gt;0")</f>
        <v>127 169</v>
      </c>
      <c r="R132" s="18">
        <v>2.8947478614404599E-2</v>
      </c>
      <c r="S132" s="22">
        <v>3.9347400710228499E-2</v>
      </c>
      <c r="T132" s="22">
        <v>1.761251668898E-2</v>
      </c>
      <c r="U132" s="22">
        <v>0.100103654086364</v>
      </c>
      <c r="V132" s="22"/>
      <c r="W132" s="22">
        <v>0.154960071231425</v>
      </c>
      <c r="X132" s="22">
        <v>0.123116319259382</v>
      </c>
      <c r="Y132" s="22">
        <v>0.35260512223863</v>
      </c>
      <c r="Z132" s="25">
        <f>[1]!b_stm07_bs(A132,74,$A$1,1,100000000)</f>
        <v>15827.07598</v>
      </c>
      <c r="AA132" s="25">
        <f>[1]!b_stm07_bs(A132,109,$A$1,1,100000000)</f>
        <v>8359.2066500000001</v>
      </c>
      <c r="AB132" s="10">
        <f>[1]!s_stmnote_bank_5n(A132,$A$1,1)</f>
        <v>1.76</v>
      </c>
      <c r="AC132" s="25">
        <f>IF([1]!s_stmnote_bank_23n(A132,$A$1,1)=0,"",IFERROR([1]!s_stmnote_bank_23n(A132,$A$1,1),""))</f>
        <v>135.63</v>
      </c>
      <c r="AD132" s="27" t="str">
        <f t="shared" ref="AD132:AD192" si="41">RANK(AC132,AC$5:AC$192,1)&amp;" "&amp;COUNTIF(AC$5:AC$192,"&gt;0")</f>
        <v>9 167</v>
      </c>
      <c r="AE132" s="25">
        <f>[1]!s_stmnote_bank_capadequacyratio(A132,$A$1,1)</f>
        <v>12.35</v>
      </c>
      <c r="AF132" s="25">
        <f>IF([1]!s_stmnote_bank_capadequacyratio_ct1(A132,$A$1,1)=0,"",IFERROR([1]!s_stmnote_bank_capadequacyratio_ct1(A132,$A$1,1),""))</f>
        <v>8.69</v>
      </c>
      <c r="AG132" s="27" t="str">
        <f t="shared" ref="AG132:AG192" si="42">RANK(AF132,AF$5:AF$192,1)&amp;" "&amp;COUNTIF(AF$5:AF$192,"&gt;0")</f>
        <v>30 167</v>
      </c>
      <c r="AH132" s="6">
        <f>IF(OR([1]!s_fa_roe(A132,20201231)=0,[1]!s_fa_roe(A132,20211231)="0",[1]!s_fa_roe(A132,20221231)="0"),"",IFERROR(([1]!s_fa_roe(A132,20221231)+[1]!s_fa_roe(A132,20201231)+[1]!s_fa_roe(A132,20211231))/3,""))</f>
        <v>7.692566666666667</v>
      </c>
      <c r="AI132" s="27" t="str">
        <f t="shared" ref="AI132:AI192" si="43">RANK(AH132,AH$5:AH$192,1)&amp;" "&amp;COUNTIF(AH$5:AH$192,"&gt;0")</f>
        <v>73 173</v>
      </c>
      <c r="AJ132" s="28">
        <f>IFERROR(([1]!s_stmnote_bank_65(A132,$A$1,1,2,4,100000000)+[1]!s_stmnote_bank_65(A132,$A$1,1,2,6,100000000))/[1]!s_stmnote_bank_1n(A132,$A$1,1,100000000),"")</f>
        <v>0.10717714517351679</v>
      </c>
      <c r="AK132" s="28">
        <f>IFERROR([1]!s_stmnote_bank_614(A132,$A$1,1,2,100000000)/[1]!s_stmnote_bank_647(A132,$A$1,1,2,100000000),"")</f>
        <v>0.21004342798487938</v>
      </c>
      <c r="AL132" s="28">
        <f>IFERROR(([1]!b_stm07_bs(A132,104,$A$1,1,100000000)+[1]!b_stm07_bs(A132,106,$A$1,1,100000000)+[1]!b_stm07_bs(A132,76,$A$1,1,100000000)+[1]!b_stm07_bs(A132,108,$A$1,1,100000000)+[1]!b_stm07_bs(A132,95,$A$1,1,100000000))/[1]!b_stm07_bs(A132,128,$A$1,1,100000000),"")</f>
        <v>0.36753743201911865</v>
      </c>
      <c r="AM132" s="28">
        <f>IFERROR(([1]!s_stmnote_bank_614(A132,$A$1,1,2,100000000)+[1]!b_stm07_bs(A132,104,$A$1,1,100000000)+[1]!b_stm07_bs(A132,106,$A$1,1,100000000)+[1]!b_stm07_bs(A132,76,$A$1,1,100000000)+[1]!b_stm07_bs(A132,108,$A$1,1,100000000)+[1]!b_stm07_bs(A132,95,$A$1,1,100000000))/[1]!b_stm07_bs(A132,128,$A$1,1,100000000),"")</f>
        <v>0.4864822632649688</v>
      </c>
      <c r="AN132" s="31" t="e">
        <f>IF(Z132&gt;#REF!,#REF!,IF(Z132&gt;#REF!,#REF!,IF(Z132&gt;#REF!,#REF!,IF(Z132&gt;#REF!,#REF!,IF(Z132&gt;#REF!,#REF!,IF(Z132&gt;#REF!,#REF!,IF(Z132&gt;#REF!,#REF!,#REF!)))))))</f>
        <v>#REF!</v>
      </c>
      <c r="AO132" s="31" t="e">
        <f>IF(AA132&gt;#REF!,#REF!,IF(AA132&gt;#REF!,#REF!,IF(AA132&gt;#REF!,#REF!,IF(AA132&gt;#REF!,#REF!,IF(AA132&gt;#REF!,#REF!,IF(AA132&gt;#REF!,#REF!,IF(AA132&gt;#REF!,#REF!,#REF!)))))))</f>
        <v>#REF!</v>
      </c>
      <c r="AP132" s="31" t="e">
        <f>IF(AB132&lt;#REF!,#REF!,IF(AB132&lt;#REF!,#REF!,IF(AB132&lt;#REF!,#REF!,IF(AB132&lt;#REF!,#REF!,IF(AB132&lt;#REF!,#REF!,IF(AB132&lt;#REF!,#REF!,#REF!))))))</f>
        <v>#REF!</v>
      </c>
      <c r="AQ132" s="31" t="e">
        <f>IF(AC132&gt;#REF!,#REF!,IF(AC132&gt;#REF!,#REF!,IF(AC132&gt;#REF!,#REF!,IF(AC132&gt;#REF!,#REF!,#REF!))))</f>
        <v>#REF!</v>
      </c>
      <c r="AR132" s="31" t="e">
        <f>IF(AE132&gt;#REF!,#REF!,IF(AE132&gt;#REF!,#REF!,IF(AE132&gt;#REF!,#REF!,IF(AE132&gt;#REF!,#REF!,#REF!))))</f>
        <v>#REF!</v>
      </c>
      <c r="AS132" s="31" t="e">
        <f>IF(AF132&gt;#REF!,#REF!,IF(AF132&gt;#REF!,#REF!,IF(AF132&gt;#REF!,#REF!,IF(AF132&gt;#REF!,#REF!,#REF!))))</f>
        <v>#REF!</v>
      </c>
      <c r="AT132" s="31" t="e">
        <f>IF(AH132&gt;#REF!,#REF!,IF(AH132&gt;#REF!,#REF!,IF(AH132&gt;#REF!,#REF!,IF(AH132&gt;#REF!,#REF!,IF(AH132&gt;#REF!,#REF!,#REF!)))))</f>
        <v>#REF!</v>
      </c>
      <c r="AU132" s="10" t="e">
        <f t="shared" ref="AU132:AU191" si="44">AN132*$AN$3+AP132*$AP$3+AQ132*$AQ$3+AR132*$AR$3+AS132*$AS$3+AT132*$AT$3+$AO$3*AO132</f>
        <v>#REF!</v>
      </c>
      <c r="AV132" s="10" t="s">
        <v>60</v>
      </c>
      <c r="AW132" s="10" t="s">
        <v>227</v>
      </c>
      <c r="AX132" s="10" t="s">
        <v>68</v>
      </c>
      <c r="AY132" s="31" t="str">
        <f>IFERROR(VLOOKUP(AV132,#REF!,3,0),"")</f>
        <v/>
      </c>
      <c r="AZ132" s="31" t="str">
        <f>IFERROR(VLOOKUP(AW132,#REF!,3,0),"")</f>
        <v/>
      </c>
      <c r="BA132" s="31" t="str">
        <f>IFERROR(VLOOKUP(AX132,#REF!,3,0),"")</f>
        <v/>
      </c>
      <c r="BB132" s="31" t="str">
        <f>IFERROR(AY132*#REF!+AZ132*#REF!+BA132*#REF!,"")</f>
        <v/>
      </c>
      <c r="BC132" s="32" t="str">
        <f t="shared" ref="BC132:BC187" si="45">IFERROR(AU132*0.6+BB132*0.4,"")</f>
        <v/>
      </c>
      <c r="BD132" s="32" t="str">
        <f>IFERROR(VLOOKUP(BC132*10,#REF!,2,1),"")</f>
        <v/>
      </c>
      <c r="BE132" s="11">
        <v>1</v>
      </c>
      <c r="BF132" s="11">
        <v>-1</v>
      </c>
      <c r="BG132" s="10" t="s">
        <v>766</v>
      </c>
      <c r="BH132" s="11" t="s">
        <v>895</v>
      </c>
      <c r="BI132" s="10">
        <v>20.340000152587901</v>
      </c>
      <c r="BJ132" s="33" t="s">
        <v>71</v>
      </c>
      <c r="BK132" s="33" t="s">
        <v>72</v>
      </c>
      <c r="BL132" s="10">
        <f>IF([1]!s_stmnote_bank_17n(A132,$A$1,1)="0","",[1]!s_stmnote_bank_17n(A132,$A$1,1))</f>
        <v>8.43</v>
      </c>
      <c r="BM132" s="10">
        <f>IF([1]!s_stmnote_bank_18n(A132,$A$1,1)="0","",[1]!s_stmnote_bank_18n(A132,$A$1,1))</f>
        <v>56.43</v>
      </c>
      <c r="BN132" s="41">
        <v>4.09</v>
      </c>
      <c r="BO132" s="52">
        <v>2.64</v>
      </c>
      <c r="BP132" s="52">
        <f>[1]!s_stmnote_bank_5444(A132,$A$1,1)</f>
        <v>1.72</v>
      </c>
      <c r="BQ132" s="52">
        <f>[1]!s_stmnote_bank_129n($A132,$A$1,1)</f>
        <v>32.880000000000003</v>
      </c>
      <c r="BR132" s="52">
        <f t="shared" si="34"/>
        <v>4.3826753140590213</v>
      </c>
      <c r="BS132" s="52">
        <f>[1]!b_stm07_is(A132,19,$A$1,1,100000000)</f>
        <v>625.18088</v>
      </c>
      <c r="BT132" s="52">
        <f xml:space="preserve"> [1]!s_stm07_bs(A132,"W15273164",$A$1,1,100000000)-[1]!s_stm07_bs(A132,"W17642530",$A$1,1,100000000)-[1]!s_stm07_bs(A132,"W15910877",$A$1,1,100000000)-[1]!s_stm07_bs_39(A132,$A$1,1,100000000)-[1]!s_stm07_bs(A132,"W17700468",$A$1,1,100000000)-[1]!s_stm07_bs(A132,"W16504296",$A$1,1,100000000)-[1]!s_stm07_bs(A132,"W13769069",$A$1,1,100000000)</f>
        <v>15622.717719999999</v>
      </c>
      <c r="BU132" s="52">
        <f xml:space="preserve"> [1]!s_stm07_bs(A132,"W15273164",$B$1,1,100000000)-[1]!s_stm07_bs(A132,"W17642530",$B$1,1,100000000)-[1]!s_stm07_bs(A132,"W15910877",$B$1,1,100000000)-[1]!s_stm07_bs_39(A132,$B$1,1,100000000)-[1]!s_stm07_bs(A132,"W17700468",$B$1,1,100000000)-[1]!s_stm07_bs(A132,"W16504296",$B$1,1,100000000)-[1]!s_stm07_bs(A132,"W13769069",$B$1,1,100000000)</f>
        <v>13736.969090000001</v>
      </c>
      <c r="BV132" s="52">
        <f xml:space="preserve"> [1]!s_stm07_bs(A132,"W15273164",$E$1,1,100000000)-[1]!s_stm07_bs(A132,"W17642530",$E$1,1,100000000)-[1]!s_stm07_bs(A132,"W15910877",$E$1,1,100000000)-[1]!s_stm07_bs_39(A132,$E$1,1,100000000)-[1]!s_stm07_bs(A132,"W17700468",$E$1,1,100000000)-[1]!s_stm07_bs(A132,"W16504296",$E$1,1,100000000)-[1]!s_stm07_bs(A132,"W13769069",$E$1,1,100000000)</f>
        <v>16058.11023</v>
      </c>
      <c r="BW132" s="52">
        <f xml:space="preserve"> [1]!s_stm07_bs(A132,"W15273164",$F$1,1,100000000)-[1]!s_stm07_bs(A132,"W17642530",$F$1,1,100000000)-[1]!s_stm07_bs(A132,"W15910877",$F$1,1,100000000)-[1]!s_stm07_bs_39(A132,$F$1,1,100000000)-[1]!s_stm07_bs(A132,"W17700468",$F$1,1,100000000)-[1]!s_stm07_bs(A132,"W16504296",$F$1,1,100000000)-[1]!s_stm07_bs(A132,"W13769069",$F$1,1,100000000)</f>
        <v>15454.864398578999</v>
      </c>
      <c r="BX132" s="52">
        <f xml:space="preserve"> [1]!s_stm07_bs(A132,"W15273164",$G$1,1,100000000)-[1]!s_stm07_bs(A132,"W17642530",$G$1,1,100000000)-[1]!s_stm07_bs(A132,"W15910877",$G$1,1,100000000)-[1]!s_stm07_bs_39(A132,$G$1,1,100000000)-[1]!s_stm07_bs(A132,"W17700468",$G$1,1,100000000)-[1]!s_stm07_bs(A132,"W16504296",$G$1,1,100000000)-[1]!s_stm07_bs(A132,"W13769069",$G$1,1,100000000)</f>
        <v>14765.62</v>
      </c>
      <c r="BY132" s="52">
        <f>IFERROR([1]!b_stm07_is(A132,20,$A$1,1,100000000)/AVERAGEIF(CA132:CE132,"&gt;0")*100,0)</f>
        <v>2.7021854895899327</v>
      </c>
      <c r="BZ132" s="52">
        <f>[1]!b_stm07_is(A132,20,$A$1,1,100000000)</f>
        <v>373.38789000000003</v>
      </c>
      <c r="CA132" s="52">
        <f>[1]!s_stmnote_bank_38(A132,$A$1,1,100000000)</f>
        <v>14573.055399999999</v>
      </c>
      <c r="CB132" s="52">
        <f>[1]!s_stmnote_bank_38(A132,$B$1,1,100000000)</f>
        <v>12695.82425</v>
      </c>
      <c r="CC132" s="52">
        <f>[1]!s_stmnote_bank_38(A132,$E$1,1,100000000)</f>
        <v>0</v>
      </c>
      <c r="CD132" s="52">
        <f>[1]!s_stmnote_bank_38(A132,$F$1,1,100000000)</f>
        <v>14185.1091422346</v>
      </c>
      <c r="CE132" s="52">
        <f>[1]!s_stmnote_bank_38(A132,$G$1,1,100000000)</f>
        <v>0</v>
      </c>
      <c r="CF132" s="52">
        <f>IF(BP132&lt;&gt;0,BP132,IFERROR(IF(([1]!b_stm07_is(A132,19,$A$1,1,100000000)-[1]!b_stm07_is(A132,20,$A$1,1,100000000))/AVERAGE([1]!s_stmnote_bank_35(A132,$A$1,1,100000000),[1]!s_stmnote_bank_35(A132,$B$1,1,100000000))*100=0,"",([1]!b_stm07_is(A132,19,$A$1,1,100000000)-[1]!b_stm07_is(A132,20,$A$1,1,100000000))/AVERAGE([1]!s_stmnote_bank_35(A132,$A$1,1,100000000),[1]!s_stmnote_bank_35(A132,$B$1,1,100000000))*100),""))</f>
        <v>1.72</v>
      </c>
      <c r="CG132" s="27" t="str">
        <f t="shared" ref="CG132:CG192" si="46">RANK(CF132,CF$5:CF$192,0)&amp;" "&amp;COUNTIF(CF$5:CF$192,"&gt;0")</f>
        <v>137 171</v>
      </c>
      <c r="CH132" s="80">
        <f t="shared" si="35"/>
        <v>0.3695151813159066</v>
      </c>
      <c r="CI132" s="27" t="str">
        <f t="shared" ref="CI132:CI192" si="47">RANK(CH132,CH$5:CH$192,0)&amp;" "&amp;COUNTIF(CH$5:CH$192,"&gt;0")</f>
        <v>134 169</v>
      </c>
      <c r="CJ132" s="55">
        <f>[1]!s_stmnote_bank_30(A132,$A$1,1)</f>
        <v>13.6769</v>
      </c>
      <c r="CK132" s="48">
        <v>470.26</v>
      </c>
      <c r="CL132" s="48">
        <v>125.24</v>
      </c>
      <c r="CM132" s="64">
        <f>CK132/(5/8*[1]!s_stmnote_bank_1n($A132,$A$1,1,100000000)+[1]!s_stmnote_bank_1n($A132,$B$1,1,100000000)*3/8)</f>
        <v>5.0569745253819479E-2</v>
      </c>
      <c r="CN132" s="48"/>
      <c r="CO132" s="48"/>
      <c r="CP132" s="69">
        <f>[1]!b_stm07_bs($A132,141,$A$1,1,100000000)</f>
        <v>1065.64077</v>
      </c>
      <c r="CQ132" s="69">
        <f>[1]!b_stm07_bs($A132,141,$D$1,1,100000000)</f>
        <v>1094.2324601871001</v>
      </c>
      <c r="CR132" s="68">
        <f>IF([1]!s_fa_roic_yearly($A132,$A$1)=0,"",[1]!s_fa_roic_yearly($A132,$A$1))</f>
        <v>8.2149000000000001</v>
      </c>
      <c r="CS132" s="27">
        <f t="shared" ref="CS132:CS192" si="48">RANK(CR132,CR$5:CR$192,0)/COUNTIF(CR$5:CR$192,"&gt;0")</f>
        <v>0.57396449704142016</v>
      </c>
      <c r="CT132" s="68">
        <f>IF([1]!s_fa_roic_yearly($A132,$D$1)=0,"",[1]!s_fa_roic_yearly($A132,$D$1))</f>
        <v>8.1539999999999999</v>
      </c>
      <c r="CU132" s="27">
        <f t="shared" ref="CU132:CU192" si="49">RANK(CT132,CT$5:CT$192,0)/COUNTIF(CT$5:CT$192,"&gt;0")</f>
        <v>0.70422535211267601</v>
      </c>
      <c r="CV132" s="78">
        <f>[1]!s_stm07_bs(A132,"W14578191",$A$1,1,100000000)</f>
        <v>9379.0658899999999</v>
      </c>
      <c r="CW132" s="78">
        <f>[1]!s_stmnote_bank_682($A132,$A$1,1,2,100000000)</f>
        <v>3414.1723699999998</v>
      </c>
      <c r="CX132" s="79">
        <f t="shared" si="32"/>
        <v>0.36402051228152743</v>
      </c>
    </row>
    <row r="133" spans="1:102" s="46" customFormat="1" ht="13.5">
      <c r="A133" s="8" t="s">
        <v>297</v>
      </c>
      <c r="B133" s="8" t="s">
        <v>298</v>
      </c>
      <c r="C133" s="9" t="s">
        <v>299</v>
      </c>
      <c r="D133" s="9" t="s">
        <v>1061</v>
      </c>
      <c r="E133" s="10"/>
      <c r="F133" s="11" t="s">
        <v>66</v>
      </c>
      <c r="G133" s="11" t="s">
        <v>67</v>
      </c>
      <c r="H133" s="11" t="s">
        <v>116</v>
      </c>
      <c r="I133" s="11"/>
      <c r="J133" s="11" t="e">
        <f>VLOOKUP(B133,[3]额度信息!$B:$T,19,0)</f>
        <v>#N/A</v>
      </c>
      <c r="K133" s="11"/>
      <c r="L133" s="27">
        <f>IFERROR(([1]!b_stm07_bs($A133,47,$A$1,1,100000000))/[1]!b_stm07_bs($A133,109,$A$1,1,100000000),"")</f>
        <v>0.10288579903600611</v>
      </c>
      <c r="M133" s="20"/>
      <c r="N133" s="18"/>
      <c r="O133" s="27" t="e">
        <f t="shared" si="39"/>
        <v>#N/A</v>
      </c>
      <c r="P133" s="21">
        <f t="shared" si="33"/>
        <v>4.1429489415484119E-2</v>
      </c>
      <c r="Q133" s="27" t="str">
        <f t="shared" si="40"/>
        <v>119 169</v>
      </c>
      <c r="R133" s="18">
        <f>IFERROR([1]!s_stmnote_bank($A133,"34",$A$1,100000000)/[1]!s_stmnote_bank_1n(A133,$A$1,1,100000000),"")</f>
        <v>2.5229489415484113E-2</v>
      </c>
      <c r="S133" s="22"/>
      <c r="T133" s="22"/>
      <c r="U133" s="22"/>
      <c r="V133" s="22"/>
      <c r="W133" s="22"/>
      <c r="X133" s="22"/>
      <c r="Y133" s="22"/>
      <c r="Z133" s="25">
        <f>[1]!b_stm07_bs(A133,74,$A$1,1,100000000)</f>
        <v>2488.5726100000002</v>
      </c>
      <c r="AA133" s="25">
        <f>[1]!b_stm07_bs(A133,109,$A$1,1,100000000)</f>
        <v>1843.8706</v>
      </c>
      <c r="AB133" s="10">
        <f>[1]!s_stmnote_bank_5n(A133,$A$1,1)</f>
        <v>1.62</v>
      </c>
      <c r="AC133" s="25">
        <f>IF([1]!s_stmnote_bank_23n(A133,$A$1,1)=0,"",IFERROR([1]!s_stmnote_bank_23n(A133,$A$1,1),""))</f>
        <v>213.33</v>
      </c>
      <c r="AD133" s="27" t="str">
        <f t="shared" si="41"/>
        <v>73 167</v>
      </c>
      <c r="AE133" s="25">
        <f>[1]!s_stmnote_bank_capadequacyratio(A133,$A$1,1)</f>
        <v>11.96</v>
      </c>
      <c r="AF133" s="25">
        <f>IF([1]!s_stmnote_bank_capadequacyratio_ct1(A133,$A$1,1)=0,"",IFERROR([1]!s_stmnote_bank_capadequacyratio_ct1(A133,$A$1,1),""))</f>
        <v>8.19</v>
      </c>
      <c r="AG133" s="27" t="str">
        <f t="shared" si="42"/>
        <v>16 167</v>
      </c>
      <c r="AH133" s="6">
        <f>IF(OR([1]!s_fa_roe(A133,20201231)=0,[1]!s_fa_roe(A133,20211231)="0",[1]!s_fa_roe(A133,20221231)="0"),"",IFERROR(([1]!s_fa_roe(A133,20221231)+[1]!s_fa_roe(A133,20201231)+[1]!s_fa_roe(A133,20211231))/3,""))</f>
        <v>6.6137000000000006</v>
      </c>
      <c r="AI133" s="27" t="str">
        <f t="shared" si="43"/>
        <v>63 173</v>
      </c>
      <c r="AJ133" s="28">
        <f>IFERROR(([1]!s_stmnote_bank_65(A133,$A$1,1,2,4,100000000)+[1]!s_stmnote_bank_65(A133,$A$1,1,2,6,100000000))/[1]!s_stmnote_bank_1n(A133,$A$1,1,100000000),"")</f>
        <v>0.21337187977443517</v>
      </c>
      <c r="AK133" s="28">
        <f>IFERROR([1]!s_stmnote_bank_614(A133,$A$1,1,2,100000000)/[1]!s_stmnote_bank_647(A133,$A$1,1,2,100000000),"")</f>
        <v>0.26258565541421397</v>
      </c>
      <c r="AL133" s="28">
        <f>IFERROR(([1]!b_stm07_bs(A133,104,$A$1,1,100000000)+[1]!b_stm07_bs(A133,106,$A$1,1,100000000)+[1]!b_stm07_bs(A133,76,$A$1,1,100000000)+[1]!b_stm07_bs(A133,108,$A$1,1,100000000)+[1]!b_stm07_bs(A133,95,$A$1,1,100000000))/[1]!b_stm07_bs(A133,128,$A$1,1,100000000),"")</f>
        <v>0.14494999491394323</v>
      </c>
      <c r="AM133" s="28">
        <f>IFERROR(([1]!s_stmnote_bank_614(A133,$A$1,1,2,100000000)+[1]!b_stm07_bs(A133,104,$A$1,1,100000000)+[1]!b_stm07_bs(A133,106,$A$1,1,100000000)+[1]!b_stm07_bs(A133,76,$A$1,1,100000000)+[1]!b_stm07_bs(A133,108,$A$1,1,100000000)+[1]!b_stm07_bs(A133,95,$A$1,1,100000000))/[1]!b_stm07_bs(A133,128,$A$1,1,100000000),"")</f>
        <v>0.35451863432210134</v>
      </c>
      <c r="AN133" s="31" t="e">
        <f>IF(Z133&gt;#REF!,#REF!,IF(Z133&gt;#REF!,#REF!,IF(Z133&gt;#REF!,#REF!,IF(Z133&gt;#REF!,#REF!,IF(Z133&gt;#REF!,#REF!,IF(Z133&gt;#REF!,#REF!,IF(Z133&gt;#REF!,#REF!,#REF!)))))))</f>
        <v>#REF!</v>
      </c>
      <c r="AO133" s="31" t="e">
        <f>IF(AA133&gt;#REF!,#REF!,IF(AA133&gt;#REF!,#REF!,IF(AA133&gt;#REF!,#REF!,IF(AA133&gt;#REF!,#REF!,IF(AA133&gt;#REF!,#REF!,IF(AA133&gt;#REF!,#REF!,IF(AA133&gt;#REF!,#REF!,#REF!)))))))</f>
        <v>#REF!</v>
      </c>
      <c r="AP133" s="31" t="e">
        <f>IF(AB133&lt;#REF!,#REF!,IF(AB133&lt;#REF!,#REF!,IF(AB133&lt;#REF!,#REF!,IF(AB133&lt;#REF!,#REF!,IF(AB133&lt;#REF!,#REF!,IF(AB133&lt;#REF!,#REF!,#REF!))))))</f>
        <v>#REF!</v>
      </c>
      <c r="AQ133" s="31" t="e">
        <f>IF(AC133&gt;#REF!,#REF!,IF(AC133&gt;#REF!,#REF!,IF(AC133&gt;#REF!,#REF!,IF(AC133&gt;#REF!,#REF!,#REF!))))</f>
        <v>#REF!</v>
      </c>
      <c r="AR133" s="31" t="e">
        <f>IF(AE133&gt;#REF!,#REF!,IF(AE133&gt;#REF!,#REF!,IF(AE133&gt;#REF!,#REF!,IF(AE133&gt;#REF!,#REF!,#REF!))))</f>
        <v>#REF!</v>
      </c>
      <c r="AS133" s="31" t="e">
        <f>IF(AF133&gt;#REF!,#REF!,IF(AF133&gt;#REF!,#REF!,IF(AF133&gt;#REF!,#REF!,IF(AF133&gt;#REF!,#REF!,#REF!))))</f>
        <v>#REF!</v>
      </c>
      <c r="AT133" s="31" t="e">
        <f>IF(AH133&gt;#REF!,#REF!,IF(AH133&gt;#REF!,#REF!,IF(AH133&gt;#REF!,#REF!,IF(AH133&gt;#REF!,#REF!,IF(AH133&gt;#REF!,#REF!,#REF!)))))</f>
        <v>#REF!</v>
      </c>
      <c r="AU133" s="10" t="e">
        <f t="shared" si="44"/>
        <v>#REF!</v>
      </c>
      <c r="AV133" s="10"/>
      <c r="AW133" s="10"/>
      <c r="AX133" s="10"/>
      <c r="AY133" s="31" t="str">
        <f>IFERROR(VLOOKUP(AV133,#REF!,3,0),"")</f>
        <v/>
      </c>
      <c r="AZ133" s="31" t="str">
        <f>IFERROR(VLOOKUP(AW133,#REF!,3,0),"")</f>
        <v/>
      </c>
      <c r="BA133" s="31" t="str">
        <f>IFERROR(VLOOKUP(AX133,#REF!,3,0),"")</f>
        <v/>
      </c>
      <c r="BB133" s="31" t="str">
        <f>IFERROR(AY133*#REF!+AZ133*#REF!+BA133*#REF!,"")</f>
        <v/>
      </c>
      <c r="BC133" s="32" t="str">
        <f t="shared" si="45"/>
        <v/>
      </c>
      <c r="BD133" s="32" t="str">
        <f>IFERROR(VLOOKUP(BC133*10,#REF!,2,1),"")</f>
        <v/>
      </c>
      <c r="BE133" s="10"/>
      <c r="BF133" s="10"/>
      <c r="BG133" s="10"/>
      <c r="BH133" s="11" t="s">
        <v>300</v>
      </c>
      <c r="BI133" s="10">
        <v>20</v>
      </c>
      <c r="BJ133" s="33" t="s">
        <v>105</v>
      </c>
      <c r="BK133" s="33" t="s">
        <v>301</v>
      </c>
      <c r="BL133" s="10">
        <f>IF([1]!s_stmnote_bank_17n(A133,$A$1,1)="0","",[1]!s_stmnote_bank_17n(A133,$A$1,1))</f>
        <v>8.85</v>
      </c>
      <c r="BM133" s="10">
        <f>IF([1]!s_stmnote_bank_18n(A133,$A$1,1)="0","",[1]!s_stmnote_bank_18n(A133,$A$1,1))</f>
        <v>51.15</v>
      </c>
      <c r="BN133" s="41" t="s">
        <v>67</v>
      </c>
      <c r="BO133" s="68" t="s">
        <v>67</v>
      </c>
      <c r="BP133" s="52">
        <f>[1]!s_stmnote_bank_5444(A133,$A$1,1)</f>
        <v>0</v>
      </c>
      <c r="BQ133" s="52">
        <f>[1]!s_stmnote_bank_129n($A133,$A$1,1)</f>
        <v>27.35</v>
      </c>
      <c r="BR133" s="52">
        <f t="shared" si="34"/>
        <v>4.9405628348072606</v>
      </c>
      <c r="BS133" s="52">
        <f>[1]!b_stm07_is(A133,19,$A$1,1,100000000)</f>
        <v>106.86583</v>
      </c>
      <c r="BT133" s="52">
        <f xml:space="preserve"> [1]!s_stm07_bs(A133,"W15273164",$A$1,1,100000000)-[1]!s_stm07_bs(A133,"W17642530",$A$1,1,100000000)-[1]!s_stm07_bs(A133,"W15910877",$A$1,1,100000000)-[1]!s_stm07_bs_39(A133,$A$1,1,100000000)-[1]!s_stm07_bs(A133,"W17700468",$A$1,1,100000000)-[1]!s_stm07_bs(A133,"W16504296",$A$1,1,100000000)-[1]!s_stm07_bs(A133,"W13769069",$A$1,1,100000000)</f>
        <v>2432.9824300000005</v>
      </c>
      <c r="BU133" s="52">
        <f xml:space="preserve"> [1]!s_stm07_bs(A133,"W15273164",$B$1,1,100000000)-[1]!s_stm07_bs(A133,"W17642530",$B$1,1,100000000)-[1]!s_stm07_bs(A133,"W15910877",$B$1,1,100000000)-[1]!s_stm07_bs_39(A133,$B$1,1,100000000)-[1]!s_stm07_bs(A133,"W17700468",$B$1,1,100000000)-[1]!s_stm07_bs(A133,"W16504296",$B$1,1,100000000)-[1]!s_stm07_bs(A133,"W13769069",$B$1,1,100000000)</f>
        <v>2060.2193399999996</v>
      </c>
      <c r="BV133" s="52">
        <f xml:space="preserve"> [1]!s_stm07_bs(A133,"W15273164",$E$1,1,100000000)-[1]!s_stm07_bs(A133,"W17642530",$E$1,1,100000000)-[1]!s_stm07_bs(A133,"W15910877",$E$1,1,100000000)-[1]!s_stm07_bs_39(A133,$E$1,1,100000000)-[1]!s_stm07_bs(A133,"W17700468",$E$1,1,100000000)-[1]!s_stm07_bs(A133,"W16504296",$E$1,1,100000000)-[1]!s_stm07_bs(A133,"W13769069",$E$1,1,100000000)</f>
        <v>2419.7683125857993</v>
      </c>
      <c r="BW133" s="52">
        <f xml:space="preserve"> [1]!s_stm07_bs(A133,"W15273164",$F$1,1,100000000)-[1]!s_stm07_bs(A133,"W17642530",$F$1,1,100000000)-[1]!s_stm07_bs(A133,"W15910877",$F$1,1,100000000)-[1]!s_stm07_bs_39(A133,$F$1,1,100000000)-[1]!s_stm07_bs(A133,"W17700468",$F$1,1,100000000)-[1]!s_stm07_bs(A133,"W16504296",$F$1,1,100000000)-[1]!s_stm07_bs(A133,"W13769069",$F$1,1,100000000)</f>
        <v>2403.5625647837001</v>
      </c>
      <c r="BX133" s="52">
        <f xml:space="preserve"> [1]!s_stm07_bs(A133,"W15273164",$G$1,1,100000000)-[1]!s_stm07_bs(A133,"W17642530",$G$1,1,100000000)-[1]!s_stm07_bs(A133,"W15910877",$G$1,1,100000000)-[1]!s_stm07_bs_39(A133,$G$1,1,100000000)-[1]!s_stm07_bs(A133,"W17700468",$G$1,1,100000000)-[1]!s_stm07_bs(A133,"W16504296",$G$1,1,100000000)-[1]!s_stm07_bs(A133,"W13769069",$G$1,1,100000000)</f>
        <v>2324.6602970626</v>
      </c>
      <c r="BY133" s="52">
        <f>IFERROR([1]!b_stm07_is(A133,20,$A$1,1,100000000)/AVERAGEIF(CA133:CE133,"&gt;0")*100,0)</f>
        <v>2.4584110703352651</v>
      </c>
      <c r="BZ133" s="52">
        <f>[1]!b_stm07_is(A133,20,$A$1,1,100000000)</f>
        <v>53.413359999999997</v>
      </c>
      <c r="CA133" s="52">
        <f>[1]!s_stmnote_bank_38(A133,$A$1,1,100000000)</f>
        <v>2290.4693000000002</v>
      </c>
      <c r="CB133" s="52">
        <f>[1]!s_stmnote_bank_38(A133,$B$1,1,100000000)</f>
        <v>1896.55294</v>
      </c>
      <c r="CC133" s="52">
        <f>[1]!s_stmnote_bank_38(A133,$E$1,1,100000000)</f>
        <v>2262.7757708474001</v>
      </c>
      <c r="CD133" s="52">
        <f>[1]!s_stmnote_bank_38(A133,$F$1,1,100000000)</f>
        <v>2245.6973137966002</v>
      </c>
      <c r="CE133" s="52">
        <f>[1]!s_stmnote_bank_38(A133,$G$1,1,100000000)</f>
        <v>2167.8953923355998</v>
      </c>
      <c r="CF133" s="52">
        <f>IF(BP133&lt;&gt;0,BP133,IFERROR(IF(([1]!b_stm07_is(A133,19,$A$1,1,100000000)-[1]!b_stm07_is(A133,20,$A$1,1,100000000))/AVERAGE([1]!s_stmnote_bank_35(A133,$A$1,1,100000000),[1]!s_stmnote_bank_35(A133,$B$1,1,100000000))*100=0,"",([1]!b_stm07_is(A133,19,$A$1,1,100000000)-[1]!b_stm07_is(A133,20,$A$1,1,100000000))/AVERAGE([1]!s_stmnote_bank_35(A133,$A$1,1,100000000),[1]!s_stmnote_bank_35(A133,$B$1,1,100000000))*100),""))</f>
        <v>2.4401982133685185</v>
      </c>
      <c r="CG133" s="27" t="str">
        <f t="shared" si="46"/>
        <v>29 171</v>
      </c>
      <c r="CH133" s="80">
        <f t="shared" si="35"/>
        <v>0.58900031059917024</v>
      </c>
      <c r="CI133" s="27" t="str">
        <f t="shared" si="47"/>
        <v>100 169</v>
      </c>
      <c r="CJ133" s="55">
        <f>[1]!s_stmnote_bank_30(A133,$A$1,1)</f>
        <v>14.28</v>
      </c>
      <c r="CK133" s="48"/>
      <c r="CL133" s="48"/>
      <c r="CM133" s="48"/>
      <c r="CN133" s="48"/>
      <c r="CO133" s="48"/>
      <c r="CP133" s="69">
        <f>[1]!b_stm07_bs($A133,141,$A$1,1,100000000)</f>
        <v>178.23661999999999</v>
      </c>
      <c r="CQ133" s="69">
        <f>[1]!b_stm07_bs($A133,141,$D$1,1,100000000)</f>
        <v>205.999201798</v>
      </c>
      <c r="CR133" s="68">
        <f>IF([1]!s_fa_roic_yearly($A133,$A$1)=0,"",[1]!s_fa_roic_yearly($A133,$A$1))</f>
        <v>7.1303000000000001</v>
      </c>
      <c r="CS133" s="27">
        <f t="shared" si="48"/>
        <v>0.65088757396449703</v>
      </c>
      <c r="CT133" s="68">
        <f>IF([1]!s_fa_roic_yearly($A133,$D$1)=0,"",[1]!s_fa_roic_yearly($A133,$D$1))</f>
        <v>8.6739999999999995</v>
      </c>
      <c r="CU133" s="27">
        <f t="shared" si="49"/>
        <v>0.65492957746478875</v>
      </c>
      <c r="CV133" s="78">
        <f>[1]!s_stm07_bs(A133,"W14578191",$A$1,1,100000000)</f>
        <v>1318.7301600000001</v>
      </c>
      <c r="CW133" s="78">
        <f>[1]!s_stmnote_bank_682($A133,$A$1,1,2,100000000)</f>
        <v>274.74721</v>
      </c>
      <c r="CX133" s="79">
        <f t="shared" ref="CX133:CX192" si="50">IF(CW133*CV133=0,"",CW133/CV133)</f>
        <v>0.20834225100304066</v>
      </c>
    </row>
    <row r="134" spans="1:102" s="46" customFormat="1" ht="13.5">
      <c r="A134" s="8" t="s">
        <v>516</v>
      </c>
      <c r="B134" s="8" t="s">
        <v>517</v>
      </c>
      <c r="C134" s="9" t="s">
        <v>518</v>
      </c>
      <c r="D134" s="9" t="s">
        <v>1061</v>
      </c>
      <c r="E134" s="10"/>
      <c r="F134" s="11" t="s">
        <v>90</v>
      </c>
      <c r="G134" s="11" t="s">
        <v>67</v>
      </c>
      <c r="H134" s="11" t="s">
        <v>103</v>
      </c>
      <c r="I134" s="11"/>
      <c r="J134" s="11" t="e">
        <f>VLOOKUP(B134,[3]额度信息!$B:$T,19,0)</f>
        <v>#N/A</v>
      </c>
      <c r="K134" s="11"/>
      <c r="L134" s="27">
        <f>IFERROR(([1]!b_stm07_bs($A134,47,$A$1,1,100000000))/[1]!b_stm07_bs($A134,109,$A$1,1,100000000),"")</f>
        <v>9.5402058900089778E-2</v>
      </c>
      <c r="M134" s="20"/>
      <c r="N134" s="18"/>
      <c r="O134" s="27" t="e">
        <f t="shared" si="39"/>
        <v>#N/A</v>
      </c>
      <c r="P134" s="21">
        <f t="shared" ref="P134:P192" si="51">IF(IFERROR(R134+AB134/100,"")=0,"",IFERROR(R134+AB134/100,""))</f>
        <v>6.1357400777671031E-2</v>
      </c>
      <c r="Q134" s="27" t="str">
        <f t="shared" si="40"/>
        <v>143 169</v>
      </c>
      <c r="R134" s="18">
        <f>IFERROR([1]!s_stmnote_bank($A134,"34",$A$1,100000000)/[1]!s_stmnote_bank_1n(A134,$A$1,1,100000000),"")</f>
        <v>4.3557400777671035E-2</v>
      </c>
      <c r="S134" s="22"/>
      <c r="T134" s="22"/>
      <c r="U134" s="22"/>
      <c r="V134" s="22"/>
      <c r="W134" s="22"/>
      <c r="X134" s="22"/>
      <c r="Y134" s="22"/>
      <c r="Z134" s="25">
        <f>[1]!b_stm07_bs(A134,74,$A$1,1,100000000)</f>
        <v>1454.3715600894</v>
      </c>
      <c r="AA134" s="25">
        <f>[1]!b_stm07_bs(A134,109,$A$1,1,100000000)</f>
        <v>857.83082098789998</v>
      </c>
      <c r="AB134" s="10">
        <f>[1]!s_stmnote_bank_5n(A134,$A$1,1)</f>
        <v>1.78</v>
      </c>
      <c r="AC134" s="25">
        <f>IF([1]!s_stmnote_bank_23n(A134,$A$1,1)=0,"",IFERROR([1]!s_stmnote_bank_23n(A134,$A$1,1),""))</f>
        <v>159.53</v>
      </c>
      <c r="AD134" s="27" t="str">
        <f t="shared" si="41"/>
        <v>31 167</v>
      </c>
      <c r="AE134" s="25">
        <f>[1]!s_stmnote_bank_capadequacyratio(A134,$A$1,1)</f>
        <v>13.89</v>
      </c>
      <c r="AF134" s="25">
        <f>IF([1]!s_stmnote_bank_capadequacyratio_ct1(A134,$A$1,1)=0,"",IFERROR([1]!s_stmnote_bank_capadequacyratio_ct1(A134,$A$1,1),""))</f>
        <v>9.77</v>
      </c>
      <c r="AG134" s="27" t="str">
        <f t="shared" si="42"/>
        <v>74 167</v>
      </c>
      <c r="AH134" s="6">
        <f>IF(OR([1]!s_fa_roe(A134,20201231)=0,[1]!s_fa_roe(A134,20211231)="0",[1]!s_fa_roe(A134,20221231)="0"),"",IFERROR(([1]!s_fa_roe(A134,20221231)+[1]!s_fa_roe(A134,20201231)+[1]!s_fa_roe(A134,20211231))/3,""))</f>
        <v>4.6417666666666664</v>
      </c>
      <c r="AI134" s="27" t="str">
        <f t="shared" si="43"/>
        <v>34 173</v>
      </c>
      <c r="AJ134" s="28">
        <f>IFERROR(([1]!s_stmnote_bank_65(A134,$A$1,1,2,4,100000000)+[1]!s_stmnote_bank_65(A134,$A$1,1,2,6,100000000))/[1]!s_stmnote_bank_1n(A134,$A$1,1,100000000),"")</f>
        <v>0.24952268196347399</v>
      </c>
      <c r="AK134" s="28">
        <f>IFERROR([1]!s_stmnote_bank_614(A134,$A$1,1,2,100000000)/[1]!s_stmnote_bank_647(A134,$A$1,1,2,100000000),"")</f>
        <v>0.27378025118161703</v>
      </c>
      <c r="AL134" s="28">
        <f>IFERROR(([1]!b_stm07_bs(A134,104,$A$1,1,100000000)+[1]!b_stm07_bs(A134,106,$A$1,1,100000000)+[1]!b_stm07_bs(A134,76,$A$1,1,100000000)+[1]!b_stm07_bs(A134,108,$A$1,1,100000000)+[1]!b_stm07_bs(A134,95,$A$1,1,100000000))/[1]!b_stm07_bs(A134,128,$A$1,1,100000000),"")</f>
        <v>0.30094653672837002</v>
      </c>
      <c r="AM134" s="28">
        <f>IFERROR(([1]!s_stmnote_bank_614(A134,$A$1,1,2,100000000)+[1]!b_stm07_bs(A134,104,$A$1,1,100000000)+[1]!b_stm07_bs(A134,106,$A$1,1,100000000)+[1]!b_stm07_bs(A134,76,$A$1,1,100000000)+[1]!b_stm07_bs(A134,108,$A$1,1,100000000)+[1]!b_stm07_bs(A134,95,$A$1,1,100000000))/[1]!b_stm07_bs(A134,128,$A$1,1,100000000),"")</f>
        <v>0.47588230066160808</v>
      </c>
      <c r="AN134" s="31" t="e">
        <f>IF(Z134&gt;#REF!,#REF!,IF(Z134&gt;#REF!,#REF!,IF(Z134&gt;#REF!,#REF!,IF(Z134&gt;#REF!,#REF!,IF(Z134&gt;#REF!,#REF!,IF(Z134&gt;#REF!,#REF!,IF(Z134&gt;#REF!,#REF!,#REF!)))))))</f>
        <v>#REF!</v>
      </c>
      <c r="AO134" s="31" t="e">
        <f>IF(AA134&gt;#REF!,#REF!,IF(AA134&gt;#REF!,#REF!,IF(AA134&gt;#REF!,#REF!,IF(AA134&gt;#REF!,#REF!,IF(AA134&gt;#REF!,#REF!,IF(AA134&gt;#REF!,#REF!,IF(AA134&gt;#REF!,#REF!,#REF!)))))))</f>
        <v>#REF!</v>
      </c>
      <c r="AP134" s="31" t="e">
        <f>IF(AB134&lt;#REF!,#REF!,IF(AB134&lt;#REF!,#REF!,IF(AB134&lt;#REF!,#REF!,IF(AB134&lt;#REF!,#REF!,IF(AB134&lt;#REF!,#REF!,IF(AB134&lt;#REF!,#REF!,#REF!))))))</f>
        <v>#REF!</v>
      </c>
      <c r="AQ134" s="31" t="e">
        <f>IF(AC134&gt;#REF!,#REF!,IF(AC134&gt;#REF!,#REF!,IF(AC134&gt;#REF!,#REF!,IF(AC134&gt;#REF!,#REF!,#REF!))))</f>
        <v>#REF!</v>
      </c>
      <c r="AR134" s="31" t="e">
        <f>IF(AE134&gt;#REF!,#REF!,IF(AE134&gt;#REF!,#REF!,IF(AE134&gt;#REF!,#REF!,IF(AE134&gt;#REF!,#REF!,#REF!))))</f>
        <v>#REF!</v>
      </c>
      <c r="AS134" s="31" t="e">
        <f>IF(AF134&gt;#REF!,#REF!,IF(AF134&gt;#REF!,#REF!,IF(AF134&gt;#REF!,#REF!,IF(AF134&gt;#REF!,#REF!,#REF!))))</f>
        <v>#REF!</v>
      </c>
      <c r="AT134" s="31" t="e">
        <f>IF(AH134&gt;#REF!,#REF!,IF(AH134&gt;#REF!,#REF!,IF(AH134&gt;#REF!,#REF!,IF(AH134&gt;#REF!,#REF!,IF(AH134&gt;#REF!,#REF!,#REF!)))))</f>
        <v>#REF!</v>
      </c>
      <c r="AU134" s="10" t="e">
        <f t="shared" si="44"/>
        <v>#REF!</v>
      </c>
      <c r="AV134" s="10" t="s">
        <v>141</v>
      </c>
      <c r="AW134" s="10" t="s">
        <v>227</v>
      </c>
      <c r="AX134" s="10" t="s">
        <v>359</v>
      </c>
      <c r="AY134" s="31" t="str">
        <f>IFERROR(VLOOKUP(AV134,#REF!,3,0),"")</f>
        <v/>
      </c>
      <c r="AZ134" s="31" t="str">
        <f>IFERROR(VLOOKUP(AW134,#REF!,3,0),"")</f>
        <v/>
      </c>
      <c r="BA134" s="31" t="str">
        <f>IFERROR(VLOOKUP(AX134,#REF!,3,0),"")</f>
        <v/>
      </c>
      <c r="BB134" s="31" t="str">
        <f>IFERROR(AY134*#REF!+AZ134*#REF!+BA134*#REF!,"")</f>
        <v/>
      </c>
      <c r="BC134" s="32" t="str">
        <f t="shared" si="45"/>
        <v/>
      </c>
      <c r="BD134" s="32" t="str">
        <f>IFERROR(VLOOKUP(BC134*10,#REF!,2,1),"")</f>
        <v/>
      </c>
      <c r="BE134" s="10"/>
      <c r="BF134" s="10"/>
      <c r="BG134" s="10"/>
      <c r="BH134" s="11" t="s">
        <v>519</v>
      </c>
      <c r="BI134" s="10">
        <v>18.920000076293899</v>
      </c>
      <c r="BJ134" s="11" t="s">
        <v>319</v>
      </c>
      <c r="BK134" s="33" t="s">
        <v>520</v>
      </c>
      <c r="BL134" s="10">
        <f>IF([1]!s_stmnote_bank_17n(A134,$A$1,1)="0","",[1]!s_stmnote_bank_17n(A134,$A$1,1))</f>
        <v>0</v>
      </c>
      <c r="BM134" s="10">
        <f>IF([1]!s_stmnote_bank_18n(A134,$A$1,1)="0","",[1]!s_stmnote_bank_18n(A134,$A$1,1))</f>
        <v>0</v>
      </c>
      <c r="BN134" s="41"/>
      <c r="BO134" s="52"/>
      <c r="BP134" s="52">
        <f>[1]!s_stmnote_bank_5444(A134,$A$1,1)</f>
        <v>0</v>
      </c>
      <c r="BQ134" s="52">
        <f>[1]!s_stmnote_bank_129n($A134,$A$1,1)</f>
        <v>32.623800000000003</v>
      </c>
      <c r="BR134" s="52">
        <f t="shared" ref="BR134:BR192" si="52">IFERROR(BS134/SUMPRODUCT(BT134:BX134,$BT$4:$BX$4)*SUMIFS($BT$4:$BX$4,BT134:BX134,"&gt;0")*100,0)</f>
        <v>5.0995539783327768</v>
      </c>
      <c r="BS134" s="52">
        <f>[1]!b_stm07_is(A134,19,$A$1,1,100000000)</f>
        <v>64.022826903500004</v>
      </c>
      <c r="BT134" s="52">
        <f xml:space="preserve"> [1]!s_stm07_bs(A134,"W15273164",$A$1,1,100000000)-[1]!s_stm07_bs(A134,"W17642530",$A$1,1,100000000)-[1]!s_stm07_bs(A134,"W15910877",$A$1,1,100000000)-[1]!s_stm07_bs_39(A134,$A$1,1,100000000)-[1]!s_stm07_bs(A134,"W17700468",$A$1,1,100000000)-[1]!s_stm07_bs(A134,"W16504296",$A$1,1,100000000)-[1]!s_stm07_bs(A134,"W13769069",$A$1,1,100000000)</f>
        <v>1419.0901405520999</v>
      </c>
      <c r="BU134" s="52">
        <f xml:space="preserve"> [1]!s_stm07_bs(A134,"W15273164",$B$1,1,100000000)-[1]!s_stm07_bs(A134,"W17642530",$B$1,1,100000000)-[1]!s_stm07_bs(A134,"W15910877",$B$1,1,100000000)-[1]!s_stm07_bs_39(A134,$B$1,1,100000000)-[1]!s_stm07_bs(A134,"W17700468",$B$1,1,100000000)-[1]!s_stm07_bs(A134,"W16504296",$B$1,1,100000000)-[1]!s_stm07_bs(A134,"W13769069",$B$1,1,100000000)</f>
        <v>1217.6797799999999</v>
      </c>
      <c r="BV134" s="52">
        <f xml:space="preserve"> [1]!s_stm07_bs(A134,"W15273164",$E$1,1,100000000)-[1]!s_stm07_bs(A134,"W17642530",$E$1,1,100000000)-[1]!s_stm07_bs(A134,"W15910877",$E$1,1,100000000)-[1]!s_stm07_bs_39(A134,$E$1,1,100000000)-[1]!s_stm07_bs(A134,"W17700468",$E$1,1,100000000)-[1]!s_stm07_bs(A134,"W16504296",$E$1,1,100000000)-[1]!s_stm07_bs(A134,"W13769069",$E$1,1,100000000)</f>
        <v>1349.0637140111</v>
      </c>
      <c r="BW134" s="52">
        <f xml:space="preserve"> [1]!s_stm07_bs(A134,"W15273164",$F$1,1,100000000)-[1]!s_stm07_bs(A134,"W17642530",$F$1,1,100000000)-[1]!s_stm07_bs(A134,"W15910877",$F$1,1,100000000)-[1]!s_stm07_bs_39(A134,$F$1,1,100000000)-[1]!s_stm07_bs(A134,"W17700468",$F$1,1,100000000)-[1]!s_stm07_bs(A134,"W16504296",$F$1,1,100000000)-[1]!s_stm07_bs(A134,"W13769069",$F$1,1,100000000)</f>
        <v>1312.6072730451999</v>
      </c>
      <c r="BX134" s="52">
        <f xml:space="preserve"> [1]!s_stm07_bs(A134,"W15273164",$G$1,1,100000000)-[1]!s_stm07_bs(A134,"W17642530",$G$1,1,100000000)-[1]!s_stm07_bs(A134,"W15910877",$G$1,1,100000000)-[1]!s_stm07_bs_39(A134,$G$1,1,100000000)-[1]!s_stm07_bs(A134,"W17700468",$G$1,1,100000000)-[1]!s_stm07_bs(A134,"W16504296",$G$1,1,100000000)-[1]!s_stm07_bs(A134,"W13769069",$G$1,1,100000000)</f>
        <v>1249.2114110279001</v>
      </c>
      <c r="BY134" s="52">
        <f>IFERROR([1]!b_stm07_is(A134,20,$A$1,1,100000000)/AVERAGEIF(CA134:CE134,"&gt;0")*100,0)</f>
        <v>2.8467993436026942</v>
      </c>
      <c r="BZ134" s="52">
        <f>[1]!b_stm07_is(A134,20,$A$1,1,100000000)</f>
        <v>34.6670383286</v>
      </c>
      <c r="CA134" s="52">
        <f>[1]!s_stmnote_bank_38(A134,$A$1,1,100000000)</f>
        <v>1332.6078791258001</v>
      </c>
      <c r="CB134" s="52">
        <f>[1]!s_stmnote_bank_38(A134,$B$1,1,100000000)</f>
        <v>1114.1609900000001</v>
      </c>
      <c r="CC134" s="52">
        <f>[1]!s_stmnote_bank_38(A134,$E$1,1,100000000)</f>
        <v>1259.2767559274</v>
      </c>
      <c r="CD134" s="52">
        <f>[1]!s_stmnote_bank_38(A134,$F$1,1,100000000)</f>
        <v>1224.9665529021001</v>
      </c>
      <c r="CE134" s="52">
        <f>[1]!s_stmnote_bank_38(A134,$G$1,1,100000000)</f>
        <v>1157.7622919600999</v>
      </c>
      <c r="CF134" s="52">
        <f>IF(BP134&lt;&gt;0,BP134,IFERROR(IF(([1]!b_stm07_is(A134,19,$A$1,1,100000000)-[1]!b_stm07_is(A134,20,$A$1,1,100000000))/AVERAGE([1]!s_stmnote_bank_35(A134,$A$1,1,100000000),[1]!s_stmnote_bank_35(A134,$B$1,1,100000000))*100=0,"",([1]!b_stm07_is(A134,19,$A$1,1,100000000)-[1]!b_stm07_is(A134,20,$A$1,1,100000000))/AVERAGE([1]!s_stmnote_bank_35(A134,$A$1,1,100000000),[1]!s_stmnote_bank_35(A134,$B$1,1,100000000))*100),""))</f>
        <v>2.6375113061732964</v>
      </c>
      <c r="CG134" s="27" t="str">
        <f t="shared" si="46"/>
        <v>21 171</v>
      </c>
      <c r="CH134" s="80">
        <f t="shared" ref="CH134:CH192" si="53">IFERROR(CF134/100/P134,"")</f>
        <v>0.42986033840161142</v>
      </c>
      <c r="CI134" s="27" t="str">
        <f t="shared" si="47"/>
        <v>127 169</v>
      </c>
      <c r="CJ134" s="55">
        <f>[1]!s_stmnote_bank_30(A134,$A$1,1)</f>
        <v>3.1236999999999999</v>
      </c>
      <c r="CP134" s="69">
        <f>[1]!b_stm07_bs($A134,141,$A$1,1,100000000)</f>
        <v>111.83797884280001</v>
      </c>
      <c r="CQ134" s="69">
        <f>[1]!b_stm07_bs($A134,141,$D$1,1,100000000)</f>
        <v>113.95144953549999</v>
      </c>
      <c r="CR134" s="68">
        <f>IF([1]!s_fa_roic_yearly($A134,$A$1)=0,"",[1]!s_fa_roic_yearly($A134,$A$1))</f>
        <v>4.2725999999999997</v>
      </c>
      <c r="CS134" s="27">
        <f t="shared" si="48"/>
        <v>0.88165680473372776</v>
      </c>
      <c r="CT134" s="68">
        <f>IF([1]!s_fa_roic_yearly($A134,$D$1)=0,"",[1]!s_fa_roic_yearly($A134,$D$1))</f>
        <v>4.3845999999999998</v>
      </c>
      <c r="CU134" s="27">
        <f t="shared" si="49"/>
        <v>0.91549295774647887</v>
      </c>
      <c r="CV134" s="78">
        <f>[1]!s_stm07_bs(A134,"W14578191",$A$1,1,100000000)</f>
        <v>749.90544677399998</v>
      </c>
      <c r="CW134" s="78">
        <f>[1]!s_stmnote_bank_682($A134,$A$1,1,2,100000000)</f>
        <v>135.92943018080001</v>
      </c>
      <c r="CX134" s="79">
        <f t="shared" si="50"/>
        <v>0.18126209212848302</v>
      </c>
    </row>
    <row r="135" spans="1:102" s="46" customFormat="1" ht="13.5">
      <c r="A135" s="8" t="s">
        <v>356</v>
      </c>
      <c r="B135" s="8" t="s">
        <v>357</v>
      </c>
      <c r="C135" s="9" t="s">
        <v>358</v>
      </c>
      <c r="D135" s="9" t="s">
        <v>1061</v>
      </c>
      <c r="E135" s="10"/>
      <c r="F135" s="11" t="s">
        <v>66</v>
      </c>
      <c r="G135" s="11" t="s">
        <v>67</v>
      </c>
      <c r="H135" s="11" t="s">
        <v>116</v>
      </c>
      <c r="I135" s="11"/>
      <c r="J135" s="11" t="e">
        <f>VLOOKUP(B135,[3]额度信息!$B:$T,19,0)</f>
        <v>#N/A</v>
      </c>
      <c r="K135" s="11"/>
      <c r="L135" s="27">
        <f>IFERROR(([1]!b_stm07_bs($A135,47,$A$1,1,100000000))/[1]!b_stm07_bs($A135,109,$A$1,1,100000000),"")</f>
        <v>0.10192883628787866</v>
      </c>
      <c r="M135" s="20"/>
      <c r="N135" s="18"/>
      <c r="O135" s="27" t="e">
        <f t="shared" si="39"/>
        <v>#N/A</v>
      </c>
      <c r="P135" s="21">
        <f t="shared" si="51"/>
        <v>5.5825345573789098E-2</v>
      </c>
      <c r="Q135" s="27" t="str">
        <f t="shared" si="40"/>
        <v>134 169</v>
      </c>
      <c r="R135" s="18">
        <f>IFERROR([1]!s_stmnote_bank($A135,"34",$A$1,100000000)/[1]!s_stmnote_bank_1n(A135,$A$1,1,100000000),"")</f>
        <v>3.8025345573789095E-2</v>
      </c>
      <c r="S135" s="22"/>
      <c r="T135" s="22"/>
      <c r="U135" s="22"/>
      <c r="V135" s="22"/>
      <c r="W135" s="22"/>
      <c r="X135" s="22"/>
      <c r="Y135" s="22"/>
      <c r="Z135" s="25">
        <f>[1]!b_stm07_bs(A135,74,$A$1,1,100000000)</f>
        <v>1921.0378675118</v>
      </c>
      <c r="AA135" s="25">
        <f>[1]!b_stm07_bs(A135,109,$A$1,1,100000000)</f>
        <v>1409.1486888238001</v>
      </c>
      <c r="AB135" s="10">
        <f>[1]!s_stmnote_bank_5n(A135,$A$1,1)</f>
        <v>1.78</v>
      </c>
      <c r="AC135" s="25">
        <f>IF([1]!s_stmnote_bank_23n(A135,$A$1,1)=0,"",IFERROR([1]!s_stmnote_bank_23n(A135,$A$1,1),""))</f>
        <v>313</v>
      </c>
      <c r="AD135" s="27" t="str">
        <f t="shared" si="41"/>
        <v>114 167</v>
      </c>
      <c r="AE135" s="25">
        <f>[1]!s_stmnote_bank_capadequacyratio(A135,$A$1,1)</f>
        <v>13.87</v>
      </c>
      <c r="AF135" s="25">
        <f>IF([1]!s_stmnote_bank_capadequacyratio_ct1(A135,$A$1,1)=0,"",IFERROR([1]!s_stmnote_bank_capadequacyratio_ct1(A135,$A$1,1),""))</f>
        <v>9.57</v>
      </c>
      <c r="AG135" s="27" t="str">
        <f t="shared" si="42"/>
        <v>64 167</v>
      </c>
      <c r="AH135" s="6">
        <f>IF(OR([1]!s_fa_roe(A135,20201231)=0,[1]!s_fa_roe(A135,20211231)="0",[1]!s_fa_roe(A135,20221231)="0"),"",IFERROR(([1]!s_fa_roe(A135,20221231)+[1]!s_fa_roe(A135,20201231)+[1]!s_fa_roe(A135,20211231))/3,""))</f>
        <v>6.6964333333333341</v>
      </c>
      <c r="AI135" s="27" t="str">
        <f t="shared" si="43"/>
        <v>65 173</v>
      </c>
      <c r="AJ135" s="28">
        <f>IFERROR(([1]!s_stmnote_bank_65(A135,$A$1,1,2,4,100000000)+[1]!s_stmnote_bank_65(A135,$A$1,1,2,6,100000000))/[1]!s_stmnote_bank_1n(A135,$A$1,1,100000000),"")</f>
        <v>4.6799569872369801E-2</v>
      </c>
      <c r="AK135" s="28">
        <f>IFERROR([1]!s_stmnote_bank_614(A135,$A$1,1,2,100000000)/[1]!s_stmnote_bank_647(A135,$A$1,1,2,100000000),"")</f>
        <v>0.28490545648501137</v>
      </c>
      <c r="AL135" s="28">
        <f>IFERROR(([1]!b_stm07_bs(A135,104,$A$1,1,100000000)+[1]!b_stm07_bs(A135,106,$A$1,1,100000000)+[1]!b_stm07_bs(A135,76,$A$1,1,100000000)+[1]!b_stm07_bs(A135,108,$A$1,1,100000000)+[1]!b_stm07_bs(A135,95,$A$1,1,100000000))/[1]!b_stm07_bs(A135,128,$A$1,1,100000000),"")</f>
        <v>0.15955909756374492</v>
      </c>
      <c r="AM135" s="28">
        <f>IFERROR(([1]!s_stmnote_bank_614(A135,$A$1,1,2,100000000)+[1]!b_stm07_bs(A135,104,$A$1,1,100000000)+[1]!b_stm07_bs(A135,106,$A$1,1,100000000)+[1]!b_stm07_bs(A135,76,$A$1,1,100000000)+[1]!b_stm07_bs(A135,108,$A$1,1,100000000)+[1]!b_stm07_bs(A135,95,$A$1,1,100000000))/[1]!b_stm07_bs(A135,128,$A$1,1,100000000),"")</f>
        <v>0.38652291038216946</v>
      </c>
      <c r="AN135" s="31" t="e">
        <f>IF(Z135&gt;#REF!,#REF!,IF(Z135&gt;#REF!,#REF!,IF(Z135&gt;#REF!,#REF!,IF(Z135&gt;#REF!,#REF!,IF(Z135&gt;#REF!,#REF!,IF(Z135&gt;#REF!,#REF!,IF(Z135&gt;#REF!,#REF!,#REF!)))))))</f>
        <v>#REF!</v>
      </c>
      <c r="AO135" s="31" t="e">
        <f>IF(AA135&gt;#REF!,#REF!,IF(AA135&gt;#REF!,#REF!,IF(AA135&gt;#REF!,#REF!,IF(AA135&gt;#REF!,#REF!,IF(AA135&gt;#REF!,#REF!,IF(AA135&gt;#REF!,#REF!,IF(AA135&gt;#REF!,#REF!,#REF!)))))))</f>
        <v>#REF!</v>
      </c>
      <c r="AP135" s="31" t="e">
        <f>IF(AB135&lt;#REF!,#REF!,IF(AB135&lt;#REF!,#REF!,IF(AB135&lt;#REF!,#REF!,IF(AB135&lt;#REF!,#REF!,IF(AB135&lt;#REF!,#REF!,IF(AB135&lt;#REF!,#REF!,#REF!))))))</f>
        <v>#REF!</v>
      </c>
      <c r="AQ135" s="31" t="e">
        <f>IF(AC135&gt;#REF!,#REF!,IF(AC135&gt;#REF!,#REF!,IF(AC135&gt;#REF!,#REF!,IF(AC135&gt;#REF!,#REF!,#REF!))))</f>
        <v>#REF!</v>
      </c>
      <c r="AR135" s="31" t="e">
        <f>IF(AE135&gt;#REF!,#REF!,IF(AE135&gt;#REF!,#REF!,IF(AE135&gt;#REF!,#REF!,IF(AE135&gt;#REF!,#REF!,#REF!))))</f>
        <v>#REF!</v>
      </c>
      <c r="AS135" s="31" t="e">
        <f>IF(AF135&gt;#REF!,#REF!,IF(AF135&gt;#REF!,#REF!,IF(AF135&gt;#REF!,#REF!,IF(AF135&gt;#REF!,#REF!,#REF!))))</f>
        <v>#REF!</v>
      </c>
      <c r="AT135" s="31" t="e">
        <f>IF(AH135&gt;#REF!,#REF!,IF(AH135&gt;#REF!,#REF!,IF(AH135&gt;#REF!,#REF!,IF(AH135&gt;#REF!,#REF!,IF(AH135&gt;#REF!,#REF!,#REF!)))))</f>
        <v>#REF!</v>
      </c>
      <c r="AU135" s="10" t="e">
        <f t="shared" si="44"/>
        <v>#REF!</v>
      </c>
      <c r="AV135" s="10" t="s">
        <v>141</v>
      </c>
      <c r="AW135" s="10" t="s">
        <v>61</v>
      </c>
      <c r="AX135" s="10" t="s">
        <v>359</v>
      </c>
      <c r="AY135" s="31" t="str">
        <f>IFERROR(VLOOKUP(AV135,#REF!,3,0),"")</f>
        <v/>
      </c>
      <c r="AZ135" s="31" t="str">
        <f>IFERROR(VLOOKUP(AW135,#REF!,3,0),"")</f>
        <v/>
      </c>
      <c r="BA135" s="31" t="str">
        <f>IFERROR(VLOOKUP(AX135,#REF!,3,0),"")</f>
        <v/>
      </c>
      <c r="BB135" s="31" t="str">
        <f>IFERROR(AY135*#REF!+AZ135*#REF!+BA135*#REF!,"")</f>
        <v/>
      </c>
      <c r="BC135" s="32" t="str">
        <f t="shared" si="45"/>
        <v/>
      </c>
      <c r="BD135" s="32" t="str">
        <f>IFERROR(VLOOKUP(BC135*10,#REF!,2,1),"")</f>
        <v/>
      </c>
      <c r="BE135" s="10"/>
      <c r="BF135" s="10"/>
      <c r="BG135" s="10"/>
      <c r="BH135" s="11" t="s">
        <v>360</v>
      </c>
      <c r="BI135" s="10">
        <v>14.7600002288818</v>
      </c>
      <c r="BJ135" s="33" t="s">
        <v>98</v>
      </c>
      <c r="BK135" s="33" t="s">
        <v>361</v>
      </c>
      <c r="BL135" s="10">
        <f>IF([1]!s_stmnote_bank_17n(A135,$A$1,1)="0","",[1]!s_stmnote_bank_17n(A135,$A$1,1))</f>
        <v>7.25</v>
      </c>
      <c r="BM135" s="10">
        <f>IF([1]!s_stmnote_bank_18n(A135,$A$1,1)="0","",[1]!s_stmnote_bank_18n(A135,$A$1,1))</f>
        <v>0</v>
      </c>
      <c r="BN135" s="41" t="s">
        <v>67</v>
      </c>
      <c r="BO135" s="68" t="s">
        <v>67</v>
      </c>
      <c r="BP135" s="52">
        <f>[1]!s_stmnote_bank_5444(A135,$A$1,1)</f>
        <v>0</v>
      </c>
      <c r="BQ135" s="52">
        <f>[1]!s_stmnote_bank_129n($A135,$A$1,1)</f>
        <v>29.05</v>
      </c>
      <c r="BR135" s="52">
        <f t="shared" si="52"/>
        <v>4.8002066036013913</v>
      </c>
      <c r="BS135" s="52">
        <f>[1]!b_stm07_is(A135,19,$A$1,1,100000000)</f>
        <v>77.991530337599997</v>
      </c>
      <c r="BT135" s="52">
        <f xml:space="preserve"> [1]!s_stm07_bs(A135,"W15273164",$A$1,1,100000000)-[1]!s_stm07_bs(A135,"W17642530",$A$1,1,100000000)-[1]!s_stm07_bs(A135,"W15910877",$A$1,1,100000000)-[1]!s_stm07_bs_39(A135,$A$1,1,100000000)-[1]!s_stm07_bs(A135,"W17700468",$A$1,1,100000000)-[1]!s_stm07_bs(A135,"W16504296",$A$1,1,100000000)-[1]!s_stm07_bs(A135,"W13769069",$A$1,1,100000000)</f>
        <v>1878.3089522938999</v>
      </c>
      <c r="BU135" s="52">
        <f xml:space="preserve"> [1]!s_stm07_bs(A135,"W15273164",$B$1,1,100000000)-[1]!s_stm07_bs(A135,"W17642530",$B$1,1,100000000)-[1]!s_stm07_bs(A135,"W15910877",$B$1,1,100000000)-[1]!s_stm07_bs_39(A135,$B$1,1,100000000)-[1]!s_stm07_bs(A135,"W17700468",$B$1,1,100000000)-[1]!s_stm07_bs(A135,"W16504296",$B$1,1,100000000)-[1]!s_stm07_bs(A135,"W13769069",$B$1,1,100000000)</f>
        <v>1568.6330652897</v>
      </c>
      <c r="BV135" s="52">
        <f xml:space="preserve"> [1]!s_stm07_bs(A135,"W15273164",$E$1,1,100000000)-[1]!s_stm07_bs(A135,"W17642530",$E$1,1,100000000)-[1]!s_stm07_bs(A135,"W15910877",$E$1,1,100000000)-[1]!s_stm07_bs_39(A135,$E$1,1,100000000)-[1]!s_stm07_bs(A135,"W17700468",$E$1,1,100000000)-[1]!s_stm07_bs(A135,"W16504296",$E$1,1,100000000)-[1]!s_stm07_bs(A135,"W13769069",$E$1,1,100000000)</f>
        <v>1763.0626599051002</v>
      </c>
      <c r="BW135" s="52">
        <f xml:space="preserve"> [1]!s_stm07_bs(A135,"W15273164",$F$1,1,100000000)-[1]!s_stm07_bs(A135,"W17642530",$F$1,1,100000000)-[1]!s_stm07_bs(A135,"W15910877",$F$1,1,100000000)-[1]!s_stm07_bs_39(A135,$F$1,1,100000000)-[1]!s_stm07_bs(A135,"W17700468",$F$1,1,100000000)-[1]!s_stm07_bs(A135,"W16504296",$F$1,1,100000000)-[1]!s_stm07_bs(A135,"W13769069",$F$1,1,100000000)</f>
        <v>1675.5885930000002</v>
      </c>
      <c r="BX135" s="52">
        <f xml:space="preserve"> [1]!s_stm07_bs(A135,"W15273164",$G$1,1,100000000)-[1]!s_stm07_bs(A135,"W17642530",$G$1,1,100000000)-[1]!s_stm07_bs(A135,"W15910877",$G$1,1,100000000)-[1]!s_stm07_bs_39(A135,$G$1,1,100000000)-[1]!s_stm07_bs(A135,"W17700468",$G$1,1,100000000)-[1]!s_stm07_bs(A135,"W16504296",$G$1,1,100000000)-[1]!s_stm07_bs(A135,"W13769069",$G$1,1,100000000)</f>
        <v>1663.351643</v>
      </c>
      <c r="BY135" s="52">
        <f>IFERROR([1]!b_stm07_is(A135,20,$A$1,1,100000000)/AVERAGEIF(CA135:CE135,"&gt;0")*100,0)</f>
        <v>2.713973433906105</v>
      </c>
      <c r="BZ135" s="52">
        <f>[1]!b_stm07_is(A135,20,$A$1,1,100000000)</f>
        <v>43.304697511000001</v>
      </c>
      <c r="CA135" s="52">
        <f>[1]!s_stmnote_bank_38(A135,$A$1,1,100000000)</f>
        <v>1745.4515694844001</v>
      </c>
      <c r="CB135" s="52">
        <f>[1]!s_stmnote_bank_38(A135,$B$1,1,100000000)</f>
        <v>1457.4448958714001</v>
      </c>
      <c r="CC135" s="52">
        <f>[1]!s_stmnote_bank_38(A135,$E$1,1,100000000)</f>
        <v>1629.916822697</v>
      </c>
      <c r="CD135" s="52">
        <f>[1]!s_stmnote_bank_38(A135,$F$1,1,100000000)</f>
        <v>1576.983727</v>
      </c>
      <c r="CE135" s="52">
        <f>[1]!s_stmnote_bank_38(A135,$G$1,1,100000000)</f>
        <v>1568.301991</v>
      </c>
      <c r="CF135" s="52">
        <f>IF(BP135&lt;&gt;0,BP135,IFERROR(IF(([1]!b_stm07_is(A135,19,$A$1,1,100000000)-[1]!b_stm07_is(A135,20,$A$1,1,100000000))/AVERAGE([1]!s_stmnote_bank_35(A135,$A$1,1,100000000),[1]!s_stmnote_bank_35(A135,$B$1,1,100000000))*100=0,"",([1]!b_stm07_is(A135,19,$A$1,1,100000000)-[1]!b_stm07_is(A135,20,$A$1,1,100000000))/AVERAGE([1]!s_stmnote_bank_35(A135,$A$1,1,100000000),[1]!s_stmnote_bank_35(A135,$B$1,1,100000000))*100),""))</f>
        <v>2.2728003514040016</v>
      </c>
      <c r="CG135" s="27" t="str">
        <f t="shared" si="46"/>
        <v>57 171</v>
      </c>
      <c r="CH135" s="80">
        <f t="shared" si="53"/>
        <v>0.40712696500908324</v>
      </c>
      <c r="CI135" s="27" t="str">
        <f t="shared" si="47"/>
        <v>132 169</v>
      </c>
      <c r="CJ135" s="55">
        <f>[1]!s_stmnote_bank_30(A135,$A$1,1)</f>
        <v>21.24</v>
      </c>
      <c r="CP135" s="69">
        <f>[1]!b_stm07_bs($A135,141,$A$1,1,100000000)</f>
        <v>152.1472877356</v>
      </c>
      <c r="CQ135" s="69">
        <f>[1]!b_stm07_bs($A135,141,$D$1,1,100000000)</f>
        <v>154.9737424672</v>
      </c>
      <c r="CR135" s="68">
        <f>IF([1]!s_fa_roic_yearly($A135,$A$1)=0,"",[1]!s_fa_roic_yearly($A135,$A$1))</f>
        <v>6.9717000000000002</v>
      </c>
      <c r="CS135" s="27">
        <f t="shared" si="48"/>
        <v>0.65680473372781067</v>
      </c>
      <c r="CT135" s="68">
        <f>IF([1]!s_fa_roic_yearly($A135,$D$1)=0,"",[1]!s_fa_roic_yearly($A135,$D$1))</f>
        <v>9.1297999999999995</v>
      </c>
      <c r="CU135" s="27">
        <f t="shared" si="49"/>
        <v>0.56338028169014087</v>
      </c>
      <c r="CV135" s="78">
        <f>[1]!s_stm07_bs(A135,"W14578191",$A$1,1,100000000)</f>
        <v>1002.7235651742999</v>
      </c>
      <c r="CW135" s="78">
        <f>[1]!s_stmnote_bank_682($A135,$A$1,1,2,100000000)</f>
        <v>299.78319825709997</v>
      </c>
      <c r="CX135" s="79">
        <f t="shared" si="50"/>
        <v>0.29896893687243675</v>
      </c>
    </row>
    <row r="136" spans="1:102" s="46" customFormat="1" ht="13.5">
      <c r="A136" s="8" t="s">
        <v>183</v>
      </c>
      <c r="B136" s="8" t="s">
        <v>184</v>
      </c>
      <c r="C136" s="9" t="s">
        <v>185</v>
      </c>
      <c r="D136" s="9" t="s">
        <v>1061</v>
      </c>
      <c r="E136" s="10"/>
      <c r="F136" s="11" t="s">
        <v>90</v>
      </c>
      <c r="G136" s="11" t="s">
        <v>67</v>
      </c>
      <c r="H136" s="11" t="s">
        <v>103</v>
      </c>
      <c r="I136" s="11"/>
      <c r="J136" s="11" t="e">
        <f>VLOOKUP(B136,[3]额度信息!$B:$T,19,0)</f>
        <v>#N/A</v>
      </c>
      <c r="K136" s="11"/>
      <c r="L136" s="27">
        <f>IFERROR(([1]!b_stm07_bs($A136,47,$A$1,1,100000000))/[1]!b_stm07_bs($A136,109,$A$1,1,100000000),"")</f>
        <v>0.10314327254459511</v>
      </c>
      <c r="M136" s="20"/>
      <c r="N136" s="18"/>
      <c r="O136" s="27" t="e">
        <f t="shared" si="39"/>
        <v>#N/A</v>
      </c>
      <c r="P136" s="21">
        <f t="shared" si="51"/>
        <v>4.124017042800307E-2</v>
      </c>
      <c r="Q136" s="27" t="str">
        <f t="shared" si="40"/>
        <v>117 169</v>
      </c>
      <c r="R136" s="18">
        <f>IFERROR([1]!s_stmnote_bank($A136,"34",$A$1,100000000)/[1]!s_stmnote_bank_1n(A136,$A$1,1,100000000),"")</f>
        <v>2.1940170428003072E-2</v>
      </c>
      <c r="S136" s="22"/>
      <c r="T136" s="22"/>
      <c r="U136" s="22"/>
      <c r="V136" s="22"/>
      <c r="W136" s="22"/>
      <c r="X136" s="22"/>
      <c r="Y136" s="22"/>
      <c r="Z136" s="25">
        <f>[1]!b_stm07_bs(A136,74,$A$1,1,100000000)</f>
        <v>1229.7075600000001</v>
      </c>
      <c r="AA136" s="25">
        <f>[1]!b_stm07_bs(A136,109,$A$1,1,100000000)</f>
        <v>923.39526999999998</v>
      </c>
      <c r="AB136" s="10">
        <f>[1]!s_stmnote_bank_5n(A136,$A$1,1)</f>
        <v>1.93</v>
      </c>
      <c r="AC136" s="25">
        <f>IF([1]!s_stmnote_bank_23n(A136,$A$1,1)=0,"",IFERROR([1]!s_stmnote_bank_23n(A136,$A$1,1),""))</f>
        <v>180.17</v>
      </c>
      <c r="AD136" s="27" t="str">
        <f t="shared" si="41"/>
        <v>48 167</v>
      </c>
      <c r="AE136" s="25">
        <f>[1]!s_stmnote_bank_capadequacyratio(A136,$A$1,1)</f>
        <v>12.66</v>
      </c>
      <c r="AF136" s="25">
        <f>IF([1]!s_stmnote_bank_capadequacyratio_ct1(A136,$A$1,1)=0,"",IFERROR([1]!s_stmnote_bank_capadequacyratio_ct1(A136,$A$1,1),""))</f>
        <v>7.88</v>
      </c>
      <c r="AG136" s="27" t="str">
        <f t="shared" si="42"/>
        <v>4 167</v>
      </c>
      <c r="AH136" s="6">
        <f>IF(OR([1]!s_fa_roe(A136,20201231)=0,[1]!s_fa_roe(A136,20211231)="0",[1]!s_fa_roe(A136,20221231)="0"),"",IFERROR(([1]!s_fa_roe(A136,20221231)+[1]!s_fa_roe(A136,20201231)+[1]!s_fa_roe(A136,20211231))/3,""))</f>
        <v>3.6647666666666665</v>
      </c>
      <c r="AI136" s="27" t="str">
        <f t="shared" si="43"/>
        <v>19 173</v>
      </c>
      <c r="AJ136" s="28">
        <f>IFERROR(([1]!s_stmnote_bank_65(A136,$A$1,1,2,4,100000000)+[1]!s_stmnote_bank_65(A136,$A$1,1,2,6,100000000))/[1]!s_stmnote_bank_1n(A136,$A$1,1,100000000),"")</f>
        <v>0.13744705509434527</v>
      </c>
      <c r="AK136" s="28">
        <f>IFERROR([1]!s_stmnote_bank_614(A136,$A$1,1,2,100000000)/[1]!s_stmnote_bank_647(A136,$A$1,1,2,100000000),"")</f>
        <v>0.1661666081525412</v>
      </c>
      <c r="AL136" s="28">
        <f>IFERROR(([1]!b_stm07_bs(A136,104,$A$1,1,100000000)+[1]!b_stm07_bs(A136,106,$A$1,1,100000000)+[1]!b_stm07_bs(A136,76,$A$1,1,100000000)+[1]!b_stm07_bs(A136,108,$A$1,1,100000000)+[1]!b_stm07_bs(A136,95,$A$1,1,100000000))/[1]!b_stm07_bs(A136,128,$A$1,1,100000000),"")</f>
        <v>0.16425318745702513</v>
      </c>
      <c r="AM136" s="28">
        <f>IFERROR(([1]!s_stmnote_bank_614(A136,$A$1,1,2,100000000)+[1]!b_stm07_bs(A136,104,$A$1,1,100000000)+[1]!b_stm07_bs(A136,106,$A$1,1,100000000)+[1]!b_stm07_bs(A136,76,$A$1,1,100000000)+[1]!b_stm07_bs(A136,108,$A$1,1,100000000)+[1]!b_stm07_bs(A136,95,$A$1,1,100000000))/[1]!b_stm07_bs(A136,128,$A$1,1,100000000),"")</f>
        <v>0.29768673326836165</v>
      </c>
      <c r="AN136" s="31" t="e">
        <f>IF(Z136&gt;#REF!,#REF!,IF(Z136&gt;#REF!,#REF!,IF(Z136&gt;#REF!,#REF!,IF(Z136&gt;#REF!,#REF!,IF(Z136&gt;#REF!,#REF!,IF(Z136&gt;#REF!,#REF!,IF(Z136&gt;#REF!,#REF!,#REF!)))))))</f>
        <v>#REF!</v>
      </c>
      <c r="AO136" s="31" t="e">
        <f>IF(AA136&gt;#REF!,#REF!,IF(AA136&gt;#REF!,#REF!,IF(AA136&gt;#REF!,#REF!,IF(AA136&gt;#REF!,#REF!,IF(AA136&gt;#REF!,#REF!,IF(AA136&gt;#REF!,#REF!,IF(AA136&gt;#REF!,#REF!,#REF!)))))))</f>
        <v>#REF!</v>
      </c>
      <c r="AP136" s="31" t="e">
        <f>IF(AB136&lt;#REF!,#REF!,IF(AB136&lt;#REF!,#REF!,IF(AB136&lt;#REF!,#REF!,IF(AB136&lt;#REF!,#REF!,IF(AB136&lt;#REF!,#REF!,IF(AB136&lt;#REF!,#REF!,#REF!))))))</f>
        <v>#REF!</v>
      </c>
      <c r="AQ136" s="31" t="e">
        <f>IF(AC136&gt;#REF!,#REF!,IF(AC136&gt;#REF!,#REF!,IF(AC136&gt;#REF!,#REF!,IF(AC136&gt;#REF!,#REF!,#REF!))))</f>
        <v>#REF!</v>
      </c>
      <c r="AR136" s="31" t="e">
        <f>IF(AE136&gt;#REF!,#REF!,IF(AE136&gt;#REF!,#REF!,IF(AE136&gt;#REF!,#REF!,IF(AE136&gt;#REF!,#REF!,#REF!))))</f>
        <v>#REF!</v>
      </c>
      <c r="AS136" s="31" t="e">
        <f>IF(AF136&gt;#REF!,#REF!,IF(AF136&gt;#REF!,#REF!,IF(AF136&gt;#REF!,#REF!,IF(AF136&gt;#REF!,#REF!,#REF!))))</f>
        <v>#REF!</v>
      </c>
      <c r="AT136" s="31" t="e">
        <f>IF(AH136&gt;#REF!,#REF!,IF(AH136&gt;#REF!,#REF!,IF(AH136&gt;#REF!,#REF!,IF(AH136&gt;#REF!,#REF!,IF(AH136&gt;#REF!,#REF!,#REF!)))))</f>
        <v>#REF!</v>
      </c>
      <c r="AU136" s="10" t="e">
        <f t="shared" si="44"/>
        <v>#REF!</v>
      </c>
      <c r="AV136" s="10"/>
      <c r="AW136" s="10"/>
      <c r="AX136" s="10"/>
      <c r="AY136" s="31" t="str">
        <f>IFERROR(VLOOKUP(AV136,#REF!,3,0),"")</f>
        <v/>
      </c>
      <c r="AZ136" s="31" t="str">
        <f>IFERROR(VLOOKUP(AW136,#REF!,3,0),"")</f>
        <v/>
      </c>
      <c r="BA136" s="31" t="str">
        <f>IFERROR(VLOOKUP(AX136,#REF!,3,0),"")</f>
        <v/>
      </c>
      <c r="BB136" s="31" t="str">
        <f>IFERROR(AY136*#REF!+AZ136*#REF!+BA136*#REF!,"")</f>
        <v/>
      </c>
      <c r="BC136" s="32" t="str">
        <f t="shared" si="45"/>
        <v/>
      </c>
      <c r="BD136" s="32" t="str">
        <f>IFERROR(VLOOKUP(BC136*10,#REF!,2,1),"")</f>
        <v/>
      </c>
      <c r="BE136" s="10"/>
      <c r="BF136" s="10"/>
      <c r="BG136" s="10"/>
      <c r="BH136" s="11" t="s">
        <v>186</v>
      </c>
      <c r="BI136" s="10">
        <v>34.830001831054702</v>
      </c>
      <c r="BJ136" s="11" t="s">
        <v>105</v>
      </c>
      <c r="BK136" s="33" t="s">
        <v>187</v>
      </c>
      <c r="BL136" s="10">
        <f>IF([1]!s_stmnote_bank_17n(A136,$A$1,1)="0","",[1]!s_stmnote_bank_17n(A136,$A$1,1))</f>
        <v>9.6</v>
      </c>
      <c r="BM136" s="10">
        <f>IF([1]!s_stmnote_bank_18n(A136,$A$1,1)="0","",[1]!s_stmnote_bank_18n(A136,$A$1,1))</f>
        <v>62.79</v>
      </c>
      <c r="BN136" s="41"/>
      <c r="BO136" s="52"/>
      <c r="BP136" s="52">
        <f>[1]!s_stmnote_bank_5444(A136,$A$1,1)</f>
        <v>0</v>
      </c>
      <c r="BQ136" s="52">
        <f>[1]!s_stmnote_bank_129n($A136,$A$1,1)</f>
        <v>35.630000000000003</v>
      </c>
      <c r="BR136" s="52">
        <f t="shared" si="52"/>
        <v>4.4260865973688128</v>
      </c>
      <c r="BS136" s="52">
        <f>[1]!b_stm07_is(A136,19,$A$1,1,100000000)</f>
        <v>50.864400000000003</v>
      </c>
      <c r="BT136" s="52">
        <f xml:space="preserve"> [1]!s_stm07_bs(A136,"W15273164",$A$1,1,100000000)-[1]!s_stm07_bs(A136,"W17642530",$A$1,1,100000000)-[1]!s_stm07_bs(A136,"W15910877",$A$1,1,100000000)-[1]!s_stm07_bs_39(A136,$A$1,1,100000000)-[1]!s_stm07_bs(A136,"W17700468",$A$1,1,100000000)-[1]!s_stm07_bs(A136,"W16504296",$A$1,1,100000000)-[1]!s_stm07_bs(A136,"W13769069",$A$1,1,100000000)</f>
        <v>1198.5241700000004</v>
      </c>
      <c r="BU136" s="52">
        <f xml:space="preserve"> [1]!s_stm07_bs(A136,"W15273164",$B$1,1,100000000)-[1]!s_stm07_bs(A136,"W17642530",$B$1,1,100000000)-[1]!s_stm07_bs(A136,"W15910877",$B$1,1,100000000)-[1]!s_stm07_bs_39(A136,$B$1,1,100000000)-[1]!s_stm07_bs(A136,"W17700468",$B$1,1,100000000)-[1]!s_stm07_bs(A136,"W16504296",$B$1,1,100000000)-[1]!s_stm07_bs(A136,"W13769069",$B$1,1,100000000)</f>
        <v>1134.3013499999997</v>
      </c>
      <c r="BV136" s="52">
        <f xml:space="preserve"> [1]!s_stm07_bs(A136,"W15273164",$E$1,1,100000000)-[1]!s_stm07_bs(A136,"W17642530",$E$1,1,100000000)-[1]!s_stm07_bs(A136,"W15910877",$E$1,1,100000000)-[1]!s_stm07_bs_39(A136,$E$1,1,100000000)-[1]!s_stm07_bs(A136,"W17700468",$E$1,1,100000000)-[1]!s_stm07_bs(A136,"W16504296",$E$1,1,100000000)-[1]!s_stm07_bs(A136,"W13769069",$E$1,1,100000000)</f>
        <v>1189.4094303973998</v>
      </c>
      <c r="BW136" s="52">
        <f xml:space="preserve"> [1]!s_stm07_bs(A136,"W15273164",$F$1,1,100000000)-[1]!s_stm07_bs(A136,"W17642530",$F$1,1,100000000)-[1]!s_stm07_bs(A136,"W15910877",$F$1,1,100000000)-[1]!s_stm07_bs_39(A136,$F$1,1,100000000)-[1]!s_stm07_bs(A136,"W17700468",$F$1,1,100000000)-[1]!s_stm07_bs(A136,"W16504296",$F$1,1,100000000)-[1]!s_stm07_bs(A136,"W13769069",$F$1,1,100000000)</f>
        <v>1207.7936127218002</v>
      </c>
      <c r="BX136" s="52">
        <f xml:space="preserve"> [1]!s_stm07_bs(A136,"W15273164",$G$1,1,100000000)-[1]!s_stm07_bs(A136,"W17642530",$G$1,1,100000000)-[1]!s_stm07_bs(A136,"W15910877",$G$1,1,100000000)-[1]!s_stm07_bs_39(A136,$G$1,1,100000000)-[1]!s_stm07_bs(A136,"W17700468",$G$1,1,100000000)-[1]!s_stm07_bs(A136,"W16504296",$G$1,1,100000000)-[1]!s_stm07_bs(A136,"W13769069",$G$1,1,100000000)</f>
        <v>1101.6515251711</v>
      </c>
      <c r="BY136" s="52">
        <f>IFERROR([1]!b_stm07_is(A136,20,$A$1,1,100000000)/AVERAGEIF(CA136:CE136,"&gt;0")*100,0)</f>
        <v>2.7831159796962641</v>
      </c>
      <c r="BZ136" s="52">
        <f>[1]!b_stm07_is(A136,20,$A$1,1,100000000)</f>
        <v>30.458760000000002</v>
      </c>
      <c r="CA136" s="52">
        <f>[1]!s_stmnote_bank_38(A136,$A$1,1,100000000)</f>
        <v>1136.2107900000001</v>
      </c>
      <c r="CB136" s="52">
        <f>[1]!s_stmnote_bank_38(A136,$B$1,1,100000000)</f>
        <v>1065.3190099999999</v>
      </c>
      <c r="CC136" s="52">
        <f>[1]!s_stmnote_bank_38(A136,$E$1,1,100000000)</f>
        <v>1110.3276587163</v>
      </c>
      <c r="CD136" s="52">
        <f>[1]!s_stmnote_bank_38(A136,$F$1,1,100000000)</f>
        <v>1132.0076479109</v>
      </c>
      <c r="CE136" s="52">
        <f>[1]!s_stmnote_bank_38(A136,$G$1,1,100000000)</f>
        <v>1028.1957457064</v>
      </c>
      <c r="CF136" s="52">
        <f>IF(BP136&lt;&gt;0,BP136,IFERROR(IF(([1]!b_stm07_is(A136,19,$A$1,1,100000000)-[1]!b_stm07_is(A136,20,$A$1,1,100000000))/AVERAGE([1]!s_stmnote_bank_35(A136,$A$1,1,100000000),[1]!s_stmnote_bank_35(A136,$B$1,1,100000000))*100=0,"",([1]!b_stm07_is(A136,19,$A$1,1,100000000)-[1]!b_stm07_is(A136,20,$A$1,1,100000000))/AVERAGE([1]!s_stmnote_bank_35(A136,$A$1,1,100000000),[1]!s_stmnote_bank_35(A136,$B$1,1,100000000))*100),""))</f>
        <v>1.9761787524438283</v>
      </c>
      <c r="CG136" s="27" t="str">
        <f t="shared" si="46"/>
        <v>98 171</v>
      </c>
      <c r="CH136" s="80">
        <f t="shared" si="53"/>
        <v>0.47918782389462566</v>
      </c>
      <c r="CI136" s="27" t="str">
        <f t="shared" si="47"/>
        <v>119 169</v>
      </c>
      <c r="CJ136" s="55">
        <f>[1]!s_stmnote_bank_30(A136,$A$1,1)</f>
        <v>13.7506</v>
      </c>
      <c r="CP136" s="69">
        <f>[1]!b_stm07_bs($A136,141,$A$1,1,100000000)</f>
        <v>79.790880000000001</v>
      </c>
      <c r="CQ136" s="69">
        <f>[1]!b_stm07_bs($A136,141,$D$1,1,100000000)</f>
        <v>82.278266886599994</v>
      </c>
      <c r="CR136" s="68">
        <f>IF([1]!s_fa_roic_yearly($A136,$A$1)=0,"",[1]!s_fa_roic_yearly($A136,$A$1))</f>
        <v>3.8338000000000001</v>
      </c>
      <c r="CS136" s="27">
        <f t="shared" si="48"/>
        <v>0.91124260355029585</v>
      </c>
      <c r="CT136" s="68">
        <f>IF([1]!s_fa_roic_yearly($A136,$D$1)=0,"",[1]!s_fa_roic_yearly($A136,$D$1))</f>
        <v>5.3979999999999997</v>
      </c>
      <c r="CU136" s="27">
        <f t="shared" si="49"/>
        <v>0.90140845070422537</v>
      </c>
      <c r="CV136" s="78">
        <f>[1]!s_stm07_bs(A136,"W14578191",$A$1,1,100000000)</f>
        <v>587.99345000000005</v>
      </c>
      <c r="CW136" s="78">
        <f>[1]!s_stmnote_bank_682($A136,$A$1,1,2,100000000)</f>
        <v>145.95675</v>
      </c>
      <c r="CX136" s="79">
        <f t="shared" si="50"/>
        <v>0.24822853043686113</v>
      </c>
    </row>
    <row r="137" spans="1:102" s="46" customFormat="1" ht="13.5">
      <c r="A137" s="8" t="s">
        <v>849</v>
      </c>
      <c r="B137" s="8" t="s">
        <v>850</v>
      </c>
      <c r="C137" s="9" t="s">
        <v>851</v>
      </c>
      <c r="D137" s="9" t="s">
        <v>1066</v>
      </c>
      <c r="E137" s="10"/>
      <c r="F137" s="11" t="s">
        <v>90</v>
      </c>
      <c r="G137" s="11" t="s">
        <v>67</v>
      </c>
      <c r="H137" s="11" t="s">
        <v>83</v>
      </c>
      <c r="I137" s="11"/>
      <c r="J137" s="11" t="e">
        <f>VLOOKUP(B137,[3]额度信息!$B:$T,19,0)</f>
        <v>#N/A</v>
      </c>
      <c r="K137" s="11"/>
      <c r="L137" s="27">
        <f>IFERROR(([1]!b_stm07_bs($A137,47,$A$1,1,100000000))/[1]!b_stm07_bs($A137,109,$A$1,1,100000000),"")</f>
        <v>0.15738263077493184</v>
      </c>
      <c r="M137" s="20"/>
      <c r="N137" s="18"/>
      <c r="O137" s="27" t="e">
        <f t="shared" si="39"/>
        <v>#N/A</v>
      </c>
      <c r="P137" s="21">
        <f t="shared" si="51"/>
        <v>5.0968335862794201E-2</v>
      </c>
      <c r="Q137" s="27" t="str">
        <f t="shared" si="40"/>
        <v>132 169</v>
      </c>
      <c r="R137" s="18">
        <v>3.2168335862794203E-2</v>
      </c>
      <c r="S137" s="22"/>
      <c r="T137" s="22"/>
      <c r="U137" s="22"/>
      <c r="V137" s="22"/>
      <c r="W137" s="22"/>
      <c r="X137" s="22"/>
      <c r="Y137" s="22"/>
      <c r="Z137" s="25">
        <f>[1]!b_stm07_bs(A137,74,$A$1,1,100000000)</f>
        <v>2341.4023999999999</v>
      </c>
      <c r="AA137" s="25">
        <f>[1]!b_stm07_bs(A137,109,$A$1,1,100000000)</f>
        <v>1969.59403</v>
      </c>
      <c r="AB137" s="10">
        <f>[1]!s_stmnote_bank_5n(A137,$A$1,1)</f>
        <v>1.88</v>
      </c>
      <c r="AC137" s="25">
        <f>IF([1]!s_stmnote_bank_23n(A137,$A$1,1)=0,"",IFERROR([1]!s_stmnote_bank_23n(A137,$A$1,1),""))</f>
        <v>157.33000000000001</v>
      </c>
      <c r="AD137" s="27" t="str">
        <f t="shared" si="41"/>
        <v>30 167</v>
      </c>
      <c r="AE137" s="25">
        <f>[1]!s_stmnote_bank_capadequacyratio(A137,$A$1,1)</f>
        <v>11.63</v>
      </c>
      <c r="AF137" s="25">
        <f>IF([1]!s_stmnote_bank_capadequacyratio_ct1(A137,$A$1,1)=0,"",IFERROR([1]!s_stmnote_bank_capadequacyratio_ct1(A137,$A$1,1),""))</f>
        <v>8.83</v>
      </c>
      <c r="AG137" s="27" t="str">
        <f t="shared" si="42"/>
        <v>39 167</v>
      </c>
      <c r="AH137" s="6">
        <f>IF(OR([1]!s_fa_roe(A137,20201231)=0,[1]!s_fa_roe(A137,20211231)="0",[1]!s_fa_roe(A137,20221231)="0"),"",IFERROR(([1]!s_fa_roe(A137,20221231)+[1]!s_fa_roe(A137,20201231)+[1]!s_fa_roe(A137,20211231))/3,""))</f>
        <v>9.1849000000000007</v>
      </c>
      <c r="AI137" s="27" t="str">
        <f t="shared" si="43"/>
        <v>103 173</v>
      </c>
      <c r="AJ137" s="28">
        <f>IFERROR(([1]!s_stmnote_bank_65(A137,$A$1,1,2,4,100000000)+[1]!s_stmnote_bank_65(A137,$A$1,1,2,6,100000000))/[1]!s_stmnote_bank_1n(A137,$A$1,1,100000000),"")</f>
        <v>0.13310983641849486</v>
      </c>
      <c r="AK137" s="28">
        <f>IFERROR([1]!s_stmnote_bank_614(A137,$A$1,1,2,100000000)/[1]!s_stmnote_bank_647(A137,$A$1,1,2,100000000),"")</f>
        <v>0.19303741492352106</v>
      </c>
      <c r="AL137" s="28">
        <f>IFERROR(([1]!b_stm07_bs(A137,104,$A$1,1,100000000)+[1]!b_stm07_bs(A137,106,$A$1,1,100000000)+[1]!b_stm07_bs(A137,76,$A$1,1,100000000)+[1]!b_stm07_bs(A137,108,$A$1,1,100000000)+[1]!b_stm07_bs(A137,95,$A$1,1,100000000))/[1]!b_stm07_bs(A137,128,$A$1,1,100000000),"")</f>
        <v>6.7862641958346473E-2</v>
      </c>
      <c r="AM137" s="28">
        <f>IFERROR(([1]!s_stmnote_bank_614(A137,$A$1,1,2,100000000)+[1]!b_stm07_bs(A137,104,$A$1,1,100000000)+[1]!b_stm07_bs(A137,106,$A$1,1,100000000)+[1]!b_stm07_bs(A137,76,$A$1,1,100000000)+[1]!b_stm07_bs(A137,108,$A$1,1,100000000)+[1]!b_stm07_bs(A137,95,$A$1,1,100000000))/[1]!b_stm07_bs(A137,128,$A$1,1,100000000),"")</f>
        <v>0.24358650642329649</v>
      </c>
      <c r="AN137" s="31" t="e">
        <f>IF(Z137&gt;#REF!,#REF!,IF(Z137&gt;#REF!,#REF!,IF(Z137&gt;#REF!,#REF!,IF(Z137&gt;#REF!,#REF!,IF(Z137&gt;#REF!,#REF!,IF(Z137&gt;#REF!,#REF!,IF(Z137&gt;#REF!,#REF!,#REF!)))))))</f>
        <v>#REF!</v>
      </c>
      <c r="AO137" s="31" t="e">
        <f>IF(AA137&gt;#REF!,#REF!,IF(AA137&gt;#REF!,#REF!,IF(AA137&gt;#REF!,#REF!,IF(AA137&gt;#REF!,#REF!,IF(AA137&gt;#REF!,#REF!,IF(AA137&gt;#REF!,#REF!,IF(AA137&gt;#REF!,#REF!,#REF!)))))))</f>
        <v>#REF!</v>
      </c>
      <c r="AP137" s="31" t="e">
        <f>IF(AB137&lt;#REF!,#REF!,IF(AB137&lt;#REF!,#REF!,IF(AB137&lt;#REF!,#REF!,IF(AB137&lt;#REF!,#REF!,IF(AB137&lt;#REF!,#REF!,IF(AB137&lt;#REF!,#REF!,#REF!))))))</f>
        <v>#REF!</v>
      </c>
      <c r="AQ137" s="31" t="e">
        <f>IF(AC137&gt;#REF!,#REF!,IF(AC137&gt;#REF!,#REF!,IF(AC137&gt;#REF!,#REF!,IF(AC137&gt;#REF!,#REF!,#REF!))))</f>
        <v>#REF!</v>
      </c>
      <c r="AR137" s="31" t="e">
        <f>IF(AE137&gt;#REF!,#REF!,IF(AE137&gt;#REF!,#REF!,IF(AE137&gt;#REF!,#REF!,IF(AE137&gt;#REF!,#REF!,#REF!))))</f>
        <v>#REF!</v>
      </c>
      <c r="AS137" s="31" t="e">
        <f>IF(AF137&gt;#REF!,#REF!,IF(AF137&gt;#REF!,#REF!,IF(AF137&gt;#REF!,#REF!,IF(AF137&gt;#REF!,#REF!,#REF!))))</f>
        <v>#REF!</v>
      </c>
      <c r="AT137" s="31" t="e">
        <f>IF(AH137&gt;#REF!,#REF!,IF(AH137&gt;#REF!,#REF!,IF(AH137&gt;#REF!,#REF!,IF(AH137&gt;#REF!,#REF!,IF(AH137&gt;#REF!,#REF!,#REF!)))))</f>
        <v>#REF!</v>
      </c>
      <c r="AU137" s="10" t="e">
        <f t="shared" si="44"/>
        <v>#REF!</v>
      </c>
      <c r="AV137" s="10"/>
      <c r="AW137" s="10"/>
      <c r="AX137" s="10"/>
      <c r="AY137" s="31" t="str">
        <f>IFERROR(VLOOKUP(AV137,#REF!,3,0),"")</f>
        <v/>
      </c>
      <c r="AZ137" s="31" t="str">
        <f>IFERROR(VLOOKUP(AW137,#REF!,3,0),"")</f>
        <v/>
      </c>
      <c r="BA137" s="31" t="str">
        <f>IFERROR(VLOOKUP(AX137,#REF!,3,0),"")</f>
        <v/>
      </c>
      <c r="BB137" s="31" t="str">
        <f>IFERROR(AY137*#REF!+AZ137*#REF!+BA137*#REF!,"")</f>
        <v/>
      </c>
      <c r="BC137" s="32" t="str">
        <f t="shared" si="45"/>
        <v/>
      </c>
      <c r="BD137" s="32" t="str">
        <f>IFERROR(VLOOKUP(BC137*10,#REF!,2,1),"")</f>
        <v/>
      </c>
      <c r="BE137" s="10"/>
      <c r="BF137" s="10"/>
      <c r="BG137" s="10"/>
      <c r="BH137" s="11" t="s">
        <v>852</v>
      </c>
      <c r="BI137" s="10">
        <v>14.1400003433228</v>
      </c>
      <c r="BJ137" s="11" t="s">
        <v>181</v>
      </c>
      <c r="BK137" s="33" t="s">
        <v>182</v>
      </c>
      <c r="BL137" s="10">
        <f>IF([1]!s_stmnote_bank_17n(A137,$A$1,1)="0","",[1]!s_stmnote_bank_17n(A137,$A$1,1))</f>
        <v>4.8499999999999996</v>
      </c>
      <c r="BM137" s="10">
        <f>IF([1]!s_stmnote_bank_18n(A137,$A$1,1)="0","",[1]!s_stmnote_bank_18n(A137,$A$1,1))</f>
        <v>35.79</v>
      </c>
      <c r="BN137" s="41">
        <v>5.65</v>
      </c>
      <c r="BO137" s="68">
        <v>3.21</v>
      </c>
      <c r="BP137" s="52">
        <f>[1]!s_stmnote_bank_5444(A137,$A$1,1)</f>
        <v>2.91</v>
      </c>
      <c r="BQ137" s="52">
        <f>[1]!s_stmnote_bank_129n($A137,$A$1,1)</f>
        <v>46.9</v>
      </c>
      <c r="BR137" s="52">
        <f t="shared" si="52"/>
        <v>6.2404229160292255</v>
      </c>
      <c r="BS137" s="52">
        <f>[1]!b_stm07_is(A137,19,$A$1,1,100000000)</f>
        <v>125.24305</v>
      </c>
      <c r="BT137" s="52">
        <f xml:space="preserve"> [1]!s_stm07_bs(A137,"W15273164",$A$1,1,100000000)-[1]!s_stm07_bs(A137,"W17642530",$A$1,1,100000000)-[1]!s_stm07_bs(A137,"W15910877",$A$1,1,100000000)-[1]!s_stm07_bs_39(A137,$A$1,1,100000000)-[1]!s_stm07_bs(A137,"W17700468",$A$1,1,100000000)-[1]!s_stm07_bs(A137,"W16504296",$A$1,1,100000000)-[1]!s_stm07_bs(A137,"W13769069",$A$1,1,100000000)</f>
        <v>2284.9582899999996</v>
      </c>
      <c r="BU137" s="52">
        <f xml:space="preserve"> [1]!s_stm07_bs(A137,"W15273164",$B$1,1,100000000)-[1]!s_stm07_bs(A137,"W17642530",$B$1,1,100000000)-[1]!s_stm07_bs(A137,"W15910877",$B$1,1,100000000)-[1]!s_stm07_bs_39(A137,$B$1,1,100000000)-[1]!s_stm07_bs(A137,"W17700468",$B$1,1,100000000)-[1]!s_stm07_bs(A137,"W16504296",$B$1,1,100000000)-[1]!s_stm07_bs(A137,"W13769069",$B$1,1,100000000)</f>
        <v>1946.8385800000001</v>
      </c>
      <c r="BV137" s="52">
        <f xml:space="preserve"> [1]!s_stm07_bs(A137,"W15273164",$E$1,1,100000000)-[1]!s_stm07_bs(A137,"W17642530",$E$1,1,100000000)-[1]!s_stm07_bs(A137,"W15910877",$E$1,1,100000000)-[1]!s_stm07_bs_39(A137,$E$1,1,100000000)-[1]!s_stm07_bs(A137,"W17700468",$E$1,1,100000000)-[1]!s_stm07_bs(A137,"W16504296",$E$1,1,100000000)-[1]!s_stm07_bs(A137,"W13769069",$E$1,1,100000000)</f>
        <v>2191.4510750394993</v>
      </c>
      <c r="BW137" s="52">
        <f xml:space="preserve"> [1]!s_stm07_bs(A137,"W15273164",$F$1,1,100000000)-[1]!s_stm07_bs(A137,"W17642530",$F$1,1,100000000)-[1]!s_stm07_bs(A137,"W15910877",$F$1,1,100000000)-[1]!s_stm07_bs_39(A137,$F$1,1,100000000)-[1]!s_stm07_bs(A137,"W17700468",$F$1,1,100000000)-[1]!s_stm07_bs(A137,"W16504296",$F$1,1,100000000)-[1]!s_stm07_bs(A137,"W13769069",$F$1,1,100000000)</f>
        <v>2078.1225199999999</v>
      </c>
      <c r="BX137" s="52">
        <f xml:space="preserve"> [1]!s_stm07_bs(A137,"W15273164",$G$1,1,100000000)-[1]!s_stm07_bs(A137,"W17642530",$G$1,1,100000000)-[1]!s_stm07_bs(A137,"W15910877",$G$1,1,100000000)-[1]!s_stm07_bs_39(A137,$G$1,1,100000000)-[1]!s_stm07_bs(A137,"W17700468",$G$1,1,100000000)-[1]!s_stm07_bs(A137,"W16504296",$G$1,1,100000000)-[1]!s_stm07_bs(A137,"W13769069",$G$1,1,100000000)</f>
        <v>1965.9299500113</v>
      </c>
      <c r="BY137" s="52">
        <f>IFERROR([1]!b_stm07_is(A137,20,$A$1,1,100000000)/AVERAGEIF(CA137:CE137,"&gt;0")*100,0)</f>
        <v>3.2468207461948695</v>
      </c>
      <c r="BZ137" s="52">
        <f>[1]!b_stm07_is(A137,20,$A$1,1,100000000)</f>
        <v>63.47936</v>
      </c>
      <c r="CA137" s="52">
        <f>[1]!s_stmnote_bank_38(A137,$A$1,1,100000000)</f>
        <v>2144.94067</v>
      </c>
      <c r="CB137" s="52">
        <f>[1]!s_stmnote_bank_38(A137,$B$1,1,100000000)</f>
        <v>1823.6181799999999</v>
      </c>
      <c r="CC137" s="52">
        <f>[1]!s_stmnote_bank_38(A137,$E$1,1,100000000)</f>
        <v>2057.5254183739003</v>
      </c>
      <c r="CD137" s="52">
        <f>[1]!s_stmnote_bank_38(A137,$F$1,1,100000000)</f>
        <v>1918.4594999999999</v>
      </c>
      <c r="CE137" s="52">
        <f>[1]!s_stmnote_bank_38(A137,$G$1,1,100000000)</f>
        <v>1831.0744382048001</v>
      </c>
      <c r="CF137" s="52">
        <f>IF(BP137&lt;&gt;0,BP137,IFERROR(IF(([1]!b_stm07_is(A137,19,$A$1,1,100000000)-[1]!b_stm07_is(A137,20,$A$1,1,100000000))/AVERAGE([1]!s_stmnote_bank_35(A137,$A$1,1,100000000),[1]!s_stmnote_bank_35(A137,$B$1,1,100000000))*100=0,"",([1]!b_stm07_is(A137,19,$A$1,1,100000000)-[1]!b_stm07_is(A137,20,$A$1,1,100000000))/AVERAGE([1]!s_stmnote_bank_35(A137,$A$1,1,100000000),[1]!s_stmnote_bank_35(A137,$B$1,1,100000000))*100),""))</f>
        <v>2.91</v>
      </c>
      <c r="CG137" s="27" t="str">
        <f t="shared" si="46"/>
        <v>15 171</v>
      </c>
      <c r="CH137" s="80">
        <f t="shared" si="53"/>
        <v>0.57094271389077034</v>
      </c>
      <c r="CI137" s="27" t="str">
        <f t="shared" si="47"/>
        <v>104 169</v>
      </c>
      <c r="CJ137" s="55">
        <f>[1]!s_stmnote_bank_30(A137,$A$1,1)</f>
        <v>5.3331999999999997</v>
      </c>
      <c r="CP137" s="69">
        <f>[1]!b_stm07_bs($A137,141,$A$1,1,100000000)</f>
        <v>177.75012000000001</v>
      </c>
      <c r="CQ137" s="69">
        <f>[1]!b_stm07_bs($A137,141,$D$1,1,100000000)</f>
        <v>184.55080000000001</v>
      </c>
      <c r="CR137" s="68">
        <f>IF([1]!s_fa_roic_yearly($A137,$A$1)=0,"",[1]!s_fa_roic_yearly($A137,$A$1))</f>
        <v>8.3255999999999997</v>
      </c>
      <c r="CS137" s="27">
        <f t="shared" si="48"/>
        <v>0.56213017751479288</v>
      </c>
      <c r="CT137" s="68">
        <f>IF([1]!s_fa_roic_yearly($A137,$D$1)=0,"",[1]!s_fa_roic_yearly($A137,$D$1))</f>
        <v>9.8125999999999998</v>
      </c>
      <c r="CU137" s="27">
        <f t="shared" si="49"/>
        <v>0.53521126760563376</v>
      </c>
      <c r="CV137" s="78">
        <f>[1]!s_stm07_bs(A137,"W14578191",$A$1,1,100000000)</f>
        <v>1526.42695</v>
      </c>
      <c r="CW137" s="78">
        <f>[1]!s_stmnote_bank_682($A137,$A$1,1,2,100000000)</f>
        <v>265.94873999999999</v>
      </c>
      <c r="CX137" s="79">
        <f t="shared" si="50"/>
        <v>0.17422958891023246</v>
      </c>
    </row>
    <row r="138" spans="1:102" s="46" customFormat="1" ht="13.5">
      <c r="A138" s="8" t="s">
        <v>135</v>
      </c>
      <c r="B138" s="8" t="s">
        <v>136</v>
      </c>
      <c r="C138" s="16" t="s">
        <v>137</v>
      </c>
      <c r="D138" s="9" t="s">
        <v>1066</v>
      </c>
      <c r="E138" s="10" t="s">
        <v>138</v>
      </c>
      <c r="F138" s="11" t="s">
        <v>66</v>
      </c>
      <c r="G138" s="11" t="s">
        <v>139</v>
      </c>
      <c r="H138" s="11" t="s">
        <v>116</v>
      </c>
      <c r="I138" s="11"/>
      <c r="J138" s="11">
        <f>VLOOKUP(B138,[3]额度信息!$B:$T,19,0)</f>
        <v>0</v>
      </c>
      <c r="K138" s="11" t="s">
        <v>140</v>
      </c>
      <c r="L138" s="27">
        <f>IFERROR(([1]!b_stm07_bs($A138,47,$A$1,1,100000000))/[1]!b_stm07_bs($A138,109,$A$1,1,100000000),"")</f>
        <v>0.10901744351114089</v>
      </c>
      <c r="M138" s="20"/>
      <c r="N138" s="18"/>
      <c r="O138" s="27" t="e">
        <f t="shared" si="39"/>
        <v>#N/A</v>
      </c>
      <c r="P138" s="21">
        <f t="shared" si="51"/>
        <v>5.8163547701117313E-2</v>
      </c>
      <c r="Q138" s="27" t="str">
        <f t="shared" si="40"/>
        <v>138 169</v>
      </c>
      <c r="R138" s="18">
        <f>IFERROR([1]!s_stmnote_bank($A138,"34",$A$1,100000000)/[1]!s_stmnote_bank_1n(A138,$A$1,1,100000000),"")</f>
        <v>4.4263547701117317E-2</v>
      </c>
      <c r="S138" s="22"/>
      <c r="T138" s="22"/>
      <c r="U138" s="22"/>
      <c r="V138" s="22"/>
      <c r="W138" s="22"/>
      <c r="X138" s="22"/>
      <c r="Y138" s="22"/>
      <c r="Z138" s="25">
        <f>[1]!b_stm07_bs(A138,74,$A$1,1,100000000)</f>
        <v>1331.7598727985001</v>
      </c>
      <c r="AA138" s="25">
        <f>[1]!b_stm07_bs(A138,109,$A$1,1,100000000)</f>
        <v>1070.6684900107</v>
      </c>
      <c r="AB138" s="10">
        <f>[1]!s_stmnote_bank_5n(A138,$A$1,1)</f>
        <v>1.39</v>
      </c>
      <c r="AC138" s="25">
        <f>IF([1]!s_stmnote_bank_23n(A138,$A$1,1)=0,"",IFERROR([1]!s_stmnote_bank_23n(A138,$A$1,1),""))</f>
        <v>192.59</v>
      </c>
      <c r="AD138" s="27" t="str">
        <f t="shared" si="41"/>
        <v>61 167</v>
      </c>
      <c r="AE138" s="25">
        <f>[1]!s_stmnote_bank_capadequacyratio(A138,$A$1,1)</f>
        <v>12.55</v>
      </c>
      <c r="AF138" s="25">
        <f>IF([1]!s_stmnote_bank_capadequacyratio_ct1(A138,$A$1,1)=0,"",IFERROR([1]!s_stmnote_bank_capadequacyratio_ct1(A138,$A$1,1),""))</f>
        <v>11.58</v>
      </c>
      <c r="AG138" s="27" t="str">
        <f t="shared" si="42"/>
        <v>113 167</v>
      </c>
      <c r="AH138" s="6">
        <f>IF(OR([1]!s_fa_roe(A138,20201231)=0,[1]!s_fa_roe(A138,20211231)="0",[1]!s_fa_roe(A138,20221231)="0"),"",IFERROR(([1]!s_fa_roe(A138,20221231)+[1]!s_fa_roe(A138,20201231)+[1]!s_fa_roe(A138,20211231))/3,""))</f>
        <v>5.3491333333333335</v>
      </c>
      <c r="AI138" s="27" t="str">
        <f t="shared" si="43"/>
        <v>48 173</v>
      </c>
      <c r="AJ138" s="28">
        <f>IFERROR(([1]!s_stmnote_bank_65(A138,$A$1,1,2,4,100000000)+[1]!s_stmnote_bank_65(A138,$A$1,1,2,6,100000000))/[1]!s_stmnote_bank_1n(A138,$A$1,1,100000000),"")</f>
        <v>3.3121411391524809E-2</v>
      </c>
      <c r="AK138" s="28">
        <f>IFERROR([1]!s_stmnote_bank_614(A138,$A$1,1,2,100000000)/[1]!s_stmnote_bank_647(A138,$A$1,1,2,100000000),"")</f>
        <v>0.1709110701367248</v>
      </c>
      <c r="AL138" s="28">
        <f>IFERROR(([1]!b_stm07_bs(A138,104,$A$1,1,100000000)+[1]!b_stm07_bs(A138,106,$A$1,1,100000000)+[1]!b_stm07_bs(A138,76,$A$1,1,100000000)+[1]!b_stm07_bs(A138,108,$A$1,1,100000000)+[1]!b_stm07_bs(A138,95,$A$1,1,100000000))/[1]!b_stm07_bs(A138,128,$A$1,1,100000000),"")</f>
        <v>8.5893529289494938E-2</v>
      </c>
      <c r="AM138" s="28">
        <f>IFERROR(([1]!s_stmnote_bank_614(A138,$A$1,1,2,100000000)+[1]!b_stm07_bs(A138,104,$A$1,1,100000000)+[1]!b_stm07_bs(A138,106,$A$1,1,100000000)+[1]!b_stm07_bs(A138,76,$A$1,1,100000000)+[1]!b_stm07_bs(A138,108,$A$1,1,100000000)+[1]!b_stm07_bs(A138,95,$A$1,1,100000000))/[1]!b_stm07_bs(A138,128,$A$1,1,100000000),"")</f>
        <v>0.23574338074582821</v>
      </c>
      <c r="AN138" s="31" t="e">
        <f>IF(Z138&gt;#REF!,#REF!,IF(Z138&gt;#REF!,#REF!,IF(Z138&gt;#REF!,#REF!,IF(Z138&gt;#REF!,#REF!,IF(Z138&gt;#REF!,#REF!,IF(Z138&gt;#REF!,#REF!,IF(Z138&gt;#REF!,#REF!,#REF!)))))))</f>
        <v>#REF!</v>
      </c>
      <c r="AO138" s="31" t="e">
        <f>IF(AA138&gt;#REF!,#REF!,IF(AA138&gt;#REF!,#REF!,IF(AA138&gt;#REF!,#REF!,IF(AA138&gt;#REF!,#REF!,IF(AA138&gt;#REF!,#REF!,IF(AA138&gt;#REF!,#REF!,IF(AA138&gt;#REF!,#REF!,#REF!)))))))</f>
        <v>#REF!</v>
      </c>
      <c r="AP138" s="31" t="e">
        <f>IF(AB138&lt;#REF!,#REF!,IF(AB138&lt;#REF!,#REF!,IF(AB138&lt;#REF!,#REF!,IF(AB138&lt;#REF!,#REF!,IF(AB138&lt;#REF!,#REF!,IF(AB138&lt;#REF!,#REF!,#REF!))))))</f>
        <v>#REF!</v>
      </c>
      <c r="AQ138" s="31" t="e">
        <f>IF(AC138&gt;#REF!,#REF!,IF(AC138&gt;#REF!,#REF!,IF(AC138&gt;#REF!,#REF!,IF(AC138&gt;#REF!,#REF!,#REF!))))</f>
        <v>#REF!</v>
      </c>
      <c r="AR138" s="31" t="e">
        <f>IF(AE138&gt;#REF!,#REF!,IF(AE138&gt;#REF!,#REF!,IF(AE138&gt;#REF!,#REF!,IF(AE138&gt;#REF!,#REF!,#REF!))))</f>
        <v>#REF!</v>
      </c>
      <c r="AS138" s="31" t="e">
        <f>IF(AF138&gt;#REF!,#REF!,IF(AF138&gt;#REF!,#REF!,IF(AF138&gt;#REF!,#REF!,IF(AF138&gt;#REF!,#REF!,#REF!))))</f>
        <v>#REF!</v>
      </c>
      <c r="AT138" s="31" t="e">
        <f>IF(AH138&gt;#REF!,#REF!,IF(AH138&gt;#REF!,#REF!,IF(AH138&gt;#REF!,#REF!,IF(AH138&gt;#REF!,#REF!,IF(AH138&gt;#REF!,#REF!,#REF!)))))</f>
        <v>#REF!</v>
      </c>
      <c r="AU138" s="10" t="e">
        <f t="shared" si="44"/>
        <v>#REF!</v>
      </c>
      <c r="AV138" s="10" t="s">
        <v>141</v>
      </c>
      <c r="AW138" s="10" t="s">
        <v>141</v>
      </c>
      <c r="AX138" s="10" t="s">
        <v>141</v>
      </c>
      <c r="AY138" s="31" t="str">
        <f>IFERROR(VLOOKUP(AV138,#REF!,3,0),"")</f>
        <v/>
      </c>
      <c r="AZ138" s="31" t="str">
        <f>IFERROR(VLOOKUP(AW138,#REF!,3,0),"")</f>
        <v/>
      </c>
      <c r="BA138" s="31" t="str">
        <f>IFERROR(VLOOKUP(AX138,#REF!,3,0),"")</f>
        <v/>
      </c>
      <c r="BB138" s="31" t="str">
        <f>IFERROR(AY138*#REF!+AZ138*#REF!+BA138*#REF!,"")</f>
        <v/>
      </c>
      <c r="BC138" s="32" t="str">
        <f t="shared" si="45"/>
        <v/>
      </c>
      <c r="BD138" s="32" t="str">
        <f>IFERROR(VLOOKUP(BC138*10,#REF!,2,1),"")</f>
        <v/>
      </c>
      <c r="BE138" s="11">
        <v>0</v>
      </c>
      <c r="BF138" s="11"/>
      <c r="BG138" s="10" t="s">
        <v>142</v>
      </c>
      <c r="BH138" s="11" t="s">
        <v>143</v>
      </c>
      <c r="BI138" s="10">
        <v>8.0100002288818395</v>
      </c>
      <c r="BJ138" s="33" t="s">
        <v>144</v>
      </c>
      <c r="BK138" s="33" t="s">
        <v>145</v>
      </c>
      <c r="BL138" s="10">
        <f>IF([1]!s_stmnote_bank_17n(A138,$A$1,1)="0","",[1]!s_stmnote_bank_17n(A138,$A$1,1))</f>
        <v>4.1900000000000004</v>
      </c>
      <c r="BM138" s="10">
        <f>IF([1]!s_stmnote_bank_18n(A138,$A$1,1)="0","",[1]!s_stmnote_bank_18n(A138,$A$1,1))</f>
        <v>25.81</v>
      </c>
      <c r="BN138" s="41"/>
      <c r="BO138" s="52"/>
      <c r="BP138" s="52">
        <f>[1]!s_stmnote_bank_5444(A138,$A$1,1)</f>
        <v>1.85</v>
      </c>
      <c r="BQ138" s="52">
        <f>[1]!s_stmnote_bank_129n($A138,$A$1,1)</f>
        <v>33.5</v>
      </c>
      <c r="BR138" s="52">
        <f t="shared" si="52"/>
        <v>4.5401715318632272</v>
      </c>
      <c r="BS138" s="52">
        <f>[1]!b_stm07_is(A138,19,$A$1,1,100000000)</f>
        <v>58.6685685124</v>
      </c>
      <c r="BT138" s="52">
        <f xml:space="preserve"> [1]!s_stm07_bs(A138,"W15273164",$A$1,1,100000000)-[1]!s_stm07_bs(A138,"W17642530",$A$1,1,100000000)-[1]!s_stm07_bs(A138,"W15910877",$A$1,1,100000000)-[1]!s_stm07_bs_39(A138,$A$1,1,100000000)-[1]!s_stm07_bs(A138,"W17700468",$A$1,1,100000000)-[1]!s_stm07_bs(A138,"W16504296",$A$1,1,100000000)-[1]!s_stm07_bs(A138,"W13769069",$A$1,1,100000000)</f>
        <v>1310.3955778618001</v>
      </c>
      <c r="BU138" s="52">
        <f xml:space="preserve"> [1]!s_stm07_bs(A138,"W15273164",$B$1,1,100000000)-[1]!s_stm07_bs(A138,"W17642530",$B$1,1,100000000)-[1]!s_stm07_bs(A138,"W15910877",$B$1,1,100000000)-[1]!s_stm07_bs_39(A138,$B$1,1,100000000)-[1]!s_stm07_bs(A138,"W17700468",$B$1,1,100000000)-[1]!s_stm07_bs(A138,"W16504296",$B$1,1,100000000)-[1]!s_stm07_bs(A138,"W13769069",$B$1,1,100000000)</f>
        <v>1286.9989022566001</v>
      </c>
      <c r="BV138" s="52">
        <f xml:space="preserve"> [1]!s_stm07_bs(A138,"W15273164",$E$1,1,100000000)-[1]!s_stm07_bs(A138,"W17642530",$E$1,1,100000000)-[1]!s_stm07_bs(A138,"W15910877",$E$1,1,100000000)-[1]!s_stm07_bs_39(A138,$E$1,1,100000000)-[1]!s_stm07_bs(A138,"W17700468",$E$1,1,100000000)-[1]!s_stm07_bs(A138,"W16504296",$E$1,1,100000000)-[1]!s_stm07_bs(A138,"W13769069",$E$1,1,100000000)</f>
        <v>1297.1885352339</v>
      </c>
      <c r="BW138" s="52">
        <f xml:space="preserve"> [1]!s_stm07_bs(A138,"W15273164",$F$1,1,100000000)-[1]!s_stm07_bs(A138,"W17642530",$F$1,1,100000000)-[1]!s_stm07_bs(A138,"W15910877",$F$1,1,100000000)-[1]!s_stm07_bs_39(A138,$F$1,1,100000000)-[1]!s_stm07_bs(A138,"W17700468",$F$1,1,100000000)-[1]!s_stm07_bs(A138,"W16504296",$F$1,1,100000000)-[1]!s_stm07_bs(A138,"W13769069",$F$1,1,100000000)</f>
        <v>1303.9673743808</v>
      </c>
      <c r="BX138" s="52">
        <f xml:space="preserve"> [1]!s_stm07_bs(A138,"W15273164",$G$1,1,100000000)-[1]!s_stm07_bs(A138,"W17642530",$G$1,1,100000000)-[1]!s_stm07_bs(A138,"W15910877",$G$1,1,100000000)-[1]!s_stm07_bs_39(A138,$G$1,1,100000000)-[1]!s_stm07_bs(A138,"W17700468",$G$1,1,100000000)-[1]!s_stm07_bs(A138,"W16504296",$G$1,1,100000000)-[1]!s_stm07_bs(A138,"W13769069",$G$1,1,100000000)</f>
        <v>1300.3088405085998</v>
      </c>
      <c r="BY138" s="52">
        <f>IFERROR([1]!b_stm07_is(A138,20,$A$1,1,100000000)/AVERAGEIF(CA138:CE138,"&gt;0")*100,0)</f>
        <v>2.8700926584947526</v>
      </c>
      <c r="BZ138" s="52">
        <f>[1]!b_stm07_is(A138,20,$A$1,1,100000000)</f>
        <v>34.605776847899996</v>
      </c>
      <c r="CA138" s="52">
        <f>[1]!s_stmnote_bank_38(A138,$A$1,1,100000000)</f>
        <v>1211.9075961715</v>
      </c>
      <c r="CB138" s="52">
        <f>[1]!s_stmnote_bank_38(A138,$B$1,1,100000000)</f>
        <v>1199.3240767136001</v>
      </c>
      <c r="CC138" s="52">
        <f>[1]!s_stmnote_bank_38(A138,$E$1,1,100000000)</f>
        <v>1199.0244349451</v>
      </c>
      <c r="CD138" s="52">
        <f>[1]!s_stmnote_bank_38(A138,$F$1,1,100000000)</f>
        <v>1209.9466976443</v>
      </c>
      <c r="CE138" s="52">
        <f>[1]!s_stmnote_bank_38(A138,$G$1,1,100000000)</f>
        <v>1208.4835411972001</v>
      </c>
      <c r="CF138" s="52">
        <f>IF(BP138&lt;&gt;0,BP138,IFERROR(IF(([1]!b_stm07_is(A138,19,$A$1,1,100000000)-[1]!b_stm07_is(A138,20,$A$1,1,100000000))/AVERAGE([1]!s_stmnote_bank_35(A138,$A$1,1,100000000),[1]!s_stmnote_bank_35(A138,$B$1,1,100000000))*100=0,"",([1]!b_stm07_is(A138,19,$A$1,1,100000000)-[1]!b_stm07_is(A138,20,$A$1,1,100000000))/AVERAGE([1]!s_stmnote_bank_35(A138,$A$1,1,100000000),[1]!s_stmnote_bank_35(A138,$B$1,1,100000000))*100),""))</f>
        <v>1.85</v>
      </c>
      <c r="CG138" s="27" t="str">
        <f t="shared" si="46"/>
        <v>119 171</v>
      </c>
      <c r="CH138" s="80">
        <f t="shared" si="53"/>
        <v>0.31806863114790057</v>
      </c>
      <c r="CI138" s="27" t="str">
        <f t="shared" si="47"/>
        <v>140 169</v>
      </c>
      <c r="CJ138" s="55">
        <f>[1]!s_stmnote_bank_30(A138,$A$1,1)</f>
        <v>13.550700000000001</v>
      </c>
      <c r="CP138" s="69">
        <f>[1]!b_stm07_bs($A138,141,$A$1,1,100000000)</f>
        <v>110.6101979006</v>
      </c>
      <c r="CQ138" s="69">
        <f>[1]!b_stm07_bs($A138,141,$D$1,1,100000000)</f>
        <v>113.5851975052</v>
      </c>
      <c r="CR138" s="68">
        <f>IF([1]!s_fa_roic_yearly($A138,$A$1)=0,"",[1]!s_fa_roic_yearly($A138,$A$1))</f>
        <v>6.6830999999999996</v>
      </c>
      <c r="CS138" s="27">
        <f t="shared" si="48"/>
        <v>0.68639053254437865</v>
      </c>
      <c r="CT138" s="68">
        <f>IF([1]!s_fa_roic_yearly($A138,$D$1)=0,"",[1]!s_fa_roic_yearly($A138,$D$1))</f>
        <v>6.5536000000000003</v>
      </c>
      <c r="CU138" s="27">
        <f t="shared" si="49"/>
        <v>0.8098591549295775</v>
      </c>
      <c r="CV138" s="78">
        <f>[1]!s_stm07_bs(A138,"W14578191",$A$1,1,100000000)</f>
        <v>678.8808695788</v>
      </c>
      <c r="CW138" s="78">
        <f>[1]!s_stmnote_bank_682($A138,$A$1,1,2,100000000)</f>
        <v>440.3925298858</v>
      </c>
      <c r="CX138" s="79">
        <f t="shared" si="50"/>
        <v>0.64870369695206465</v>
      </c>
    </row>
    <row r="139" spans="1:102" s="46" customFormat="1" ht="13.5">
      <c r="A139" s="8" t="s">
        <v>287</v>
      </c>
      <c r="B139" s="8" t="s">
        <v>288</v>
      </c>
      <c r="C139" s="9" t="s">
        <v>289</v>
      </c>
      <c r="D139" s="9" t="s">
        <v>1061</v>
      </c>
      <c r="E139" s="10"/>
      <c r="F139" s="11" t="s">
        <v>178</v>
      </c>
      <c r="G139" s="11" t="s">
        <v>67</v>
      </c>
      <c r="H139" s="11" t="s">
        <v>116</v>
      </c>
      <c r="I139" s="11"/>
      <c r="J139" s="11" t="e">
        <f>VLOOKUP(B139,[3]额度信息!$B:$T,19,0)</f>
        <v>#N/A</v>
      </c>
      <c r="K139" s="11"/>
      <c r="L139" s="27">
        <f>IFERROR(([1]!b_stm07_bs($A139,47,$A$1,1,100000000))/[1]!b_stm07_bs($A139,109,$A$1,1,100000000),"")</f>
        <v>9.5136539892211575E-2</v>
      </c>
      <c r="M139" s="20"/>
      <c r="N139" s="18"/>
      <c r="O139" s="27" t="e">
        <f t="shared" si="39"/>
        <v>#N/A</v>
      </c>
      <c r="P139" s="21">
        <f t="shared" si="51"/>
        <v>3.8695751198762465E-2</v>
      </c>
      <c r="Q139" s="27" t="str">
        <f t="shared" si="40"/>
        <v>111 169</v>
      </c>
      <c r="R139" s="18">
        <f>IFERROR([1]!s_stmnote_bank($A139,"34",$A$1,100000000)/[1]!s_stmnote_bank_1n(A139,$A$1,1,100000000),"")</f>
        <v>2.0995751198762465E-2</v>
      </c>
      <c r="S139" s="22"/>
      <c r="T139" s="22"/>
      <c r="U139" s="22"/>
      <c r="V139" s="22"/>
      <c r="W139" s="22"/>
      <c r="X139" s="22"/>
      <c r="Y139" s="22"/>
      <c r="Z139" s="25">
        <f>[1]!b_stm07_bs(A139,74,$A$1,1,100000000)</f>
        <v>4416.0308199999999</v>
      </c>
      <c r="AA139" s="25">
        <f>[1]!b_stm07_bs(A139,109,$A$1,1,100000000)</f>
        <v>3119.7391699999998</v>
      </c>
      <c r="AB139" s="10">
        <f>[1]!s_stmnote_bank_5n(A139,$A$1,1)</f>
        <v>1.77</v>
      </c>
      <c r="AC139" s="25">
        <f>IF([1]!s_stmnote_bank_23n(A139,$A$1,1)=0,"",IFERROR([1]!s_stmnote_bank_23n(A139,$A$1,1),""))</f>
        <v>175.43</v>
      </c>
      <c r="AD139" s="27" t="str">
        <f t="shared" si="41"/>
        <v>45 167</v>
      </c>
      <c r="AE139" s="25">
        <f>[1]!s_stmnote_bank_capadequacyratio(A139,$A$1,1)</f>
        <v>12.19</v>
      </c>
      <c r="AF139" s="25">
        <f>IF([1]!s_stmnote_bank_capadequacyratio_ct1(A139,$A$1,1)=0,"",IFERROR([1]!s_stmnote_bank_capadequacyratio_ct1(A139,$A$1,1),""))</f>
        <v>9.3000000000000007</v>
      </c>
      <c r="AG139" s="27" t="str">
        <f t="shared" si="42"/>
        <v>54 167</v>
      </c>
      <c r="AH139" s="6">
        <f>IF(OR([1]!s_fa_roe(A139,20201231)=0,[1]!s_fa_roe(A139,20211231)="0",[1]!s_fa_roe(A139,20221231)="0"),"",IFERROR(([1]!s_fa_roe(A139,20221231)+[1]!s_fa_roe(A139,20201231)+[1]!s_fa_roe(A139,20211231))/3,""))</f>
        <v>6.1747333333333332</v>
      </c>
      <c r="AI139" s="27" t="str">
        <f t="shared" si="43"/>
        <v>59 173</v>
      </c>
      <c r="AJ139" s="28">
        <f>IFERROR(([1]!s_stmnote_bank_65(A139,$A$1,1,2,4,100000000)+[1]!s_stmnote_bank_65(A139,$A$1,1,2,6,100000000))/[1]!s_stmnote_bank_1n(A139,$A$1,1,100000000),"")</f>
        <v>8.4191257060390323E-2</v>
      </c>
      <c r="AK139" s="28">
        <f>IFERROR([1]!s_stmnote_bank_614(A139,$A$1,1,2,100000000)/[1]!s_stmnote_bank_647(A139,$A$1,1,2,100000000),"")</f>
        <v>0.28715764722087328</v>
      </c>
      <c r="AL139" s="28">
        <f>IFERROR(([1]!b_stm07_bs(A139,104,$A$1,1,100000000)+[1]!b_stm07_bs(A139,106,$A$1,1,100000000)+[1]!b_stm07_bs(A139,76,$A$1,1,100000000)+[1]!b_stm07_bs(A139,108,$A$1,1,100000000)+[1]!b_stm07_bs(A139,95,$A$1,1,100000000))/[1]!b_stm07_bs(A139,128,$A$1,1,100000000),"")</f>
        <v>0.18921202942141421</v>
      </c>
      <c r="AM139" s="28">
        <f>IFERROR(([1]!s_stmnote_bank_614(A139,$A$1,1,2,100000000)+[1]!b_stm07_bs(A139,104,$A$1,1,100000000)+[1]!b_stm07_bs(A139,106,$A$1,1,100000000)+[1]!b_stm07_bs(A139,76,$A$1,1,100000000)+[1]!b_stm07_bs(A139,108,$A$1,1,100000000)+[1]!b_stm07_bs(A139,95,$A$1,1,100000000))/[1]!b_stm07_bs(A139,128,$A$1,1,100000000),"")</f>
        <v>0.4098169245509688</v>
      </c>
      <c r="AN139" s="31" t="e">
        <f>IF(Z139&gt;#REF!,#REF!,IF(Z139&gt;#REF!,#REF!,IF(Z139&gt;#REF!,#REF!,IF(Z139&gt;#REF!,#REF!,IF(Z139&gt;#REF!,#REF!,IF(Z139&gt;#REF!,#REF!,IF(Z139&gt;#REF!,#REF!,#REF!)))))))</f>
        <v>#REF!</v>
      </c>
      <c r="AO139" s="31" t="e">
        <f>IF(AA139&gt;#REF!,#REF!,IF(AA139&gt;#REF!,#REF!,IF(AA139&gt;#REF!,#REF!,IF(AA139&gt;#REF!,#REF!,IF(AA139&gt;#REF!,#REF!,IF(AA139&gt;#REF!,#REF!,IF(AA139&gt;#REF!,#REF!,#REF!)))))))</f>
        <v>#REF!</v>
      </c>
      <c r="AP139" s="31" t="e">
        <f>IF(AB139&lt;#REF!,#REF!,IF(AB139&lt;#REF!,#REF!,IF(AB139&lt;#REF!,#REF!,IF(AB139&lt;#REF!,#REF!,IF(AB139&lt;#REF!,#REF!,IF(AB139&lt;#REF!,#REF!,#REF!))))))</f>
        <v>#REF!</v>
      </c>
      <c r="AQ139" s="31" t="e">
        <f>IF(AC139&gt;#REF!,#REF!,IF(AC139&gt;#REF!,#REF!,IF(AC139&gt;#REF!,#REF!,IF(AC139&gt;#REF!,#REF!,#REF!))))</f>
        <v>#REF!</v>
      </c>
      <c r="AR139" s="31" t="e">
        <f>IF(AE139&gt;#REF!,#REF!,IF(AE139&gt;#REF!,#REF!,IF(AE139&gt;#REF!,#REF!,IF(AE139&gt;#REF!,#REF!,#REF!))))</f>
        <v>#REF!</v>
      </c>
      <c r="AS139" s="31" t="e">
        <f>IF(AF139&gt;#REF!,#REF!,IF(AF139&gt;#REF!,#REF!,IF(AF139&gt;#REF!,#REF!,IF(AF139&gt;#REF!,#REF!,#REF!))))</f>
        <v>#REF!</v>
      </c>
      <c r="AT139" s="31" t="e">
        <f>IF(AH139&gt;#REF!,#REF!,IF(AH139&gt;#REF!,#REF!,IF(AH139&gt;#REF!,#REF!,IF(AH139&gt;#REF!,#REF!,IF(AH139&gt;#REF!,#REF!,#REF!)))))</f>
        <v>#REF!</v>
      </c>
      <c r="AU139" s="10" t="e">
        <f t="shared" si="44"/>
        <v>#REF!</v>
      </c>
      <c r="AV139" s="10"/>
      <c r="AW139" s="10"/>
      <c r="AX139" s="10"/>
      <c r="AY139" s="31" t="str">
        <f>IFERROR(VLOOKUP(AV139,#REF!,3,0),"")</f>
        <v/>
      </c>
      <c r="AZ139" s="31" t="str">
        <f>IFERROR(VLOOKUP(AW139,#REF!,3,0),"")</f>
        <v/>
      </c>
      <c r="BA139" s="31" t="str">
        <f>IFERROR(VLOOKUP(AX139,#REF!,3,0),"")</f>
        <v/>
      </c>
      <c r="BB139" s="31" t="str">
        <f>IFERROR(AY139*#REF!+AZ139*#REF!+BA139*#REF!,"")</f>
        <v/>
      </c>
      <c r="BC139" s="32" t="str">
        <f t="shared" si="45"/>
        <v/>
      </c>
      <c r="BD139" s="32" t="str">
        <f>IFERROR(VLOOKUP(BC139*10,#REF!,2,1),"")</f>
        <v/>
      </c>
      <c r="BE139" s="10"/>
      <c r="BF139" s="10"/>
      <c r="BG139" s="10"/>
      <c r="BH139" s="11" t="s">
        <v>290</v>
      </c>
      <c r="BI139" s="10">
        <v>19.0200004577637</v>
      </c>
      <c r="BJ139" s="33" t="s">
        <v>156</v>
      </c>
      <c r="BK139" s="33" t="s">
        <v>291</v>
      </c>
      <c r="BL139" s="10">
        <f>IF([1]!s_stmnote_bank_17n(A139,$A$1,1)="0","",[1]!s_stmnote_bank_17n(A139,$A$1,1))</f>
        <v>8.19</v>
      </c>
      <c r="BM139" s="10">
        <f>IF([1]!s_stmnote_bank_18n(A139,$A$1,1)="0","",[1]!s_stmnote_bank_18n(A139,$A$1,1))</f>
        <v>0</v>
      </c>
      <c r="BN139" s="41" t="s">
        <v>67</v>
      </c>
      <c r="BO139" s="68" t="s">
        <v>67</v>
      </c>
      <c r="BP139" s="52">
        <f>[1]!s_stmnote_bank_5444(A139,$A$1,1)</f>
        <v>0</v>
      </c>
      <c r="BQ139" s="52">
        <f>[1]!s_stmnote_bank_129n($A139,$A$1,1)</f>
        <v>28.94</v>
      </c>
      <c r="BR139" s="52">
        <f t="shared" si="52"/>
        <v>4.5130050256341496</v>
      </c>
      <c r="BS139" s="52">
        <f>[1]!b_stm07_is(A139,19,$A$1,1,100000000)</f>
        <v>180.2851</v>
      </c>
      <c r="BT139" s="52">
        <f xml:space="preserve"> [1]!s_stm07_bs(A139,"W15273164",$A$1,1,100000000)-[1]!s_stm07_bs(A139,"W17642530",$A$1,1,100000000)-[1]!s_stm07_bs(A139,"W15910877",$A$1,1,100000000)-[1]!s_stm07_bs_39(A139,$A$1,1,100000000)-[1]!s_stm07_bs(A139,"W17700468",$A$1,1,100000000)-[1]!s_stm07_bs(A139,"W16504296",$A$1,1,100000000)-[1]!s_stm07_bs(A139,"W13769069",$A$1,1,100000000)</f>
        <v>4353.2655400000003</v>
      </c>
      <c r="BU139" s="52">
        <f xml:space="preserve"> [1]!s_stm07_bs(A139,"W15273164",$B$1,1,100000000)-[1]!s_stm07_bs(A139,"W17642530",$B$1,1,100000000)-[1]!s_stm07_bs(A139,"W15910877",$B$1,1,100000000)-[1]!s_stm07_bs_39(A139,$B$1,1,100000000)-[1]!s_stm07_bs(A139,"W17700468",$B$1,1,100000000)-[1]!s_stm07_bs(A139,"W16504296",$B$1,1,100000000)-[1]!s_stm07_bs(A139,"W13769069",$B$1,1,100000000)</f>
        <v>3903.8888399999996</v>
      </c>
      <c r="BV139" s="52">
        <f xml:space="preserve"> [1]!s_stm07_bs(A139,"W15273164",$E$1,1,100000000)-[1]!s_stm07_bs(A139,"W17642530",$E$1,1,100000000)-[1]!s_stm07_bs(A139,"W15910877",$E$1,1,100000000)-[1]!s_stm07_bs_39(A139,$E$1,1,100000000)-[1]!s_stm07_bs(A139,"W17700468",$E$1,1,100000000)-[1]!s_stm07_bs(A139,"W16504296",$E$1,1,100000000)-[1]!s_stm07_bs(A139,"W13769069",$E$1,1,100000000)</f>
        <v>4252.8480500000005</v>
      </c>
      <c r="BW139" s="52">
        <f xml:space="preserve"> [1]!s_stm07_bs(A139,"W15273164",$F$1,1,100000000)-[1]!s_stm07_bs(A139,"W17642530",$F$1,1,100000000)-[1]!s_stm07_bs(A139,"W15910877",$F$1,1,100000000)-[1]!s_stm07_bs_39(A139,$F$1,1,100000000)-[1]!s_stm07_bs(A139,"W17700468",$F$1,1,100000000)-[1]!s_stm07_bs(A139,"W16504296",$F$1,1,100000000)-[1]!s_stm07_bs(A139,"W13769069",$F$1,1,100000000)</f>
        <v>4142.1252099999992</v>
      </c>
      <c r="BX139" s="52">
        <f xml:space="preserve"> [1]!s_stm07_bs(A139,"W15273164",$G$1,1,100000000)-[1]!s_stm07_bs(A139,"W17642530",$G$1,1,100000000)-[1]!s_stm07_bs(A139,"W15910877",$G$1,1,100000000)-[1]!s_stm07_bs_39(A139,$G$1,1,100000000)-[1]!s_stm07_bs(A139,"W17700468",$G$1,1,100000000)-[1]!s_stm07_bs(A139,"W16504296",$G$1,1,100000000)-[1]!s_stm07_bs(A139,"W13769069",$G$1,1,100000000)</f>
        <v>3997.7384499999994</v>
      </c>
      <c r="BY139" s="52">
        <f>IFERROR([1]!b_stm07_is(A139,20,$A$1,1,100000000)/AVERAGEIF(CA139:CE139,"&gt;0")*100,0)</f>
        <v>2.3362261234602291</v>
      </c>
      <c r="BZ139" s="52">
        <f>[1]!b_stm07_is(A139,20,$A$1,1,100000000)</f>
        <v>88.605630000000005</v>
      </c>
      <c r="CA139" s="52">
        <f>[1]!s_stmnote_bank_38(A139,$A$1,1,100000000)</f>
        <v>4000.03962</v>
      </c>
      <c r="CB139" s="52">
        <f>[1]!s_stmnote_bank_38(A139,$B$1,1,100000000)</f>
        <v>3586.9314399999998</v>
      </c>
      <c r="CC139" s="52">
        <f>[1]!s_stmnote_bank_38(A139,$E$1,1,100000000)</f>
        <v>3911.9668999999999</v>
      </c>
      <c r="CD139" s="52">
        <f>[1]!s_stmnote_bank_38(A139,$F$1,1,100000000)</f>
        <v>3798.4085500000001</v>
      </c>
      <c r="CE139" s="52">
        <f>[1]!s_stmnote_bank_38(A139,$G$1,1,100000000)</f>
        <v>3666.0639900000001</v>
      </c>
      <c r="CF139" s="52">
        <f>IF(BP139&lt;&gt;0,BP139,IFERROR(IF(([1]!b_stm07_is(A139,19,$A$1,1,100000000)-[1]!b_stm07_is(A139,20,$A$1,1,100000000))/AVERAGE([1]!s_stmnote_bank_35(A139,$A$1,1,100000000),[1]!s_stmnote_bank_35(A139,$B$1,1,100000000))*100=0,"",([1]!b_stm07_is(A139,19,$A$1,1,100000000)-[1]!b_stm07_is(A139,20,$A$1,1,100000000))/AVERAGE([1]!s_stmnote_bank_35(A139,$A$1,1,100000000),[1]!s_stmnote_bank_35(A139,$B$1,1,100000000))*100),""))</f>
        <v>3.0115699236419222</v>
      </c>
      <c r="CG139" s="27" t="str">
        <f t="shared" si="46"/>
        <v>12 171</v>
      </c>
      <c r="CH139" s="80">
        <f t="shared" si="53"/>
        <v>0.77826888749952372</v>
      </c>
      <c r="CI139" s="27" t="str">
        <f t="shared" si="47"/>
        <v>69 169</v>
      </c>
      <c r="CJ139" s="55">
        <f>[1]!s_stmnote_bank_30(A139,$A$1,1)</f>
        <v>6.5270999999999999</v>
      </c>
      <c r="CP139" s="69">
        <f>[1]!b_stm07_bs($A139,141,$A$1,1,100000000)</f>
        <v>355.11930000000001</v>
      </c>
      <c r="CQ139" s="69">
        <f>[1]!b_stm07_bs($A139,141,$D$1,1,100000000)</f>
        <v>406.97559999999999</v>
      </c>
      <c r="CR139" s="68">
        <f>IF([1]!s_fa_roic_yearly($A139,$A$1)=0,"",[1]!s_fa_roic_yearly($A139,$A$1))</f>
        <v>6.415</v>
      </c>
      <c r="CS139" s="27">
        <f t="shared" si="48"/>
        <v>0.69230769230769229</v>
      </c>
      <c r="CT139" s="68">
        <f>IF([1]!s_fa_roic_yearly($A139,$D$1)=0,"",[1]!s_fa_roic_yearly($A139,$D$1))</f>
        <v>7.5511999999999997</v>
      </c>
      <c r="CU139" s="27">
        <f t="shared" si="49"/>
        <v>0.73239436619718312</v>
      </c>
      <c r="CV139" s="78">
        <f>[1]!s_stm07_bs(A139,"W14578191",$A$1,1,100000000)</f>
        <v>2666.9082600000002</v>
      </c>
      <c r="CW139" s="78">
        <f>[1]!s_stmnote_bank_682($A139,$A$1,1,2,100000000)</f>
        <v>1448.2380800000001</v>
      </c>
      <c r="CX139" s="79">
        <f t="shared" si="50"/>
        <v>0.5430400819261777</v>
      </c>
    </row>
    <row r="140" spans="1:102" s="46" customFormat="1" ht="13.5">
      <c r="A140" s="8" t="s">
        <v>351</v>
      </c>
      <c r="B140" s="8" t="s">
        <v>352</v>
      </c>
      <c r="C140" s="9" t="s">
        <v>353</v>
      </c>
      <c r="D140" s="9" t="s">
        <v>1061</v>
      </c>
      <c r="E140" s="10"/>
      <c r="F140" s="11" t="s">
        <v>66</v>
      </c>
      <c r="G140" s="11" t="s">
        <v>67</v>
      </c>
      <c r="H140" s="11" t="s">
        <v>116</v>
      </c>
      <c r="I140" s="11"/>
      <c r="J140" s="11" t="e">
        <f>VLOOKUP(B140,[3]额度信息!$B:$T,19,0)</f>
        <v>#N/A</v>
      </c>
      <c r="K140" s="11"/>
      <c r="L140" s="27">
        <f>IFERROR(([1]!b_stm07_bs($A140,47,$A$1,1,100000000))/[1]!b_stm07_bs($A140,109,$A$1,1,100000000),"")</f>
        <v>0.11771221953207528</v>
      </c>
      <c r="M140" s="20"/>
      <c r="N140" s="18"/>
      <c r="O140" s="27" t="e">
        <f t="shared" si="39"/>
        <v>#N/A</v>
      </c>
      <c r="P140" s="21">
        <f t="shared" si="51"/>
        <v>5.8113831501058921E-2</v>
      </c>
      <c r="Q140" s="27" t="str">
        <f t="shared" si="40"/>
        <v>137 169</v>
      </c>
      <c r="R140" s="18">
        <f>IFERROR([1]!s_stmnote_bank($A140,"34",$A$1,100000000)/[1]!s_stmnote_bank_1n(A140,$A$1,1,100000000),"")</f>
        <v>4.1313831501058926E-2</v>
      </c>
      <c r="S140" s="22"/>
      <c r="T140" s="22"/>
      <c r="U140" s="22"/>
      <c r="V140" s="22"/>
      <c r="W140" s="22"/>
      <c r="X140" s="22"/>
      <c r="Y140" s="22"/>
      <c r="Z140" s="25">
        <f>[1]!b_stm07_bs(A140,74,$A$1,1,100000000)</f>
        <v>2445.9463400455998</v>
      </c>
      <c r="AA140" s="25">
        <f>[1]!b_stm07_bs(A140,109,$A$1,1,100000000)</f>
        <v>1857.4417388826998</v>
      </c>
      <c r="AB140" s="10">
        <f>[1]!s_stmnote_bank_5n(A140,$A$1,1)</f>
        <v>1.68</v>
      </c>
      <c r="AC140" s="25">
        <f>IF([1]!s_stmnote_bank_23n(A140,$A$1,1)=0,"",IFERROR([1]!s_stmnote_bank_23n(A140,$A$1,1),""))</f>
        <v>169.77</v>
      </c>
      <c r="AD140" s="27" t="str">
        <f t="shared" si="41"/>
        <v>39 167</v>
      </c>
      <c r="AE140" s="25">
        <f>[1]!s_stmnote_bank_capadequacyratio(A140,$A$1,1)</f>
        <v>11.01</v>
      </c>
      <c r="AF140" s="25">
        <f>IF([1]!s_stmnote_bank_capadequacyratio_ct1(A140,$A$1,1)=0,"",IFERROR([1]!s_stmnote_bank_capadequacyratio_ct1(A140,$A$1,1),""))</f>
        <v>7.73</v>
      </c>
      <c r="AG140" s="27" t="str">
        <f t="shared" si="42"/>
        <v>3 167</v>
      </c>
      <c r="AH140" s="6">
        <f>IF(OR([1]!s_fa_roe(A140,20201231)=0,[1]!s_fa_roe(A140,20211231)="0",[1]!s_fa_roe(A140,20221231)="0"),"",IFERROR(([1]!s_fa_roe(A140,20221231)+[1]!s_fa_roe(A140,20201231)+[1]!s_fa_roe(A140,20211231))/3,""))</f>
        <v>6.0571333333333328</v>
      </c>
      <c r="AI140" s="27" t="str">
        <f t="shared" si="43"/>
        <v>57 173</v>
      </c>
      <c r="AJ140" s="28">
        <f>IFERROR(([1]!s_stmnote_bank_65(A140,$A$1,1,2,4,100000000)+[1]!s_stmnote_bank_65(A140,$A$1,1,2,6,100000000))/[1]!s_stmnote_bank_1n(A140,$A$1,1,100000000),"")</f>
        <v>0.16802393721176628</v>
      </c>
      <c r="AK140" s="28">
        <f>IFERROR([1]!s_stmnote_bank_614(A140,$A$1,1,2,100000000)/[1]!s_stmnote_bank_647(A140,$A$1,1,2,100000000),"")</f>
        <v>0.2864897386614102</v>
      </c>
      <c r="AL140" s="28">
        <f>IFERROR(([1]!b_stm07_bs(A140,104,$A$1,1,100000000)+[1]!b_stm07_bs(A140,106,$A$1,1,100000000)+[1]!b_stm07_bs(A140,76,$A$1,1,100000000)+[1]!b_stm07_bs(A140,108,$A$1,1,100000000)+[1]!b_stm07_bs(A140,95,$A$1,1,100000000))/[1]!b_stm07_bs(A140,128,$A$1,1,100000000),"")</f>
        <v>0.11285652225456545</v>
      </c>
      <c r="AM140" s="28">
        <f>IFERROR(([1]!s_stmnote_bank_614(A140,$A$1,1,2,100000000)+[1]!b_stm07_bs(A140,104,$A$1,1,100000000)+[1]!b_stm07_bs(A140,106,$A$1,1,100000000)+[1]!b_stm07_bs(A140,76,$A$1,1,100000000)+[1]!b_stm07_bs(A140,108,$A$1,1,100000000)+[1]!b_stm07_bs(A140,95,$A$1,1,100000000))/[1]!b_stm07_bs(A140,128,$A$1,1,100000000),"")</f>
        <v>0.34508142047367035</v>
      </c>
      <c r="AN140" s="31" t="e">
        <f>IF(Z140&gt;#REF!,#REF!,IF(Z140&gt;#REF!,#REF!,IF(Z140&gt;#REF!,#REF!,IF(Z140&gt;#REF!,#REF!,IF(Z140&gt;#REF!,#REF!,IF(Z140&gt;#REF!,#REF!,IF(Z140&gt;#REF!,#REF!,#REF!)))))))</f>
        <v>#REF!</v>
      </c>
      <c r="AO140" s="31" t="e">
        <f>IF(AA140&gt;#REF!,#REF!,IF(AA140&gt;#REF!,#REF!,IF(AA140&gt;#REF!,#REF!,IF(AA140&gt;#REF!,#REF!,IF(AA140&gt;#REF!,#REF!,IF(AA140&gt;#REF!,#REF!,IF(AA140&gt;#REF!,#REF!,#REF!)))))))</f>
        <v>#REF!</v>
      </c>
      <c r="AP140" s="31" t="e">
        <f>IF(AB140&lt;#REF!,#REF!,IF(AB140&lt;#REF!,#REF!,IF(AB140&lt;#REF!,#REF!,IF(AB140&lt;#REF!,#REF!,IF(AB140&lt;#REF!,#REF!,IF(AB140&lt;#REF!,#REF!,#REF!))))))</f>
        <v>#REF!</v>
      </c>
      <c r="AQ140" s="31" t="e">
        <f>IF(AC140&gt;#REF!,#REF!,IF(AC140&gt;#REF!,#REF!,IF(AC140&gt;#REF!,#REF!,IF(AC140&gt;#REF!,#REF!,#REF!))))</f>
        <v>#REF!</v>
      </c>
      <c r="AR140" s="31" t="e">
        <f>IF(AE140&gt;#REF!,#REF!,IF(AE140&gt;#REF!,#REF!,IF(AE140&gt;#REF!,#REF!,IF(AE140&gt;#REF!,#REF!,#REF!))))</f>
        <v>#REF!</v>
      </c>
      <c r="AS140" s="31" t="e">
        <f>IF(AF140&gt;#REF!,#REF!,IF(AF140&gt;#REF!,#REF!,IF(AF140&gt;#REF!,#REF!,IF(AF140&gt;#REF!,#REF!,#REF!))))</f>
        <v>#REF!</v>
      </c>
      <c r="AT140" s="31" t="e">
        <f>IF(AH140&gt;#REF!,#REF!,IF(AH140&gt;#REF!,#REF!,IF(AH140&gt;#REF!,#REF!,IF(AH140&gt;#REF!,#REF!,IF(AH140&gt;#REF!,#REF!,#REF!)))))</f>
        <v>#REF!</v>
      </c>
      <c r="AU140" s="10" t="e">
        <f t="shared" si="44"/>
        <v>#REF!</v>
      </c>
      <c r="AV140" s="10"/>
      <c r="AW140" s="10"/>
      <c r="AX140" s="10"/>
      <c r="AY140" s="31" t="str">
        <f>IFERROR(VLOOKUP(AV140,#REF!,3,0),"")</f>
        <v/>
      </c>
      <c r="AZ140" s="31" t="str">
        <f>IFERROR(VLOOKUP(AW140,#REF!,3,0),"")</f>
        <v/>
      </c>
      <c r="BA140" s="31" t="str">
        <f>IFERROR(VLOOKUP(AX140,#REF!,3,0),"")</f>
        <v/>
      </c>
      <c r="BB140" s="31" t="str">
        <f>IFERROR(AY140*#REF!+AZ140*#REF!+BA140*#REF!,"")</f>
        <v/>
      </c>
      <c r="BC140" s="32" t="str">
        <f t="shared" si="45"/>
        <v/>
      </c>
      <c r="BD140" s="32" t="str">
        <f>IFERROR(VLOOKUP(BC140*10,#REF!,2,1),"")</f>
        <v/>
      </c>
      <c r="BE140" s="10"/>
      <c r="BF140" s="10"/>
      <c r="BG140" s="10"/>
      <c r="BH140" s="11" t="s">
        <v>354</v>
      </c>
      <c r="BI140" s="10">
        <v>15.5</v>
      </c>
      <c r="BJ140" s="33" t="s">
        <v>98</v>
      </c>
      <c r="BK140" s="33" t="s">
        <v>355</v>
      </c>
      <c r="BL140" s="10">
        <f>IF([1]!s_stmnote_bank_17n(A140,$A$1,1)="0","",[1]!s_stmnote_bank_17n(A140,$A$1,1))</f>
        <v>5.75</v>
      </c>
      <c r="BM140" s="10">
        <f>IF([1]!s_stmnote_bank_18n(A140,$A$1,1)="0","",[1]!s_stmnote_bank_18n(A140,$A$1,1))</f>
        <v>45.22</v>
      </c>
      <c r="BN140" s="41">
        <v>4.1500000000000004</v>
      </c>
      <c r="BO140" s="68">
        <v>2.59</v>
      </c>
      <c r="BP140" s="52">
        <f>[1]!s_stmnote_bank_5444(A140,$A$1,1)</f>
        <v>1.76</v>
      </c>
      <c r="BQ140" s="52">
        <f>[1]!s_stmnote_bank_129n($A140,$A$1,1)</f>
        <v>32.880000000000003</v>
      </c>
      <c r="BR140" s="52">
        <f t="shared" si="52"/>
        <v>4.7887504045165867</v>
      </c>
      <c r="BS140" s="52">
        <f>[1]!b_stm07_is(A140,19,$A$1,1,100000000)</f>
        <v>104.78744984299999</v>
      </c>
      <c r="BT140" s="52">
        <f xml:space="preserve"> [1]!s_stm07_bs(A140,"W15273164",$A$1,1,100000000)-[1]!s_stm07_bs(A140,"W17642530",$A$1,1,100000000)-[1]!s_stm07_bs(A140,"W15910877",$A$1,1,100000000)-[1]!s_stm07_bs_39(A140,$A$1,1,100000000)-[1]!s_stm07_bs(A140,"W17700468",$A$1,1,100000000)-[1]!s_stm07_bs(A140,"W16504296",$A$1,1,100000000)-[1]!s_stm07_bs(A140,"W13769069",$A$1,1,100000000)</f>
        <v>2399.6211938513998</v>
      </c>
      <c r="BU140" s="52">
        <f xml:space="preserve"> [1]!s_stm07_bs(A140,"W15273164",$B$1,1,100000000)-[1]!s_stm07_bs(A140,"W17642530",$B$1,1,100000000)-[1]!s_stm07_bs(A140,"W15910877",$B$1,1,100000000)-[1]!s_stm07_bs_39(A140,$B$1,1,100000000)-[1]!s_stm07_bs(A140,"W17700468",$B$1,1,100000000)-[1]!s_stm07_bs(A140,"W16504296",$B$1,1,100000000)-[1]!s_stm07_bs(A140,"W13769069",$B$1,1,100000000)</f>
        <v>2157.9972942845998</v>
      </c>
      <c r="BV140" s="52">
        <f xml:space="preserve"> [1]!s_stm07_bs(A140,"W15273164",$E$1,1,100000000)-[1]!s_stm07_bs(A140,"W17642530",$E$1,1,100000000)-[1]!s_stm07_bs(A140,"W15910877",$E$1,1,100000000)-[1]!s_stm07_bs_39(A140,$E$1,1,100000000)-[1]!s_stm07_bs(A140,"W17700468",$E$1,1,100000000)-[1]!s_stm07_bs(A140,"W16504296",$E$1,1,100000000)-[1]!s_stm07_bs(A140,"W13769069",$E$1,1,100000000)</f>
        <v>0</v>
      </c>
      <c r="BW140" s="52">
        <f xml:space="preserve"> [1]!s_stm07_bs(A140,"W15273164",$F$1,1,100000000)-[1]!s_stm07_bs(A140,"W17642530",$F$1,1,100000000)-[1]!s_stm07_bs(A140,"W15910877",$F$1,1,100000000)-[1]!s_stm07_bs_39(A140,$F$1,1,100000000)-[1]!s_stm07_bs(A140,"W17700468",$F$1,1,100000000)-[1]!s_stm07_bs(A140,"W16504296",$F$1,1,100000000)-[1]!s_stm07_bs(A140,"W13769069",$F$1,1,100000000)</f>
        <v>0</v>
      </c>
      <c r="BX140" s="52">
        <f xml:space="preserve"> [1]!s_stm07_bs(A140,"W15273164",$G$1,1,100000000)-[1]!s_stm07_bs(A140,"W17642530",$G$1,1,100000000)-[1]!s_stm07_bs(A140,"W15910877",$G$1,1,100000000)-[1]!s_stm07_bs_39(A140,$G$1,1,100000000)-[1]!s_stm07_bs(A140,"W17700468",$G$1,1,100000000)-[1]!s_stm07_bs(A140,"W16504296",$G$1,1,100000000)-[1]!s_stm07_bs(A140,"W13769069",$G$1,1,100000000)</f>
        <v>0</v>
      </c>
      <c r="BY140" s="52">
        <f>IFERROR([1]!b_stm07_is(A140,20,$A$1,1,100000000)/AVERAGEIF(CA140:CE140,"&gt;0")*100,0)</f>
        <v>2.8398696655967557</v>
      </c>
      <c r="BZ140" s="52">
        <f>[1]!b_stm07_is(A140,20,$A$1,1,100000000)</f>
        <v>60.544277430299999</v>
      </c>
      <c r="CA140" s="52">
        <f>[1]!s_stmnote_bank_38(A140,$A$1,1,100000000)</f>
        <v>2235.6587949385003</v>
      </c>
      <c r="CB140" s="52">
        <f>[1]!s_stmnote_bank_38(A140,$B$1,1,100000000)</f>
        <v>2028.2183937759</v>
      </c>
      <c r="CC140" s="52">
        <f>[1]!s_stmnote_bank_38(A140,$E$1,1,100000000)</f>
        <v>0</v>
      </c>
      <c r="CD140" s="52">
        <f>[1]!s_stmnote_bank_38(A140,$F$1,1,100000000)</f>
        <v>0</v>
      </c>
      <c r="CE140" s="52">
        <f>[1]!s_stmnote_bank_38(A140,$G$1,1,100000000)</f>
        <v>0</v>
      </c>
      <c r="CF140" s="52">
        <f>IF(BP140&lt;&gt;0,BP140,IFERROR(IF(([1]!b_stm07_is(A140,19,$A$1,1,100000000)-[1]!b_stm07_is(A140,20,$A$1,1,100000000))/AVERAGE([1]!s_stmnote_bank_35(A140,$A$1,1,100000000),[1]!s_stmnote_bank_35(A140,$B$1,1,100000000))*100=0,"",([1]!b_stm07_is(A140,19,$A$1,1,100000000)-[1]!b_stm07_is(A140,20,$A$1,1,100000000))/AVERAGE([1]!s_stmnote_bank_35(A140,$A$1,1,100000000),[1]!s_stmnote_bank_35(A140,$B$1,1,100000000))*100),""))</f>
        <v>1.76</v>
      </c>
      <c r="CG140" s="27" t="str">
        <f t="shared" si="46"/>
        <v>131 171</v>
      </c>
      <c r="CH140" s="80">
        <f t="shared" si="53"/>
        <v>0.30285389115462646</v>
      </c>
      <c r="CI140" s="27" t="str">
        <f t="shared" si="47"/>
        <v>144 169</v>
      </c>
      <c r="CJ140" s="55">
        <f>[1]!s_stmnote_bank_30(A140,$A$1,1)</f>
        <v>13.1272</v>
      </c>
      <c r="CP140" s="69">
        <f>[1]!b_stm07_bs($A140,141,$A$1,1,100000000)</f>
        <v>154.46940354059998</v>
      </c>
      <c r="CQ140" s="69">
        <f>[1]!b_stm07_bs($A140,141,$D$1,1,100000000)</f>
        <v>0</v>
      </c>
      <c r="CR140" s="68">
        <f>IF([1]!s_fa_roic_yearly($A140,$A$1)=0,"",[1]!s_fa_roic_yearly($A140,$A$1))</f>
        <v>5.3949999999999996</v>
      </c>
      <c r="CS140" s="27">
        <f t="shared" si="48"/>
        <v>0.81065088757396453</v>
      </c>
      <c r="CT140" s="68">
        <f>IF([1]!s_fa_roic_yearly($A140,$D$1)=0,"",[1]!s_fa_roic_yearly($A140,$D$1))</f>
        <v>7.1368</v>
      </c>
      <c r="CU140" s="27">
        <f t="shared" si="49"/>
        <v>0.77464788732394363</v>
      </c>
      <c r="CV140" s="78">
        <f>[1]!s_stm07_bs(A140,"W14578191",$A$1,1,100000000)</f>
        <v>1458.0672527648001</v>
      </c>
      <c r="CW140" s="78">
        <f>[1]!s_stmnote_bank_682($A140,$A$1,1,2,100000000)</f>
        <v>387.89475574949995</v>
      </c>
      <c r="CX140" s="79">
        <f t="shared" si="50"/>
        <v>0.26603351458169744</v>
      </c>
    </row>
    <row r="141" spans="1:102" s="46" customFormat="1" ht="13.5">
      <c r="A141" s="8" t="s">
        <v>953</v>
      </c>
      <c r="B141" s="8" t="s">
        <v>954</v>
      </c>
      <c r="C141" s="9" t="s">
        <v>954</v>
      </c>
      <c r="D141" s="9" t="s">
        <v>1061</v>
      </c>
      <c r="E141" s="10" t="s">
        <v>954</v>
      </c>
      <c r="F141" s="11" t="s">
        <v>178</v>
      </c>
      <c r="G141" s="11" t="s">
        <v>139</v>
      </c>
      <c r="H141" s="11" t="s">
        <v>67</v>
      </c>
      <c r="I141" s="11"/>
      <c r="J141" s="11">
        <f>VLOOKUP(B141,[3]额度信息!$B:$T,19,0)</f>
        <v>0</v>
      </c>
      <c r="K141" s="11" t="s">
        <v>955</v>
      </c>
      <c r="L141" s="27">
        <f>IFERROR(([1]!b_stm07_bs($A141,47,$A$1,1,100000000))/[1]!b_stm07_bs($A141,109,$A$1,1,100000000),"")</f>
        <v>0.21539877880375757</v>
      </c>
      <c r="M141" s="20"/>
      <c r="N141" s="18"/>
      <c r="O141" s="27" t="e">
        <f t="shared" si="39"/>
        <v>#N/A</v>
      </c>
      <c r="P141" s="21">
        <f t="shared" si="51"/>
        <v>2.939046164641233E-2</v>
      </c>
      <c r="Q141" s="27" t="str">
        <f t="shared" si="40"/>
        <v>81 169</v>
      </c>
      <c r="R141" s="18">
        <f>IFERROR([1]!s_stmnote_bank($A141,"34",$A$1,100000000)/[1]!s_stmnote_bank_1n(A141,$A$1,1,100000000),"")</f>
        <v>1.5690461646412329E-2</v>
      </c>
      <c r="S141" s="22"/>
      <c r="T141" s="22"/>
      <c r="U141" s="22"/>
      <c r="V141" s="22"/>
      <c r="W141" s="22"/>
      <c r="X141" s="22"/>
      <c r="Y141" s="22"/>
      <c r="Z141" s="25">
        <f>[1]!b_stm07_bs(A141,74,$A$1,1,100000000)</f>
        <v>1278.4543773299999</v>
      </c>
      <c r="AA141" s="25">
        <f>[1]!b_stm07_bs(A141,109,$A$1,1,100000000)</f>
        <v>270.70213820999999</v>
      </c>
      <c r="AB141" s="10">
        <f>[1]!s_stmnote_bank_5n(A141,$A$1,1)</f>
        <v>1.37</v>
      </c>
      <c r="AC141" s="25">
        <f>IF([1]!s_stmnote_bank_23n(A141,$A$1,1)=0,"",IFERROR([1]!s_stmnote_bank_23n(A141,$A$1,1),""))</f>
        <v>242.72</v>
      </c>
      <c r="AD141" s="27" t="str">
        <f t="shared" si="41"/>
        <v>90 167</v>
      </c>
      <c r="AE141" s="25">
        <f>[1]!s_stmnote_bank_capadequacyratio(A141,$A$1,1)</f>
        <v>17.37</v>
      </c>
      <c r="AF141" s="25">
        <f>IF([1]!s_stmnote_bank_capadequacyratio_ct1(A141,$A$1,1)=0,"",IFERROR([1]!s_stmnote_bank_capadequacyratio_ct1(A141,$A$1,1),""))</f>
        <v>16.190000000000001</v>
      </c>
      <c r="AG141" s="27" t="str">
        <f t="shared" si="42"/>
        <v>160 167</v>
      </c>
      <c r="AH141" s="6">
        <f>IF(OR([1]!s_fa_roe(A141,20201231)=0,[1]!s_fa_roe(A141,20211231)="0",[1]!s_fa_roe(A141,20221231)="0"),"",IFERROR(([1]!s_fa_roe(A141,20221231)+[1]!s_fa_roe(A141,20201231)+[1]!s_fa_roe(A141,20211231))/3,""))</f>
        <v>5.1836666666666664</v>
      </c>
      <c r="AI141" s="27" t="str">
        <f t="shared" si="43"/>
        <v>41 173</v>
      </c>
      <c r="AJ141" s="28">
        <f>IFERROR(([1]!s_stmnote_bank_65(A141,$A$1,1,2,4,100000000)+[1]!s_stmnote_bank_65(A141,$A$1,1,2,6,100000000))/[1]!s_stmnote_bank_1n(A141,$A$1,1,100000000),"")</f>
        <v>0.27183380499961962</v>
      </c>
      <c r="AK141" s="28">
        <f>IFERROR([1]!s_stmnote_bank_614(A141,$A$1,1,2,100000000)/[1]!s_stmnote_bank_647(A141,$A$1,1,2,100000000),"")</f>
        <v>0.21487229378615702</v>
      </c>
      <c r="AL141" s="28">
        <f>IFERROR(([1]!b_stm07_bs(A141,104,$A$1,1,100000000)+[1]!b_stm07_bs(A141,106,$A$1,1,100000000)+[1]!b_stm07_bs(A141,76,$A$1,1,100000000)+[1]!b_stm07_bs(A141,108,$A$1,1,100000000)+[1]!b_stm07_bs(A141,95,$A$1,1,100000000))/[1]!b_stm07_bs(A141,128,$A$1,1,100000000),"")</f>
        <v>0.75385089177137643</v>
      </c>
      <c r="AM141" s="28">
        <f>IFERROR(([1]!s_stmnote_bank_614(A141,$A$1,1,2,100000000)+[1]!b_stm07_bs(A141,104,$A$1,1,100000000)+[1]!b_stm07_bs(A141,106,$A$1,1,100000000)+[1]!b_stm07_bs(A141,76,$A$1,1,100000000)+[1]!b_stm07_bs(A141,108,$A$1,1,100000000)+[1]!b_stm07_bs(A141,95,$A$1,1,100000000))/[1]!b_stm07_bs(A141,128,$A$1,1,100000000),"")</f>
        <v>0.80534494465647855</v>
      </c>
      <c r="AN141" s="31" t="e">
        <f>IF(Z141&gt;#REF!,#REF!,IF(Z141&gt;#REF!,#REF!,IF(Z141&gt;#REF!,#REF!,IF(Z141&gt;#REF!,#REF!,IF(Z141&gt;#REF!,#REF!,IF(Z141&gt;#REF!,#REF!,IF(Z141&gt;#REF!,#REF!,#REF!)))))))</f>
        <v>#REF!</v>
      </c>
      <c r="AO141" s="31" t="e">
        <f>IF(AA141&gt;#REF!,#REF!,IF(AA141&gt;#REF!,#REF!,IF(AA141&gt;#REF!,#REF!,IF(AA141&gt;#REF!,#REF!,IF(AA141&gt;#REF!,#REF!,IF(AA141&gt;#REF!,#REF!,IF(AA141&gt;#REF!,#REF!,#REF!)))))))</f>
        <v>#REF!</v>
      </c>
      <c r="AP141" s="31" t="e">
        <f>IF(AB141&lt;#REF!,#REF!,IF(AB141&lt;#REF!,#REF!,IF(AB141&lt;#REF!,#REF!,IF(AB141&lt;#REF!,#REF!,IF(AB141&lt;#REF!,#REF!,IF(AB141&lt;#REF!,#REF!,#REF!))))))</f>
        <v>#REF!</v>
      </c>
      <c r="AQ141" s="31" t="e">
        <f>IF(AC141&gt;#REF!,#REF!,IF(AC141&gt;#REF!,#REF!,IF(AC141&gt;#REF!,#REF!,IF(AC141&gt;#REF!,#REF!,#REF!))))</f>
        <v>#REF!</v>
      </c>
      <c r="AR141" s="31" t="e">
        <f>IF(AE141&gt;#REF!,#REF!,IF(AE141&gt;#REF!,#REF!,IF(AE141&gt;#REF!,#REF!,IF(AE141&gt;#REF!,#REF!,#REF!))))</f>
        <v>#REF!</v>
      </c>
      <c r="AS141" s="31" t="e">
        <f>IF(AF141&gt;#REF!,#REF!,IF(AF141&gt;#REF!,#REF!,IF(AF141&gt;#REF!,#REF!,IF(AF141&gt;#REF!,#REF!,#REF!))))</f>
        <v>#REF!</v>
      </c>
      <c r="AT141" s="31" t="e">
        <f>IF(AH141&gt;#REF!,#REF!,IF(AH141&gt;#REF!,#REF!,IF(AH141&gt;#REF!,#REF!,IF(AH141&gt;#REF!,#REF!,IF(AH141&gt;#REF!,#REF!,#REF!)))))</f>
        <v>#REF!</v>
      </c>
      <c r="AU141" s="10" t="e">
        <f t="shared" si="44"/>
        <v>#REF!</v>
      </c>
      <c r="AV141" s="10" t="s">
        <v>60</v>
      </c>
      <c r="AW141" s="10" t="s">
        <v>161</v>
      </c>
      <c r="AX141" s="10" t="s">
        <v>261</v>
      </c>
      <c r="AY141" s="31" t="str">
        <f>IFERROR(VLOOKUP(AV141,#REF!,3,0),"")</f>
        <v/>
      </c>
      <c r="AZ141" s="31" t="str">
        <f>IFERROR(VLOOKUP(AW141,#REF!,3,0),"")</f>
        <v/>
      </c>
      <c r="BA141" s="31" t="str">
        <f>IFERROR(VLOOKUP(AX141,#REF!,3,0),"")</f>
        <v/>
      </c>
      <c r="BB141" s="31" t="str">
        <f>IFERROR(AY141*#REF!+AZ141*#REF!+BA141*#REF!,"")</f>
        <v/>
      </c>
      <c r="BC141" s="32" t="str">
        <f t="shared" si="45"/>
        <v/>
      </c>
      <c r="BD141" s="32" t="str">
        <f>IFERROR(VLOOKUP(BC141*10,#REF!,2,1),"")</f>
        <v/>
      </c>
      <c r="BE141" s="11">
        <v>2</v>
      </c>
      <c r="BF141" s="11">
        <v>-1</v>
      </c>
      <c r="BG141" s="10" t="s">
        <v>262</v>
      </c>
      <c r="BH141" s="11" t="s">
        <v>956</v>
      </c>
      <c r="BI141" s="10">
        <v>100</v>
      </c>
      <c r="BJ141" s="33" t="s">
        <v>280</v>
      </c>
      <c r="BK141" s="33" t="s">
        <v>250</v>
      </c>
      <c r="BL141" s="10">
        <f>IF([1]!s_stmnote_bank_17n(A141,$A$1,1)="0","",[1]!s_stmnote_bank_17n(A141,$A$1,1))</f>
        <v>0</v>
      </c>
      <c r="BM141" s="10">
        <f>IF([1]!s_stmnote_bank_18n(A141,$A$1,1)="0","",[1]!s_stmnote_bank_18n(A141,$A$1,1))</f>
        <v>0</v>
      </c>
      <c r="BN141" s="41" t="s">
        <v>67</v>
      </c>
      <c r="BO141" s="68" t="s">
        <v>67</v>
      </c>
      <c r="BP141" s="52">
        <f>[1]!s_stmnote_bank_5444(A141,$A$1,1)</f>
        <v>0</v>
      </c>
      <c r="BQ141" s="52">
        <f>[1]!s_stmnote_bank_129n($A141,$A$1,1)</f>
        <v>19.78</v>
      </c>
      <c r="BR141" s="52">
        <f t="shared" si="52"/>
        <v>4.0568411333891436</v>
      </c>
      <c r="BS141" s="52">
        <f>[1]!b_stm07_is(A141,19,$A$1,1,100000000)</f>
        <v>50.417881600000001</v>
      </c>
      <c r="BT141" s="52">
        <f xml:space="preserve"> [1]!s_stm07_bs(A141,"W15273164",$A$1,1,100000000)-[1]!s_stm07_bs(A141,"W17642530",$A$1,1,100000000)-[1]!s_stm07_bs(A141,"W15910877",$A$1,1,100000000)-[1]!s_stm07_bs_39(A141,$A$1,1,100000000)-[1]!s_stm07_bs(A141,"W17700468",$A$1,1,100000000)-[1]!s_stm07_bs(A141,"W16504296",$A$1,1,100000000)-[1]!s_stm07_bs(A141,"W13769069",$A$1,1,100000000)</f>
        <v>1273.2183220699999</v>
      </c>
      <c r="BU141" s="52">
        <f xml:space="preserve"> [1]!s_stm07_bs(A141,"W15273164",$B$1,1,100000000)-[1]!s_stm07_bs(A141,"W17642530",$B$1,1,100000000)-[1]!s_stm07_bs(A141,"W15910877",$B$1,1,100000000)-[1]!s_stm07_bs_39(A141,$B$1,1,100000000)-[1]!s_stm07_bs(A141,"W17700468",$B$1,1,100000000)-[1]!s_stm07_bs(A141,"W16504296",$B$1,1,100000000)-[1]!s_stm07_bs(A141,"W13769069",$B$1,1,100000000)</f>
        <v>1233.23330915</v>
      </c>
      <c r="BV141" s="52">
        <f xml:space="preserve"> [1]!s_stm07_bs(A141,"W15273164",$E$1,1,100000000)-[1]!s_stm07_bs(A141,"W17642530",$E$1,1,100000000)-[1]!s_stm07_bs(A141,"W15910877",$E$1,1,100000000)-[1]!s_stm07_bs_39(A141,$E$1,1,100000000)-[1]!s_stm07_bs(A141,"W17700468",$E$1,1,100000000)-[1]!s_stm07_bs(A141,"W16504296",$E$1,1,100000000)-[1]!s_stm07_bs(A141,"W13769069",$E$1,1,100000000)</f>
        <v>1257.49</v>
      </c>
      <c r="BW141" s="52">
        <f xml:space="preserve"> [1]!s_stm07_bs(A141,"W15273164",$F$1,1,100000000)-[1]!s_stm07_bs(A141,"W17642530",$F$1,1,100000000)-[1]!s_stm07_bs(A141,"W15910877",$F$1,1,100000000)-[1]!s_stm07_bs_39(A141,$F$1,1,100000000)-[1]!s_stm07_bs(A141,"W17700468",$F$1,1,100000000)-[1]!s_stm07_bs(A141,"W16504296",$F$1,1,100000000)-[1]!s_stm07_bs(A141,"W13769069",$F$1,1,100000000)</f>
        <v>1271.8770594650002</v>
      </c>
      <c r="BX141" s="52">
        <f xml:space="preserve"> [1]!s_stm07_bs(A141,"W15273164",$G$1,1,100000000)-[1]!s_stm07_bs(A141,"W17642530",$G$1,1,100000000)-[1]!s_stm07_bs(A141,"W15910877",$G$1,1,100000000)-[1]!s_stm07_bs_39(A141,$G$1,1,100000000)-[1]!s_stm07_bs(A141,"W17700468",$G$1,1,100000000)-[1]!s_stm07_bs(A141,"W16504296",$G$1,1,100000000)-[1]!s_stm07_bs(A141,"W13769069",$G$1,1,100000000)</f>
        <v>0</v>
      </c>
      <c r="BY141" s="52">
        <f>IFERROR([1]!b_stm07_is(A141,20,$A$1,1,100000000)/AVERAGEIF(CA141:CE141,"&gt;0")*100,0)</f>
        <v>2.6190335779222331</v>
      </c>
      <c r="BZ141" s="52">
        <f>[1]!b_stm07_is(A141,20,$A$1,1,100000000)</f>
        <v>29.104202019999999</v>
      </c>
      <c r="CA141" s="52">
        <f>[1]!s_stmnote_bank_38(A141,$A$1,1,100000000)</f>
        <v>1122.23317997</v>
      </c>
      <c r="CB141" s="52">
        <f>[1]!s_stmnote_bank_38(A141,$B$1,1,100000000)</f>
        <v>1094.6067632700001</v>
      </c>
      <c r="CC141" s="52">
        <f>[1]!s_stmnote_bank_38(A141,$E$1,1,100000000)</f>
        <v>0</v>
      </c>
      <c r="CD141" s="52">
        <f>[1]!s_stmnote_bank_38(A141,$F$1,1,100000000)</f>
        <v>1116.9319791982</v>
      </c>
      <c r="CE141" s="52">
        <f>[1]!s_stmnote_bank_38(A141,$G$1,1,100000000)</f>
        <v>0</v>
      </c>
      <c r="CF141" s="52">
        <f>IF(BP141&lt;&gt;0,BP141,IFERROR(IF(([1]!b_stm07_is(A141,19,$A$1,1,100000000)-[1]!b_stm07_is(A141,20,$A$1,1,100000000))/AVERAGE([1]!s_stmnote_bank_35(A141,$A$1,1,100000000),[1]!s_stmnote_bank_35(A141,$B$1,1,100000000))*100=0,"",([1]!b_stm07_is(A141,19,$A$1,1,100000000)-[1]!b_stm07_is(A141,20,$A$1,1,100000000))/AVERAGE([1]!s_stmnote_bank_35(A141,$A$1,1,100000000),[1]!s_stmnote_bank_35(A141,$B$1,1,100000000))*100),""))</f>
        <v>1.7066514764524736</v>
      </c>
      <c r="CG141" s="27" t="str">
        <f t="shared" si="46"/>
        <v>139 171</v>
      </c>
      <c r="CH141" s="80">
        <f t="shared" si="53"/>
        <v>0.58068209236883606</v>
      </c>
      <c r="CI141" s="27" t="str">
        <f t="shared" si="47"/>
        <v>101 169</v>
      </c>
      <c r="CJ141" s="55">
        <f>[1]!s_stmnote_bank_30(A141,$A$1,1)</f>
        <v>-9.3064</v>
      </c>
      <c r="CP141" s="69">
        <f>[1]!b_stm07_bs($A141,141,$A$1,1,100000000)</f>
        <v>148.87948254</v>
      </c>
      <c r="CQ141" s="69">
        <f>[1]!b_stm07_bs($A141,141,$D$1,1,100000000)</f>
        <v>0</v>
      </c>
      <c r="CR141" s="68">
        <f>IF([1]!s_fa_roic_yearly($A141,$A$1)=0,"",[1]!s_fa_roic_yearly($A141,$A$1))</f>
        <v>6.7468000000000004</v>
      </c>
      <c r="CS141" s="27">
        <f t="shared" si="48"/>
        <v>0.68047337278106512</v>
      </c>
      <c r="CT141" s="68" t="str">
        <f>IF([1]!s_fa_roic_yearly($A141,$D$1)=0,"",[1]!s_fa_roic_yearly($A141,$D$1))</f>
        <v/>
      </c>
      <c r="CU141" s="27" t="e">
        <f t="shared" si="49"/>
        <v>#VALUE!</v>
      </c>
      <c r="CV141" s="78">
        <f>[1]!s_stm07_bs(A141,"W14578191",$A$1,1,100000000)</f>
        <v>627.11718498000005</v>
      </c>
      <c r="CW141" s="78">
        <f>[1]!s_stmnote_bank_682($A141,$A$1,1,2,100000000)</f>
        <v>215.91707661000001</v>
      </c>
      <c r="CX141" s="79">
        <f t="shared" si="50"/>
        <v>0.34430100431211436</v>
      </c>
    </row>
    <row r="142" spans="1:102" s="46" customFormat="1" ht="13.5">
      <c r="A142" s="8" t="s">
        <v>936</v>
      </c>
      <c r="B142" s="8" t="s">
        <v>937</v>
      </c>
      <c r="C142" s="9" t="s">
        <v>938</v>
      </c>
      <c r="D142" s="9" t="s">
        <v>1066</v>
      </c>
      <c r="E142" s="10"/>
      <c r="F142" s="11" t="s">
        <v>178</v>
      </c>
      <c r="G142" s="11" t="s">
        <v>67</v>
      </c>
      <c r="H142" s="11" t="s">
        <v>116</v>
      </c>
      <c r="I142" s="11"/>
      <c r="J142" s="11" t="e">
        <f>VLOOKUP(B142,[3]额度信息!$B:$T,19,0)</f>
        <v>#N/A</v>
      </c>
      <c r="K142" s="11"/>
      <c r="L142" s="27">
        <f>IFERROR(([1]!b_stm07_bs($A142,47,$A$1,1,100000000))/[1]!b_stm07_bs($A142,109,$A$1,1,100000000),"")</f>
        <v>0.11061711561262839</v>
      </c>
      <c r="M142" s="20"/>
      <c r="N142" s="18"/>
      <c r="O142" s="27" t="e">
        <f t="shared" si="39"/>
        <v>#N/A</v>
      </c>
      <c r="P142" s="21">
        <f t="shared" si="51"/>
        <v>7.8159290551866004E-2</v>
      </c>
      <c r="Q142" s="27" t="str">
        <f t="shared" si="40"/>
        <v>158 169</v>
      </c>
      <c r="R142" s="18">
        <v>5.5759290551866E-2</v>
      </c>
      <c r="S142" s="22"/>
      <c r="T142" s="22"/>
      <c r="U142" s="22"/>
      <c r="V142" s="22"/>
      <c r="W142" s="22"/>
      <c r="X142" s="22"/>
      <c r="Y142" s="22"/>
      <c r="Z142" s="25">
        <f>[1]!b_stm07_bs(A142,74,$A$1,1,100000000)</f>
        <v>3727.5380100000002</v>
      </c>
      <c r="AA142" s="25">
        <f>[1]!b_stm07_bs(A142,109,$A$1,1,100000000)</f>
        <v>2565.35626</v>
      </c>
      <c r="AB142" s="10">
        <f>[1]!s_stmnote_bank_5n(A142,$A$1,1)</f>
        <v>2.2400000000000002</v>
      </c>
      <c r="AC142" s="25">
        <f>IF([1]!s_stmnote_bank_23n(A142,$A$1,1)=0,"",IFERROR([1]!s_stmnote_bank_23n(A142,$A$1,1),""))</f>
        <v>156.13999999999999</v>
      </c>
      <c r="AD142" s="27" t="str">
        <f t="shared" si="41"/>
        <v>28 167</v>
      </c>
      <c r="AE142" s="25">
        <f>[1]!s_stmnote_bank_capadequacyratio(A142,$A$1,1)</f>
        <v>13.68</v>
      </c>
      <c r="AF142" s="25">
        <f>IF([1]!s_stmnote_bank_capadequacyratio_ct1(A142,$A$1,1)=0,"",IFERROR([1]!s_stmnote_bank_capadequacyratio_ct1(A142,$A$1,1),""))</f>
        <v>11.06</v>
      </c>
      <c r="AG142" s="27" t="str">
        <f t="shared" si="42"/>
        <v>105 167</v>
      </c>
      <c r="AH142" s="6">
        <f>IF(OR([1]!s_fa_roe(A142,20201231)=0,[1]!s_fa_roe(A142,20211231)="0",[1]!s_fa_roe(A142,20221231)="0"),"",IFERROR(([1]!s_fa_roe(A142,20221231)+[1]!s_fa_roe(A142,20201231)+[1]!s_fa_roe(A142,20211231))/3,""))</f>
        <v>8.1465666666666667</v>
      </c>
      <c r="AI142" s="27" t="str">
        <f t="shared" si="43"/>
        <v>81 173</v>
      </c>
      <c r="AJ142" s="28">
        <f>IFERROR(([1]!s_stmnote_bank_65(A142,$A$1,1,2,4,100000000)+[1]!s_stmnote_bank_65(A142,$A$1,1,2,6,100000000))/[1]!s_stmnote_bank_1n(A142,$A$1,1,100000000),"")</f>
        <v>7.5251224747761178E-2</v>
      </c>
      <c r="AK142" s="28">
        <f>IFERROR([1]!s_stmnote_bank_614(A142,$A$1,1,2,100000000)/[1]!s_stmnote_bank_647(A142,$A$1,1,2,100000000),"")</f>
        <v>0.27507848364109866</v>
      </c>
      <c r="AL142" s="28">
        <f>IFERROR(([1]!b_stm07_bs(A142,104,$A$1,1,100000000)+[1]!b_stm07_bs(A142,106,$A$1,1,100000000)+[1]!b_stm07_bs(A142,76,$A$1,1,100000000)+[1]!b_stm07_bs(A142,108,$A$1,1,100000000)+[1]!b_stm07_bs(A142,95,$A$1,1,100000000))/[1]!b_stm07_bs(A142,128,$A$1,1,100000000),"")</f>
        <v>0.18344937501531197</v>
      </c>
      <c r="AM142" s="28">
        <f>IFERROR(([1]!s_stmnote_bank_614(A142,$A$1,1,2,100000000)+[1]!b_stm07_bs(A142,104,$A$1,1,100000000)+[1]!b_stm07_bs(A142,106,$A$1,1,100000000)+[1]!b_stm07_bs(A142,76,$A$1,1,100000000)+[1]!b_stm07_bs(A142,108,$A$1,1,100000000)+[1]!b_stm07_bs(A142,95,$A$1,1,100000000))/[1]!b_stm07_bs(A142,128,$A$1,1,100000000),"")</f>
        <v>0.38941057735347023</v>
      </c>
      <c r="AN142" s="31" t="e">
        <f>IF(Z142&gt;#REF!,#REF!,IF(Z142&gt;#REF!,#REF!,IF(Z142&gt;#REF!,#REF!,IF(Z142&gt;#REF!,#REF!,IF(Z142&gt;#REF!,#REF!,IF(Z142&gt;#REF!,#REF!,IF(Z142&gt;#REF!,#REF!,#REF!)))))))</f>
        <v>#REF!</v>
      </c>
      <c r="AO142" s="31" t="e">
        <f>IF(AA142&gt;#REF!,#REF!,IF(AA142&gt;#REF!,#REF!,IF(AA142&gt;#REF!,#REF!,IF(AA142&gt;#REF!,#REF!,IF(AA142&gt;#REF!,#REF!,IF(AA142&gt;#REF!,#REF!,IF(AA142&gt;#REF!,#REF!,#REF!)))))))</f>
        <v>#REF!</v>
      </c>
      <c r="AP142" s="31" t="e">
        <f>IF(AB142&lt;#REF!,#REF!,IF(AB142&lt;#REF!,#REF!,IF(AB142&lt;#REF!,#REF!,IF(AB142&lt;#REF!,#REF!,IF(AB142&lt;#REF!,#REF!,IF(AB142&lt;#REF!,#REF!,#REF!))))))</f>
        <v>#REF!</v>
      </c>
      <c r="AQ142" s="31" t="e">
        <f>IF(AC142&gt;#REF!,#REF!,IF(AC142&gt;#REF!,#REF!,IF(AC142&gt;#REF!,#REF!,IF(AC142&gt;#REF!,#REF!,#REF!))))</f>
        <v>#REF!</v>
      </c>
      <c r="AR142" s="31" t="e">
        <f>IF(AE142&gt;#REF!,#REF!,IF(AE142&gt;#REF!,#REF!,IF(AE142&gt;#REF!,#REF!,IF(AE142&gt;#REF!,#REF!,#REF!))))</f>
        <v>#REF!</v>
      </c>
      <c r="AS142" s="31" t="e">
        <f>IF(AF142&gt;#REF!,#REF!,IF(AF142&gt;#REF!,#REF!,IF(AF142&gt;#REF!,#REF!,IF(AF142&gt;#REF!,#REF!,#REF!))))</f>
        <v>#REF!</v>
      </c>
      <c r="AT142" s="31" t="e">
        <f>IF(AH142&gt;#REF!,#REF!,IF(AH142&gt;#REF!,#REF!,IF(AH142&gt;#REF!,#REF!,IF(AH142&gt;#REF!,#REF!,IF(AH142&gt;#REF!,#REF!,#REF!)))))</f>
        <v>#REF!</v>
      </c>
      <c r="AU142" s="10" t="e">
        <f t="shared" si="44"/>
        <v>#REF!</v>
      </c>
      <c r="AV142" s="10" t="s">
        <v>141</v>
      </c>
      <c r="AW142" s="10" t="s">
        <v>227</v>
      </c>
      <c r="AX142" s="10" t="s">
        <v>359</v>
      </c>
      <c r="AY142" s="31" t="str">
        <f>IFERROR(VLOOKUP(AV142,#REF!,3,0),"")</f>
        <v/>
      </c>
      <c r="AZ142" s="31" t="str">
        <f>IFERROR(VLOOKUP(AW142,#REF!,3,0),"")</f>
        <v/>
      </c>
      <c r="BA142" s="31" t="str">
        <f>IFERROR(VLOOKUP(AX142,#REF!,3,0),"")</f>
        <v/>
      </c>
      <c r="BB142" s="31" t="str">
        <f>IFERROR(AY142*#REF!+AZ142*#REF!+BA142*#REF!,"")</f>
        <v/>
      </c>
      <c r="BC142" s="32" t="str">
        <f t="shared" si="45"/>
        <v/>
      </c>
      <c r="BD142" s="32" t="str">
        <f>IFERROR(VLOOKUP(BC142*10,#REF!,2,1),"")</f>
        <v/>
      </c>
      <c r="BE142" s="10"/>
      <c r="BF142" s="10"/>
      <c r="BG142" s="10"/>
      <c r="BH142" s="11" t="s">
        <v>939</v>
      </c>
      <c r="BI142" s="10">
        <v>10</v>
      </c>
      <c r="BJ142" s="33" t="s">
        <v>240</v>
      </c>
      <c r="BK142" s="33" t="s">
        <v>241</v>
      </c>
      <c r="BL142" s="10">
        <f>IF([1]!s_stmnote_bank_17n(A142,$A$1,1)="0","",[1]!s_stmnote_bank_17n(A142,$A$1,1))</f>
        <v>0</v>
      </c>
      <c r="BM142" s="10">
        <f>IF([1]!s_stmnote_bank_18n(A142,$A$1,1)="0","",[1]!s_stmnote_bank_18n(A142,$A$1,1))</f>
        <v>0</v>
      </c>
      <c r="BN142" s="41" t="s">
        <v>67</v>
      </c>
      <c r="BO142" s="68" t="s">
        <v>67</v>
      </c>
      <c r="BP142" s="52">
        <f>[1]!s_stmnote_bank_5444(A142,$A$1,1)</f>
        <v>0</v>
      </c>
      <c r="BQ142" s="52">
        <f>[1]!s_stmnote_bank_129n($A142,$A$1,1)</f>
        <v>32.75</v>
      </c>
      <c r="BR142" s="52">
        <f t="shared" si="52"/>
        <v>4.1196686041024346</v>
      </c>
      <c r="BS142" s="52">
        <f>[1]!b_stm07_is(A142,19,$A$1,1,100000000)</f>
        <v>142.31908999999999</v>
      </c>
      <c r="BT142" s="52">
        <f xml:space="preserve"> [1]!s_stm07_bs(A142,"W15273164",$A$1,1,100000000)-[1]!s_stm07_bs(A142,"W17642530",$A$1,1,100000000)-[1]!s_stm07_bs(A142,"W15910877",$A$1,1,100000000)-[1]!s_stm07_bs_39(A142,$A$1,1,100000000)-[1]!s_stm07_bs(A142,"W17700468",$A$1,1,100000000)-[1]!s_stm07_bs(A142,"W16504296",$A$1,1,100000000)-[1]!s_stm07_bs(A142,"W13769069",$A$1,1,100000000)</f>
        <v>3643.9307400000002</v>
      </c>
      <c r="BU142" s="52">
        <f xml:space="preserve"> [1]!s_stm07_bs(A142,"W15273164",$B$1,1,100000000)-[1]!s_stm07_bs(A142,"W17642530",$B$1,1,100000000)-[1]!s_stm07_bs(A142,"W15910877",$B$1,1,100000000)-[1]!s_stm07_bs_39(A142,$B$1,1,100000000)-[1]!s_stm07_bs(A142,"W17700468",$B$1,1,100000000)-[1]!s_stm07_bs(A142,"W16504296",$B$1,1,100000000)-[1]!s_stm07_bs(A142,"W13769069",$B$1,1,100000000)</f>
        <v>3415.9144899999997</v>
      </c>
      <c r="BV142" s="52">
        <f xml:space="preserve"> [1]!s_stm07_bs(A142,"W15273164",$E$1,1,100000000)-[1]!s_stm07_bs(A142,"W17642530",$E$1,1,100000000)-[1]!s_stm07_bs(A142,"W15910877",$E$1,1,100000000)-[1]!s_stm07_bs_39(A142,$E$1,1,100000000)-[1]!s_stm07_bs(A142,"W17700468",$E$1,1,100000000)-[1]!s_stm07_bs(A142,"W16504296",$E$1,1,100000000)-[1]!s_stm07_bs(A142,"W13769069",$E$1,1,100000000)</f>
        <v>3518.5456600000002</v>
      </c>
      <c r="BW142" s="52">
        <f xml:space="preserve"> [1]!s_stm07_bs(A142,"W15273164",$F$1,1,100000000)-[1]!s_stm07_bs(A142,"W17642530",$F$1,1,100000000)-[1]!s_stm07_bs(A142,"W15910877",$F$1,1,100000000)-[1]!s_stm07_bs_39(A142,$F$1,1,100000000)-[1]!s_stm07_bs(A142,"W17700468",$F$1,1,100000000)-[1]!s_stm07_bs(A142,"W16504296",$F$1,1,100000000)-[1]!s_stm07_bs(A142,"W13769069",$F$1,1,100000000)</f>
        <v>3474.9840000000004</v>
      </c>
      <c r="BX142" s="52">
        <f xml:space="preserve"> [1]!s_stm07_bs(A142,"W15273164",$G$1,1,100000000)-[1]!s_stm07_bs(A142,"W17642530",$G$1,1,100000000)-[1]!s_stm07_bs(A142,"W15910877",$G$1,1,100000000)-[1]!s_stm07_bs_39(A142,$G$1,1,100000000)-[1]!s_stm07_bs(A142,"W17700468",$G$1,1,100000000)-[1]!s_stm07_bs(A142,"W16504296",$G$1,1,100000000)-[1]!s_stm07_bs(A142,"W13769069",$G$1,1,100000000)</f>
        <v>3513.3164099999995</v>
      </c>
      <c r="BY142" s="52">
        <f>IFERROR([1]!b_stm07_is(A142,20,$A$1,1,100000000)/AVERAGEIF(CA142:CE142,"&gt;0")*100,0)</f>
        <v>2.4297416788197075</v>
      </c>
      <c r="BZ142" s="52">
        <f>[1]!b_stm07_is(A142,20,$A$1,1,100000000)</f>
        <v>79.205619999999996</v>
      </c>
      <c r="CA142" s="52">
        <f>[1]!s_stmnote_bank_38(A142,$A$1,1,100000000)</f>
        <v>3397.51064</v>
      </c>
      <c r="CB142" s="52">
        <f>[1]!s_stmnote_bank_38(A142,$B$1,1,100000000)</f>
        <v>3114.19065</v>
      </c>
      <c r="CC142" s="52">
        <f>[1]!s_stmnote_bank_38(A142,$E$1,1,100000000)</f>
        <v>3272.5896400000001</v>
      </c>
      <c r="CD142" s="52">
        <f>[1]!s_stmnote_bank_38(A142,$F$1,1,100000000)</f>
        <v>3233.3071199999999</v>
      </c>
      <c r="CE142" s="52">
        <f>[1]!s_stmnote_bank_38(A142,$G$1,1,100000000)</f>
        <v>3281.5873099999999</v>
      </c>
      <c r="CF142" s="52">
        <f>IF(BP142&lt;&gt;0,BP142,IFERROR(IF(([1]!b_stm07_is(A142,19,$A$1,1,100000000)-[1]!b_stm07_is(A142,20,$A$1,1,100000000))/AVERAGE([1]!s_stmnote_bank_35(A142,$A$1,1,100000000),[1]!s_stmnote_bank_35(A142,$B$1,1,100000000))*100=0,"",([1]!b_stm07_is(A142,19,$A$1,1,100000000)-[1]!b_stm07_is(A142,20,$A$1,1,100000000))/AVERAGE([1]!s_stmnote_bank_35(A142,$A$1,1,100000000),[1]!s_stmnote_bank_35(A142,$B$1,1,100000000))*100),""))</f>
        <v>1.9408821115422328</v>
      </c>
      <c r="CG142" s="27" t="str">
        <f t="shared" si="46"/>
        <v>103 171</v>
      </c>
      <c r="CH142" s="80">
        <f t="shared" si="53"/>
        <v>0.24832391617657734</v>
      </c>
      <c r="CI142" s="27" t="str">
        <f t="shared" si="47"/>
        <v>151 169</v>
      </c>
      <c r="CJ142" s="55">
        <f>[1]!s_stmnote_bank_30(A142,$A$1,1)</f>
        <v>23.489799999999999</v>
      </c>
      <c r="CP142" s="69">
        <f>[1]!b_stm07_bs($A142,141,$A$1,1,100000000)</f>
        <v>301.28926999999999</v>
      </c>
      <c r="CQ142" s="69">
        <f>[1]!b_stm07_bs($A142,141,$D$1,1,100000000)</f>
        <v>314.26141000000001</v>
      </c>
      <c r="CR142" s="68">
        <f>IF([1]!s_fa_roic_yearly($A142,$A$1)=0,"",[1]!s_fa_roic_yearly($A142,$A$1))</f>
        <v>8.4620999999999995</v>
      </c>
      <c r="CS142" s="27">
        <f t="shared" si="48"/>
        <v>0.54437869822485208</v>
      </c>
      <c r="CT142" s="68">
        <f>IF([1]!s_fa_roic_yearly($A142,$D$1)=0,"",[1]!s_fa_roic_yearly($A142,$D$1))</f>
        <v>8.6845999999999997</v>
      </c>
      <c r="CU142" s="27">
        <f t="shared" si="49"/>
        <v>0.647887323943662</v>
      </c>
      <c r="CV142" s="78">
        <f>[1]!s_stm07_bs(A142,"W14578191",$A$1,1,100000000)</f>
        <v>1851.1657600000001</v>
      </c>
      <c r="CW142" s="78">
        <f>[1]!s_stmnote_bank_682($A142,$A$1,1,2,100000000)</f>
        <v>753.64833999999996</v>
      </c>
      <c r="CX142" s="79">
        <f t="shared" si="50"/>
        <v>0.40712093767335017</v>
      </c>
    </row>
    <row r="143" spans="1:102" s="46" customFormat="1" ht="13.5">
      <c r="A143" s="8" t="s">
        <v>282</v>
      </c>
      <c r="B143" s="8" t="s">
        <v>283</v>
      </c>
      <c r="C143" s="9" t="s">
        <v>284</v>
      </c>
      <c r="D143" s="9" t="s">
        <v>1061</v>
      </c>
      <c r="E143" s="10"/>
      <c r="F143" s="11" t="s">
        <v>66</v>
      </c>
      <c r="G143" s="11" t="s">
        <v>67</v>
      </c>
      <c r="H143" s="11" t="s">
        <v>116</v>
      </c>
      <c r="I143" s="11"/>
      <c r="J143" s="11" t="e">
        <f>VLOOKUP(B143,[3]额度信息!$B:$T,19,0)</f>
        <v>#N/A</v>
      </c>
      <c r="K143" s="11"/>
      <c r="L143" s="27">
        <f>IFERROR(([1]!b_stm07_bs($A143,47,$A$1,1,100000000))/[1]!b_stm07_bs($A143,109,$A$1,1,100000000),"")</f>
        <v>8.6737480871228567E-2</v>
      </c>
      <c r="M143" s="20"/>
      <c r="N143" s="18"/>
      <c r="O143" s="27" t="e">
        <f t="shared" si="39"/>
        <v>#N/A</v>
      </c>
      <c r="P143" s="21">
        <f t="shared" si="51"/>
        <v>6.1764398680021246E-2</v>
      </c>
      <c r="Q143" s="27" t="str">
        <f t="shared" si="40"/>
        <v>144 169</v>
      </c>
      <c r="R143" s="18">
        <f>IFERROR([1]!s_stmnote_bank($A143,"34",$A$1,100000000)/[1]!s_stmnote_bank_1n(A143,$A$1,1,100000000),"")</f>
        <v>3.6164398680021248E-2</v>
      </c>
      <c r="S143" s="22"/>
      <c r="T143" s="22"/>
      <c r="U143" s="22"/>
      <c r="V143" s="22"/>
      <c r="W143" s="22"/>
      <c r="X143" s="22"/>
      <c r="Y143" s="22"/>
      <c r="Z143" s="25">
        <f>[1]!b_stm07_bs(A143,74,$A$1,1,100000000)</f>
        <v>2931.1111099999998</v>
      </c>
      <c r="AA143" s="25">
        <f>[1]!b_stm07_bs(A143,109,$A$1,1,100000000)</f>
        <v>2308.7015900000001</v>
      </c>
      <c r="AB143" s="10">
        <f>[1]!s_stmnote_bank_5n(A143,$A$1,1)</f>
        <v>2.56</v>
      </c>
      <c r="AC143" s="25">
        <f>IF([1]!s_stmnote_bank_23n(A143,$A$1,1)=0,"",IFERROR([1]!s_stmnote_bank_23n(A143,$A$1,1),""))</f>
        <v>142.84</v>
      </c>
      <c r="AD143" s="27" t="str">
        <f t="shared" si="41"/>
        <v>12 167</v>
      </c>
      <c r="AE143" s="25">
        <f>[1]!s_stmnote_bank_capadequacyratio(A143,$A$1,1)</f>
        <v>12.61</v>
      </c>
      <c r="AF143" s="25">
        <f>IF([1]!s_stmnote_bank_capadequacyratio_ct1(A143,$A$1,1)=0,"",IFERROR([1]!s_stmnote_bank_capadequacyratio_ct1(A143,$A$1,1),""))</f>
        <v>8.59</v>
      </c>
      <c r="AG143" s="27" t="str">
        <f t="shared" si="42"/>
        <v>26 167</v>
      </c>
      <c r="AH143" s="6">
        <f>IF(OR([1]!s_fa_roe(A143,20201231)=0,[1]!s_fa_roe(A143,20211231)="0",[1]!s_fa_roe(A143,20221231)="0"),"",IFERROR(([1]!s_fa_roe(A143,20221231)+[1]!s_fa_roe(A143,20201231)+[1]!s_fa_roe(A143,20211231))/3,""))</f>
        <v>5.3289333333333326</v>
      </c>
      <c r="AI143" s="27" t="str">
        <f t="shared" si="43"/>
        <v>46 173</v>
      </c>
      <c r="AJ143" s="28">
        <f>IFERROR(([1]!s_stmnote_bank_65(A143,$A$1,1,2,4,100000000)+[1]!s_stmnote_bank_65(A143,$A$1,1,2,6,100000000))/[1]!s_stmnote_bank_1n(A143,$A$1,1,100000000),"")</f>
        <v>0.21786391741347333</v>
      </c>
      <c r="AK143" s="28">
        <f>IFERROR([1]!s_stmnote_bank_614(A143,$A$1,1,2,100000000)/[1]!s_stmnote_bank_647(A143,$A$1,1,2,100000000),"")</f>
        <v>0.13670253503831997</v>
      </c>
      <c r="AL143" s="28">
        <f>IFERROR(([1]!b_stm07_bs(A143,104,$A$1,1,100000000)+[1]!b_stm07_bs(A143,106,$A$1,1,100000000)+[1]!b_stm07_bs(A143,76,$A$1,1,100000000)+[1]!b_stm07_bs(A143,108,$A$1,1,100000000)+[1]!b_stm07_bs(A143,95,$A$1,1,100000000))/[1]!b_stm07_bs(A143,128,$A$1,1,100000000),"")</f>
        <v>0.13004369345986985</v>
      </c>
      <c r="AM143" s="28">
        <f>IFERROR(([1]!s_stmnote_bank_614(A143,$A$1,1,2,100000000)+[1]!b_stm07_bs(A143,104,$A$1,1,100000000)+[1]!b_stm07_bs(A143,106,$A$1,1,100000000)+[1]!b_stm07_bs(A143,76,$A$1,1,100000000)+[1]!b_stm07_bs(A143,108,$A$1,1,100000000)+[1]!b_stm07_bs(A143,95,$A$1,1,100000000))/[1]!b_stm07_bs(A143,128,$A$1,1,100000000),"")</f>
        <v>0.24628929423160961</v>
      </c>
      <c r="AN143" s="31" t="e">
        <f>IF(Z143&gt;#REF!,#REF!,IF(Z143&gt;#REF!,#REF!,IF(Z143&gt;#REF!,#REF!,IF(Z143&gt;#REF!,#REF!,IF(Z143&gt;#REF!,#REF!,IF(Z143&gt;#REF!,#REF!,IF(Z143&gt;#REF!,#REF!,#REF!)))))))</f>
        <v>#REF!</v>
      </c>
      <c r="AO143" s="31" t="e">
        <f>IF(AA143&gt;#REF!,#REF!,IF(AA143&gt;#REF!,#REF!,IF(AA143&gt;#REF!,#REF!,IF(AA143&gt;#REF!,#REF!,IF(AA143&gt;#REF!,#REF!,IF(AA143&gt;#REF!,#REF!,IF(AA143&gt;#REF!,#REF!,#REF!)))))))</f>
        <v>#REF!</v>
      </c>
      <c r="AP143" s="31" t="e">
        <f>IF(AB143&lt;#REF!,#REF!,IF(AB143&lt;#REF!,#REF!,IF(AB143&lt;#REF!,#REF!,IF(AB143&lt;#REF!,#REF!,IF(AB143&lt;#REF!,#REF!,IF(AB143&lt;#REF!,#REF!,#REF!))))))</f>
        <v>#REF!</v>
      </c>
      <c r="AQ143" s="31" t="e">
        <f>IF(AC143&gt;#REF!,#REF!,IF(AC143&gt;#REF!,#REF!,IF(AC143&gt;#REF!,#REF!,IF(AC143&gt;#REF!,#REF!,#REF!))))</f>
        <v>#REF!</v>
      </c>
      <c r="AR143" s="31" t="e">
        <f>IF(AE143&gt;#REF!,#REF!,IF(AE143&gt;#REF!,#REF!,IF(AE143&gt;#REF!,#REF!,IF(AE143&gt;#REF!,#REF!,#REF!))))</f>
        <v>#REF!</v>
      </c>
      <c r="AS143" s="31" t="e">
        <f>IF(AF143&gt;#REF!,#REF!,IF(AF143&gt;#REF!,#REF!,IF(AF143&gt;#REF!,#REF!,IF(AF143&gt;#REF!,#REF!,#REF!))))</f>
        <v>#REF!</v>
      </c>
      <c r="AT143" s="31" t="e">
        <f>IF(AH143&gt;#REF!,#REF!,IF(AH143&gt;#REF!,#REF!,IF(AH143&gt;#REF!,#REF!,IF(AH143&gt;#REF!,#REF!,IF(AH143&gt;#REF!,#REF!,#REF!)))))</f>
        <v>#REF!</v>
      </c>
      <c r="AU143" s="10" t="e">
        <f t="shared" si="44"/>
        <v>#REF!</v>
      </c>
      <c r="AV143" s="10"/>
      <c r="AW143" s="10"/>
      <c r="AX143" s="10"/>
      <c r="AY143" s="31" t="str">
        <f>IFERROR(VLOOKUP(AV143,#REF!,3,0),"")</f>
        <v/>
      </c>
      <c r="AZ143" s="31" t="str">
        <f>IFERROR(VLOOKUP(AW143,#REF!,3,0),"")</f>
        <v/>
      </c>
      <c r="BA143" s="31" t="str">
        <f>IFERROR(VLOOKUP(AX143,#REF!,3,0),"")</f>
        <v/>
      </c>
      <c r="BB143" s="31" t="str">
        <f>IFERROR(AY143*#REF!+AZ143*#REF!+BA143*#REF!,"")</f>
        <v/>
      </c>
      <c r="BC143" s="32" t="str">
        <f t="shared" si="45"/>
        <v/>
      </c>
      <c r="BD143" s="32" t="str">
        <f>IFERROR(VLOOKUP(BC143*10,#REF!,2,1),"")</f>
        <v/>
      </c>
      <c r="BE143" s="10"/>
      <c r="BF143" s="10"/>
      <c r="BG143" s="10"/>
      <c r="BH143" s="11" t="s">
        <v>285</v>
      </c>
      <c r="BI143" s="10">
        <v>18.670000076293899</v>
      </c>
      <c r="BJ143" s="33" t="s">
        <v>156</v>
      </c>
      <c r="BK143" s="33" t="s">
        <v>286</v>
      </c>
      <c r="BL143" s="10">
        <f>IF([1]!s_stmnote_bank_17n(A143,$A$1,1)="0","",[1]!s_stmnote_bank_17n(A143,$A$1,1))</f>
        <v>0</v>
      </c>
      <c r="BM143" s="10">
        <f>IF([1]!s_stmnote_bank_18n(A143,$A$1,1)="0","",[1]!s_stmnote_bank_18n(A143,$A$1,1))</f>
        <v>0</v>
      </c>
      <c r="BN143" s="41"/>
      <c r="BO143" s="52"/>
      <c r="BP143" s="52">
        <f>[1]!s_stmnote_bank_5444(A143,$A$1,1)</f>
        <v>1.93</v>
      </c>
      <c r="BQ143" s="52">
        <f>[1]!s_stmnote_bank_129n($A143,$A$1,1)</f>
        <v>35.619999999999997</v>
      </c>
      <c r="BR143" s="52">
        <f t="shared" si="52"/>
        <v>4.4401581904781873</v>
      </c>
      <c r="BS143" s="52">
        <f>[1]!b_stm07_is(A143,19,$A$1,1,100000000)</f>
        <v>122.96544</v>
      </c>
      <c r="BT143" s="52">
        <f xml:space="preserve"> [1]!s_stm07_bs(A143,"W15273164",$A$1,1,100000000)-[1]!s_stm07_bs(A143,"W17642530",$A$1,1,100000000)-[1]!s_stm07_bs(A143,"W15910877",$A$1,1,100000000)-[1]!s_stm07_bs_39(A143,$A$1,1,100000000)-[1]!s_stm07_bs(A143,"W17700468",$A$1,1,100000000)-[1]!s_stm07_bs(A143,"W16504296",$A$1,1,100000000)-[1]!s_stm07_bs(A143,"W13769069",$A$1,1,100000000)</f>
        <v>2873.1315200000004</v>
      </c>
      <c r="BU143" s="52">
        <f xml:space="preserve"> [1]!s_stm07_bs(A143,"W15273164",$B$1,1,100000000)-[1]!s_stm07_bs(A143,"W17642530",$B$1,1,100000000)-[1]!s_stm07_bs(A143,"W15910877",$B$1,1,100000000)-[1]!s_stm07_bs_39(A143,$B$1,1,100000000)-[1]!s_stm07_bs(A143,"W17700468",$B$1,1,100000000)-[1]!s_stm07_bs(A143,"W16504296",$B$1,1,100000000)-[1]!s_stm07_bs(A143,"W13769069",$B$1,1,100000000)</f>
        <v>2724.9795200000003</v>
      </c>
      <c r="BV143" s="52">
        <f xml:space="preserve"> [1]!s_stm07_bs(A143,"W15273164",$E$1,1,100000000)-[1]!s_stm07_bs(A143,"W17642530",$E$1,1,100000000)-[1]!s_stm07_bs(A143,"W15910877",$E$1,1,100000000)-[1]!s_stm07_bs_39(A143,$E$1,1,100000000)-[1]!s_stm07_bs(A143,"W17700468",$E$1,1,100000000)-[1]!s_stm07_bs(A143,"W16504296",$E$1,1,100000000)-[1]!s_stm07_bs(A143,"W13769069",$E$1,1,100000000)</f>
        <v>2849.3387537024996</v>
      </c>
      <c r="BW143" s="52">
        <f xml:space="preserve"> [1]!s_stm07_bs(A143,"W15273164",$F$1,1,100000000)-[1]!s_stm07_bs(A143,"W17642530",$F$1,1,100000000)-[1]!s_stm07_bs(A143,"W15910877",$F$1,1,100000000)-[1]!s_stm07_bs_39(A143,$F$1,1,100000000)-[1]!s_stm07_bs(A143,"W17700468",$F$1,1,100000000)-[1]!s_stm07_bs(A143,"W16504296",$F$1,1,100000000)-[1]!s_stm07_bs(A143,"W13769069",$F$1,1,100000000)</f>
        <v>2897.9836547111995</v>
      </c>
      <c r="BX143" s="52">
        <f xml:space="preserve"> [1]!s_stm07_bs(A143,"W15273164",$G$1,1,100000000)-[1]!s_stm07_bs(A143,"W17642530",$G$1,1,100000000)-[1]!s_stm07_bs(A143,"W15910877",$G$1,1,100000000)-[1]!s_stm07_bs_39(A143,$G$1,1,100000000)-[1]!s_stm07_bs(A143,"W17700468",$G$1,1,100000000)-[1]!s_stm07_bs(A143,"W16504296",$G$1,1,100000000)-[1]!s_stm07_bs(A143,"W13769069",$G$1,1,100000000)</f>
        <v>2846.5820689553998</v>
      </c>
      <c r="BY143" s="52">
        <f>IFERROR([1]!b_stm07_is(A143,20,$A$1,1,100000000)/AVERAGEIF(CA143:CE143,"&gt;0")*100,0)</f>
        <v>2.6045830427946481</v>
      </c>
      <c r="BZ143" s="52">
        <f>[1]!b_stm07_is(A143,20,$A$1,1,100000000)</f>
        <v>68.746200000000002</v>
      </c>
      <c r="CA143" s="52">
        <f>[1]!s_stmnote_bank_38(A143,$A$1,1,100000000)</f>
        <v>2699.1390299999998</v>
      </c>
      <c r="CB143" s="52">
        <f>[1]!s_stmnote_bank_38(A143,$B$1,1,100000000)</f>
        <v>2579.6861800000001</v>
      </c>
      <c r="CC143" s="52">
        <f>[1]!s_stmnote_bank_38(A143,$E$1,1,100000000)</f>
        <v>2626.3944257212002</v>
      </c>
      <c r="CD143" s="52">
        <f>[1]!s_stmnote_bank_38(A143,$F$1,1,100000000)</f>
        <v>2668.1743310754</v>
      </c>
      <c r="CE143" s="52">
        <f>[1]!s_stmnote_bank_38(A143,$G$1,1,100000000)</f>
        <v>2623.7663599168</v>
      </c>
      <c r="CF143" s="52">
        <f>IF(BP143&lt;&gt;0,BP143,IFERROR(IF(([1]!b_stm07_is(A143,19,$A$1,1,100000000)-[1]!b_stm07_is(A143,20,$A$1,1,100000000))/AVERAGE([1]!s_stmnote_bank_35(A143,$A$1,1,100000000),[1]!s_stmnote_bank_35(A143,$B$1,1,100000000))*100=0,"",([1]!b_stm07_is(A143,19,$A$1,1,100000000)-[1]!b_stm07_is(A143,20,$A$1,1,100000000))/AVERAGE([1]!s_stmnote_bank_35(A143,$A$1,1,100000000),[1]!s_stmnote_bank_35(A143,$B$1,1,100000000))*100),""))</f>
        <v>1.93</v>
      </c>
      <c r="CG143" s="27" t="str">
        <f t="shared" si="46"/>
        <v>106 171</v>
      </c>
      <c r="CH143" s="80">
        <f t="shared" si="53"/>
        <v>0.31247774466300948</v>
      </c>
      <c r="CI143" s="27" t="str">
        <f t="shared" si="47"/>
        <v>141 169</v>
      </c>
      <c r="CJ143" s="55">
        <f>[1]!s_stmnote_bank_30(A143,$A$1,1)</f>
        <v>14.865500000000001</v>
      </c>
      <c r="CP143" s="69">
        <f>[1]!b_stm07_bs($A143,141,$A$1,1,100000000)</f>
        <v>216.12354999999999</v>
      </c>
      <c r="CQ143" s="69">
        <f>[1]!b_stm07_bs($A143,141,$D$1,1,100000000)</f>
        <v>250.78488607380001</v>
      </c>
      <c r="CR143" s="68">
        <f>IF([1]!s_fa_roic_yearly($A143,$A$1)=0,"",[1]!s_fa_roic_yearly($A143,$A$1))</f>
        <v>5.7282999999999999</v>
      </c>
      <c r="CS143" s="27">
        <f t="shared" si="48"/>
        <v>0.76331360946745563</v>
      </c>
      <c r="CT143" s="68">
        <f>IF([1]!s_fa_roic_yearly($A143,$D$1)=0,"",[1]!s_fa_roic_yearly($A143,$D$1))</f>
        <v>5.859</v>
      </c>
      <c r="CU143" s="27">
        <f t="shared" si="49"/>
        <v>0.85915492957746475</v>
      </c>
      <c r="CV143" s="78">
        <f>[1]!s_stm07_bs(A143,"W14578191",$A$1,1,100000000)</f>
        <v>1520.79666</v>
      </c>
      <c r="CW143" s="78">
        <f>[1]!s_stmnote_bank_682($A143,$A$1,1,2,100000000)</f>
        <v>304.63333999999998</v>
      </c>
      <c r="CX143" s="79">
        <f t="shared" si="50"/>
        <v>0.20031168400909033</v>
      </c>
    </row>
    <row r="144" spans="1:102" s="46" customFormat="1" ht="13.5">
      <c r="A144" s="8" t="s">
        <v>640</v>
      </c>
      <c r="B144" s="8" t="s">
        <v>641</v>
      </c>
      <c r="C144" s="9" t="s">
        <v>642</v>
      </c>
      <c r="D144" s="9" t="s">
        <v>1061</v>
      </c>
      <c r="E144" s="10"/>
      <c r="F144" s="11" t="s">
        <v>66</v>
      </c>
      <c r="G144" s="11" t="s">
        <v>67</v>
      </c>
      <c r="H144" s="11" t="s">
        <v>103</v>
      </c>
      <c r="I144" s="11"/>
      <c r="J144" s="11" t="e">
        <f>VLOOKUP(B144,[3]额度信息!$B:$T,19,0)</f>
        <v>#N/A</v>
      </c>
      <c r="K144" s="11"/>
      <c r="L144" s="27">
        <f>IFERROR(([1]!b_stm07_bs($A144,47,$A$1,1,100000000))/[1]!b_stm07_bs($A144,109,$A$1,1,100000000),"")</f>
        <v>9.5817443062530969E-2</v>
      </c>
      <c r="M144" s="20"/>
      <c r="N144" s="18"/>
      <c r="O144" s="27" t="e">
        <f t="shared" si="39"/>
        <v>#N/A</v>
      </c>
      <c r="P144" s="21">
        <f t="shared" si="51"/>
        <v>5.7305492576476796E-2</v>
      </c>
      <c r="Q144" s="27" t="str">
        <f t="shared" si="40"/>
        <v>136 169</v>
      </c>
      <c r="R144" s="18">
        <v>2.4505492576476801E-2</v>
      </c>
      <c r="S144" s="22"/>
      <c r="T144" s="22"/>
      <c r="U144" s="22"/>
      <c r="V144" s="22"/>
      <c r="W144" s="22"/>
      <c r="X144" s="22"/>
      <c r="Y144" s="22"/>
      <c r="Z144" s="25">
        <f>[1]!b_stm07_bs(A144,74,$A$1,1,100000000)</f>
        <v>10061.26253</v>
      </c>
      <c r="AA144" s="25">
        <f>[1]!b_stm07_bs(A144,109,$A$1,1,100000000)</f>
        <v>7548.80674</v>
      </c>
      <c r="AB144" s="10">
        <f>[1]!s_stmnote_bank_5n(A144,$A$1,1)</f>
        <v>3.28</v>
      </c>
      <c r="AC144" s="25">
        <f>IF([1]!s_stmnote_bank_23n(A144,$A$1,1)=0,"",IFERROR([1]!s_stmnote_bank_23n(A144,$A$1,1),""))</f>
        <v>130.87</v>
      </c>
      <c r="AD144" s="27" t="str">
        <f t="shared" si="41"/>
        <v>4 167</v>
      </c>
      <c r="AE144" s="25">
        <f>[1]!s_stmnote_bank_capadequacyratio(A144,$A$1,1)</f>
        <v>12.12</v>
      </c>
      <c r="AF144" s="25">
        <f>IF([1]!s_stmnote_bank_capadequacyratio_ct1(A144,$A$1,1)=0,"",IFERROR([1]!s_stmnote_bank_capadequacyratio_ct1(A144,$A$1,1),""))</f>
        <v>10.54</v>
      </c>
      <c r="AG144" s="27" t="str">
        <f t="shared" si="42"/>
        <v>96 167</v>
      </c>
      <c r="AH144" s="6">
        <f>IF(OR([1]!s_fa_roe(A144,20201231)=0,[1]!s_fa_roe(A144,20211231)="0",[1]!s_fa_roe(A144,20221231)="0"),"",IFERROR(([1]!s_fa_roe(A144,20221231)+[1]!s_fa_roe(A144,20201231)+[1]!s_fa_roe(A144,20211231))/3,""))</f>
        <v>1.0827333333333333</v>
      </c>
      <c r="AI144" s="27" t="str">
        <f t="shared" si="43"/>
        <v>9 173</v>
      </c>
      <c r="AJ144" s="28">
        <f>IFERROR(([1]!s_stmnote_bank_65(A144,$A$1,1,2,4,100000000)+[1]!s_stmnote_bank_65(A144,$A$1,1,2,6,100000000))/[1]!s_stmnote_bank_1n(A144,$A$1,1,100000000),"")</f>
        <v>0.16822096170242851</v>
      </c>
      <c r="AK144" s="28">
        <f>IFERROR([1]!s_stmnote_bank_614(A144,$A$1,1,2,100000000)/[1]!s_stmnote_bank_647(A144,$A$1,1,2,100000000),"")</f>
        <v>0.18479929716679963</v>
      </c>
      <c r="AL144" s="28">
        <f>IFERROR(([1]!b_stm07_bs(A144,104,$A$1,1,100000000)+[1]!b_stm07_bs(A144,106,$A$1,1,100000000)+[1]!b_stm07_bs(A144,76,$A$1,1,100000000)+[1]!b_stm07_bs(A144,108,$A$1,1,100000000)+[1]!b_stm07_bs(A144,95,$A$1,1,100000000))/[1]!b_stm07_bs(A144,128,$A$1,1,100000000),"")</f>
        <v>0.17796366714670644</v>
      </c>
      <c r="AM144" s="28">
        <f>IFERROR(([1]!s_stmnote_bank_614(A144,$A$1,1,2,100000000)+[1]!b_stm07_bs(A144,104,$A$1,1,100000000)+[1]!b_stm07_bs(A144,106,$A$1,1,100000000)+[1]!b_stm07_bs(A144,76,$A$1,1,100000000)+[1]!b_stm07_bs(A144,108,$A$1,1,100000000)+[1]!b_stm07_bs(A144,95,$A$1,1,100000000))/[1]!b_stm07_bs(A144,128,$A$1,1,100000000),"")</f>
        <v>0.32867445434433906</v>
      </c>
      <c r="AN144" s="31" t="e">
        <f>IF(Z144&gt;#REF!,#REF!,IF(Z144&gt;#REF!,#REF!,IF(Z144&gt;#REF!,#REF!,IF(Z144&gt;#REF!,#REF!,IF(Z144&gt;#REF!,#REF!,IF(Z144&gt;#REF!,#REF!,IF(Z144&gt;#REF!,#REF!,#REF!)))))))</f>
        <v>#REF!</v>
      </c>
      <c r="AO144" s="31" t="e">
        <f>IF(AA144&gt;#REF!,#REF!,IF(AA144&gt;#REF!,#REF!,IF(AA144&gt;#REF!,#REF!,IF(AA144&gt;#REF!,#REF!,IF(AA144&gt;#REF!,#REF!,IF(AA144&gt;#REF!,#REF!,IF(AA144&gt;#REF!,#REF!,#REF!)))))))</f>
        <v>#REF!</v>
      </c>
      <c r="AP144" s="31" t="e">
        <f>IF(AB144&lt;#REF!,#REF!,IF(AB144&lt;#REF!,#REF!,IF(AB144&lt;#REF!,#REF!,IF(AB144&lt;#REF!,#REF!,IF(AB144&lt;#REF!,#REF!,IF(AB144&lt;#REF!,#REF!,#REF!))))))</f>
        <v>#REF!</v>
      </c>
      <c r="AQ144" s="31" t="e">
        <f>IF(AC144&gt;#REF!,#REF!,IF(AC144&gt;#REF!,#REF!,IF(AC144&gt;#REF!,#REF!,IF(AC144&gt;#REF!,#REF!,#REF!))))</f>
        <v>#REF!</v>
      </c>
      <c r="AR144" s="31" t="e">
        <f>IF(AE144&gt;#REF!,#REF!,IF(AE144&gt;#REF!,#REF!,IF(AE144&gt;#REF!,#REF!,IF(AE144&gt;#REF!,#REF!,#REF!))))</f>
        <v>#REF!</v>
      </c>
      <c r="AS144" s="31" t="e">
        <f>IF(AF144&gt;#REF!,#REF!,IF(AF144&gt;#REF!,#REF!,IF(AF144&gt;#REF!,#REF!,IF(AF144&gt;#REF!,#REF!,#REF!))))</f>
        <v>#REF!</v>
      </c>
      <c r="AT144" s="31" t="e">
        <f>IF(AH144&gt;#REF!,#REF!,IF(AH144&gt;#REF!,#REF!,IF(AH144&gt;#REF!,#REF!,IF(AH144&gt;#REF!,#REF!,IF(AH144&gt;#REF!,#REF!,#REF!)))))</f>
        <v>#REF!</v>
      </c>
      <c r="AU144" s="10" t="e">
        <f t="shared" si="44"/>
        <v>#REF!</v>
      </c>
      <c r="AV144" s="10" t="s">
        <v>68</v>
      </c>
      <c r="AW144" s="10" t="s">
        <v>141</v>
      </c>
      <c r="AX144" s="10" t="s">
        <v>359</v>
      </c>
      <c r="AY144" s="31" t="str">
        <f>IFERROR(VLOOKUP(AV144,#REF!,3,0),"")</f>
        <v/>
      </c>
      <c r="AZ144" s="31" t="str">
        <f>IFERROR(VLOOKUP(AW144,#REF!,3,0),"")</f>
        <v/>
      </c>
      <c r="BA144" s="31" t="str">
        <f>IFERROR(VLOOKUP(AX144,#REF!,3,0),"")</f>
        <v/>
      </c>
      <c r="BB144" s="31" t="str">
        <f>IFERROR(AY144*#REF!+AZ144*#REF!+BA144*#REF!,"")</f>
        <v/>
      </c>
      <c r="BC144" s="32" t="str">
        <f t="shared" si="45"/>
        <v/>
      </c>
      <c r="BD144" s="32" t="str">
        <f>IFERROR(VLOOKUP(BC144*10,#REF!,2,1),"")</f>
        <v/>
      </c>
      <c r="BE144" s="10"/>
      <c r="BF144" s="10"/>
      <c r="BG144" s="10"/>
      <c r="BH144" s="11" t="s">
        <v>643</v>
      </c>
      <c r="BI144" s="10">
        <v>20.790000915527301</v>
      </c>
      <c r="BJ144" s="33" t="s">
        <v>78</v>
      </c>
      <c r="BK144" s="33" t="s">
        <v>644</v>
      </c>
      <c r="BL144" s="10">
        <f>IF([1]!s_stmnote_bank_17n(A144,$A$1,1)="0","",[1]!s_stmnote_bank_17n(A144,$A$1,1))</f>
        <v>0</v>
      </c>
      <c r="BM144" s="10">
        <f>IF([1]!s_stmnote_bank_18n(A144,$A$1,1)="0","",[1]!s_stmnote_bank_18n(A144,$A$1,1))</f>
        <v>0</v>
      </c>
      <c r="BN144" s="41">
        <v>4.53</v>
      </c>
      <c r="BO144" s="68">
        <v>3.13</v>
      </c>
      <c r="BP144" s="52">
        <f>[1]!s_stmnote_bank_5444(A144,$A$1,1)</f>
        <v>1.4</v>
      </c>
      <c r="BQ144" s="52">
        <f>[1]!s_stmnote_bank_129n($A144,$A$1,1)</f>
        <v>36.26</v>
      </c>
      <c r="BR144" s="52">
        <f t="shared" si="52"/>
        <v>4.0570177796440925</v>
      </c>
      <c r="BS144" s="52">
        <f>[1]!b_stm07_is(A144,19,$A$1,1,100000000)</f>
        <v>409.15676000000002</v>
      </c>
      <c r="BT144" s="52">
        <f xml:space="preserve"> [1]!s_stm07_bs(A144,"W15273164",$A$1,1,100000000)-[1]!s_stm07_bs(A144,"W17642530",$A$1,1,100000000)-[1]!s_stm07_bs(A144,"W15910877",$A$1,1,100000000)-[1]!s_stm07_bs_39(A144,$A$1,1,100000000)-[1]!s_stm07_bs(A144,"W17700468",$A$1,1,100000000)-[1]!s_stm07_bs(A144,"W16504296",$A$1,1,100000000)-[1]!s_stm07_bs(A144,"W13769069",$A$1,1,100000000)</f>
        <v>9807.0419099999981</v>
      </c>
      <c r="BU144" s="52">
        <f xml:space="preserve"> [1]!s_stm07_bs(A144,"W15273164",$B$1,1,100000000)-[1]!s_stm07_bs(A144,"W17642530",$B$1,1,100000000)-[1]!s_stm07_bs(A144,"W15910877",$B$1,1,100000000)-[1]!s_stm07_bs_39(A144,$B$1,1,100000000)-[1]!s_stm07_bs(A144,"W17700468",$B$1,1,100000000)-[1]!s_stm07_bs(A144,"W16504296",$B$1,1,100000000)-[1]!s_stm07_bs(A144,"W13769069",$B$1,1,100000000)</f>
        <v>10140.067429999999</v>
      </c>
      <c r="BV144" s="52">
        <f xml:space="preserve"> [1]!s_stm07_bs(A144,"W15273164",$E$1,1,100000000)-[1]!s_stm07_bs(A144,"W17642530",$E$1,1,100000000)-[1]!s_stm07_bs(A144,"W15910877",$E$1,1,100000000)-[1]!s_stm07_bs_39(A144,$E$1,1,100000000)-[1]!s_stm07_bs(A144,"W17700468",$E$1,1,100000000)-[1]!s_stm07_bs(A144,"W16504296",$E$1,1,100000000)-[1]!s_stm07_bs(A144,"W13769069",$E$1,1,100000000)</f>
        <v>0</v>
      </c>
      <c r="BW144" s="52">
        <f xml:space="preserve"> [1]!s_stm07_bs(A144,"W15273164",$F$1,1,100000000)-[1]!s_stm07_bs(A144,"W17642530",$F$1,1,100000000)-[1]!s_stm07_bs(A144,"W15910877",$F$1,1,100000000)-[1]!s_stm07_bs_39(A144,$F$1,1,100000000)-[1]!s_stm07_bs(A144,"W17700468",$F$1,1,100000000)-[1]!s_stm07_bs(A144,"W16504296",$F$1,1,100000000)-[1]!s_stm07_bs(A144,"W13769069",$F$1,1,100000000)</f>
        <v>9978.9317800000008</v>
      </c>
      <c r="BX144" s="52">
        <f xml:space="preserve"> [1]!s_stm07_bs(A144,"W15273164",$G$1,1,100000000)-[1]!s_stm07_bs(A144,"W17642530",$G$1,1,100000000)-[1]!s_stm07_bs(A144,"W15910877",$G$1,1,100000000)-[1]!s_stm07_bs_39(A144,$G$1,1,100000000)-[1]!s_stm07_bs(A144,"W17700468",$G$1,1,100000000)-[1]!s_stm07_bs(A144,"W16504296",$G$1,1,100000000)-[1]!s_stm07_bs(A144,"W13769069",$G$1,1,100000000)</f>
        <v>0</v>
      </c>
      <c r="BY144" s="52">
        <f>IFERROR([1]!b_stm07_is(A144,20,$A$1,1,100000000)/AVERAGEIF(CA144:CE144,"&gt;0")*100,0)</f>
        <v>3.0536486051321017</v>
      </c>
      <c r="BZ144" s="52">
        <f>[1]!b_stm07_is(A144,20,$A$1,1,100000000)</f>
        <v>285.28066999999999</v>
      </c>
      <c r="CA144" s="52">
        <f>[1]!s_stmnote_bank_38(A144,$A$1,1,100000000)</f>
        <v>9212.3991499999993</v>
      </c>
      <c r="CB144" s="52">
        <f>[1]!s_stmnote_bank_38(A144,$B$1,1,100000000)</f>
        <v>9518.51325</v>
      </c>
      <c r="CC144" s="52">
        <f>[1]!s_stmnote_bank_38(A144,$E$1,1,100000000)</f>
        <v>0</v>
      </c>
      <c r="CD144" s="52">
        <f>[1]!s_stmnote_bank_38(A144,$F$1,1,100000000)</f>
        <v>9295.9538400000001</v>
      </c>
      <c r="CE144" s="52">
        <f>[1]!s_stmnote_bank_38(A144,$G$1,1,100000000)</f>
        <v>0</v>
      </c>
      <c r="CF144" s="52">
        <f>IF(BP144&lt;&gt;0,BP144,IFERROR(IF(([1]!b_stm07_is(A144,19,$A$1,1,100000000)-[1]!b_stm07_is(A144,20,$A$1,1,100000000))/AVERAGE([1]!s_stmnote_bank_35(A144,$A$1,1,100000000),[1]!s_stmnote_bank_35(A144,$B$1,1,100000000))*100=0,"",([1]!b_stm07_is(A144,19,$A$1,1,100000000)-[1]!b_stm07_is(A144,20,$A$1,1,100000000))/AVERAGE([1]!s_stmnote_bank_35(A144,$A$1,1,100000000),[1]!s_stmnote_bank_35(A144,$B$1,1,100000000))*100),""))</f>
        <v>1.4</v>
      </c>
      <c r="CG144" s="27" t="str">
        <f t="shared" si="46"/>
        <v>158 171</v>
      </c>
      <c r="CH144" s="80">
        <f t="shared" si="53"/>
        <v>0.24430467954387372</v>
      </c>
      <c r="CI144" s="27" t="str">
        <f t="shared" si="47"/>
        <v>152 169</v>
      </c>
      <c r="CJ144" s="55">
        <f>[1]!s_stmnote_bank_30(A144,$A$1,1)</f>
        <v>19.680399999999999</v>
      </c>
      <c r="CP144" s="69">
        <f>[1]!b_stm07_bs($A144,141,$A$1,1,100000000)</f>
        <v>805.02940999999998</v>
      </c>
      <c r="CQ144" s="69">
        <f>[1]!b_stm07_bs($A144,141,$D$1,1,100000000)</f>
        <v>815.51433999999995</v>
      </c>
      <c r="CR144" s="68">
        <f>IF([1]!s_fa_roic_yearly($A144,$A$1)=0,"",[1]!s_fa_roic_yearly($A144,$A$1))</f>
        <v>0.50460000000000005</v>
      </c>
      <c r="CS144" s="27">
        <f t="shared" si="48"/>
        <v>0.97633136094674555</v>
      </c>
      <c r="CT144" s="68">
        <f>IF([1]!s_fa_roic_yearly($A144,$D$1)=0,"",[1]!s_fa_roic_yearly($A144,$D$1))</f>
        <v>2.3488000000000002</v>
      </c>
      <c r="CU144" s="27">
        <f t="shared" si="49"/>
        <v>0.971830985915493</v>
      </c>
      <c r="CV144" s="78">
        <f>[1]!s_stm07_bs(A144,"W14578191",$A$1,1,100000000)</f>
        <v>5834.4351800000004</v>
      </c>
      <c r="CW144" s="78">
        <f>[1]!s_stmnote_bank_682($A144,$A$1,1,2,100000000)</f>
        <v>1007.25053</v>
      </c>
      <c r="CX144" s="79">
        <f t="shared" si="50"/>
        <v>0.17263891001013743</v>
      </c>
    </row>
    <row r="145" spans="1:102" s="46" customFormat="1" ht="13.5">
      <c r="A145" s="8" t="s">
        <v>146</v>
      </c>
      <c r="B145" s="8" t="s">
        <v>147</v>
      </c>
      <c r="C145" s="9" t="s">
        <v>148</v>
      </c>
      <c r="D145" s="9" t="s">
        <v>1061</v>
      </c>
      <c r="E145" s="10"/>
      <c r="F145" s="11" t="s">
        <v>90</v>
      </c>
      <c r="G145" s="11" t="s">
        <v>67</v>
      </c>
      <c r="H145" s="11" t="s">
        <v>67</v>
      </c>
      <c r="I145" s="11"/>
      <c r="J145" s="11" t="e">
        <f>VLOOKUP(B145,[3]额度信息!$B:$T,19,0)</f>
        <v>#N/A</v>
      </c>
      <c r="K145" s="11"/>
      <c r="L145" s="27">
        <f>IFERROR(([1]!b_stm07_bs($A145,47,$A$1,1,100000000))/[1]!b_stm07_bs($A145,109,$A$1,1,100000000),"")</f>
        <v>0.11843034475317792</v>
      </c>
      <c r="M145" s="20"/>
      <c r="N145" s="18"/>
      <c r="O145" s="27" t="e">
        <f t="shared" si="39"/>
        <v>#N/A</v>
      </c>
      <c r="P145" s="21">
        <f t="shared" si="51"/>
        <v>7.13067512318344E-2</v>
      </c>
      <c r="Q145" s="27" t="str">
        <f t="shared" si="40"/>
        <v>150 169</v>
      </c>
      <c r="R145" s="18">
        <f>IFERROR([1]!s_stmnote_bank($A145,"34",$A$1,100000000)/[1]!s_stmnote_bank_1n(A145,$A$1,1,100000000),"")</f>
        <v>4.5106751231834399E-2</v>
      </c>
      <c r="S145" s="22"/>
      <c r="T145" s="22"/>
      <c r="U145" s="22"/>
      <c r="V145" s="22"/>
      <c r="W145" s="22"/>
      <c r="X145" s="22"/>
      <c r="Y145" s="22"/>
      <c r="Z145" s="25">
        <f>[1]!b_stm07_bs(A145,74,$A$1,1,100000000)</f>
        <v>1294.1755934209</v>
      </c>
      <c r="AA145" s="25">
        <f>[1]!b_stm07_bs(A145,109,$A$1,1,100000000)</f>
        <v>1040.7909778173</v>
      </c>
      <c r="AB145" s="10">
        <f>[1]!s_stmnote_bank_5n(A145,$A$1,1)</f>
        <v>2.62</v>
      </c>
      <c r="AC145" s="25">
        <f>IF([1]!s_stmnote_bank_23n(A145,$A$1,1)=0,"",IFERROR([1]!s_stmnote_bank_23n(A145,$A$1,1),""))</f>
        <v>152.46</v>
      </c>
      <c r="AD145" s="27" t="str">
        <f t="shared" si="41"/>
        <v>23 167</v>
      </c>
      <c r="AE145" s="25">
        <f>[1]!s_stmnote_bank_capadequacyratio(A145,$A$1,1)</f>
        <v>13.3</v>
      </c>
      <c r="AF145" s="25">
        <f>IF([1]!s_stmnote_bank_capadequacyratio_ct1(A145,$A$1,1)=0,"",IFERROR([1]!s_stmnote_bank_capadequacyratio_ct1(A145,$A$1,1),""))</f>
        <v>8.86</v>
      </c>
      <c r="AG145" s="27" t="str">
        <f t="shared" si="42"/>
        <v>41 167</v>
      </c>
      <c r="AH145" s="6">
        <f>IF(OR([1]!s_fa_roe(A145,20201231)=0,[1]!s_fa_roe(A145,20211231)="0",[1]!s_fa_roe(A145,20221231)="0"),"",IFERROR(([1]!s_fa_roe(A145,20221231)+[1]!s_fa_roe(A145,20201231)+[1]!s_fa_roe(A145,20211231))/3,""))</f>
        <v>4.7101666666666668</v>
      </c>
      <c r="AI145" s="27" t="str">
        <f t="shared" si="43"/>
        <v>36 173</v>
      </c>
      <c r="AJ145" s="28">
        <f>IFERROR(([1]!s_stmnote_bank_65(A145,$A$1,1,2,4,100000000)+[1]!s_stmnote_bank_65(A145,$A$1,1,2,6,100000000))/[1]!s_stmnote_bank_1n(A145,$A$1,1,100000000),"")</f>
        <v>9.2647514005629802E-2</v>
      </c>
      <c r="AK145" s="28">
        <f>IFERROR([1]!s_stmnote_bank_614(A145,$A$1,1,2,100000000)/[1]!s_stmnote_bank_647(A145,$A$1,1,2,100000000),"")</f>
        <v>0.29979511029665418</v>
      </c>
      <c r="AL145" s="28">
        <f>IFERROR(([1]!b_stm07_bs(A145,104,$A$1,1,100000000)+[1]!b_stm07_bs(A145,106,$A$1,1,100000000)+[1]!b_stm07_bs(A145,76,$A$1,1,100000000)+[1]!b_stm07_bs(A145,108,$A$1,1,100000000)+[1]!b_stm07_bs(A145,95,$A$1,1,100000000))/[1]!b_stm07_bs(A145,128,$A$1,1,100000000),"")</f>
        <v>4.6512066633287233E-2</v>
      </c>
      <c r="AM145" s="28">
        <f>IFERROR(([1]!s_stmnote_bank_614(A145,$A$1,1,2,100000000)+[1]!b_stm07_bs(A145,104,$A$1,1,100000000)+[1]!b_stm07_bs(A145,106,$A$1,1,100000000)+[1]!b_stm07_bs(A145,76,$A$1,1,100000000)+[1]!b_stm07_bs(A145,108,$A$1,1,100000000)+[1]!b_stm07_bs(A145,95,$A$1,1,100000000))/[1]!b_stm07_bs(A145,128,$A$1,1,100000000),"")</f>
        <v>0.30798099001766244</v>
      </c>
      <c r="AN145" s="31" t="e">
        <f>IF(Z145&gt;#REF!,#REF!,IF(Z145&gt;#REF!,#REF!,IF(Z145&gt;#REF!,#REF!,IF(Z145&gt;#REF!,#REF!,IF(Z145&gt;#REF!,#REF!,IF(Z145&gt;#REF!,#REF!,IF(Z145&gt;#REF!,#REF!,#REF!)))))))</f>
        <v>#REF!</v>
      </c>
      <c r="AO145" s="31" t="e">
        <f>IF(AA145&gt;#REF!,#REF!,IF(AA145&gt;#REF!,#REF!,IF(AA145&gt;#REF!,#REF!,IF(AA145&gt;#REF!,#REF!,IF(AA145&gt;#REF!,#REF!,IF(AA145&gt;#REF!,#REF!,IF(AA145&gt;#REF!,#REF!,#REF!)))))))</f>
        <v>#REF!</v>
      </c>
      <c r="AP145" s="31" t="e">
        <f>IF(AB145&lt;#REF!,#REF!,IF(AB145&lt;#REF!,#REF!,IF(AB145&lt;#REF!,#REF!,IF(AB145&lt;#REF!,#REF!,IF(AB145&lt;#REF!,#REF!,IF(AB145&lt;#REF!,#REF!,#REF!))))))</f>
        <v>#REF!</v>
      </c>
      <c r="AQ145" s="31" t="e">
        <f>IF(AC145&gt;#REF!,#REF!,IF(AC145&gt;#REF!,#REF!,IF(AC145&gt;#REF!,#REF!,IF(AC145&gt;#REF!,#REF!,#REF!))))</f>
        <v>#REF!</v>
      </c>
      <c r="AR145" s="31" t="e">
        <f>IF(AE145&gt;#REF!,#REF!,IF(AE145&gt;#REF!,#REF!,IF(AE145&gt;#REF!,#REF!,IF(AE145&gt;#REF!,#REF!,#REF!))))</f>
        <v>#REF!</v>
      </c>
      <c r="AS145" s="31" t="e">
        <f>IF(AF145&gt;#REF!,#REF!,IF(AF145&gt;#REF!,#REF!,IF(AF145&gt;#REF!,#REF!,IF(AF145&gt;#REF!,#REF!,#REF!))))</f>
        <v>#REF!</v>
      </c>
      <c r="AT145" s="31" t="e">
        <f>IF(AH145&gt;#REF!,#REF!,IF(AH145&gt;#REF!,#REF!,IF(AH145&gt;#REF!,#REF!,IF(AH145&gt;#REF!,#REF!,IF(AH145&gt;#REF!,#REF!,#REF!)))))</f>
        <v>#REF!</v>
      </c>
      <c r="AU145" s="10" t="e">
        <f t="shared" si="44"/>
        <v>#REF!</v>
      </c>
      <c r="AV145" s="10"/>
      <c r="AW145" s="10"/>
      <c r="AX145" s="10"/>
      <c r="AY145" s="31" t="str">
        <f>IFERROR(VLOOKUP(AV145,#REF!,3,0),"")</f>
        <v/>
      </c>
      <c r="AZ145" s="31" t="str">
        <f>IFERROR(VLOOKUP(AW145,#REF!,3,0),"")</f>
        <v/>
      </c>
      <c r="BA145" s="31" t="str">
        <f>IFERROR(VLOOKUP(AX145,#REF!,3,0),"")</f>
        <v/>
      </c>
      <c r="BB145" s="31" t="str">
        <f>IFERROR(AY145*#REF!+AZ145*#REF!+BA145*#REF!,"")</f>
        <v/>
      </c>
      <c r="BC145" s="32" t="str">
        <f t="shared" si="45"/>
        <v/>
      </c>
      <c r="BD145" s="32" t="str">
        <f>IFERROR(VLOOKUP(BC145*10,#REF!,2,1),"")</f>
        <v/>
      </c>
      <c r="BE145" s="10"/>
      <c r="BF145" s="10"/>
      <c r="BG145" s="10"/>
      <c r="BH145" s="11" t="s">
        <v>149</v>
      </c>
      <c r="BI145" s="10">
        <v>18.329999923706101</v>
      </c>
      <c r="BJ145" s="11" t="s">
        <v>150</v>
      </c>
      <c r="BK145" s="33" t="s">
        <v>151</v>
      </c>
      <c r="BL145" s="10">
        <f>IF([1]!s_stmnote_bank_17n(A145,$A$1,1)="0","",[1]!s_stmnote_bank_17n(A145,$A$1,1))</f>
        <v>7.29</v>
      </c>
      <c r="BM145" s="10">
        <f>IF([1]!s_stmnote_bank_18n(A145,$A$1,1)="0","",[1]!s_stmnote_bank_18n(A145,$A$1,1))</f>
        <v>0</v>
      </c>
      <c r="BN145" s="41"/>
      <c r="BO145" s="52"/>
      <c r="BP145" s="52">
        <f>[1]!s_stmnote_bank_5444(A145,$A$1,1)</f>
        <v>0</v>
      </c>
      <c r="BQ145" s="52">
        <f>[1]!s_stmnote_bank_129n($A145,$A$1,1)</f>
        <v>37.36</v>
      </c>
      <c r="BR145" s="52">
        <f t="shared" si="52"/>
        <v>5.0917062514354354</v>
      </c>
      <c r="BS145" s="52">
        <f>[1]!b_stm07_is(A145,19,$A$1,1,100000000)</f>
        <v>54.580896407099999</v>
      </c>
      <c r="BT145" s="52">
        <f xml:space="preserve"> [1]!s_stm07_bs(A145,"W15273164",$A$1,1,100000000)-[1]!s_stm07_bs(A145,"W17642530",$A$1,1,100000000)-[1]!s_stm07_bs(A145,"W15910877",$A$1,1,100000000)-[1]!s_stm07_bs_39(A145,$A$1,1,100000000)-[1]!s_stm07_bs(A145,"W17700468",$A$1,1,100000000)-[1]!s_stm07_bs(A145,"W16504296",$A$1,1,100000000)-[1]!s_stm07_bs(A145,"W13769069",$A$1,1,100000000)</f>
        <v>1225.2585774464001</v>
      </c>
      <c r="BU145" s="52">
        <f xml:space="preserve"> [1]!s_stm07_bs(A145,"W15273164",$B$1,1,100000000)-[1]!s_stm07_bs(A145,"W17642530",$B$1,1,100000000)-[1]!s_stm07_bs(A145,"W15910877",$B$1,1,100000000)-[1]!s_stm07_bs_39(A145,$B$1,1,100000000)-[1]!s_stm07_bs(A145,"W17700468",$B$1,1,100000000)-[1]!s_stm07_bs(A145,"W16504296",$B$1,1,100000000)-[1]!s_stm07_bs(A145,"W13769069",$B$1,1,100000000)</f>
        <v>1006.3024699042999</v>
      </c>
      <c r="BV145" s="52">
        <f xml:space="preserve"> [1]!s_stm07_bs(A145,"W15273164",$E$1,1,100000000)-[1]!s_stm07_bs(A145,"W17642530",$E$1,1,100000000)-[1]!s_stm07_bs(A145,"W15910877",$E$1,1,100000000)-[1]!s_stm07_bs_39(A145,$E$1,1,100000000)-[1]!s_stm07_bs(A145,"W17700468",$E$1,1,100000000)-[1]!s_stm07_bs(A145,"W16504296",$E$1,1,100000000)-[1]!s_stm07_bs(A145,"W13769069",$E$1,1,100000000)</f>
        <v>1215.5626334364999</v>
      </c>
      <c r="BW145" s="52">
        <f xml:space="preserve"> [1]!s_stm07_bs(A145,"W15273164",$F$1,1,100000000)-[1]!s_stm07_bs(A145,"W17642530",$F$1,1,100000000)-[1]!s_stm07_bs(A145,"W15910877",$F$1,1,100000000)-[1]!s_stm07_bs_39(A145,$F$1,1,100000000)-[1]!s_stm07_bs(A145,"W17700468",$F$1,1,100000000)-[1]!s_stm07_bs(A145,"W16504296",$F$1,1,100000000)-[1]!s_stm07_bs(A145,"W13769069",$F$1,1,100000000)</f>
        <v>1265.7632375915</v>
      </c>
      <c r="BX145" s="52">
        <f xml:space="preserve"> [1]!s_stm07_bs(A145,"W15273164",$G$1,1,100000000)-[1]!s_stm07_bs(A145,"W17642530",$G$1,1,100000000)-[1]!s_stm07_bs(A145,"W15910877",$G$1,1,100000000)-[1]!s_stm07_bs_39(A145,$G$1,1,100000000)-[1]!s_stm07_bs(A145,"W17700468",$G$1,1,100000000)-[1]!s_stm07_bs(A145,"W16504296",$G$1,1,100000000)-[1]!s_stm07_bs(A145,"W13769069",$G$1,1,100000000)</f>
        <v>1153.2971252672996</v>
      </c>
      <c r="BY145" s="52">
        <f>IFERROR([1]!b_stm07_is(A145,20,$A$1,1,100000000)/AVERAGEIF(CA145:CE145,"&gt;0")*100,0)</f>
        <v>1.9606991677744368</v>
      </c>
      <c r="BZ145" s="52">
        <f>[1]!b_stm07_is(A145,20,$A$1,1,100000000)</f>
        <v>22.119089157299999</v>
      </c>
      <c r="CA145" s="52">
        <f>[1]!s_stmnote_bank_38(A145,$A$1,1,100000000)</f>
        <v>1187.1055660838999</v>
      </c>
      <c r="CB145" s="52">
        <f>[1]!s_stmnote_bank_38(A145,$B$1,1,100000000)</f>
        <v>975.06391085960001</v>
      </c>
      <c r="CC145" s="52">
        <f>[1]!s_stmnote_bank_38(A145,$E$1,1,100000000)</f>
        <v>1171.6318944047</v>
      </c>
      <c r="CD145" s="52">
        <f>[1]!s_stmnote_bank_38(A145,$F$1,1,100000000)</f>
        <v>1173.2887511734</v>
      </c>
      <c r="CE145" s="52">
        <f>[1]!s_stmnote_bank_38(A145,$G$1,1,100000000)</f>
        <v>1133.5225530086</v>
      </c>
      <c r="CF145" s="52">
        <f>IF(BP145&lt;&gt;0,BP145,IFERROR(IF(([1]!b_stm07_is(A145,19,$A$1,1,100000000)-[1]!b_stm07_is(A145,20,$A$1,1,100000000))/AVERAGE([1]!s_stmnote_bank_35(A145,$A$1,1,100000000),[1]!s_stmnote_bank_35(A145,$B$1,1,100000000))*100=0,"",([1]!b_stm07_is(A145,19,$A$1,1,100000000)-[1]!b_stm07_is(A145,20,$A$1,1,100000000))/AVERAGE([1]!s_stmnote_bank_35(A145,$A$1,1,100000000),[1]!s_stmnote_bank_35(A145,$B$1,1,100000000))*100),""))</f>
        <v>2.9863731690677326</v>
      </c>
      <c r="CG145" s="27" t="str">
        <f t="shared" si="46"/>
        <v>14 171</v>
      </c>
      <c r="CH145" s="80">
        <f t="shared" si="53"/>
        <v>0.41880651095130628</v>
      </c>
      <c r="CI145" s="27" t="str">
        <f t="shared" si="47"/>
        <v>130 169</v>
      </c>
      <c r="CJ145" s="55">
        <f>[1]!s_stmnote_bank_30(A145,$A$1,1)</f>
        <v>5.6005000000000003</v>
      </c>
      <c r="CP145" s="69">
        <f>[1]!b_stm07_bs($A145,141,$A$1,1,100000000)</f>
        <v>100.8251869873</v>
      </c>
      <c r="CQ145" s="69">
        <f>[1]!b_stm07_bs($A145,141,$D$1,1,100000000)</f>
        <v>102.2784973749</v>
      </c>
      <c r="CR145" s="68">
        <f>IF([1]!s_fa_roic_yearly($A145,$A$1)=0,"",[1]!s_fa_roic_yearly($A145,$A$1))</f>
        <v>4.3521999999999998</v>
      </c>
      <c r="CS145" s="27">
        <f t="shared" si="48"/>
        <v>0.86390532544378695</v>
      </c>
      <c r="CT145" s="68">
        <f>IF([1]!s_fa_roic_yearly($A145,$D$1)=0,"",[1]!s_fa_roic_yearly($A145,$D$1))</f>
        <v>4.0498000000000003</v>
      </c>
      <c r="CU145" s="27">
        <f t="shared" si="49"/>
        <v>0.92253521126760563</v>
      </c>
      <c r="CV145" s="78">
        <f>[1]!s_stm07_bs(A145,"W14578191",$A$1,1,100000000)</f>
        <v>828.762448823</v>
      </c>
      <c r="CW145" s="78">
        <f>[1]!s_stmnote_bank_682($A145,$A$1,1,2,100000000)</f>
        <v>230.34868805169998</v>
      </c>
      <c r="CX145" s="79">
        <f t="shared" si="50"/>
        <v>0.2779429598660495</v>
      </c>
    </row>
    <row r="146" spans="1:102" s="46" customFormat="1" ht="13.5">
      <c r="A146" s="8" t="s">
        <v>264</v>
      </c>
      <c r="B146" s="8" t="s">
        <v>265</v>
      </c>
      <c r="C146" s="9" t="s">
        <v>266</v>
      </c>
      <c r="D146" s="9" t="s">
        <v>1061</v>
      </c>
      <c r="E146" s="10"/>
      <c r="F146" s="11" t="s">
        <v>178</v>
      </c>
      <c r="G146" s="11" t="s">
        <v>67</v>
      </c>
      <c r="H146" s="11" t="s">
        <v>116</v>
      </c>
      <c r="I146" s="11"/>
      <c r="J146" s="11" t="e">
        <f>VLOOKUP(B146,[3]额度信息!$B:$T,19,0)</f>
        <v>#N/A</v>
      </c>
      <c r="K146" s="11"/>
      <c r="L146" s="27">
        <f>IFERROR(([1]!b_stm07_bs($A146,47,$A$1,1,100000000))/[1]!b_stm07_bs($A146,109,$A$1,1,100000000),"")</f>
        <v>0.12068940988974393</v>
      </c>
      <c r="M146" s="20"/>
      <c r="N146" s="18"/>
      <c r="O146" s="27" t="e">
        <f t="shared" si="39"/>
        <v>#N/A</v>
      </c>
      <c r="P146" s="21">
        <f t="shared" si="51"/>
        <v>5.9248812305463902E-2</v>
      </c>
      <c r="Q146" s="27" t="str">
        <f t="shared" si="40"/>
        <v>139 169</v>
      </c>
      <c r="R146" s="18">
        <v>4.0848812305463902E-2</v>
      </c>
      <c r="S146" s="22"/>
      <c r="T146" s="22"/>
      <c r="U146" s="22"/>
      <c r="V146" s="22"/>
      <c r="W146" s="22"/>
      <c r="X146" s="22"/>
      <c r="Y146" s="22"/>
      <c r="Z146" s="25">
        <f>[1]!b_stm07_bs(A146,74,$A$1,1,100000000)</f>
        <v>3032.9151299999999</v>
      </c>
      <c r="AA146" s="25">
        <f>[1]!b_stm07_bs(A146,109,$A$1,1,100000000)</f>
        <v>1992.0717999999999</v>
      </c>
      <c r="AB146" s="10">
        <f>[1]!s_stmnote_bank_5n(A146,$A$1,1)</f>
        <v>1.84</v>
      </c>
      <c r="AC146" s="25">
        <f>IF([1]!s_stmnote_bank_23n(A146,$A$1,1)=0,"",IFERROR([1]!s_stmnote_bank_23n(A146,$A$1,1),""))</f>
        <v>184.77</v>
      </c>
      <c r="AD146" s="27" t="str">
        <f t="shared" si="41"/>
        <v>51 167</v>
      </c>
      <c r="AE146" s="25">
        <f>[1]!s_stmnote_bank_capadequacyratio(A146,$A$1,1)</f>
        <v>12.02</v>
      </c>
      <c r="AF146" s="25">
        <f>IF([1]!s_stmnote_bank_capadequacyratio_ct1(A146,$A$1,1)=0,"",IFERROR([1]!s_stmnote_bank_capadequacyratio_ct1(A146,$A$1,1),""))</f>
        <v>10.1</v>
      </c>
      <c r="AG146" s="27" t="str">
        <f t="shared" si="42"/>
        <v>85 167</v>
      </c>
      <c r="AH146" s="6">
        <f>IF(OR([1]!s_fa_roe(A146,20201231)=0,[1]!s_fa_roe(A146,20211231)="0",[1]!s_fa_roe(A146,20221231)="0"),"",IFERROR(([1]!s_fa_roe(A146,20221231)+[1]!s_fa_roe(A146,20201231)+[1]!s_fa_roe(A146,20211231))/3,""))</f>
        <v>7.8379666666666665</v>
      </c>
      <c r="AI146" s="27" t="str">
        <f t="shared" si="43"/>
        <v>77 173</v>
      </c>
      <c r="AJ146" s="28">
        <f>IFERROR(([1]!s_stmnote_bank_65(A146,$A$1,1,2,4,100000000)+[1]!s_stmnote_bank_65(A146,$A$1,1,2,6,100000000))/[1]!s_stmnote_bank_1n(A146,$A$1,1,100000000),"")</f>
        <v>8.2072395680474836E-2</v>
      </c>
      <c r="AK146" s="28">
        <f>IFERROR([1]!s_stmnote_bank_614(A146,$A$1,1,2,100000000)/[1]!s_stmnote_bank_647(A146,$A$1,1,2,100000000),"")</f>
        <v>0.212193380780753</v>
      </c>
      <c r="AL146" s="28">
        <f>IFERROR(([1]!b_stm07_bs(A146,104,$A$1,1,100000000)+[1]!b_stm07_bs(A146,106,$A$1,1,100000000)+[1]!b_stm07_bs(A146,76,$A$1,1,100000000)+[1]!b_stm07_bs(A146,108,$A$1,1,100000000)+[1]!b_stm07_bs(A146,95,$A$1,1,100000000))/[1]!b_stm07_bs(A146,128,$A$1,1,100000000),"")</f>
        <v>0.26969442586472786</v>
      </c>
      <c r="AM146" s="28">
        <f>IFERROR(([1]!s_stmnote_bank_614(A146,$A$1,1,2,100000000)+[1]!b_stm07_bs(A146,104,$A$1,1,100000000)+[1]!b_stm07_bs(A146,106,$A$1,1,100000000)+[1]!b_stm07_bs(A146,76,$A$1,1,100000000)+[1]!b_stm07_bs(A146,108,$A$1,1,100000000)+[1]!b_stm07_bs(A146,95,$A$1,1,100000000))/[1]!b_stm07_bs(A146,128,$A$1,1,100000000),"")</f>
        <v>0.42005138845954626</v>
      </c>
      <c r="AN146" s="31" t="e">
        <f>IF(Z146&gt;#REF!,#REF!,IF(Z146&gt;#REF!,#REF!,IF(Z146&gt;#REF!,#REF!,IF(Z146&gt;#REF!,#REF!,IF(Z146&gt;#REF!,#REF!,IF(Z146&gt;#REF!,#REF!,IF(Z146&gt;#REF!,#REF!,#REF!)))))))</f>
        <v>#REF!</v>
      </c>
      <c r="AO146" s="31" t="e">
        <f>IF(AA146&gt;#REF!,#REF!,IF(AA146&gt;#REF!,#REF!,IF(AA146&gt;#REF!,#REF!,IF(AA146&gt;#REF!,#REF!,IF(AA146&gt;#REF!,#REF!,IF(AA146&gt;#REF!,#REF!,IF(AA146&gt;#REF!,#REF!,#REF!)))))))</f>
        <v>#REF!</v>
      </c>
      <c r="AP146" s="31" t="e">
        <f>IF(AB146&lt;#REF!,#REF!,IF(AB146&lt;#REF!,#REF!,IF(AB146&lt;#REF!,#REF!,IF(AB146&lt;#REF!,#REF!,IF(AB146&lt;#REF!,#REF!,IF(AB146&lt;#REF!,#REF!,#REF!))))))</f>
        <v>#REF!</v>
      </c>
      <c r="AQ146" s="31" t="e">
        <f>IF(AC146&gt;#REF!,#REF!,IF(AC146&gt;#REF!,#REF!,IF(AC146&gt;#REF!,#REF!,IF(AC146&gt;#REF!,#REF!,#REF!))))</f>
        <v>#REF!</v>
      </c>
      <c r="AR146" s="31" t="e">
        <f>IF(AE146&gt;#REF!,#REF!,IF(AE146&gt;#REF!,#REF!,IF(AE146&gt;#REF!,#REF!,IF(AE146&gt;#REF!,#REF!,#REF!))))</f>
        <v>#REF!</v>
      </c>
      <c r="AS146" s="31" t="e">
        <f>IF(AF146&gt;#REF!,#REF!,IF(AF146&gt;#REF!,#REF!,IF(AF146&gt;#REF!,#REF!,IF(AF146&gt;#REF!,#REF!,#REF!))))</f>
        <v>#REF!</v>
      </c>
      <c r="AT146" s="31" t="e">
        <f>IF(AH146&gt;#REF!,#REF!,IF(AH146&gt;#REF!,#REF!,IF(AH146&gt;#REF!,#REF!,IF(AH146&gt;#REF!,#REF!,IF(AH146&gt;#REF!,#REF!,#REF!)))))</f>
        <v>#REF!</v>
      </c>
      <c r="AU146" s="10" t="e">
        <f t="shared" si="44"/>
        <v>#REF!</v>
      </c>
      <c r="AV146" s="10"/>
      <c r="AW146" s="10"/>
      <c r="AX146" s="10"/>
      <c r="AY146" s="31" t="str">
        <f>IFERROR(VLOOKUP(AV146,#REF!,3,0),"")</f>
        <v/>
      </c>
      <c r="AZ146" s="31" t="str">
        <f>IFERROR(VLOOKUP(AW146,#REF!,3,0),"")</f>
        <v/>
      </c>
      <c r="BA146" s="31" t="str">
        <f>IFERROR(VLOOKUP(AX146,#REF!,3,0),"")</f>
        <v/>
      </c>
      <c r="BB146" s="31" t="str">
        <f>IFERROR(AY146*#REF!+AZ146*#REF!+BA146*#REF!,"")</f>
        <v/>
      </c>
      <c r="BC146" s="32" t="str">
        <f t="shared" si="45"/>
        <v/>
      </c>
      <c r="BD146" s="32" t="str">
        <f>IFERROR(VLOOKUP(BC146*10,#REF!,2,1),"")</f>
        <v/>
      </c>
      <c r="BE146" s="10"/>
      <c r="BF146" s="10"/>
      <c r="BG146" s="10"/>
      <c r="BH146" s="11" t="s">
        <v>267</v>
      </c>
      <c r="BI146" s="10">
        <v>12.25</v>
      </c>
      <c r="BJ146" s="33" t="s">
        <v>268</v>
      </c>
      <c r="BK146" s="33" t="s">
        <v>269</v>
      </c>
      <c r="BL146" s="10">
        <f>IF([1]!s_stmnote_bank_17n(A146,$A$1,1)="0","",[1]!s_stmnote_bank_17n(A146,$A$1,1))</f>
        <v>9.8000000000000007</v>
      </c>
      <c r="BM146" s="10">
        <f>IF([1]!s_stmnote_bank_18n(A146,$A$1,1)="0","",[1]!s_stmnote_bank_18n(A146,$A$1,1))</f>
        <v>66.5</v>
      </c>
      <c r="BN146" s="41">
        <v>3.96</v>
      </c>
      <c r="BO146" s="68">
        <v>2.56</v>
      </c>
      <c r="BP146" s="52">
        <f>[1]!s_stmnote_bank_5444(A146,$A$1,1)</f>
        <v>1.43</v>
      </c>
      <c r="BQ146" s="52">
        <f>[1]!s_stmnote_bank_129n($A146,$A$1,1)</f>
        <v>36.840000000000003</v>
      </c>
      <c r="BR146" s="52">
        <f t="shared" si="52"/>
        <v>3.7867940008134164</v>
      </c>
      <c r="BS146" s="52">
        <f>[1]!b_stm07_is(A146,19,$A$1,1,100000000)</f>
        <v>103.58562000000001</v>
      </c>
      <c r="BT146" s="52">
        <f xml:space="preserve"> [1]!s_stm07_bs(A146,"W15273164",$A$1,1,100000000)-[1]!s_stm07_bs(A146,"W17642530",$A$1,1,100000000)-[1]!s_stm07_bs(A146,"W15910877",$A$1,1,100000000)-[1]!s_stm07_bs_39(A146,$A$1,1,100000000)-[1]!s_stm07_bs(A146,"W17700468",$A$1,1,100000000)-[1]!s_stm07_bs(A146,"W16504296",$A$1,1,100000000)-[1]!s_stm07_bs(A146,"W13769069",$A$1,1,100000000)</f>
        <v>2989.0228000000002</v>
      </c>
      <c r="BU146" s="52">
        <f xml:space="preserve"> [1]!s_stm07_bs(A146,"W15273164",$B$1,1,100000000)-[1]!s_stm07_bs(A146,"W17642530",$B$1,1,100000000)-[1]!s_stm07_bs(A146,"W15910877",$B$1,1,100000000)-[1]!s_stm07_bs_39(A146,$B$1,1,100000000)-[1]!s_stm07_bs(A146,"W17700468",$B$1,1,100000000)-[1]!s_stm07_bs(A146,"W16504296",$B$1,1,100000000)-[1]!s_stm07_bs(A146,"W13769069",$B$1,1,100000000)</f>
        <v>2665.8619900000003</v>
      </c>
      <c r="BV146" s="52">
        <f xml:space="preserve"> [1]!s_stm07_bs(A146,"W15273164",$E$1,1,100000000)-[1]!s_stm07_bs(A146,"W17642530",$E$1,1,100000000)-[1]!s_stm07_bs(A146,"W15910877",$E$1,1,100000000)-[1]!s_stm07_bs_39(A146,$E$1,1,100000000)-[1]!s_stm07_bs(A146,"W17700468",$E$1,1,100000000)-[1]!s_stm07_bs(A146,"W16504296",$E$1,1,100000000)-[1]!s_stm07_bs(A146,"W13769069",$E$1,1,100000000)</f>
        <v>2933.04</v>
      </c>
      <c r="BW146" s="52">
        <f xml:space="preserve"> [1]!s_stm07_bs(A146,"W15273164",$F$1,1,100000000)-[1]!s_stm07_bs(A146,"W17642530",$F$1,1,100000000)-[1]!s_stm07_bs(A146,"W15910877",$F$1,1,100000000)-[1]!s_stm07_bs_39(A146,$F$1,1,100000000)-[1]!s_stm07_bs(A146,"W17700468",$F$1,1,100000000)-[1]!s_stm07_bs(A146,"W16504296",$F$1,1,100000000)-[1]!s_stm07_bs(A146,"W13769069",$F$1,1,100000000)</f>
        <v>2870.1389400000003</v>
      </c>
      <c r="BX146" s="52">
        <f xml:space="preserve"> [1]!s_stm07_bs(A146,"W15273164",$G$1,1,100000000)-[1]!s_stm07_bs(A146,"W17642530",$G$1,1,100000000)-[1]!s_stm07_bs(A146,"W15910877",$G$1,1,100000000)-[1]!s_stm07_bs_39(A146,$G$1,1,100000000)-[1]!s_stm07_bs(A146,"W17700468",$G$1,1,100000000)-[1]!s_stm07_bs(A146,"W16504296",$G$1,1,100000000)-[1]!s_stm07_bs(A146,"W13769069",$G$1,1,100000000)</f>
        <v>0</v>
      </c>
      <c r="BY146" s="52">
        <f>IFERROR([1]!b_stm07_is(A146,20,$A$1,1,100000000)/AVERAGEIF(CA146:CE146,"&gt;0")*100,0)</f>
        <v>2.5818345197355463</v>
      </c>
      <c r="BZ146" s="52">
        <f>[1]!b_stm07_is(A146,20,$A$1,1,100000000)</f>
        <v>68.045150000000007</v>
      </c>
      <c r="CA146" s="52">
        <f>[1]!s_stmnote_bank_38(A146,$A$1,1,100000000)</f>
        <v>2778.2665299999999</v>
      </c>
      <c r="CB146" s="52">
        <f>[1]!s_stmnote_bank_38(A146,$B$1,1,100000000)</f>
        <v>2469.8876799999998</v>
      </c>
      <c r="CC146" s="52">
        <f>[1]!s_stmnote_bank_38(A146,$E$1,1,100000000)</f>
        <v>0</v>
      </c>
      <c r="CD146" s="52">
        <f>[1]!s_stmnote_bank_38(A146,$F$1,1,100000000)</f>
        <v>2658.4505100000001</v>
      </c>
      <c r="CE146" s="52">
        <f>[1]!s_stmnote_bank_38(A146,$G$1,1,100000000)</f>
        <v>0</v>
      </c>
      <c r="CF146" s="52">
        <f>IF(BP146&lt;&gt;0,BP146,IFERROR(IF(([1]!b_stm07_is(A146,19,$A$1,1,100000000)-[1]!b_stm07_is(A146,20,$A$1,1,100000000))/AVERAGE([1]!s_stmnote_bank_35(A146,$A$1,1,100000000),[1]!s_stmnote_bank_35(A146,$B$1,1,100000000))*100=0,"",([1]!b_stm07_is(A146,19,$A$1,1,100000000)-[1]!b_stm07_is(A146,20,$A$1,1,100000000))/AVERAGE([1]!s_stmnote_bank_35(A146,$A$1,1,100000000),[1]!s_stmnote_bank_35(A146,$B$1,1,100000000))*100),""))</f>
        <v>1.43</v>
      </c>
      <c r="CG146" s="27" t="str">
        <f t="shared" si="46"/>
        <v>156 171</v>
      </c>
      <c r="CH146" s="80">
        <f t="shared" si="53"/>
        <v>0.24135504904764579</v>
      </c>
      <c r="CI146" s="27" t="str">
        <f t="shared" si="47"/>
        <v>153 169</v>
      </c>
      <c r="CJ146" s="55">
        <f>[1]!s_stmnote_bank_30(A146,$A$1,1)</f>
        <v>34.071199999999997</v>
      </c>
      <c r="CP146" s="69">
        <f>[1]!b_stm07_bs($A146,141,$A$1,1,100000000)</f>
        <v>221.57575</v>
      </c>
      <c r="CQ146" s="69">
        <f>[1]!b_stm07_bs($A146,141,$D$1,1,100000000)</f>
        <v>225.62943999999999</v>
      </c>
      <c r="CR146" s="68">
        <f>IF([1]!s_fa_roic_yearly($A146,$A$1)=0,"",[1]!s_fa_roic_yearly($A146,$A$1))</f>
        <v>7.8129999999999997</v>
      </c>
      <c r="CS146" s="27">
        <f t="shared" si="48"/>
        <v>0.60946745562130178</v>
      </c>
      <c r="CT146" s="68">
        <f>IF([1]!s_fa_roic_yearly($A146,$D$1)=0,"",[1]!s_fa_roic_yearly($A146,$D$1))</f>
        <v>8.7045999999999992</v>
      </c>
      <c r="CU146" s="27">
        <f t="shared" si="49"/>
        <v>0.63380281690140849</v>
      </c>
      <c r="CV146" s="78">
        <f>[1]!s_stm07_bs(A146,"W14578191",$A$1,1,100000000)</f>
        <v>1510.07392</v>
      </c>
      <c r="CW146" s="78">
        <f>[1]!s_stmnote_bank_682($A146,$A$1,1,2,100000000)</f>
        <v>268.71951999999999</v>
      </c>
      <c r="CX146" s="79">
        <f t="shared" si="50"/>
        <v>0.17795123565871529</v>
      </c>
    </row>
    <row r="147" spans="1:102" s="46" customFormat="1" ht="13.5">
      <c r="A147" s="8" t="s">
        <v>437</v>
      </c>
      <c r="B147" s="8" t="s">
        <v>438</v>
      </c>
      <c r="C147" s="9" t="s">
        <v>439</v>
      </c>
      <c r="D147" s="9" t="s">
        <v>1061</v>
      </c>
      <c r="E147" s="10"/>
      <c r="F147" s="11" t="s">
        <v>178</v>
      </c>
      <c r="G147" s="11" t="s">
        <v>67</v>
      </c>
      <c r="H147" s="11" t="s">
        <v>116</v>
      </c>
      <c r="I147" s="11"/>
      <c r="J147" s="11" t="e">
        <f>VLOOKUP(B147,[3]额度信息!$B:$T,19,0)</f>
        <v>#N/A</v>
      </c>
      <c r="K147" s="11"/>
      <c r="L147" s="27">
        <f>IFERROR(([1]!b_stm07_bs($A147,47,$A$1,1,100000000))/[1]!b_stm07_bs($A147,109,$A$1,1,100000000),"")</f>
        <v>8.0709120961645384E-2</v>
      </c>
      <c r="M147" s="20"/>
      <c r="N147" s="18"/>
      <c r="O147" s="27" t="e">
        <f t="shared" si="39"/>
        <v>#N/A</v>
      </c>
      <c r="P147" s="21">
        <f t="shared" si="51"/>
        <v>5.9959342131303502E-2</v>
      </c>
      <c r="Q147" s="27" t="str">
        <f t="shared" si="40"/>
        <v>140 169</v>
      </c>
      <c r="R147" s="18">
        <v>3.95593421313035E-2</v>
      </c>
      <c r="S147" s="22"/>
      <c r="T147" s="22"/>
      <c r="U147" s="22"/>
      <c r="V147" s="22"/>
      <c r="W147" s="22"/>
      <c r="X147" s="22"/>
      <c r="Y147" s="22"/>
      <c r="Z147" s="25">
        <f>[1]!b_stm07_bs(A147,74,$A$1,1,100000000)</f>
        <v>3585.0460200000002</v>
      </c>
      <c r="AA147" s="25">
        <f>[1]!b_stm07_bs(A147,109,$A$1,1,100000000)</f>
        <v>2559.8791999999999</v>
      </c>
      <c r="AB147" s="10">
        <f>[1]!s_stmnote_bank_5n(A147,$A$1,1)</f>
        <v>2.04</v>
      </c>
      <c r="AC147" s="25">
        <f>IF([1]!s_stmnote_bank_23n(A147,$A$1,1)=0,"",IFERROR([1]!s_stmnote_bank_23n(A147,$A$1,1),""))</f>
        <v>132.04</v>
      </c>
      <c r="AD147" s="27" t="str">
        <f t="shared" si="41"/>
        <v>6 167</v>
      </c>
      <c r="AE147" s="25">
        <f>[1]!s_stmnote_bank_capadequacyratio(A147,$A$1,1)</f>
        <v>12.44</v>
      </c>
      <c r="AF147" s="25">
        <f>IF([1]!s_stmnote_bank_capadequacyratio_ct1(A147,$A$1,1)=0,"",IFERROR([1]!s_stmnote_bank_capadequacyratio_ct1(A147,$A$1,1),""))</f>
        <v>11.95</v>
      </c>
      <c r="AG147" s="27" t="str">
        <f t="shared" si="42"/>
        <v>124 167</v>
      </c>
      <c r="AH147" s="6">
        <f>IF(OR([1]!s_fa_roe(A147,20201231)=0,[1]!s_fa_roe(A147,20211231)="0",[1]!s_fa_roe(A147,20221231)="0"),"",IFERROR(([1]!s_fa_roe(A147,20221231)+[1]!s_fa_roe(A147,20201231)+[1]!s_fa_roe(A147,20211231))/3,""))</f>
        <v>1.8831666666666667</v>
      </c>
      <c r="AI147" s="27" t="str">
        <f t="shared" si="43"/>
        <v>10 173</v>
      </c>
      <c r="AJ147" s="28">
        <f>IFERROR(([1]!s_stmnote_bank_65(A147,$A$1,1,2,4,100000000)+[1]!s_stmnote_bank_65(A147,$A$1,1,2,6,100000000))/[1]!s_stmnote_bank_1n(A147,$A$1,1,100000000),"")</f>
        <v>0.11689249266887244</v>
      </c>
      <c r="AK147" s="28">
        <f>IFERROR([1]!s_stmnote_bank_614(A147,$A$1,1,2,100000000)/[1]!s_stmnote_bank_647(A147,$A$1,1,2,100000000),"")</f>
        <v>0.22323424480342668</v>
      </c>
      <c r="AL147" s="28">
        <f>IFERROR(([1]!b_stm07_bs(A147,104,$A$1,1,100000000)+[1]!b_stm07_bs(A147,106,$A$1,1,100000000)+[1]!b_stm07_bs(A147,76,$A$1,1,100000000)+[1]!b_stm07_bs(A147,108,$A$1,1,100000000)+[1]!b_stm07_bs(A147,95,$A$1,1,100000000))/[1]!b_stm07_bs(A147,128,$A$1,1,100000000),"")</f>
        <v>0.16167604300334182</v>
      </c>
      <c r="AM147" s="28">
        <f>IFERROR(([1]!s_stmnote_bank_614(A147,$A$1,1,2,100000000)+[1]!b_stm07_bs(A147,104,$A$1,1,100000000)+[1]!b_stm07_bs(A147,106,$A$1,1,100000000)+[1]!b_stm07_bs(A147,76,$A$1,1,100000000)+[1]!b_stm07_bs(A147,108,$A$1,1,100000000)+[1]!b_stm07_bs(A147,95,$A$1,1,100000000))/[1]!b_stm07_bs(A147,128,$A$1,1,100000000),"")</f>
        <v>0.33672760730797818</v>
      </c>
      <c r="AN147" s="31" t="e">
        <f>IF(Z147&gt;#REF!,#REF!,IF(Z147&gt;#REF!,#REF!,IF(Z147&gt;#REF!,#REF!,IF(Z147&gt;#REF!,#REF!,IF(Z147&gt;#REF!,#REF!,IF(Z147&gt;#REF!,#REF!,IF(Z147&gt;#REF!,#REF!,#REF!)))))))</f>
        <v>#REF!</v>
      </c>
      <c r="AO147" s="31" t="e">
        <f>IF(AA147&gt;#REF!,#REF!,IF(AA147&gt;#REF!,#REF!,IF(AA147&gt;#REF!,#REF!,IF(AA147&gt;#REF!,#REF!,IF(AA147&gt;#REF!,#REF!,IF(AA147&gt;#REF!,#REF!,IF(AA147&gt;#REF!,#REF!,#REF!)))))))</f>
        <v>#REF!</v>
      </c>
      <c r="AP147" s="31" t="e">
        <f>IF(AB147&lt;#REF!,#REF!,IF(AB147&lt;#REF!,#REF!,IF(AB147&lt;#REF!,#REF!,IF(AB147&lt;#REF!,#REF!,IF(AB147&lt;#REF!,#REF!,IF(AB147&lt;#REF!,#REF!,#REF!))))))</f>
        <v>#REF!</v>
      </c>
      <c r="AQ147" s="31" t="e">
        <f>IF(AC147&gt;#REF!,#REF!,IF(AC147&gt;#REF!,#REF!,IF(AC147&gt;#REF!,#REF!,IF(AC147&gt;#REF!,#REF!,#REF!))))</f>
        <v>#REF!</v>
      </c>
      <c r="AR147" s="31" t="e">
        <f>IF(AE147&gt;#REF!,#REF!,IF(AE147&gt;#REF!,#REF!,IF(AE147&gt;#REF!,#REF!,IF(AE147&gt;#REF!,#REF!,#REF!))))</f>
        <v>#REF!</v>
      </c>
      <c r="AS147" s="31" t="e">
        <f>IF(AF147&gt;#REF!,#REF!,IF(AF147&gt;#REF!,#REF!,IF(AF147&gt;#REF!,#REF!,IF(AF147&gt;#REF!,#REF!,#REF!))))</f>
        <v>#REF!</v>
      </c>
      <c r="AT147" s="31" t="e">
        <f>IF(AH147&gt;#REF!,#REF!,IF(AH147&gt;#REF!,#REF!,IF(AH147&gt;#REF!,#REF!,IF(AH147&gt;#REF!,#REF!,IF(AH147&gt;#REF!,#REF!,#REF!)))))</f>
        <v>#REF!</v>
      </c>
      <c r="AU147" s="10" t="e">
        <f t="shared" si="44"/>
        <v>#REF!</v>
      </c>
      <c r="AV147" s="10"/>
      <c r="AW147" s="10"/>
      <c r="AX147" s="10"/>
      <c r="AY147" s="31" t="str">
        <f>IFERROR(VLOOKUP(AV147,#REF!,3,0),"")</f>
        <v/>
      </c>
      <c r="AZ147" s="31" t="str">
        <f>IFERROR(VLOOKUP(AW147,#REF!,3,0),"")</f>
        <v/>
      </c>
      <c r="BA147" s="31" t="str">
        <f>IFERROR(VLOOKUP(AX147,#REF!,3,0),"")</f>
        <v/>
      </c>
      <c r="BB147" s="31" t="str">
        <f>IFERROR(AY147*#REF!+AZ147*#REF!+BA147*#REF!,"")</f>
        <v/>
      </c>
      <c r="BC147" s="32" t="str">
        <f t="shared" si="45"/>
        <v/>
      </c>
      <c r="BD147" s="32" t="str">
        <f>IFERROR(VLOOKUP(BC147*10,#REF!,2,1),"")</f>
        <v/>
      </c>
      <c r="BE147" s="10"/>
      <c r="BF147" s="10"/>
      <c r="BG147" s="10"/>
      <c r="BH147" s="11" t="s">
        <v>440</v>
      </c>
      <c r="BI147" s="10">
        <v>17.629999160766602</v>
      </c>
      <c r="BJ147" s="33" t="s">
        <v>441</v>
      </c>
      <c r="BK147" s="33" t="s">
        <v>442</v>
      </c>
      <c r="BL147" s="10">
        <f>IF([1]!s_stmnote_bank_17n(A147,$A$1,1)="0","",[1]!s_stmnote_bank_17n(A147,$A$1,1))</f>
        <v>0</v>
      </c>
      <c r="BM147" s="10">
        <f>IF([1]!s_stmnote_bank_18n(A147,$A$1,1)="0","",[1]!s_stmnote_bank_18n(A147,$A$1,1))</f>
        <v>0</v>
      </c>
      <c r="BN147" s="41">
        <v>3.85</v>
      </c>
      <c r="BO147" s="68">
        <v>2.64</v>
      </c>
      <c r="BP147" s="52">
        <f>[1]!s_stmnote_bank_5444(A147,$A$1,1)</f>
        <v>1.65</v>
      </c>
      <c r="BQ147" s="52">
        <f>[1]!s_stmnote_bank_129n($A147,$A$1,1)</f>
        <v>34.520000000000003</v>
      </c>
      <c r="BR147" s="52">
        <f t="shared" si="52"/>
        <v>4.0346450591828331</v>
      </c>
      <c r="BS147" s="52">
        <f>[1]!b_stm07_is(A147,19,$A$1,1,100000000)</f>
        <v>136.76231000000001</v>
      </c>
      <c r="BT147" s="52">
        <f xml:space="preserve"> [1]!s_stm07_bs(A147,"W15273164",$A$1,1,100000000)-[1]!s_stm07_bs(A147,"W17642530",$A$1,1,100000000)-[1]!s_stm07_bs(A147,"W15910877",$A$1,1,100000000)-[1]!s_stm07_bs_39(A147,$A$1,1,100000000)-[1]!s_stm07_bs(A147,"W17700468",$A$1,1,100000000)-[1]!s_stm07_bs(A147,"W16504296",$A$1,1,100000000)-[1]!s_stm07_bs(A147,"W13769069",$A$1,1,100000000)</f>
        <v>3525.4824400000002</v>
      </c>
      <c r="BU147" s="52">
        <f xml:space="preserve"> [1]!s_stm07_bs(A147,"W15273164",$B$1,1,100000000)-[1]!s_stm07_bs(A147,"W17642530",$B$1,1,100000000)-[1]!s_stm07_bs(A147,"W15910877",$B$1,1,100000000)-[1]!s_stm07_bs_39(A147,$B$1,1,100000000)-[1]!s_stm07_bs(A147,"W17700468",$B$1,1,100000000)-[1]!s_stm07_bs(A147,"W16504296",$B$1,1,100000000)-[1]!s_stm07_bs(A147,"W13769069",$B$1,1,100000000)</f>
        <v>3364.0300900000002</v>
      </c>
      <c r="BV147" s="52">
        <f xml:space="preserve"> [1]!s_stm07_bs(A147,"W15273164",$E$1,1,100000000)-[1]!s_stm07_bs(A147,"W17642530",$E$1,1,100000000)-[1]!s_stm07_bs(A147,"W15910877",$E$1,1,100000000)-[1]!s_stm07_bs_39(A147,$E$1,1,100000000)-[1]!s_stm07_bs(A147,"W17700468",$E$1,1,100000000)-[1]!s_stm07_bs(A147,"W16504296",$E$1,1,100000000)-[1]!s_stm07_bs(A147,"W13769069",$E$1,1,100000000)</f>
        <v>0</v>
      </c>
      <c r="BW147" s="52">
        <f xml:space="preserve"> [1]!s_stm07_bs(A147,"W15273164",$F$1,1,100000000)-[1]!s_stm07_bs(A147,"W17642530",$F$1,1,100000000)-[1]!s_stm07_bs(A147,"W15910877",$F$1,1,100000000)-[1]!s_stm07_bs_39(A147,$F$1,1,100000000)-[1]!s_stm07_bs(A147,"W17700468",$F$1,1,100000000)-[1]!s_stm07_bs(A147,"W16504296",$F$1,1,100000000)-[1]!s_stm07_bs(A147,"W13769069",$F$1,1,100000000)</f>
        <v>3433.5949800000003</v>
      </c>
      <c r="BX147" s="52">
        <f xml:space="preserve"> [1]!s_stm07_bs(A147,"W15273164",$G$1,1,100000000)-[1]!s_stm07_bs(A147,"W17642530",$G$1,1,100000000)-[1]!s_stm07_bs(A147,"W15910877",$G$1,1,100000000)-[1]!s_stm07_bs_39(A147,$G$1,1,100000000)-[1]!s_stm07_bs(A147,"W17700468",$G$1,1,100000000)-[1]!s_stm07_bs(A147,"W16504296",$G$1,1,100000000)-[1]!s_stm07_bs(A147,"W13769069",$G$1,1,100000000)</f>
        <v>0</v>
      </c>
      <c r="BY147" s="52">
        <f>IFERROR([1]!b_stm07_is(A147,20,$A$1,1,100000000)/AVERAGEIF(CA147:CE147,"&gt;0")*100,0)</f>
        <v>2.840580543099779</v>
      </c>
      <c r="BZ147" s="52">
        <f>[1]!b_stm07_is(A147,20,$A$1,1,100000000)</f>
        <v>87.519750000000002</v>
      </c>
      <c r="CA147" s="52">
        <f>[1]!s_stmnote_bank_38(A147,$A$1,1,100000000)</f>
        <v>3158.21866</v>
      </c>
      <c r="CB147" s="52">
        <f>[1]!s_stmnote_bank_38(A147,$B$1,1,100000000)</f>
        <v>3002.0523499999999</v>
      </c>
      <c r="CC147" s="52">
        <f>[1]!s_stmnote_bank_38(A147,$E$1,1,100000000)</f>
        <v>0</v>
      </c>
      <c r="CD147" s="52">
        <f>[1]!s_stmnote_bank_38(A147,$F$1,1,100000000)</f>
        <v>3082.88355</v>
      </c>
      <c r="CE147" s="52">
        <f>[1]!s_stmnote_bank_38(A147,$G$1,1,100000000)</f>
        <v>0</v>
      </c>
      <c r="CF147" s="52">
        <f>IF(BP147&lt;&gt;0,BP147,IFERROR(IF(([1]!b_stm07_is(A147,19,$A$1,1,100000000)-[1]!b_stm07_is(A147,20,$A$1,1,100000000))/AVERAGE([1]!s_stmnote_bank_35(A147,$A$1,1,100000000),[1]!s_stmnote_bank_35(A147,$B$1,1,100000000))*100=0,"",([1]!b_stm07_is(A147,19,$A$1,1,100000000)-[1]!b_stm07_is(A147,20,$A$1,1,100000000))/AVERAGE([1]!s_stmnote_bank_35(A147,$A$1,1,100000000),[1]!s_stmnote_bank_35(A147,$B$1,1,100000000))*100),""))</f>
        <v>1.65</v>
      </c>
      <c r="CG147" s="27" t="str">
        <f t="shared" si="46"/>
        <v>144 171</v>
      </c>
      <c r="CH147" s="80">
        <f t="shared" si="53"/>
        <v>0.27518647492607662</v>
      </c>
      <c r="CI147" s="27" t="str">
        <f t="shared" si="47"/>
        <v>147 169</v>
      </c>
      <c r="CJ147" s="55">
        <f>[1]!s_stmnote_bank_30(A147,$A$1,1)</f>
        <v>21.558700000000002</v>
      </c>
      <c r="CP147" s="69">
        <f>[1]!b_stm07_bs($A147,141,$A$1,1,100000000)</f>
        <v>320.56391000000002</v>
      </c>
      <c r="CQ147" s="69">
        <f>[1]!b_stm07_bs($A147,141,$D$1,1,100000000)</f>
        <v>324.27967999999998</v>
      </c>
      <c r="CR147" s="68">
        <f>IF([1]!s_fa_roic_yearly($A147,$A$1)=0,"",[1]!s_fa_roic_yearly($A147,$A$1))</f>
        <v>1.7988</v>
      </c>
      <c r="CS147" s="27">
        <f t="shared" si="48"/>
        <v>0.95857988165680474</v>
      </c>
      <c r="CT147" s="68">
        <f>IF([1]!s_fa_roic_yearly($A147,$D$1)=0,"",[1]!s_fa_roic_yearly($A147,$D$1))</f>
        <v>2.4464000000000001</v>
      </c>
      <c r="CU147" s="27">
        <f t="shared" si="49"/>
        <v>0.96478873239436624</v>
      </c>
      <c r="CV147" s="78">
        <f>[1]!s_stm07_bs(A147,"W14578191",$A$1,1,100000000)</f>
        <v>1932.4109699999999</v>
      </c>
      <c r="CW147" s="78">
        <f>[1]!s_stmnote_bank_682($A147,$A$1,1,2,100000000)</f>
        <v>480.06072999999998</v>
      </c>
      <c r="CX147" s="79">
        <f t="shared" si="50"/>
        <v>0.24842579422947492</v>
      </c>
    </row>
    <row r="148" spans="1:102" s="46" customFormat="1" ht="13.5">
      <c r="A148" s="8" t="s">
        <v>792</v>
      </c>
      <c r="B148" s="8" t="s">
        <v>793</v>
      </c>
      <c r="C148" s="9" t="s">
        <v>794</v>
      </c>
      <c r="D148" s="9" t="s">
        <v>1061</v>
      </c>
      <c r="E148" s="10" t="s">
        <v>794</v>
      </c>
      <c r="F148" s="11" t="s">
        <v>178</v>
      </c>
      <c r="G148" s="11"/>
      <c r="H148" s="11" t="s">
        <v>116</v>
      </c>
      <c r="I148" s="11"/>
      <c r="J148" s="11">
        <f>VLOOKUP(B148,[3]额度信息!$B:$T,19,0)</f>
        <v>0</v>
      </c>
      <c r="K148" s="11" t="s">
        <v>795</v>
      </c>
      <c r="L148" s="27">
        <f>IFERROR(([1]!b_stm07_bs($A148,47,$A$1,1,100000000))/[1]!b_stm07_bs($A148,109,$A$1,1,100000000),"")</f>
        <v>7.6824672147566844E-2</v>
      </c>
      <c r="M148" s="20"/>
      <c r="N148" s="18"/>
      <c r="O148" s="27" t="e">
        <f t="shared" si="39"/>
        <v>#N/A</v>
      </c>
      <c r="P148" s="21">
        <f t="shared" si="51"/>
        <v>6.3119597907462993E-2</v>
      </c>
      <c r="Q148" s="27" t="str">
        <f t="shared" si="40"/>
        <v>145 169</v>
      </c>
      <c r="R148" s="18">
        <v>4.0619597907463001E-2</v>
      </c>
      <c r="S148" s="22"/>
      <c r="T148" s="22"/>
      <c r="U148" s="22"/>
      <c r="V148" s="22"/>
      <c r="W148" s="22"/>
      <c r="X148" s="22"/>
      <c r="Y148" s="22"/>
      <c r="Z148" s="25">
        <f>[1]!b_stm07_bs(A148,74,$A$1,1,100000000)</f>
        <v>3511.2006799999999</v>
      </c>
      <c r="AA148" s="25">
        <f>[1]!b_stm07_bs(A148,109,$A$1,1,100000000)</f>
        <v>2548.1799599999999</v>
      </c>
      <c r="AB148" s="10">
        <f>[1]!s_stmnote_bank_5n(A148,$A$1,1)</f>
        <v>2.25</v>
      </c>
      <c r="AC148" s="25">
        <f>IF([1]!s_stmnote_bank_23n(A148,$A$1,1)=0,"",IFERROR([1]!s_stmnote_bank_23n(A148,$A$1,1),""))</f>
        <v>203.54</v>
      </c>
      <c r="AD148" s="27" t="str">
        <f t="shared" si="41"/>
        <v>69 167</v>
      </c>
      <c r="AE148" s="25">
        <f>[1]!s_stmnote_bank_capadequacyratio(A148,$A$1,1)</f>
        <v>13.89</v>
      </c>
      <c r="AF148" s="25">
        <f>IF([1]!s_stmnote_bank_capadequacyratio_ct1(A148,$A$1,1)=0,"",IFERROR([1]!s_stmnote_bank_capadequacyratio_ct1(A148,$A$1,1),""))</f>
        <v>10.61</v>
      </c>
      <c r="AG148" s="27" t="str">
        <f t="shared" si="42"/>
        <v>97 167</v>
      </c>
      <c r="AH148" s="6">
        <f>IF(OR([1]!s_fa_roe(A148,20201231)=0,[1]!s_fa_roe(A148,20211231)="0",[1]!s_fa_roe(A148,20221231)="0"),"",IFERROR(([1]!s_fa_roe(A148,20221231)+[1]!s_fa_roe(A148,20201231)+[1]!s_fa_roe(A148,20211231))/3,""))</f>
        <v>6.6565666666666665</v>
      </c>
      <c r="AI148" s="27" t="str">
        <f t="shared" si="43"/>
        <v>64 173</v>
      </c>
      <c r="AJ148" s="28">
        <f>IFERROR(([1]!s_stmnote_bank_65(A148,$A$1,1,2,4,100000000)+[1]!s_stmnote_bank_65(A148,$A$1,1,2,6,100000000))/[1]!s_stmnote_bank_1n(A148,$A$1,1,100000000),"")</f>
        <v>0.19674512404527689</v>
      </c>
      <c r="AK148" s="28">
        <f>IFERROR([1]!s_stmnote_bank_614(A148,$A$1,1,2,100000000)/[1]!s_stmnote_bank_647(A148,$A$1,1,2,100000000),"")</f>
        <v>0.35700310330663915</v>
      </c>
      <c r="AL148" s="28">
        <f>IFERROR(([1]!b_stm07_bs(A148,104,$A$1,1,100000000)+[1]!b_stm07_bs(A148,106,$A$1,1,100000000)+[1]!b_stm07_bs(A148,76,$A$1,1,100000000)+[1]!b_stm07_bs(A148,108,$A$1,1,100000000)+[1]!b_stm07_bs(A148,95,$A$1,1,100000000))/[1]!b_stm07_bs(A148,128,$A$1,1,100000000),"")</f>
        <v>0.18291058617608469</v>
      </c>
      <c r="AM148" s="28">
        <f>IFERROR(([1]!s_stmnote_bank_614(A148,$A$1,1,2,100000000)+[1]!b_stm07_bs(A148,104,$A$1,1,100000000)+[1]!b_stm07_bs(A148,106,$A$1,1,100000000)+[1]!b_stm07_bs(A148,76,$A$1,1,100000000)+[1]!b_stm07_bs(A148,108,$A$1,1,100000000)+[1]!b_stm07_bs(A148,95,$A$1,1,100000000))/[1]!b_stm07_bs(A148,128,$A$1,1,100000000),"")</f>
        <v>0.45897786535049406</v>
      </c>
      <c r="AN148" s="31" t="e">
        <f>IF(Z148&gt;#REF!,#REF!,IF(Z148&gt;#REF!,#REF!,IF(Z148&gt;#REF!,#REF!,IF(Z148&gt;#REF!,#REF!,IF(Z148&gt;#REF!,#REF!,IF(Z148&gt;#REF!,#REF!,IF(Z148&gt;#REF!,#REF!,#REF!)))))))</f>
        <v>#REF!</v>
      </c>
      <c r="AO148" s="31" t="e">
        <f>IF(AA148&gt;#REF!,#REF!,IF(AA148&gt;#REF!,#REF!,IF(AA148&gt;#REF!,#REF!,IF(AA148&gt;#REF!,#REF!,IF(AA148&gt;#REF!,#REF!,IF(AA148&gt;#REF!,#REF!,IF(AA148&gt;#REF!,#REF!,#REF!)))))))</f>
        <v>#REF!</v>
      </c>
      <c r="AP148" s="31" t="e">
        <f>IF(AB148&lt;#REF!,#REF!,IF(AB148&lt;#REF!,#REF!,IF(AB148&lt;#REF!,#REF!,IF(AB148&lt;#REF!,#REF!,IF(AB148&lt;#REF!,#REF!,IF(AB148&lt;#REF!,#REF!,#REF!))))))</f>
        <v>#REF!</v>
      </c>
      <c r="AQ148" s="31" t="e">
        <f>IF(AC148&gt;#REF!,#REF!,IF(AC148&gt;#REF!,#REF!,IF(AC148&gt;#REF!,#REF!,IF(AC148&gt;#REF!,#REF!,#REF!))))</f>
        <v>#REF!</v>
      </c>
      <c r="AR148" s="31" t="e">
        <f>IF(AE148&gt;#REF!,#REF!,IF(AE148&gt;#REF!,#REF!,IF(AE148&gt;#REF!,#REF!,IF(AE148&gt;#REF!,#REF!,#REF!))))</f>
        <v>#REF!</v>
      </c>
      <c r="AS148" s="31" t="e">
        <f>IF(AF148&gt;#REF!,#REF!,IF(AF148&gt;#REF!,#REF!,IF(AF148&gt;#REF!,#REF!,IF(AF148&gt;#REF!,#REF!,#REF!))))</f>
        <v>#REF!</v>
      </c>
      <c r="AT148" s="31" t="e">
        <f>IF(AH148&gt;#REF!,#REF!,IF(AH148&gt;#REF!,#REF!,IF(AH148&gt;#REF!,#REF!,IF(AH148&gt;#REF!,#REF!,IF(AH148&gt;#REF!,#REF!,#REF!)))))</f>
        <v>#REF!</v>
      </c>
      <c r="AU148" s="10" t="e">
        <f t="shared" si="44"/>
        <v>#REF!</v>
      </c>
      <c r="AV148" s="10" t="s">
        <v>141</v>
      </c>
      <c r="AW148" s="10" t="s">
        <v>161</v>
      </c>
      <c r="AX148" s="10" t="s">
        <v>141</v>
      </c>
      <c r="AY148" s="31" t="str">
        <f>IFERROR(VLOOKUP(AV148,#REF!,3,0),"")</f>
        <v/>
      </c>
      <c r="AZ148" s="31" t="str">
        <f>IFERROR(VLOOKUP(AW148,#REF!,3,0),"")</f>
        <v/>
      </c>
      <c r="BA148" s="31" t="str">
        <f>IFERROR(VLOOKUP(AX148,#REF!,3,0),"")</f>
        <v/>
      </c>
      <c r="BB148" s="31" t="str">
        <f>IFERROR(AY148*#REF!+AZ148*#REF!+BA148*#REF!,"")</f>
        <v/>
      </c>
      <c r="BC148" s="32" t="str">
        <f t="shared" si="45"/>
        <v/>
      </c>
      <c r="BD148" s="32" t="str">
        <f>IFERROR(VLOOKUP(BC148*10,#REF!,2,1),"")</f>
        <v/>
      </c>
      <c r="BE148" s="11">
        <v>0</v>
      </c>
      <c r="BF148" s="11">
        <v>0</v>
      </c>
      <c r="BG148" s="10" t="s">
        <v>713</v>
      </c>
      <c r="BH148" s="11" t="s">
        <v>796</v>
      </c>
      <c r="BI148" s="10">
        <v>19.9899997711182</v>
      </c>
      <c r="BJ148" s="33" t="s">
        <v>376</v>
      </c>
      <c r="BK148" s="33" t="s">
        <v>377</v>
      </c>
      <c r="BL148" s="10">
        <f>IF([1]!s_stmnote_bank_17n(A148,$A$1,1)="0","",[1]!s_stmnote_bank_17n(A148,$A$1,1))</f>
        <v>4.1500000000000004</v>
      </c>
      <c r="BM148" s="10">
        <f>IF([1]!s_stmnote_bank_18n(A148,$A$1,1)="0","",[1]!s_stmnote_bank_18n(A148,$A$1,1))</f>
        <v>27.92</v>
      </c>
      <c r="BN148" s="41" t="s">
        <v>67</v>
      </c>
      <c r="BO148" s="68" t="s">
        <v>67</v>
      </c>
      <c r="BP148" s="52">
        <f>[1]!s_stmnote_bank_5444(A148,$A$1,1)</f>
        <v>2.17</v>
      </c>
      <c r="BQ148" s="52">
        <f>[1]!s_stmnote_bank_129n($A148,$A$1,1)</f>
        <v>29.64</v>
      </c>
      <c r="BR148" s="52">
        <f t="shared" si="52"/>
        <v>4.396906708156231</v>
      </c>
      <c r="BS148" s="52">
        <f>[1]!b_stm07_is(A148,19,$A$1,1,100000000)</f>
        <v>136.99028000000001</v>
      </c>
      <c r="BT148" s="52">
        <f xml:space="preserve"> [1]!s_stm07_bs(A148,"W15273164",$A$1,1,100000000)-[1]!s_stm07_bs(A148,"W17642530",$A$1,1,100000000)-[1]!s_stm07_bs(A148,"W15910877",$A$1,1,100000000)-[1]!s_stm07_bs_39(A148,$A$1,1,100000000)-[1]!s_stm07_bs(A148,"W17700468",$A$1,1,100000000)-[1]!s_stm07_bs(A148,"W16504296",$A$1,1,100000000)-[1]!s_stm07_bs(A148,"W13769069",$A$1,1,100000000)</f>
        <v>3462.63778</v>
      </c>
      <c r="BU148" s="52">
        <f xml:space="preserve"> [1]!s_stm07_bs(A148,"W15273164",$B$1,1,100000000)-[1]!s_stm07_bs(A148,"W17642530",$B$1,1,100000000)-[1]!s_stm07_bs(A148,"W15910877",$B$1,1,100000000)-[1]!s_stm07_bs_39(A148,$B$1,1,100000000)-[1]!s_stm07_bs(A148,"W17700468",$B$1,1,100000000)-[1]!s_stm07_bs(A148,"W16504296",$B$1,1,100000000)-[1]!s_stm07_bs(A148,"W13769069",$B$1,1,100000000)</f>
        <v>2982.4098100000006</v>
      </c>
      <c r="BV148" s="52">
        <f xml:space="preserve"> [1]!s_stm07_bs(A148,"W15273164",$E$1,1,100000000)-[1]!s_stm07_bs(A148,"W17642530",$E$1,1,100000000)-[1]!s_stm07_bs(A148,"W15910877",$E$1,1,100000000)-[1]!s_stm07_bs_39(A148,$E$1,1,100000000)-[1]!s_stm07_bs(A148,"W17700468",$E$1,1,100000000)-[1]!s_stm07_bs(A148,"W16504296",$E$1,1,100000000)-[1]!s_stm07_bs(A148,"W13769069",$E$1,1,100000000)</f>
        <v>3437.4325690000001</v>
      </c>
      <c r="BW148" s="52">
        <f xml:space="preserve"> [1]!s_stm07_bs(A148,"W15273164",$F$1,1,100000000)-[1]!s_stm07_bs(A148,"W17642530",$F$1,1,100000000)-[1]!s_stm07_bs(A148,"W15910877",$F$1,1,100000000)-[1]!s_stm07_bs_39(A148,$F$1,1,100000000)-[1]!s_stm07_bs(A148,"W17700468",$F$1,1,100000000)-[1]!s_stm07_bs(A148,"W16504296",$F$1,1,100000000)-[1]!s_stm07_bs(A148,"W13769069",$F$1,1,100000000)</f>
        <v>3452.1420739999999</v>
      </c>
      <c r="BX148" s="52">
        <f xml:space="preserve"> [1]!s_stm07_bs(A148,"W15273164",$G$1,1,100000000)-[1]!s_stm07_bs(A148,"W17642530",$G$1,1,100000000)-[1]!s_stm07_bs(A148,"W15910877",$G$1,1,100000000)-[1]!s_stm07_bs_39(A148,$G$1,1,100000000)-[1]!s_stm07_bs(A148,"W17700468",$G$1,1,100000000)-[1]!s_stm07_bs(A148,"W16504296",$G$1,1,100000000)-[1]!s_stm07_bs(A148,"W13769069",$G$1,1,100000000)</f>
        <v>3291.3861919999999</v>
      </c>
      <c r="BY148" s="52">
        <f>IFERROR([1]!b_stm07_is(A148,20,$A$1,1,100000000)/AVERAGEIF(CA148:CE148,"&gt;0")*100,0)</f>
        <v>2.3543790898330728</v>
      </c>
      <c r="BZ148" s="52">
        <f>[1]!b_stm07_is(A148,20,$A$1,1,100000000)</f>
        <v>70.464380000000006</v>
      </c>
      <c r="CA148" s="52">
        <f>[1]!s_stmnote_bank_38(A148,$A$1,1,100000000)</f>
        <v>3211.8601899999999</v>
      </c>
      <c r="CB148" s="52">
        <f>[1]!s_stmnote_bank_38(A148,$B$1,1,100000000)</f>
        <v>2773.9540999999999</v>
      </c>
      <c r="CC148" s="52">
        <f>[1]!s_stmnote_bank_38(A148,$E$1,1,100000000)</f>
        <v>0</v>
      </c>
      <c r="CD148" s="52">
        <f>[1]!s_stmnote_bank_38(A148,$F$1,1,100000000)</f>
        <v>0</v>
      </c>
      <c r="CE148" s="52">
        <f>[1]!s_stmnote_bank_38(A148,$G$1,1,100000000)</f>
        <v>0</v>
      </c>
      <c r="CF148" s="52">
        <f>IF(BP148&lt;&gt;0,BP148,IFERROR(IF(([1]!b_stm07_is(A148,19,$A$1,1,100000000)-[1]!b_stm07_is(A148,20,$A$1,1,100000000))/AVERAGE([1]!s_stmnote_bank_35(A148,$A$1,1,100000000),[1]!s_stmnote_bank_35(A148,$B$1,1,100000000))*100=0,"",([1]!b_stm07_is(A148,19,$A$1,1,100000000)-[1]!b_stm07_is(A148,20,$A$1,1,100000000))/AVERAGE([1]!s_stmnote_bank_35(A148,$A$1,1,100000000),[1]!s_stmnote_bank_35(A148,$B$1,1,100000000))*100),""))</f>
        <v>2.17</v>
      </c>
      <c r="CG148" s="27" t="str">
        <f t="shared" si="46"/>
        <v>69 171</v>
      </c>
      <c r="CH148" s="80">
        <f t="shared" si="53"/>
        <v>0.34379179715012548</v>
      </c>
      <c r="CI148" s="27" t="str">
        <f t="shared" si="47"/>
        <v>136 169</v>
      </c>
      <c r="CJ148" s="55">
        <f>[1]!s_stmnote_bank_30(A148,$A$1,1)</f>
        <v>13.304</v>
      </c>
      <c r="CP148" s="69">
        <f>[1]!b_stm07_bs($A148,141,$A$1,1,100000000)</f>
        <v>279.41786000000002</v>
      </c>
      <c r="CQ148" s="69">
        <f>[1]!b_stm07_bs($A148,141,$D$1,1,100000000)</f>
        <v>285.49900000000002</v>
      </c>
      <c r="CR148" s="68">
        <f>IF([1]!s_fa_roic_yearly($A148,$A$1)=0,"",[1]!s_fa_roic_yearly($A148,$A$1))</f>
        <v>6.8071000000000002</v>
      </c>
      <c r="CS148" s="27">
        <f t="shared" si="48"/>
        <v>0.67455621301775148</v>
      </c>
      <c r="CT148" s="68">
        <f>IF([1]!s_fa_roic_yearly($A148,$D$1)=0,"",[1]!s_fa_roic_yearly($A148,$D$1))</f>
        <v>8.8076000000000008</v>
      </c>
      <c r="CU148" s="27">
        <f t="shared" si="49"/>
        <v>0.61267605633802813</v>
      </c>
      <c r="CV148" s="78">
        <f>[1]!s_stm07_bs(A148,"W14578191",$A$1,1,100000000)</f>
        <v>1737.3748900000001</v>
      </c>
      <c r="CW148" s="78">
        <f>[1]!s_stmnote_bank_682($A148,$A$1,1,2,100000000)</f>
        <v>427.83792999999997</v>
      </c>
      <c r="CX148" s="79">
        <f t="shared" si="50"/>
        <v>0.2462553893592879</v>
      </c>
    </row>
    <row r="149" spans="1:102" s="46" customFormat="1" ht="13.5">
      <c r="A149" s="8" t="s">
        <v>428</v>
      </c>
      <c r="B149" s="8" t="s">
        <v>429</v>
      </c>
      <c r="C149" s="9" t="s">
        <v>430</v>
      </c>
      <c r="D149" s="9" t="s">
        <v>1066</v>
      </c>
      <c r="E149" s="10"/>
      <c r="F149" s="11" t="s">
        <v>66</v>
      </c>
      <c r="G149" s="11" t="s">
        <v>67</v>
      </c>
      <c r="H149" s="11" t="s">
        <v>116</v>
      </c>
      <c r="I149" s="11"/>
      <c r="J149" s="11" t="e">
        <f>VLOOKUP(B149,[3]额度信息!$B:$T,19,0)</f>
        <v>#N/A</v>
      </c>
      <c r="K149" s="11"/>
      <c r="L149" s="27">
        <f>IFERROR(([1]!b_stm07_bs($A149,47,$A$1,1,100000000))/[1]!b_stm07_bs($A149,109,$A$1,1,100000000),"")</f>
        <v>0.12338396030009163</v>
      </c>
      <c r="M149" s="20"/>
      <c r="N149" s="18"/>
      <c r="O149" s="27" t="e">
        <f t="shared" si="39"/>
        <v>#N/A</v>
      </c>
      <c r="P149" s="21">
        <f t="shared" si="51"/>
        <v>7.2703170803912226E-2</v>
      </c>
      <c r="Q149" s="27" t="str">
        <f t="shared" si="40"/>
        <v>151 169</v>
      </c>
      <c r="R149" s="18">
        <f>IFERROR([1]!s_stmnote_bank($A149,"34",$A$1,100000000)/[1]!s_stmnote_bank_1n(A149,$A$1,1,100000000),"")</f>
        <v>4.7203170803912231E-2</v>
      </c>
      <c r="S149" s="22"/>
      <c r="T149" s="22"/>
      <c r="U149" s="22"/>
      <c r="V149" s="22"/>
      <c r="W149" s="22"/>
      <c r="X149" s="22"/>
      <c r="Y149" s="22"/>
      <c r="Z149" s="25">
        <f>[1]!b_stm07_bs(A149,74,$A$1,1,100000000)</f>
        <v>3727.5790069539003</v>
      </c>
      <c r="AA149" s="25">
        <f>[1]!b_stm07_bs(A149,109,$A$1,1,100000000)</f>
        <v>2658.5424916114998</v>
      </c>
      <c r="AB149" s="10">
        <f>[1]!s_stmnote_bank_5n(A149,$A$1,1)</f>
        <v>2.5499999999999998</v>
      </c>
      <c r="AC149" s="25">
        <f>IF([1]!s_stmnote_bank_23n(A149,$A$1,1)=0,"",IFERROR([1]!s_stmnote_bank_23n(A149,$A$1,1),""))</f>
        <v>191.08</v>
      </c>
      <c r="AD149" s="27" t="str">
        <f t="shared" si="41"/>
        <v>59 167</v>
      </c>
      <c r="AE149" s="25">
        <f>[1]!s_stmnote_bank_capadequacyratio(A149,$A$1,1)</f>
        <v>12.3</v>
      </c>
      <c r="AF149" s="25">
        <f>IF([1]!s_stmnote_bank_capadequacyratio_ct1(A149,$A$1,1)=0,"",IFERROR([1]!s_stmnote_bank_capadequacyratio_ct1(A149,$A$1,1),""))</f>
        <v>9.2899999999999991</v>
      </c>
      <c r="AG149" s="27" t="str">
        <f t="shared" si="42"/>
        <v>53 167</v>
      </c>
      <c r="AH149" s="6">
        <f>IF(OR([1]!s_fa_roe(A149,20201231)=0,[1]!s_fa_roe(A149,20211231)="0",[1]!s_fa_roe(A149,20221231)="0"),"",IFERROR(([1]!s_fa_roe(A149,20221231)+[1]!s_fa_roe(A149,20201231)+[1]!s_fa_roe(A149,20211231))/3,""))</f>
        <v>4.7046666666666672</v>
      </c>
      <c r="AI149" s="27" t="str">
        <f t="shared" si="43"/>
        <v>35 173</v>
      </c>
      <c r="AJ149" s="28">
        <f>IFERROR(([1]!s_stmnote_bank_65(A149,$A$1,1,2,4,100000000)+[1]!s_stmnote_bank_65(A149,$A$1,1,2,6,100000000))/[1]!s_stmnote_bank_1n(A149,$A$1,1,100000000),"")</f>
        <v>0.202857988557542</v>
      </c>
      <c r="AK149" s="28">
        <f>IFERROR([1]!s_stmnote_bank_614(A149,$A$1,1,2,100000000)/[1]!s_stmnote_bank_647(A149,$A$1,1,2,100000000),"")</f>
        <v>0.28377063732056568</v>
      </c>
      <c r="AL149" s="28">
        <f>IFERROR(([1]!b_stm07_bs(A149,104,$A$1,1,100000000)+[1]!b_stm07_bs(A149,106,$A$1,1,100000000)+[1]!b_stm07_bs(A149,76,$A$1,1,100000000)+[1]!b_stm07_bs(A149,108,$A$1,1,100000000)+[1]!b_stm07_bs(A149,95,$A$1,1,100000000))/[1]!b_stm07_bs(A149,128,$A$1,1,100000000),"")</f>
        <v>0.21875540849238842</v>
      </c>
      <c r="AM149" s="28">
        <f>IFERROR(([1]!s_stmnote_bank_614(A149,$A$1,1,2,100000000)+[1]!b_stm07_bs(A149,104,$A$1,1,100000000)+[1]!b_stm07_bs(A149,106,$A$1,1,100000000)+[1]!b_stm07_bs(A149,76,$A$1,1,100000000)+[1]!b_stm07_bs(A149,108,$A$1,1,100000000)+[1]!b_stm07_bs(A149,95,$A$1,1,100000000))/[1]!b_stm07_bs(A149,128,$A$1,1,100000000),"")</f>
        <v>0.43572836032503171</v>
      </c>
      <c r="AN149" s="31" t="e">
        <f>IF(Z149&gt;#REF!,#REF!,IF(Z149&gt;#REF!,#REF!,IF(Z149&gt;#REF!,#REF!,IF(Z149&gt;#REF!,#REF!,IF(Z149&gt;#REF!,#REF!,IF(Z149&gt;#REF!,#REF!,IF(Z149&gt;#REF!,#REF!,#REF!)))))))</f>
        <v>#REF!</v>
      </c>
      <c r="AO149" s="31" t="e">
        <f>IF(AA149&gt;#REF!,#REF!,IF(AA149&gt;#REF!,#REF!,IF(AA149&gt;#REF!,#REF!,IF(AA149&gt;#REF!,#REF!,IF(AA149&gt;#REF!,#REF!,IF(AA149&gt;#REF!,#REF!,IF(AA149&gt;#REF!,#REF!,#REF!)))))))</f>
        <v>#REF!</v>
      </c>
      <c r="AP149" s="31" t="e">
        <f>IF(AB149&lt;#REF!,#REF!,IF(AB149&lt;#REF!,#REF!,IF(AB149&lt;#REF!,#REF!,IF(AB149&lt;#REF!,#REF!,IF(AB149&lt;#REF!,#REF!,IF(AB149&lt;#REF!,#REF!,#REF!))))))</f>
        <v>#REF!</v>
      </c>
      <c r="AQ149" s="31" t="e">
        <f>IF(AC149&gt;#REF!,#REF!,IF(AC149&gt;#REF!,#REF!,IF(AC149&gt;#REF!,#REF!,IF(AC149&gt;#REF!,#REF!,#REF!))))</f>
        <v>#REF!</v>
      </c>
      <c r="AR149" s="31" t="e">
        <f>IF(AE149&gt;#REF!,#REF!,IF(AE149&gt;#REF!,#REF!,IF(AE149&gt;#REF!,#REF!,IF(AE149&gt;#REF!,#REF!,#REF!))))</f>
        <v>#REF!</v>
      </c>
      <c r="AS149" s="31" t="e">
        <f>IF(AF149&gt;#REF!,#REF!,IF(AF149&gt;#REF!,#REF!,IF(AF149&gt;#REF!,#REF!,IF(AF149&gt;#REF!,#REF!,#REF!))))</f>
        <v>#REF!</v>
      </c>
      <c r="AT149" s="31" t="e">
        <f>IF(AH149&gt;#REF!,#REF!,IF(AH149&gt;#REF!,#REF!,IF(AH149&gt;#REF!,#REF!,IF(AH149&gt;#REF!,#REF!,IF(AH149&gt;#REF!,#REF!,#REF!)))))</f>
        <v>#REF!</v>
      </c>
      <c r="AU149" s="10" t="e">
        <f t="shared" si="44"/>
        <v>#REF!</v>
      </c>
      <c r="AV149" s="10" t="s">
        <v>141</v>
      </c>
      <c r="AW149" s="10" t="s">
        <v>161</v>
      </c>
      <c r="AX149" s="10" t="s">
        <v>261</v>
      </c>
      <c r="AY149" s="31" t="str">
        <f>IFERROR(VLOOKUP(AV149,#REF!,3,0),"")</f>
        <v/>
      </c>
      <c r="AZ149" s="31" t="str">
        <f>IFERROR(VLOOKUP(AW149,#REF!,3,0),"")</f>
        <v/>
      </c>
      <c r="BA149" s="31" t="str">
        <f>IFERROR(VLOOKUP(AX149,#REF!,3,0),"")</f>
        <v/>
      </c>
      <c r="BB149" s="31" t="str">
        <f>IFERROR(AY149*#REF!+AZ149*#REF!+BA149*#REF!,"")</f>
        <v/>
      </c>
      <c r="BC149" s="32" t="str">
        <f t="shared" si="45"/>
        <v/>
      </c>
      <c r="BD149" s="32" t="str">
        <f>IFERROR(VLOOKUP(BC149*10,#REF!,2,1),"")</f>
        <v/>
      </c>
      <c r="BE149" s="10"/>
      <c r="BF149" s="10"/>
      <c r="BG149" s="10"/>
      <c r="BH149" s="11" t="s">
        <v>431</v>
      </c>
      <c r="BI149" s="10">
        <v>7.5599999427795401</v>
      </c>
      <c r="BJ149" s="33" t="s">
        <v>376</v>
      </c>
      <c r="BK149" s="33" t="s">
        <v>377</v>
      </c>
      <c r="BL149" s="10">
        <f>IF([1]!s_stmnote_bank_17n(A149,$A$1,1)="0","",[1]!s_stmnote_bank_17n(A149,$A$1,1))</f>
        <v>6.37</v>
      </c>
      <c r="BM149" s="10">
        <f>IF([1]!s_stmnote_bank_18n(A149,$A$1,1)="0","",[1]!s_stmnote_bank_18n(A149,$A$1,1))</f>
        <v>0</v>
      </c>
      <c r="BN149" s="41"/>
      <c r="BO149" s="52"/>
      <c r="BP149" s="52">
        <f>[1]!s_stmnote_bank_5444(A149,$A$1,1)</f>
        <v>0</v>
      </c>
      <c r="BQ149" s="52">
        <f>[1]!s_stmnote_bank_129n($A149,$A$1,1)</f>
        <v>41.54</v>
      </c>
      <c r="BR149" s="52">
        <f t="shared" si="52"/>
        <v>4.4499025201830298</v>
      </c>
      <c r="BS149" s="52">
        <f>[1]!b_stm07_is(A149,19,$A$1,1,100000000)</f>
        <v>147.80144098969998</v>
      </c>
      <c r="BT149" s="52">
        <f xml:space="preserve"> [1]!s_stm07_bs(A149,"W15273164",$A$1,1,100000000)-[1]!s_stm07_bs(A149,"W17642530",$A$1,1,100000000)-[1]!s_stm07_bs(A149,"W15910877",$A$1,1,100000000)-[1]!s_stm07_bs_39(A149,$A$1,1,100000000)-[1]!s_stm07_bs(A149,"W17700468",$A$1,1,100000000)-[1]!s_stm07_bs(A149,"W16504296",$A$1,1,100000000)-[1]!s_stm07_bs(A149,"W13769069",$A$1,1,100000000)</f>
        <v>3662.8691190536001</v>
      </c>
      <c r="BU149" s="52">
        <f xml:space="preserve"> [1]!s_stm07_bs(A149,"W15273164",$B$1,1,100000000)-[1]!s_stm07_bs(A149,"W17642530",$B$1,1,100000000)-[1]!s_stm07_bs(A149,"W15910877",$B$1,1,100000000)-[1]!s_stm07_bs_39(A149,$B$1,1,100000000)-[1]!s_stm07_bs(A149,"W17700468",$B$1,1,100000000)-[1]!s_stm07_bs(A149,"W16504296",$B$1,1,100000000)-[1]!s_stm07_bs(A149,"W13769069",$B$1,1,100000000)</f>
        <v>3272.6797884227999</v>
      </c>
      <c r="BV149" s="52">
        <f xml:space="preserve"> [1]!s_stm07_bs(A149,"W15273164",$E$1,1,100000000)-[1]!s_stm07_bs(A149,"W17642530",$E$1,1,100000000)-[1]!s_stm07_bs(A149,"W15910877",$E$1,1,100000000)-[1]!s_stm07_bs_39(A149,$E$1,1,100000000)-[1]!s_stm07_bs(A149,"W17700468",$E$1,1,100000000)-[1]!s_stm07_bs(A149,"W16504296",$E$1,1,100000000)-[1]!s_stm07_bs(A149,"W13769069",$E$1,1,100000000)</f>
        <v>0</v>
      </c>
      <c r="BW149" s="52">
        <f xml:space="preserve"> [1]!s_stm07_bs(A149,"W15273164",$F$1,1,100000000)-[1]!s_stm07_bs(A149,"W17642530",$F$1,1,100000000)-[1]!s_stm07_bs(A149,"W15910877",$F$1,1,100000000)-[1]!s_stm07_bs_39(A149,$F$1,1,100000000)-[1]!s_stm07_bs(A149,"W17700468",$F$1,1,100000000)-[1]!s_stm07_bs(A149,"W16504296",$F$1,1,100000000)-[1]!s_stm07_bs(A149,"W13769069",$F$1,1,100000000)</f>
        <v>0</v>
      </c>
      <c r="BX149" s="52">
        <f xml:space="preserve"> [1]!s_stm07_bs(A149,"W15273164",$G$1,1,100000000)-[1]!s_stm07_bs(A149,"W17642530",$G$1,1,100000000)-[1]!s_stm07_bs(A149,"W15910877",$G$1,1,100000000)-[1]!s_stm07_bs_39(A149,$G$1,1,100000000)-[1]!s_stm07_bs(A149,"W17700468",$G$1,1,100000000)-[1]!s_stm07_bs(A149,"W16504296",$G$1,1,100000000)-[1]!s_stm07_bs(A149,"W13769069",$G$1,1,100000000)</f>
        <v>0</v>
      </c>
      <c r="BY149" s="52">
        <f>IFERROR([1]!b_stm07_is(A149,20,$A$1,1,100000000)/AVERAGEIF(CA149:CE149,"&gt;0")*100,0)</f>
        <v>2.1885857532186899</v>
      </c>
      <c r="BZ149" s="52">
        <f>[1]!b_stm07_is(A149,20,$A$1,1,100000000)</f>
        <v>70.949355116899994</v>
      </c>
      <c r="CA149" s="52">
        <f>[1]!s_stmnote_bank_38(A149,$A$1,1,100000000)</f>
        <v>3454.9263304239003</v>
      </c>
      <c r="CB149" s="52">
        <f>[1]!s_stmnote_bank_38(A149,$B$1,1,100000000)</f>
        <v>3028.6537634843999</v>
      </c>
      <c r="CC149" s="52">
        <f>[1]!s_stmnote_bank_38(A149,$E$1,1,100000000)</f>
        <v>0</v>
      </c>
      <c r="CD149" s="52">
        <f>[1]!s_stmnote_bank_38(A149,$F$1,1,100000000)</f>
        <v>0</v>
      </c>
      <c r="CE149" s="52">
        <f>[1]!s_stmnote_bank_38(A149,$G$1,1,100000000)</f>
        <v>0</v>
      </c>
      <c r="CF149" s="52">
        <f>IF(BP149&lt;&gt;0,BP149,IFERROR(IF(([1]!b_stm07_is(A149,19,$A$1,1,100000000)-[1]!b_stm07_is(A149,20,$A$1,1,100000000))/AVERAGE([1]!s_stmnote_bank_35(A149,$A$1,1,100000000),[1]!s_stmnote_bank_35(A149,$B$1,1,100000000))*100=0,"",([1]!b_stm07_is(A149,19,$A$1,1,100000000)-[1]!b_stm07_is(A149,20,$A$1,1,100000000))/AVERAGE([1]!s_stmnote_bank_35(A149,$A$1,1,100000000),[1]!s_stmnote_bank_35(A149,$B$1,1,100000000))*100),""))</f>
        <v>2.3175927994606145</v>
      </c>
      <c r="CG149" s="27" t="str">
        <f t="shared" si="46"/>
        <v>51 171</v>
      </c>
      <c r="CH149" s="80">
        <f t="shared" si="53"/>
        <v>0.31877465230662305</v>
      </c>
      <c r="CI149" s="27" t="str">
        <f t="shared" si="47"/>
        <v>139 169</v>
      </c>
      <c r="CJ149" s="55">
        <f>[1]!s_stmnote_bank_30(A149,$A$1,1)</f>
        <v>8.9945000000000004</v>
      </c>
      <c r="CP149" s="69">
        <f>[1]!b_stm07_bs($A149,141,$A$1,1,100000000)</f>
        <v>250.57281417139998</v>
      </c>
      <c r="CQ149" s="69">
        <f>[1]!b_stm07_bs($A149,141,$D$1,1,100000000)</f>
        <v>0</v>
      </c>
      <c r="CR149" s="68">
        <f>IF([1]!s_fa_roic_yearly($A149,$A$1)=0,"",[1]!s_fa_roic_yearly($A149,$A$1))</f>
        <v>4.5838000000000001</v>
      </c>
      <c r="CS149" s="27">
        <f t="shared" si="48"/>
        <v>0.84615384615384615</v>
      </c>
      <c r="CT149" s="68" t="str">
        <f>IF([1]!s_fa_roic_yearly($A149,$D$1)=0,"",[1]!s_fa_roic_yearly($A149,$D$1))</f>
        <v/>
      </c>
      <c r="CU149" s="27" t="e">
        <f t="shared" si="49"/>
        <v>#VALUE!</v>
      </c>
      <c r="CV149" s="78">
        <f>[1]!s_stm07_bs(A149,"W14578191",$A$1,1,100000000)</f>
        <v>2058.6967606625999</v>
      </c>
      <c r="CW149" s="78">
        <f>[1]!s_stmnote_bank_682($A149,$A$1,1,2,100000000)</f>
        <v>562.41385201970002</v>
      </c>
      <c r="CX149" s="79">
        <f t="shared" si="50"/>
        <v>0.27318926359930973</v>
      </c>
    </row>
    <row r="150" spans="1:102" s="46" customFormat="1" ht="13.5">
      <c r="A150" s="8" t="s">
        <v>533</v>
      </c>
      <c r="B150" s="8" t="s">
        <v>534</v>
      </c>
      <c r="C150" s="9" t="s">
        <v>535</v>
      </c>
      <c r="D150" s="9" t="s">
        <v>1061</v>
      </c>
      <c r="E150" s="10" t="s">
        <v>535</v>
      </c>
      <c r="F150" s="11" t="s">
        <v>178</v>
      </c>
      <c r="G150" s="11" t="s">
        <v>179</v>
      </c>
      <c r="H150" s="11" t="s">
        <v>116</v>
      </c>
      <c r="I150" s="11"/>
      <c r="J150" s="11">
        <f>VLOOKUP(B150,[3]额度信息!$B:$T,19,0)</f>
        <v>0</v>
      </c>
      <c r="K150" s="11" t="s">
        <v>536</v>
      </c>
      <c r="L150" s="27">
        <f>IFERROR(([1]!b_stm07_bs($A150,47,$A$1,1,100000000))/[1]!b_stm07_bs($A150,109,$A$1,1,100000000),"")</f>
        <v>0.10344459601323264</v>
      </c>
      <c r="M150" s="20"/>
      <c r="N150" s="18"/>
      <c r="O150" s="27" t="e">
        <f t="shared" si="39"/>
        <v>#N/A</v>
      </c>
      <c r="P150" s="21">
        <f t="shared" si="51"/>
        <v>5.6968145707305899E-2</v>
      </c>
      <c r="Q150" s="27" t="str">
        <f t="shared" si="40"/>
        <v>135 169</v>
      </c>
      <c r="R150" s="18">
        <v>4.2868145707305898E-2</v>
      </c>
      <c r="S150" s="22"/>
      <c r="T150" s="22"/>
      <c r="U150" s="22"/>
      <c r="V150" s="22"/>
      <c r="W150" s="22"/>
      <c r="X150" s="22"/>
      <c r="Y150" s="22"/>
      <c r="Z150" s="25">
        <f>[1]!b_stm07_bs(A150,74,$A$1,1,100000000)</f>
        <v>4615.0298300000004</v>
      </c>
      <c r="AA150" s="25">
        <f>[1]!b_stm07_bs(A150,109,$A$1,1,100000000)</f>
        <v>3448.5112199999999</v>
      </c>
      <c r="AB150" s="10">
        <f>[1]!s_stmnote_bank_5n(A150,$A$1,1)</f>
        <v>1.41</v>
      </c>
      <c r="AC150" s="25">
        <f>IF([1]!s_stmnote_bank_23n(A150,$A$1,1)=0,"",IFERROR([1]!s_stmnote_bank_23n(A150,$A$1,1),""))</f>
        <v>214.66</v>
      </c>
      <c r="AD150" s="27" t="str">
        <f t="shared" si="41"/>
        <v>74 167</v>
      </c>
      <c r="AE150" s="25">
        <f>[1]!s_stmnote_bank_capadequacyratio(A150,$A$1,1)</f>
        <v>13.21</v>
      </c>
      <c r="AF150" s="25">
        <f>IF([1]!s_stmnote_bank_capadequacyratio_ct1(A150,$A$1,1)=0,"",IFERROR([1]!s_stmnote_bank_capadequacyratio_ct1(A150,$A$1,1),""))</f>
        <v>8.2799999999999994</v>
      </c>
      <c r="AG150" s="27" t="str">
        <f t="shared" si="42"/>
        <v>17 167</v>
      </c>
      <c r="AH150" s="6">
        <f>IF(OR([1]!s_fa_roe(A150,20201231)=0,[1]!s_fa_roe(A150,20211231)="0",[1]!s_fa_roe(A150,20221231)="0"),"",IFERROR(([1]!s_fa_roe(A150,20221231)+[1]!s_fa_roe(A150,20201231)+[1]!s_fa_roe(A150,20211231))/3,""))</f>
        <v>5.6306666666666665</v>
      </c>
      <c r="AI150" s="27" t="str">
        <f t="shared" si="43"/>
        <v>55 173</v>
      </c>
      <c r="AJ150" s="28">
        <f>IFERROR(([1]!s_stmnote_bank_65(A150,$A$1,1,2,4,100000000)+[1]!s_stmnote_bank_65(A150,$A$1,1,2,6,100000000))/[1]!s_stmnote_bank_1n(A150,$A$1,1,100000000),"")</f>
        <v>0.20682904193073759</v>
      </c>
      <c r="AK150" s="28">
        <f>IFERROR([1]!s_stmnote_bank_614(A150,$A$1,1,2,100000000)/[1]!s_stmnote_bank_647(A150,$A$1,1,2,100000000),"")</f>
        <v>0.32693496644618719</v>
      </c>
      <c r="AL150" s="28">
        <f>IFERROR(([1]!b_stm07_bs(A150,104,$A$1,1,100000000)+[1]!b_stm07_bs(A150,106,$A$1,1,100000000)+[1]!b_stm07_bs(A150,76,$A$1,1,100000000)+[1]!b_stm07_bs(A150,108,$A$1,1,100000000)+[1]!b_stm07_bs(A150,95,$A$1,1,100000000))/[1]!b_stm07_bs(A150,128,$A$1,1,100000000),"")</f>
        <v>0.1206135797331228</v>
      </c>
      <c r="AM150" s="28">
        <f>IFERROR(([1]!s_stmnote_bank_614(A150,$A$1,1,2,100000000)+[1]!b_stm07_bs(A150,104,$A$1,1,100000000)+[1]!b_stm07_bs(A150,106,$A$1,1,100000000)+[1]!b_stm07_bs(A150,76,$A$1,1,100000000)+[1]!b_stm07_bs(A150,108,$A$1,1,100000000)+[1]!b_stm07_bs(A150,95,$A$1,1,100000000))/[1]!b_stm07_bs(A150,128,$A$1,1,100000000),"")</f>
        <v>0.38521484714964682</v>
      </c>
      <c r="AN150" s="31" t="e">
        <f>IF(Z150&gt;#REF!,#REF!,IF(Z150&gt;#REF!,#REF!,IF(Z150&gt;#REF!,#REF!,IF(Z150&gt;#REF!,#REF!,IF(Z150&gt;#REF!,#REF!,IF(Z150&gt;#REF!,#REF!,IF(Z150&gt;#REF!,#REF!,#REF!)))))))</f>
        <v>#REF!</v>
      </c>
      <c r="AO150" s="31" t="e">
        <f>IF(AA150&gt;#REF!,#REF!,IF(AA150&gt;#REF!,#REF!,IF(AA150&gt;#REF!,#REF!,IF(AA150&gt;#REF!,#REF!,IF(AA150&gt;#REF!,#REF!,IF(AA150&gt;#REF!,#REF!,IF(AA150&gt;#REF!,#REF!,#REF!)))))))</f>
        <v>#REF!</v>
      </c>
      <c r="AP150" s="31" t="e">
        <f>IF(AB150&lt;#REF!,#REF!,IF(AB150&lt;#REF!,#REF!,IF(AB150&lt;#REF!,#REF!,IF(AB150&lt;#REF!,#REF!,IF(AB150&lt;#REF!,#REF!,IF(AB150&lt;#REF!,#REF!,#REF!))))))</f>
        <v>#REF!</v>
      </c>
      <c r="AQ150" s="31" t="e">
        <f>IF(AC150&gt;#REF!,#REF!,IF(AC150&gt;#REF!,#REF!,IF(AC150&gt;#REF!,#REF!,IF(AC150&gt;#REF!,#REF!,#REF!))))</f>
        <v>#REF!</v>
      </c>
      <c r="AR150" s="31" t="e">
        <f>IF(AE150&gt;#REF!,#REF!,IF(AE150&gt;#REF!,#REF!,IF(AE150&gt;#REF!,#REF!,IF(AE150&gt;#REF!,#REF!,#REF!))))</f>
        <v>#REF!</v>
      </c>
      <c r="AS150" s="31" t="e">
        <f>IF(AF150&gt;#REF!,#REF!,IF(AF150&gt;#REF!,#REF!,IF(AF150&gt;#REF!,#REF!,IF(AF150&gt;#REF!,#REF!,#REF!))))</f>
        <v>#REF!</v>
      </c>
      <c r="AT150" s="31" t="e">
        <f>IF(AH150&gt;#REF!,#REF!,IF(AH150&gt;#REF!,#REF!,IF(AH150&gt;#REF!,#REF!,IF(AH150&gt;#REF!,#REF!,IF(AH150&gt;#REF!,#REF!,#REF!)))))</f>
        <v>#REF!</v>
      </c>
      <c r="AU150" s="10" t="e">
        <f t="shared" si="44"/>
        <v>#REF!</v>
      </c>
      <c r="AV150" s="10" t="s">
        <v>68</v>
      </c>
      <c r="AW150" s="10" t="s">
        <v>227</v>
      </c>
      <c r="AX150" s="10" t="s">
        <v>359</v>
      </c>
      <c r="AY150" s="31" t="str">
        <f>IFERROR(VLOOKUP(AV150,#REF!,3,0),"")</f>
        <v/>
      </c>
      <c r="AZ150" s="31" t="str">
        <f>IFERROR(VLOOKUP(AW150,#REF!,3,0),"")</f>
        <v/>
      </c>
      <c r="BA150" s="31" t="str">
        <f>IFERROR(VLOOKUP(AX150,#REF!,3,0),"")</f>
        <v/>
      </c>
      <c r="BB150" s="31" t="str">
        <f>IFERROR(AY150*#REF!+AZ150*#REF!+BA150*#REF!,"")</f>
        <v/>
      </c>
      <c r="BC150" s="32" t="str">
        <f t="shared" si="45"/>
        <v/>
      </c>
      <c r="BD150" s="32" t="str">
        <f>IFERROR(VLOOKUP(BC150*10,#REF!,2,1),"")</f>
        <v/>
      </c>
      <c r="BE150" s="11">
        <v>1</v>
      </c>
      <c r="BF150" s="11">
        <v>0</v>
      </c>
      <c r="BG150" s="10" t="s">
        <v>262</v>
      </c>
      <c r="BH150" s="11" t="s">
        <v>537</v>
      </c>
      <c r="BI150" s="10">
        <v>15.199999809265099</v>
      </c>
      <c r="BJ150" s="33" t="s">
        <v>98</v>
      </c>
      <c r="BK150" s="33" t="s">
        <v>538</v>
      </c>
      <c r="BL150" s="10">
        <f>IF([1]!s_stmnote_bank_17n(A150,$A$1,1)="0","",[1]!s_stmnote_bank_17n(A150,$A$1,1))</f>
        <v>5.17</v>
      </c>
      <c r="BM150" s="10">
        <f>IF([1]!s_stmnote_bank_18n(A150,$A$1,1)="0","",[1]!s_stmnote_bank_18n(A150,$A$1,1))</f>
        <v>28.31</v>
      </c>
      <c r="BN150" s="41">
        <v>4.43</v>
      </c>
      <c r="BO150" s="68">
        <v>2.5</v>
      </c>
      <c r="BP150" s="52">
        <f>[1]!s_stmnote_bank_5444(A150,$A$1,1)</f>
        <v>2</v>
      </c>
      <c r="BQ150" s="52">
        <f>[1]!s_stmnote_bank_129n($A150,$A$1,1)</f>
        <v>28.57</v>
      </c>
      <c r="BR150" s="52">
        <f t="shared" si="52"/>
        <v>4.6289694108714476</v>
      </c>
      <c r="BS150" s="52">
        <f>[1]!b_stm07_is(A150,19,$A$1,1,100000000)</f>
        <v>192.7944</v>
      </c>
      <c r="BT150" s="52">
        <f xml:space="preserve"> [1]!s_stm07_bs(A150,"W15273164",$A$1,1,100000000)-[1]!s_stm07_bs(A150,"W17642530",$A$1,1,100000000)-[1]!s_stm07_bs(A150,"W15910877",$A$1,1,100000000)-[1]!s_stm07_bs_39(A150,$A$1,1,100000000)-[1]!s_stm07_bs(A150,"W17700468",$A$1,1,100000000)-[1]!s_stm07_bs(A150,"W16504296",$A$1,1,100000000)-[1]!s_stm07_bs(A150,"W13769069",$A$1,1,100000000)</f>
        <v>4484.1623600000003</v>
      </c>
      <c r="BU150" s="52">
        <f xml:space="preserve"> [1]!s_stm07_bs(A150,"W15273164",$B$1,1,100000000)-[1]!s_stm07_bs(A150,"W17642530",$B$1,1,100000000)-[1]!s_stm07_bs(A150,"W15910877",$B$1,1,100000000)-[1]!s_stm07_bs_39(A150,$B$1,1,100000000)-[1]!s_stm07_bs(A150,"W17700468",$B$1,1,100000000)-[1]!s_stm07_bs(A150,"W16504296",$B$1,1,100000000)-[1]!s_stm07_bs(A150,"W13769069",$B$1,1,100000000)</f>
        <v>4062.4946400000003</v>
      </c>
      <c r="BV150" s="52">
        <f xml:space="preserve"> [1]!s_stm07_bs(A150,"W15273164",$E$1,1,100000000)-[1]!s_stm07_bs(A150,"W17642530",$E$1,1,100000000)-[1]!s_stm07_bs(A150,"W15910877",$E$1,1,100000000)-[1]!s_stm07_bs_39(A150,$E$1,1,100000000)-[1]!s_stm07_bs(A150,"W17700468",$E$1,1,100000000)-[1]!s_stm07_bs(A150,"W16504296",$E$1,1,100000000)-[1]!s_stm07_bs(A150,"W13769069",$E$1,1,100000000)</f>
        <v>4489.2183800000003</v>
      </c>
      <c r="BW150" s="52">
        <f xml:space="preserve"> [1]!s_stm07_bs(A150,"W15273164",$F$1,1,100000000)-[1]!s_stm07_bs(A150,"W17642530",$F$1,1,100000000)-[1]!s_stm07_bs(A150,"W15910877",$F$1,1,100000000)-[1]!s_stm07_bs_39(A150,$F$1,1,100000000)-[1]!s_stm07_bs(A150,"W17700468",$F$1,1,100000000)-[1]!s_stm07_bs(A150,"W16504296",$F$1,1,100000000)-[1]!s_stm07_bs(A150,"W13769069",$F$1,1,100000000)</f>
        <v>4374.9467699999996</v>
      </c>
      <c r="BX150" s="52">
        <f xml:space="preserve"> [1]!s_stm07_bs(A150,"W15273164",$G$1,1,100000000)-[1]!s_stm07_bs(A150,"W17642530",$G$1,1,100000000)-[1]!s_stm07_bs(A150,"W15910877",$G$1,1,100000000)-[1]!s_stm07_bs_39(A150,$G$1,1,100000000)-[1]!s_stm07_bs(A150,"W17700468",$G$1,1,100000000)-[1]!s_stm07_bs(A150,"W16504296",$G$1,1,100000000)-[1]!s_stm07_bs(A150,"W13769069",$G$1,1,100000000)</f>
        <v>4216.6982499999995</v>
      </c>
      <c r="BY150" s="52">
        <f>IFERROR([1]!b_stm07_is(A150,20,$A$1,1,100000000)/AVERAGEIF(CA150:CE150,"&gt;0")*100,0)</f>
        <v>2.6684044829113454</v>
      </c>
      <c r="BZ150" s="52">
        <f>[1]!b_stm07_is(A150,20,$A$1,1,100000000)</f>
        <v>108.22895</v>
      </c>
      <c r="CA150" s="52">
        <f>[1]!s_stmnote_bank_38(A150,$A$1,1,100000000)</f>
        <v>4216.0857100000003</v>
      </c>
      <c r="CB150" s="52">
        <f>[1]!s_stmnote_bank_38(A150,$B$1,1,100000000)</f>
        <v>3854.4089800000002</v>
      </c>
      <c r="CC150" s="52">
        <f>[1]!s_stmnote_bank_38(A150,$E$1,1,100000000)</f>
        <v>4190.3761500000001</v>
      </c>
      <c r="CD150" s="52">
        <f>[1]!s_stmnote_bank_38(A150,$F$1,1,100000000)</f>
        <v>4086.1775400000001</v>
      </c>
      <c r="CE150" s="52">
        <f>[1]!s_stmnote_bank_38(A150,$G$1,1,100000000)</f>
        <v>3932.6638400000002</v>
      </c>
      <c r="CF150" s="52">
        <f>IF(BP150&lt;&gt;0,BP150,IFERROR(IF(([1]!b_stm07_is(A150,19,$A$1,1,100000000)-[1]!b_stm07_is(A150,20,$A$1,1,100000000))/AVERAGE([1]!s_stmnote_bank_35(A150,$A$1,1,100000000),[1]!s_stmnote_bank_35(A150,$B$1,1,100000000))*100=0,"",([1]!b_stm07_is(A150,19,$A$1,1,100000000)-[1]!b_stm07_is(A150,20,$A$1,1,100000000))/AVERAGE([1]!s_stmnote_bank_35(A150,$A$1,1,100000000),[1]!s_stmnote_bank_35(A150,$B$1,1,100000000))*100),""))</f>
        <v>2</v>
      </c>
      <c r="CG150" s="27" t="str">
        <f t="shared" si="46"/>
        <v>92 171</v>
      </c>
      <c r="CH150" s="80">
        <f t="shared" si="53"/>
        <v>0.35107338937723392</v>
      </c>
      <c r="CI150" s="27" t="str">
        <f t="shared" si="47"/>
        <v>135 169</v>
      </c>
      <c r="CJ150" s="55">
        <f>[1]!s_stmnote_bank_30(A150,$A$1,1)</f>
        <v>18.2744</v>
      </c>
      <c r="CP150" s="69">
        <f>[1]!b_stm07_bs($A150,141,$A$1,1,100000000)</f>
        <v>354.13225</v>
      </c>
      <c r="CQ150" s="69">
        <f>[1]!b_stm07_bs($A150,141,$D$1,1,100000000)</f>
        <v>359.33969000000002</v>
      </c>
      <c r="CR150" s="68">
        <f>IF([1]!s_fa_roic_yearly($A150,$A$1)=0,"",[1]!s_fa_roic_yearly($A150,$A$1))</f>
        <v>5.6989999999999998</v>
      </c>
      <c r="CS150" s="27">
        <f t="shared" si="48"/>
        <v>0.76923076923076927</v>
      </c>
      <c r="CT150" s="68">
        <f>IF([1]!s_fa_roic_yearly($A150,$D$1)=0,"",[1]!s_fa_roic_yearly($A150,$D$1))</f>
        <v>5.8597999999999999</v>
      </c>
      <c r="CU150" s="27">
        <f t="shared" si="49"/>
        <v>0.852112676056338</v>
      </c>
      <c r="CV150" s="78">
        <f>[1]!s_stm07_bs(A150,"W14578191",$A$1,1,100000000)</f>
        <v>2429.38384</v>
      </c>
      <c r="CW150" s="78">
        <f>[1]!s_stmnote_bank_682($A150,$A$1,1,2,100000000)</f>
        <v>865.89396999999997</v>
      </c>
      <c r="CX150" s="79">
        <f t="shared" si="50"/>
        <v>0.35642534363775136</v>
      </c>
    </row>
    <row r="151" spans="1:102" s="46" customFormat="1" ht="13.5">
      <c r="A151" s="8" t="s">
        <v>539</v>
      </c>
      <c r="B151" s="8" t="s">
        <v>540</v>
      </c>
      <c r="C151" s="9" t="s">
        <v>541</v>
      </c>
      <c r="D151" s="9" t="s">
        <v>1061</v>
      </c>
      <c r="E151" s="10"/>
      <c r="F151" s="11" t="s">
        <v>66</v>
      </c>
      <c r="G151" s="11" t="s">
        <v>67</v>
      </c>
      <c r="H151" s="11" t="s">
        <v>103</v>
      </c>
      <c r="I151" s="11"/>
      <c r="J151" s="11" t="e">
        <f>VLOOKUP(B151,[3]额度信息!$B:$T,19,0)</f>
        <v>#N/A</v>
      </c>
      <c r="K151" s="11"/>
      <c r="L151" s="27">
        <f>IFERROR(([1]!b_stm07_bs($A151,47,$A$1,1,100000000))/[1]!b_stm07_bs($A151,109,$A$1,1,100000000),"")</f>
        <v>0.15206507083805007</v>
      </c>
      <c r="M151" s="20"/>
      <c r="N151" s="18"/>
      <c r="O151" s="27" t="e">
        <f t="shared" si="39"/>
        <v>#N/A</v>
      </c>
      <c r="P151" s="21">
        <f t="shared" si="51"/>
        <v>6.4812895954060812E-2</v>
      </c>
      <c r="Q151" s="27" t="str">
        <f t="shared" si="40"/>
        <v>147 169</v>
      </c>
      <c r="R151" s="18">
        <f>IFERROR([1]!s_stmnote_bank($A151,"34",$A$1,100000000)/[1]!s_stmnote_bank_1n(A151,$A$1,1,100000000),"")</f>
        <v>6.4812895954060812E-2</v>
      </c>
      <c r="S151" s="22"/>
      <c r="T151" s="22"/>
      <c r="U151" s="22"/>
      <c r="V151" s="22"/>
      <c r="W151" s="22"/>
      <c r="X151" s="22"/>
      <c r="Y151" s="22"/>
      <c r="Z151" s="25">
        <f>[1]!b_stm07_bs(A151,74,$A$1,1,100000000)</f>
        <v>3220.1476600000001</v>
      </c>
      <c r="AA151" s="25">
        <f>[1]!b_stm07_bs(A151,109,$A$1,1,100000000)</f>
        <v>2110.6142799999998</v>
      </c>
      <c r="AB151" s="10">
        <f>[1]!s_stmnote_bank_5n(A151,$A$1,1)</f>
        <v>0</v>
      </c>
      <c r="AC151" s="25" t="str">
        <f>IF([1]!s_stmnote_bank_23n(A151,$A$1,1)=0,"",IFERROR([1]!s_stmnote_bank_23n(A151,$A$1,1),""))</f>
        <v/>
      </c>
      <c r="AD151" s="27" t="e">
        <f t="shared" si="41"/>
        <v>#VALUE!</v>
      </c>
      <c r="AE151" s="25">
        <f>[1]!s_stmnote_bank_capadequacyratio(A151,$A$1,1)</f>
        <v>13.12</v>
      </c>
      <c r="AF151" s="25">
        <f>IF([1]!s_stmnote_bank_capadequacyratio_ct1(A151,$A$1,1)=0,"",IFERROR([1]!s_stmnote_bank_capadequacyratio_ct1(A151,$A$1,1),""))</f>
        <v>9.81</v>
      </c>
      <c r="AG151" s="27" t="str">
        <f t="shared" si="42"/>
        <v>75 167</v>
      </c>
      <c r="AH151" s="6">
        <f>IF(OR([1]!s_fa_roe(A151,20201231)=0,[1]!s_fa_roe(A151,20211231)="0",[1]!s_fa_roe(A151,20221231)="0"),"",IFERROR(([1]!s_fa_roe(A151,20221231)+[1]!s_fa_roe(A151,20201231)+[1]!s_fa_roe(A151,20211231))/3,""))</f>
        <v>3.0777999999999999</v>
      </c>
      <c r="AI151" s="27" t="str">
        <f t="shared" si="43"/>
        <v>18 173</v>
      </c>
      <c r="AJ151" s="28">
        <f>IFERROR(([1]!s_stmnote_bank_65(A151,$A$1,1,2,4,100000000)+[1]!s_stmnote_bank_65(A151,$A$1,1,2,6,100000000))/[1]!s_stmnote_bank_1n(A151,$A$1,1,100000000),"")</f>
        <v>0.10966792639504221</v>
      </c>
      <c r="AK151" s="28">
        <f>IFERROR([1]!s_stmnote_bank_614(A151,$A$1,1,2,100000000)/[1]!s_stmnote_bank_647(A151,$A$1,1,2,100000000),"")</f>
        <v>0.33274113922890736</v>
      </c>
      <c r="AL151" s="28">
        <f>IFERROR(([1]!b_stm07_bs(A151,104,$A$1,1,100000000)+[1]!b_stm07_bs(A151,106,$A$1,1,100000000)+[1]!b_stm07_bs(A151,76,$A$1,1,100000000)+[1]!b_stm07_bs(A151,108,$A$1,1,100000000)+[1]!b_stm07_bs(A151,95,$A$1,1,100000000))/[1]!b_stm07_bs(A151,128,$A$1,1,100000000),"")</f>
        <v>0.29112457537095754</v>
      </c>
      <c r="AM151" s="28">
        <f>IFERROR(([1]!s_stmnote_bank_614(A151,$A$1,1,2,100000000)+[1]!b_stm07_bs(A151,104,$A$1,1,100000000)+[1]!b_stm07_bs(A151,106,$A$1,1,100000000)+[1]!b_stm07_bs(A151,76,$A$1,1,100000000)+[1]!b_stm07_bs(A151,108,$A$1,1,100000000)+[1]!b_stm07_bs(A151,95,$A$1,1,100000000))/[1]!b_stm07_bs(A151,128,$A$1,1,100000000),"")</f>
        <v>0.52369612775933339</v>
      </c>
      <c r="AN151" s="31" t="e">
        <f>IF(Z151&gt;#REF!,#REF!,IF(Z151&gt;#REF!,#REF!,IF(Z151&gt;#REF!,#REF!,IF(Z151&gt;#REF!,#REF!,IF(Z151&gt;#REF!,#REF!,IF(Z151&gt;#REF!,#REF!,IF(Z151&gt;#REF!,#REF!,#REF!)))))))</f>
        <v>#REF!</v>
      </c>
      <c r="AO151" s="31" t="e">
        <f>IF(AA151&gt;#REF!,#REF!,IF(AA151&gt;#REF!,#REF!,IF(AA151&gt;#REF!,#REF!,IF(AA151&gt;#REF!,#REF!,IF(AA151&gt;#REF!,#REF!,IF(AA151&gt;#REF!,#REF!,IF(AA151&gt;#REF!,#REF!,#REF!)))))))</f>
        <v>#REF!</v>
      </c>
      <c r="AP151" s="31" t="e">
        <f>IF(AB151&lt;#REF!,#REF!,IF(AB151&lt;#REF!,#REF!,IF(AB151&lt;#REF!,#REF!,IF(AB151&lt;#REF!,#REF!,IF(AB151&lt;#REF!,#REF!,IF(AB151&lt;#REF!,#REF!,#REF!))))))</f>
        <v>#REF!</v>
      </c>
      <c r="AQ151" s="31" t="e">
        <f>IF(AC151&gt;#REF!,#REF!,IF(AC151&gt;#REF!,#REF!,IF(AC151&gt;#REF!,#REF!,IF(AC151&gt;#REF!,#REF!,#REF!))))</f>
        <v>#REF!</v>
      </c>
      <c r="AR151" s="31" t="e">
        <f>IF(AE151&gt;#REF!,#REF!,IF(AE151&gt;#REF!,#REF!,IF(AE151&gt;#REF!,#REF!,IF(AE151&gt;#REF!,#REF!,#REF!))))</f>
        <v>#REF!</v>
      </c>
      <c r="AS151" s="31" t="e">
        <f>IF(AF151&gt;#REF!,#REF!,IF(AF151&gt;#REF!,#REF!,IF(AF151&gt;#REF!,#REF!,IF(AF151&gt;#REF!,#REF!,#REF!))))</f>
        <v>#REF!</v>
      </c>
      <c r="AT151" s="31" t="e">
        <f>IF(AH151&gt;#REF!,#REF!,IF(AH151&gt;#REF!,#REF!,IF(AH151&gt;#REF!,#REF!,IF(AH151&gt;#REF!,#REF!,IF(AH151&gt;#REF!,#REF!,#REF!)))))</f>
        <v>#REF!</v>
      </c>
      <c r="AU151" s="10" t="e">
        <f t="shared" si="44"/>
        <v>#REF!</v>
      </c>
      <c r="AV151" s="10"/>
      <c r="AW151" s="10"/>
      <c r="AX151" s="10"/>
      <c r="AY151" s="31" t="str">
        <f>IFERROR(VLOOKUP(AV151,#REF!,3,0),"")</f>
        <v/>
      </c>
      <c r="AZ151" s="31" t="str">
        <f>IFERROR(VLOOKUP(AW151,#REF!,3,0),"")</f>
        <v/>
      </c>
      <c r="BA151" s="31" t="str">
        <f>IFERROR(VLOOKUP(AX151,#REF!,3,0),"")</f>
        <v/>
      </c>
      <c r="BB151" s="31" t="str">
        <f>IFERROR(AY151*#REF!+AZ151*#REF!+BA151*#REF!,"")</f>
        <v/>
      </c>
      <c r="BC151" s="32" t="str">
        <f t="shared" si="45"/>
        <v/>
      </c>
      <c r="BD151" s="32" t="str">
        <f>IFERROR(VLOOKUP(BC151*10,#REF!,2,1),"")</f>
        <v/>
      </c>
      <c r="BE151" s="10"/>
      <c r="BF151" s="10"/>
      <c r="BG151" s="10"/>
      <c r="BH151" s="11" t="s">
        <v>542</v>
      </c>
      <c r="BI151" s="10">
        <v>16</v>
      </c>
      <c r="BJ151" s="33" t="s">
        <v>543</v>
      </c>
      <c r="BK151" s="33" t="s">
        <v>544</v>
      </c>
      <c r="BL151" s="10">
        <f>IF([1]!s_stmnote_bank_17n(A151,$A$1,1)="0","",[1]!s_stmnote_bank_17n(A151,$A$1,1))</f>
        <v>0</v>
      </c>
      <c r="BM151" s="10">
        <f>IF([1]!s_stmnote_bank_18n(A151,$A$1,1)="0","",[1]!s_stmnote_bank_18n(A151,$A$1,1))</f>
        <v>0</v>
      </c>
      <c r="BN151" s="41" t="s">
        <v>67</v>
      </c>
      <c r="BO151" s="68" t="s">
        <v>67</v>
      </c>
      <c r="BP151" s="52">
        <f>[1]!s_stmnote_bank_5444(A151,$A$1,1)</f>
        <v>0</v>
      </c>
      <c r="BQ151" s="52">
        <f>[1]!s_stmnote_bank_129n($A151,$A$1,1)</f>
        <v>39.69</v>
      </c>
      <c r="BR151" s="52">
        <f t="shared" si="52"/>
        <v>4.2244908478991023</v>
      </c>
      <c r="BS151" s="52">
        <f>[1]!b_stm07_is(A151,19,$A$1,1,100000000)</f>
        <v>127.92319999999999</v>
      </c>
      <c r="BT151" s="52">
        <f xml:space="preserve"> [1]!s_stm07_bs(A151,"W15273164",$A$1,1,100000000)-[1]!s_stm07_bs(A151,"W17642530",$A$1,1,100000000)-[1]!s_stm07_bs(A151,"W15910877",$A$1,1,100000000)-[1]!s_stm07_bs_39(A151,$A$1,1,100000000)-[1]!s_stm07_bs(A151,"W17700468",$A$1,1,100000000)-[1]!s_stm07_bs(A151,"W16504296",$A$1,1,100000000)-[1]!s_stm07_bs(A151,"W13769069",$A$1,1,100000000)</f>
        <v>3148.6773200000002</v>
      </c>
      <c r="BU151" s="52">
        <f xml:space="preserve"> [1]!s_stm07_bs(A151,"W15273164",$B$1,1,100000000)-[1]!s_stm07_bs(A151,"W17642530",$B$1,1,100000000)-[1]!s_stm07_bs(A151,"W15910877",$B$1,1,100000000)-[1]!s_stm07_bs_39(A151,$B$1,1,100000000)-[1]!s_stm07_bs(A151,"W17700468",$B$1,1,100000000)-[1]!s_stm07_bs(A151,"W16504296",$B$1,1,100000000)-[1]!s_stm07_bs(A151,"W13769069",$B$1,1,100000000)</f>
        <v>3002.3282200000003</v>
      </c>
      <c r="BV151" s="52">
        <f xml:space="preserve"> [1]!s_stm07_bs(A151,"W15273164",$E$1,1,100000000)-[1]!s_stm07_bs(A151,"W17642530",$E$1,1,100000000)-[1]!s_stm07_bs(A151,"W15910877",$E$1,1,100000000)-[1]!s_stm07_bs_39(A151,$E$1,1,100000000)-[1]!s_stm07_bs(A151,"W17700468",$E$1,1,100000000)-[1]!s_stm07_bs(A151,"W16504296",$E$1,1,100000000)-[1]!s_stm07_bs(A151,"W13769069",$E$1,1,100000000)</f>
        <v>3061.7231192087002</v>
      </c>
      <c r="BW151" s="52">
        <f xml:space="preserve"> [1]!s_stm07_bs(A151,"W15273164",$F$1,1,100000000)-[1]!s_stm07_bs(A151,"W17642530",$F$1,1,100000000)-[1]!s_stm07_bs(A151,"W15910877",$F$1,1,100000000)-[1]!s_stm07_bs_39(A151,$F$1,1,100000000)-[1]!s_stm07_bs(A151,"W17700468",$F$1,1,100000000)-[1]!s_stm07_bs(A151,"W16504296",$F$1,1,100000000)-[1]!s_stm07_bs(A151,"W13769069",$F$1,1,100000000)</f>
        <v>3074.6726654805002</v>
      </c>
      <c r="BX151" s="52">
        <f xml:space="preserve"> [1]!s_stm07_bs(A151,"W15273164",$G$1,1,100000000)-[1]!s_stm07_bs(A151,"W17642530",$G$1,1,100000000)-[1]!s_stm07_bs(A151,"W15910877",$G$1,1,100000000)-[1]!s_stm07_bs_39(A151,$G$1,1,100000000)-[1]!s_stm07_bs(A151,"W17700468",$G$1,1,100000000)-[1]!s_stm07_bs(A151,"W16504296",$G$1,1,100000000)-[1]!s_stm07_bs(A151,"W13769069",$G$1,1,100000000)</f>
        <v>3021.6411446767002</v>
      </c>
      <c r="BY151" s="52">
        <f>IFERROR([1]!b_stm07_is(A151,20,$A$1,1,100000000)/AVERAGEIF(CA151:CE151,"&gt;0")*100,0)</f>
        <v>2.6593475196219862</v>
      </c>
      <c r="BZ151" s="52">
        <f>[1]!b_stm07_is(A151,20,$A$1,1,100000000)</f>
        <v>77.466819999999998</v>
      </c>
      <c r="CA151" s="52">
        <f>[1]!s_stmnote_bank_38(A151,$A$1,1,100000000)</f>
        <v>3000.02538</v>
      </c>
      <c r="CB151" s="52">
        <f>[1]!s_stmnote_bank_38(A151,$B$1,1,100000000)</f>
        <v>2839.8186000000001</v>
      </c>
      <c r="CC151" s="52">
        <f>[1]!s_stmnote_bank_38(A151,$E$1,1,100000000)</f>
        <v>2915.4223477473997</v>
      </c>
      <c r="CD151" s="52">
        <f>[1]!s_stmnote_bank_38(A151,$F$1,1,100000000)</f>
        <v>2928.5422137312999</v>
      </c>
      <c r="CE151" s="52">
        <f>[1]!s_stmnote_bank_38(A151,$G$1,1,100000000)</f>
        <v>2881.1964885919001</v>
      </c>
      <c r="CF151" s="52">
        <f>IF(BP151&lt;&gt;0,BP151,IFERROR(IF(([1]!b_stm07_is(A151,19,$A$1,1,100000000)-[1]!b_stm07_is(A151,20,$A$1,1,100000000))/AVERAGE([1]!s_stmnote_bank_35(A151,$A$1,1,100000000),[1]!s_stmnote_bank_35(A151,$B$1,1,100000000))*100=0,"",([1]!b_stm07_is(A151,19,$A$1,1,100000000)-[1]!b_stm07_is(A151,20,$A$1,1,100000000))/AVERAGE([1]!s_stmnote_bank_35(A151,$A$1,1,100000000),[1]!s_stmnote_bank_35(A151,$B$1,1,100000000))*100),""))</f>
        <v>1.7241999091880151</v>
      </c>
      <c r="CG151" s="27" t="str">
        <f t="shared" si="46"/>
        <v>136 171</v>
      </c>
      <c r="CH151" s="80">
        <f t="shared" si="53"/>
        <v>0.26602729037291017</v>
      </c>
      <c r="CI151" s="27" t="str">
        <f t="shared" si="47"/>
        <v>148 169</v>
      </c>
      <c r="CJ151" s="55">
        <f>[1]!s_stmnote_bank_30(A151,$A$1,1)</f>
        <v>12.911300000000001</v>
      </c>
      <c r="CP151" s="69">
        <f>[1]!b_stm07_bs($A151,141,$A$1,1,100000000)</f>
        <v>200.48256000000001</v>
      </c>
      <c r="CQ151" s="69">
        <f>[1]!b_stm07_bs($A151,141,$D$1,1,100000000)</f>
        <v>225.67480023729999</v>
      </c>
      <c r="CR151" s="68">
        <f>IF([1]!s_fa_roic_yearly($A151,$A$1)=0,"",[1]!s_fa_roic_yearly($A151,$A$1))</f>
        <v>3.0991</v>
      </c>
      <c r="CS151" s="27">
        <f t="shared" si="48"/>
        <v>0.92307692307692313</v>
      </c>
      <c r="CT151" s="68">
        <f>IF([1]!s_fa_roic_yearly($A151,$D$1)=0,"",[1]!s_fa_roic_yearly($A151,$D$1))</f>
        <v>3.8006000000000002</v>
      </c>
      <c r="CU151" s="27">
        <f t="shared" si="49"/>
        <v>0.93661971830985913</v>
      </c>
      <c r="CV151" s="78">
        <f>[1]!s_stm07_bs(A151,"W14578191",$A$1,1,100000000)</f>
        <v>1766.89147</v>
      </c>
      <c r="CW151" s="78">
        <f>[1]!s_stmnote_bank_682($A151,$A$1,1,2,100000000)</f>
        <v>509.18347</v>
      </c>
      <c r="CX151" s="79">
        <f t="shared" si="50"/>
        <v>0.28818038835175314</v>
      </c>
    </row>
    <row r="152" spans="1:102" s="46" customFormat="1" ht="13.5">
      <c r="A152" s="8" t="s">
        <v>188</v>
      </c>
      <c r="B152" s="8" t="s">
        <v>189</v>
      </c>
      <c r="C152" s="9" t="s">
        <v>190</v>
      </c>
      <c r="D152" s="9" t="s">
        <v>1061</v>
      </c>
      <c r="E152" s="10"/>
      <c r="F152" s="11" t="s">
        <v>90</v>
      </c>
      <c r="G152" s="11" t="s">
        <v>67</v>
      </c>
      <c r="H152" s="11" t="s">
        <v>103</v>
      </c>
      <c r="I152" s="11"/>
      <c r="J152" s="11" t="e">
        <f>VLOOKUP(B152,[3]额度信息!$B:$T,19,0)</f>
        <v>#N/A</v>
      </c>
      <c r="K152" s="11"/>
      <c r="L152" s="27">
        <f>IFERROR(([1]!b_stm07_bs($A152,47,$A$1,1,100000000))/[1]!b_stm07_bs($A152,109,$A$1,1,100000000),"")</f>
        <v>9.8107073687691795E-2</v>
      </c>
      <c r="M152" s="20"/>
      <c r="N152" s="18"/>
      <c r="O152" s="27" t="e">
        <f t="shared" si="39"/>
        <v>#N/A</v>
      </c>
      <c r="P152" s="21">
        <f t="shared" si="51"/>
        <v>7.7514420788788466E-2</v>
      </c>
      <c r="Q152" s="27" t="str">
        <f t="shared" si="40"/>
        <v>157 169</v>
      </c>
      <c r="R152" s="18">
        <f>IFERROR([1]!s_stmnote_bank($A152,"34",$A$1,100000000)/[1]!s_stmnote_bank_1n(A152,$A$1,1,100000000),"")</f>
        <v>5.8314420788788471E-2</v>
      </c>
      <c r="S152" s="22"/>
      <c r="T152" s="22"/>
      <c r="U152" s="22"/>
      <c r="V152" s="22"/>
      <c r="W152" s="22"/>
      <c r="X152" s="22"/>
      <c r="Y152" s="22"/>
      <c r="Z152" s="25">
        <f>[1]!b_stm07_bs(A152,74,$A$1,1,100000000)</f>
        <v>902.89040552789993</v>
      </c>
      <c r="AA152" s="25">
        <f>[1]!b_stm07_bs(A152,109,$A$1,1,100000000)</f>
        <v>687.09948824370008</v>
      </c>
      <c r="AB152" s="10">
        <f>[1]!s_stmnote_bank_5n(A152,$A$1,1)</f>
        <v>1.92</v>
      </c>
      <c r="AC152" s="25">
        <f>IF([1]!s_stmnote_bank_23n(A152,$A$1,1)=0,"",IFERROR([1]!s_stmnote_bank_23n(A152,$A$1,1),""))</f>
        <v>131</v>
      </c>
      <c r="AD152" s="27" t="str">
        <f t="shared" si="41"/>
        <v>5 167</v>
      </c>
      <c r="AE152" s="25">
        <f>[1]!s_stmnote_bank_capadequacyratio(A152,$A$1,1)</f>
        <v>14.14</v>
      </c>
      <c r="AF152" s="25">
        <f>IF([1]!s_stmnote_bank_capadequacyratio_ct1(A152,$A$1,1)=0,"",IFERROR([1]!s_stmnote_bank_capadequacyratio_ct1(A152,$A$1,1),""))</f>
        <v>9.9</v>
      </c>
      <c r="AG152" s="27" t="str">
        <f t="shared" si="42"/>
        <v>81 167</v>
      </c>
      <c r="AH152" s="6">
        <f>IF(OR([1]!s_fa_roe(A152,20201231)=0,[1]!s_fa_roe(A152,20211231)="0",[1]!s_fa_roe(A152,20221231)="0"),"",IFERROR(([1]!s_fa_roe(A152,20221231)+[1]!s_fa_roe(A152,20201231)+[1]!s_fa_roe(A152,20211231))/3,""))</f>
        <v>5.1090000000000009</v>
      </c>
      <c r="AI152" s="27" t="str">
        <f t="shared" si="43"/>
        <v>40 173</v>
      </c>
      <c r="AJ152" s="28">
        <f>IFERROR(([1]!s_stmnote_bank_65(A152,$A$1,1,2,4,100000000)+[1]!s_stmnote_bank_65(A152,$A$1,1,2,6,100000000))/[1]!s_stmnote_bank_1n(A152,$A$1,1,100000000),"")</f>
        <v>8.8904922732303146E-2</v>
      </c>
      <c r="AK152" s="28">
        <f>IFERROR([1]!s_stmnote_bank_614(A152,$A$1,1,2,100000000)/[1]!s_stmnote_bank_647(A152,$A$1,1,2,100000000),"")</f>
        <v>0.14019093112757494</v>
      </c>
      <c r="AL152" s="28">
        <f>IFERROR(([1]!b_stm07_bs(A152,104,$A$1,1,100000000)+[1]!b_stm07_bs(A152,106,$A$1,1,100000000)+[1]!b_stm07_bs(A152,76,$A$1,1,100000000)+[1]!b_stm07_bs(A152,108,$A$1,1,100000000)+[1]!b_stm07_bs(A152,95,$A$1,1,100000000))/[1]!b_stm07_bs(A152,128,$A$1,1,100000000),"")</f>
        <v>0.12058386485093647</v>
      </c>
      <c r="AM152" s="28">
        <f>IFERROR(([1]!s_stmnote_bank_614(A152,$A$1,1,2,100000000)+[1]!b_stm07_bs(A152,104,$A$1,1,100000000)+[1]!b_stm07_bs(A152,106,$A$1,1,100000000)+[1]!b_stm07_bs(A152,76,$A$1,1,100000000)+[1]!b_stm07_bs(A152,108,$A$1,1,100000000)+[1]!b_stm07_bs(A152,95,$A$1,1,100000000))/[1]!b_stm07_bs(A152,128,$A$1,1,100000000),"")</f>
        <v>0.23708686729830311</v>
      </c>
      <c r="AN152" s="31" t="e">
        <f>IF(Z152&gt;#REF!,#REF!,IF(Z152&gt;#REF!,#REF!,IF(Z152&gt;#REF!,#REF!,IF(Z152&gt;#REF!,#REF!,IF(Z152&gt;#REF!,#REF!,IF(Z152&gt;#REF!,#REF!,IF(Z152&gt;#REF!,#REF!,#REF!)))))))</f>
        <v>#REF!</v>
      </c>
      <c r="AO152" s="31" t="e">
        <f>IF(AA152&gt;#REF!,#REF!,IF(AA152&gt;#REF!,#REF!,IF(AA152&gt;#REF!,#REF!,IF(AA152&gt;#REF!,#REF!,IF(AA152&gt;#REF!,#REF!,IF(AA152&gt;#REF!,#REF!,IF(AA152&gt;#REF!,#REF!,#REF!)))))))</f>
        <v>#REF!</v>
      </c>
      <c r="AP152" s="31" t="e">
        <f>IF(AB152&lt;#REF!,#REF!,IF(AB152&lt;#REF!,#REF!,IF(AB152&lt;#REF!,#REF!,IF(AB152&lt;#REF!,#REF!,IF(AB152&lt;#REF!,#REF!,IF(AB152&lt;#REF!,#REF!,#REF!))))))</f>
        <v>#REF!</v>
      </c>
      <c r="AQ152" s="31" t="e">
        <f>IF(AC152&gt;#REF!,#REF!,IF(AC152&gt;#REF!,#REF!,IF(AC152&gt;#REF!,#REF!,IF(AC152&gt;#REF!,#REF!,#REF!))))</f>
        <v>#REF!</v>
      </c>
      <c r="AR152" s="31" t="e">
        <f>IF(AE152&gt;#REF!,#REF!,IF(AE152&gt;#REF!,#REF!,IF(AE152&gt;#REF!,#REF!,IF(AE152&gt;#REF!,#REF!,#REF!))))</f>
        <v>#REF!</v>
      </c>
      <c r="AS152" s="31" t="e">
        <f>IF(AF152&gt;#REF!,#REF!,IF(AF152&gt;#REF!,#REF!,IF(AF152&gt;#REF!,#REF!,IF(AF152&gt;#REF!,#REF!,#REF!))))</f>
        <v>#REF!</v>
      </c>
      <c r="AT152" s="31" t="e">
        <f>IF(AH152&gt;#REF!,#REF!,IF(AH152&gt;#REF!,#REF!,IF(AH152&gt;#REF!,#REF!,IF(AH152&gt;#REF!,#REF!,IF(AH152&gt;#REF!,#REF!,#REF!)))))</f>
        <v>#REF!</v>
      </c>
      <c r="AU152" s="10" t="e">
        <f t="shared" si="44"/>
        <v>#REF!</v>
      </c>
      <c r="AV152" s="10"/>
      <c r="AW152" s="10"/>
      <c r="AX152" s="10"/>
      <c r="AY152" s="31" t="str">
        <f>IFERROR(VLOOKUP(AV152,#REF!,3,0),"")</f>
        <v/>
      </c>
      <c r="AZ152" s="31" t="str">
        <f>IFERROR(VLOOKUP(AW152,#REF!,3,0),"")</f>
        <v/>
      </c>
      <c r="BA152" s="31" t="str">
        <f>IFERROR(VLOOKUP(AX152,#REF!,3,0),"")</f>
        <v/>
      </c>
      <c r="BB152" s="31" t="str">
        <f>IFERROR(AY152*#REF!+AZ152*#REF!+BA152*#REF!,"")</f>
        <v/>
      </c>
      <c r="BC152" s="32" t="str">
        <f t="shared" si="45"/>
        <v/>
      </c>
      <c r="BD152" s="32" t="str">
        <f>IFERROR(VLOOKUP(BC152*10,#REF!,2,1),"")</f>
        <v/>
      </c>
      <c r="BE152" s="10"/>
      <c r="BF152" s="10"/>
      <c r="BG152" s="10"/>
      <c r="BH152" s="11" t="s">
        <v>191</v>
      </c>
      <c r="BI152" s="10">
        <v>20</v>
      </c>
      <c r="BJ152" s="11" t="s">
        <v>105</v>
      </c>
      <c r="BK152" s="33" t="s">
        <v>192</v>
      </c>
      <c r="BL152" s="10">
        <f>IF([1]!s_stmnote_bank_17n(A152,$A$1,1)="0","",[1]!s_stmnote_bank_17n(A152,$A$1,1))</f>
        <v>0</v>
      </c>
      <c r="BM152" s="10">
        <f>IF([1]!s_stmnote_bank_18n(A152,$A$1,1)="0","",[1]!s_stmnote_bank_18n(A152,$A$1,1))</f>
        <v>0</v>
      </c>
      <c r="BN152" s="41" t="s">
        <v>67</v>
      </c>
      <c r="BO152" s="68" t="s">
        <v>67</v>
      </c>
      <c r="BP152" s="52">
        <f>[1]!s_stmnote_bank_5444(A152,$A$1,1)</f>
        <v>1.8</v>
      </c>
      <c r="BQ152" s="52">
        <f>[1]!s_stmnote_bank_129n($A152,$A$1,1)</f>
        <v>33.71</v>
      </c>
      <c r="BR152" s="52">
        <f t="shared" si="52"/>
        <v>4.1798410074897294</v>
      </c>
      <c r="BS152" s="52">
        <f>[1]!b_stm07_is(A152,19,$A$1,1,100000000)</f>
        <v>33.7180739581</v>
      </c>
      <c r="BT152" s="52">
        <f xml:space="preserve"> [1]!s_stm07_bs(A152,"W15273164",$A$1,1,100000000)-[1]!s_stm07_bs(A152,"W17642530",$A$1,1,100000000)-[1]!s_stm07_bs(A152,"W15910877",$A$1,1,100000000)-[1]!s_stm07_bs_39(A152,$A$1,1,100000000)-[1]!s_stm07_bs(A152,"W17700468",$A$1,1,100000000)-[1]!s_stm07_bs(A152,"W16504296",$A$1,1,100000000)-[1]!s_stm07_bs(A152,"W13769069",$A$1,1,100000000)</f>
        <v>855.4688139136</v>
      </c>
      <c r="BU152" s="52">
        <f xml:space="preserve"> [1]!s_stm07_bs(A152,"W15273164",$B$1,1,100000000)-[1]!s_stm07_bs(A152,"W17642530",$B$1,1,100000000)-[1]!s_stm07_bs(A152,"W15910877",$B$1,1,100000000)-[1]!s_stm07_bs_39(A152,$B$1,1,100000000)-[1]!s_stm07_bs(A152,"W17700468",$B$1,1,100000000)-[1]!s_stm07_bs(A152,"W16504296",$B$1,1,100000000)-[1]!s_stm07_bs(A152,"W13769069",$B$1,1,100000000)</f>
        <v>786.0019237419001</v>
      </c>
      <c r="BV152" s="52">
        <f xml:space="preserve"> [1]!s_stm07_bs(A152,"W15273164",$E$1,1,100000000)-[1]!s_stm07_bs(A152,"W17642530",$E$1,1,100000000)-[1]!s_stm07_bs(A152,"W15910877",$E$1,1,100000000)-[1]!s_stm07_bs_39(A152,$E$1,1,100000000)-[1]!s_stm07_bs(A152,"W17700468",$E$1,1,100000000)-[1]!s_stm07_bs(A152,"W16504296",$E$1,1,100000000)-[1]!s_stm07_bs(A152,"W13769069",$E$1,1,100000000)</f>
        <v>878.85873800000002</v>
      </c>
      <c r="BW152" s="52">
        <f xml:space="preserve"> [1]!s_stm07_bs(A152,"W15273164",$F$1,1,100000000)-[1]!s_stm07_bs(A152,"W17642530",$F$1,1,100000000)-[1]!s_stm07_bs(A152,"W15910877",$F$1,1,100000000)-[1]!s_stm07_bs_39(A152,$F$1,1,100000000)-[1]!s_stm07_bs(A152,"W17700468",$F$1,1,100000000)-[1]!s_stm07_bs(A152,"W16504296",$F$1,1,100000000)-[1]!s_stm07_bs(A152,"W13769069",$F$1,1,100000000)</f>
        <v>841.05197268080008</v>
      </c>
      <c r="BX152" s="52">
        <f xml:space="preserve"> [1]!s_stm07_bs(A152,"W15273164",$G$1,1,100000000)-[1]!s_stm07_bs(A152,"W17642530",$G$1,1,100000000)-[1]!s_stm07_bs(A152,"W15910877",$G$1,1,100000000)-[1]!s_stm07_bs_39(A152,$G$1,1,100000000)-[1]!s_stm07_bs(A152,"W17700468",$G$1,1,100000000)-[1]!s_stm07_bs(A152,"W16504296",$G$1,1,100000000)-[1]!s_stm07_bs(A152,"W13769069",$G$1,1,100000000)</f>
        <v>857.73616500000003</v>
      </c>
      <c r="BY152" s="52">
        <f>IFERROR([1]!b_stm07_is(A152,20,$A$1,1,100000000)/AVERAGEIF(CA152:CE152,"&gt;0")*100,0)</f>
        <v>2.6010163861177706</v>
      </c>
      <c r="BZ152" s="52">
        <f>[1]!b_stm07_is(A152,20,$A$1,1,100000000)</f>
        <v>20.150432889699999</v>
      </c>
      <c r="CA152" s="52">
        <f>[1]!s_stmnote_bank_38(A152,$A$1,1,100000000)</f>
        <v>820.55946431949997</v>
      </c>
      <c r="CB152" s="52">
        <f>[1]!s_stmnote_bank_38(A152,$B$1,1,100000000)</f>
        <v>723.91310450679998</v>
      </c>
      <c r="CC152" s="52">
        <f>[1]!s_stmnote_bank_38(A152,$E$1,1,100000000)</f>
        <v>0</v>
      </c>
      <c r="CD152" s="52">
        <f>[1]!s_stmnote_bank_38(A152,$F$1,1,100000000)</f>
        <v>779.66883188700001</v>
      </c>
      <c r="CE152" s="52">
        <f>[1]!s_stmnote_bank_38(A152,$G$1,1,100000000)</f>
        <v>0</v>
      </c>
      <c r="CF152" s="52">
        <f>IF(BP152&lt;&gt;0,BP152,IFERROR(IF(([1]!b_stm07_is(A152,19,$A$1,1,100000000)-[1]!b_stm07_is(A152,20,$A$1,1,100000000))/AVERAGE([1]!s_stmnote_bank_35(A152,$A$1,1,100000000),[1]!s_stmnote_bank_35(A152,$B$1,1,100000000))*100=0,"",([1]!b_stm07_is(A152,19,$A$1,1,100000000)-[1]!b_stm07_is(A152,20,$A$1,1,100000000))/AVERAGE([1]!s_stmnote_bank_35(A152,$A$1,1,100000000),[1]!s_stmnote_bank_35(A152,$B$1,1,100000000))*100),""))</f>
        <v>1.8</v>
      </c>
      <c r="CG152" s="27" t="str">
        <f t="shared" si="46"/>
        <v>126 171</v>
      </c>
      <c r="CH152" s="80">
        <f t="shared" si="53"/>
        <v>0.23221485520799359</v>
      </c>
      <c r="CI152" s="27" t="str">
        <f t="shared" si="47"/>
        <v>155 169</v>
      </c>
      <c r="CJ152" s="55">
        <f>[1]!s_stmnote_bank_30(A152,$A$1,1)</f>
        <v>20.988299999999999</v>
      </c>
      <c r="CP152" s="69">
        <f>[1]!b_stm07_bs($A152,141,$A$1,1,100000000)</f>
        <v>76.086675353499999</v>
      </c>
      <c r="CQ152" s="69">
        <f>[1]!b_stm07_bs($A152,141,$D$1,1,100000000)</f>
        <v>81.733476992600004</v>
      </c>
      <c r="CR152" s="68">
        <f>IF([1]!s_fa_roic_yearly($A152,$A$1)=0,"",[1]!s_fa_roic_yearly($A152,$A$1))</f>
        <v>4.2389000000000001</v>
      </c>
      <c r="CS152" s="27">
        <f t="shared" si="48"/>
        <v>0.89349112426035504</v>
      </c>
      <c r="CT152" s="68">
        <f>IF([1]!s_fa_roic_yearly($A152,$D$1)=0,"",[1]!s_fa_roic_yearly($A152,$D$1))</f>
        <v>8.6882000000000001</v>
      </c>
      <c r="CU152" s="27">
        <f t="shared" si="49"/>
        <v>0.64084507042253525</v>
      </c>
      <c r="CV152" s="78">
        <f>[1]!s_stm07_bs(A152,"W14578191",$A$1,1,100000000)</f>
        <v>488.11540979309996</v>
      </c>
      <c r="CW152" s="78">
        <f>[1]!s_stmnote_bank_682($A152,$A$1,1,2,100000000)</f>
        <v>56.150753999999999</v>
      </c>
      <c r="CX152" s="79">
        <f t="shared" si="50"/>
        <v>0.11503581504177653</v>
      </c>
    </row>
    <row r="153" spans="1:102" s="46" customFormat="1" ht="13.5">
      <c r="A153" s="8" t="s">
        <v>474</v>
      </c>
      <c r="B153" s="13" t="s">
        <v>475</v>
      </c>
      <c r="C153" s="9" t="s">
        <v>476</v>
      </c>
      <c r="D153" s="9" t="s">
        <v>1061</v>
      </c>
      <c r="E153" s="10"/>
      <c r="F153" s="11" t="s">
        <v>66</v>
      </c>
      <c r="G153" s="11" t="s">
        <v>67</v>
      </c>
      <c r="H153" s="11" t="s">
        <v>103</v>
      </c>
      <c r="I153" s="11"/>
      <c r="J153" s="11" t="e">
        <f>VLOOKUP(B153,[3]额度信息!$B:$T,19,0)</f>
        <v>#N/A</v>
      </c>
      <c r="K153" s="11"/>
      <c r="L153" s="27">
        <f>IFERROR(([1]!b_stm07_bs($A153,47,$A$1,1,100000000))/[1]!b_stm07_bs($A153,109,$A$1,1,100000000),"")</f>
        <v>0.12694808890416362</v>
      </c>
      <c r="M153" s="20"/>
      <c r="N153" s="18"/>
      <c r="O153" s="27" t="e">
        <f t="shared" si="39"/>
        <v>#N/A</v>
      </c>
      <c r="P153" s="21">
        <f t="shared" si="51"/>
        <v>9.7191180538023891E-2</v>
      </c>
      <c r="Q153" s="27" t="str">
        <f t="shared" si="40"/>
        <v>162 169</v>
      </c>
      <c r="R153" s="18">
        <f>IFERROR([1]!s_stmnote_bank($A153,"34",$A$1,100000000)/[1]!s_stmnote_bank_1n(A153,$A$1,1,100000000),"")</f>
        <v>6.7691180538023893E-2</v>
      </c>
      <c r="S153" s="22"/>
      <c r="T153" s="22"/>
      <c r="U153" s="22"/>
      <c r="V153" s="22"/>
      <c r="W153" s="22"/>
      <c r="X153" s="22"/>
      <c r="Y153" s="22"/>
      <c r="Z153" s="25">
        <f>[1]!b_stm07_bs(A153,74,$A$1,1,100000000)</f>
        <v>1101.4246652935999</v>
      </c>
      <c r="AA153" s="25">
        <f>[1]!b_stm07_bs(A153,109,$A$1,1,100000000)</f>
        <v>759.11373277899997</v>
      </c>
      <c r="AB153" s="10">
        <f>[1]!s_stmnote_bank_5n(A153,$A$1,1)</f>
        <v>2.95</v>
      </c>
      <c r="AC153" s="25">
        <f>IF([1]!s_stmnote_bank_23n(A153,$A$1,1)=0,"",IFERROR([1]!s_stmnote_bank_23n(A153,$A$1,1),""))</f>
        <v>179.78</v>
      </c>
      <c r="AD153" s="27" t="str">
        <f t="shared" si="41"/>
        <v>46 167</v>
      </c>
      <c r="AE153" s="25">
        <f>[1]!s_stmnote_bank_capadequacyratio(A153,$A$1,1)</f>
        <v>13.98</v>
      </c>
      <c r="AF153" s="25">
        <f>IF([1]!s_stmnote_bank_capadequacyratio_ct1(A153,$A$1,1)=0,"",IFERROR([1]!s_stmnote_bank_capadequacyratio_ct1(A153,$A$1,1),""))</f>
        <v>12.82</v>
      </c>
      <c r="AG153" s="27" t="str">
        <f t="shared" si="42"/>
        <v>137 167</v>
      </c>
      <c r="AH153" s="6">
        <f>IF(OR([1]!s_fa_roe(A153,20201231)=0,[1]!s_fa_roe(A153,20211231)="0",[1]!s_fa_roe(A153,20221231)="0"),"",IFERROR(([1]!s_fa_roe(A153,20221231)+[1]!s_fa_roe(A153,20201231)+[1]!s_fa_roe(A153,20211231))/3,""))</f>
        <v>4.4600333333333326</v>
      </c>
      <c r="AI153" s="27" t="str">
        <f t="shared" si="43"/>
        <v>30 173</v>
      </c>
      <c r="AJ153" s="28">
        <f>IFERROR(([1]!s_stmnote_bank_65(A153,$A$1,1,2,4,100000000)+[1]!s_stmnote_bank_65(A153,$A$1,1,2,6,100000000))/[1]!s_stmnote_bank_1n(A153,$A$1,1,100000000),"")</f>
        <v>0.10781467631200285</v>
      </c>
      <c r="AK153" s="28">
        <f>IFERROR([1]!s_stmnote_bank_614(A153,$A$1,1,2,100000000)/[1]!s_stmnote_bank_647(A153,$A$1,1,2,100000000),"")</f>
        <v>0.23321435011918085</v>
      </c>
      <c r="AL153" s="28">
        <f>IFERROR(([1]!b_stm07_bs(A153,104,$A$1,1,100000000)+[1]!b_stm07_bs(A153,106,$A$1,1,100000000)+[1]!b_stm07_bs(A153,76,$A$1,1,100000000)+[1]!b_stm07_bs(A153,108,$A$1,1,100000000)+[1]!b_stm07_bs(A153,95,$A$1,1,100000000))/[1]!b_stm07_bs(A153,128,$A$1,1,100000000),"")</f>
        <v>0.22016545290303607</v>
      </c>
      <c r="AM153" s="28">
        <f>IFERROR(([1]!s_stmnote_bank_614(A153,$A$1,1,2,100000000)+[1]!b_stm07_bs(A153,104,$A$1,1,100000000)+[1]!b_stm07_bs(A153,106,$A$1,1,100000000)+[1]!b_stm07_bs(A153,76,$A$1,1,100000000)+[1]!b_stm07_bs(A153,108,$A$1,1,100000000)+[1]!b_stm07_bs(A153,95,$A$1,1,100000000))/[1]!b_stm07_bs(A153,128,$A$1,1,100000000),"")</f>
        <v>0.39644543588139863</v>
      </c>
      <c r="AN153" s="31" t="e">
        <f>IF(Z153&gt;#REF!,#REF!,IF(Z153&gt;#REF!,#REF!,IF(Z153&gt;#REF!,#REF!,IF(Z153&gt;#REF!,#REF!,IF(Z153&gt;#REF!,#REF!,IF(Z153&gt;#REF!,#REF!,IF(Z153&gt;#REF!,#REF!,#REF!)))))))</f>
        <v>#REF!</v>
      </c>
      <c r="AO153" s="31" t="e">
        <f>IF(AA153&gt;#REF!,#REF!,IF(AA153&gt;#REF!,#REF!,IF(AA153&gt;#REF!,#REF!,IF(AA153&gt;#REF!,#REF!,IF(AA153&gt;#REF!,#REF!,IF(AA153&gt;#REF!,#REF!,IF(AA153&gt;#REF!,#REF!,#REF!)))))))</f>
        <v>#REF!</v>
      </c>
      <c r="AP153" s="31" t="e">
        <f>IF(AB153&lt;#REF!,#REF!,IF(AB153&lt;#REF!,#REF!,IF(AB153&lt;#REF!,#REF!,IF(AB153&lt;#REF!,#REF!,IF(AB153&lt;#REF!,#REF!,IF(AB153&lt;#REF!,#REF!,#REF!))))))</f>
        <v>#REF!</v>
      </c>
      <c r="AQ153" s="31" t="e">
        <f>IF(AC153&gt;#REF!,#REF!,IF(AC153&gt;#REF!,#REF!,IF(AC153&gt;#REF!,#REF!,IF(AC153&gt;#REF!,#REF!,#REF!))))</f>
        <v>#REF!</v>
      </c>
      <c r="AR153" s="31" t="e">
        <f>IF(AE153&gt;#REF!,#REF!,IF(AE153&gt;#REF!,#REF!,IF(AE153&gt;#REF!,#REF!,IF(AE153&gt;#REF!,#REF!,#REF!))))</f>
        <v>#REF!</v>
      </c>
      <c r="AS153" s="31" t="e">
        <f>IF(AF153&gt;#REF!,#REF!,IF(AF153&gt;#REF!,#REF!,IF(AF153&gt;#REF!,#REF!,IF(AF153&gt;#REF!,#REF!,#REF!))))</f>
        <v>#REF!</v>
      </c>
      <c r="AT153" s="31" t="e">
        <f>IF(AH153&gt;#REF!,#REF!,IF(AH153&gt;#REF!,#REF!,IF(AH153&gt;#REF!,#REF!,IF(AH153&gt;#REF!,#REF!,IF(AH153&gt;#REF!,#REF!,#REF!)))))</f>
        <v>#REF!</v>
      </c>
      <c r="AU153" s="10" t="e">
        <f t="shared" si="44"/>
        <v>#REF!</v>
      </c>
      <c r="AV153" s="10" t="s">
        <v>68</v>
      </c>
      <c r="AW153" s="10" t="s">
        <v>227</v>
      </c>
      <c r="AX153" s="10" t="s">
        <v>68</v>
      </c>
      <c r="AY153" s="31" t="str">
        <f>IFERROR(VLOOKUP(AV153,#REF!,3,0),"")</f>
        <v/>
      </c>
      <c r="AZ153" s="31" t="str">
        <f>IFERROR(VLOOKUP(AW153,#REF!,3,0),"")</f>
        <v/>
      </c>
      <c r="BA153" s="31" t="str">
        <f>IFERROR(VLOOKUP(AX153,#REF!,3,0),"")</f>
        <v/>
      </c>
      <c r="BB153" s="31" t="str">
        <f>IFERROR(AY153*#REF!+AZ153*#REF!+BA153*#REF!,"")</f>
        <v/>
      </c>
      <c r="BC153" s="32" t="str">
        <f t="shared" si="45"/>
        <v/>
      </c>
      <c r="BD153" s="32" t="str">
        <f>IFERROR(VLOOKUP(BC153*10,#REF!,2,1),"")</f>
        <v/>
      </c>
      <c r="BE153" s="10"/>
      <c r="BF153" s="10"/>
      <c r="BG153" s="10"/>
      <c r="BH153" s="11" t="s">
        <v>477</v>
      </c>
      <c r="BI153" s="34">
        <v>19.709999084472699</v>
      </c>
      <c r="BJ153" s="11" t="s">
        <v>71</v>
      </c>
      <c r="BK153" s="11" t="s">
        <v>72</v>
      </c>
      <c r="BL153" s="10">
        <f>IF([1]!s_stmnote_bank_17n(A153,$A$1,1)="0","",[1]!s_stmnote_bank_17n(A153,$A$1,1))</f>
        <v>8.1199999999999992</v>
      </c>
      <c r="BM153" s="10">
        <f>IF([1]!s_stmnote_bank_18n(A153,$A$1,1)="0","",[1]!s_stmnote_bank_18n(A153,$A$1,1))</f>
        <v>55.29</v>
      </c>
      <c r="BN153" s="41" t="s">
        <v>67</v>
      </c>
      <c r="BO153" s="68" t="s">
        <v>67</v>
      </c>
      <c r="BP153" s="52">
        <f>[1]!s_stmnote_bank_5444(A153,$A$1,1)</f>
        <v>1.1100000000000001</v>
      </c>
      <c r="BQ153" s="52">
        <f>[1]!s_stmnote_bank_129n($A153,$A$1,1)</f>
        <v>26.8</v>
      </c>
      <c r="BR153" s="52">
        <f t="shared" si="52"/>
        <v>3.5451712412662282</v>
      </c>
      <c r="BS153" s="52">
        <f>[1]!b_stm07_is(A153,19,$A$1,1,100000000)</f>
        <v>37.881044437900002</v>
      </c>
      <c r="BT153" s="52">
        <f xml:space="preserve"> [1]!s_stm07_bs(A153,"W15273164",$A$1,1,100000000)-[1]!s_stm07_bs(A153,"W17642530",$A$1,1,100000000)-[1]!s_stm07_bs(A153,"W15910877",$A$1,1,100000000)-[1]!s_stm07_bs_39(A153,$A$1,1,100000000)-[1]!s_stm07_bs(A153,"W17700468",$A$1,1,100000000)-[1]!s_stm07_bs(A153,"W16504296",$A$1,1,100000000)-[1]!s_stm07_bs(A153,"W13769069",$A$1,1,100000000)</f>
        <v>1080.4001774481999</v>
      </c>
      <c r="BU153" s="52">
        <f xml:space="preserve"> [1]!s_stm07_bs(A153,"W15273164",$B$1,1,100000000)-[1]!s_stm07_bs(A153,"W17642530",$B$1,1,100000000)-[1]!s_stm07_bs(A153,"W15910877",$B$1,1,100000000)-[1]!s_stm07_bs_39(A153,$B$1,1,100000000)-[1]!s_stm07_bs(A153,"W17700468",$B$1,1,100000000)-[1]!s_stm07_bs(A153,"W16504296",$B$1,1,100000000)-[1]!s_stm07_bs(A153,"W13769069",$B$1,1,100000000)</f>
        <v>1066.8286567214</v>
      </c>
      <c r="BV153" s="52">
        <f xml:space="preserve"> [1]!s_stm07_bs(A153,"W15273164",$E$1,1,100000000)-[1]!s_stm07_bs(A153,"W17642530",$E$1,1,100000000)-[1]!s_stm07_bs(A153,"W15910877",$E$1,1,100000000)-[1]!s_stm07_bs_39(A153,$E$1,1,100000000)-[1]!s_stm07_bs(A153,"W17700468",$E$1,1,100000000)-[1]!s_stm07_bs(A153,"W16504296",$E$1,1,100000000)-[1]!s_stm07_bs(A153,"W13769069",$E$1,1,100000000)</f>
        <v>0</v>
      </c>
      <c r="BW153" s="52">
        <f xml:space="preserve"> [1]!s_stm07_bs(A153,"W15273164",$F$1,1,100000000)-[1]!s_stm07_bs(A153,"W17642530",$F$1,1,100000000)-[1]!s_stm07_bs(A153,"W15910877",$F$1,1,100000000)-[1]!s_stm07_bs_39(A153,$F$1,1,100000000)-[1]!s_stm07_bs(A153,"W17700468",$F$1,1,100000000)-[1]!s_stm07_bs(A153,"W16504296",$F$1,1,100000000)-[1]!s_stm07_bs(A153,"W13769069",$F$1,1,100000000)</f>
        <v>0</v>
      </c>
      <c r="BX153" s="52">
        <f xml:space="preserve"> [1]!s_stm07_bs(A153,"W15273164",$G$1,1,100000000)-[1]!s_stm07_bs(A153,"W17642530",$G$1,1,100000000)-[1]!s_stm07_bs(A153,"W15910877",$G$1,1,100000000)-[1]!s_stm07_bs_39(A153,$G$1,1,100000000)-[1]!s_stm07_bs(A153,"W17700468",$G$1,1,100000000)-[1]!s_stm07_bs(A153,"W16504296",$G$1,1,100000000)-[1]!s_stm07_bs(A153,"W13769069",$G$1,1,100000000)</f>
        <v>0</v>
      </c>
      <c r="BY153" s="52">
        <f>IFERROR([1]!b_stm07_is(A153,20,$A$1,1,100000000)/AVERAGEIF(CA153:CE153,"&gt;0")*100,0)</f>
        <v>2.5831376796866343</v>
      </c>
      <c r="BZ153" s="52">
        <f>[1]!b_stm07_is(A153,20,$A$1,1,100000000)</f>
        <v>25.644676736799997</v>
      </c>
      <c r="CA153" s="52">
        <f>[1]!s_stmnote_bank_38(A153,$A$1,1,100000000)</f>
        <v>996.52664693190002</v>
      </c>
      <c r="CB153" s="52">
        <f>[1]!s_stmnote_bank_38(A153,$B$1,1,100000000)</f>
        <v>989.01806007039988</v>
      </c>
      <c r="CC153" s="52">
        <f>[1]!s_stmnote_bank_38(A153,$E$1,1,100000000)</f>
        <v>0</v>
      </c>
      <c r="CD153" s="52">
        <f>[1]!s_stmnote_bank_38(A153,$F$1,1,100000000)</f>
        <v>0</v>
      </c>
      <c r="CE153" s="52">
        <f>[1]!s_stmnote_bank_38(A153,$G$1,1,100000000)</f>
        <v>0</v>
      </c>
      <c r="CF153" s="52">
        <f>IF(BP153&lt;&gt;0,BP153,IFERROR(IF(([1]!b_stm07_is(A153,19,$A$1,1,100000000)-[1]!b_stm07_is(A153,20,$A$1,1,100000000))/AVERAGE([1]!s_stmnote_bank_35(A153,$A$1,1,100000000),[1]!s_stmnote_bank_35(A153,$B$1,1,100000000))*100=0,"",([1]!b_stm07_is(A153,19,$A$1,1,100000000)-[1]!b_stm07_is(A153,20,$A$1,1,100000000))/AVERAGE([1]!s_stmnote_bank_35(A153,$A$1,1,100000000),[1]!s_stmnote_bank_35(A153,$B$1,1,100000000))*100),""))</f>
        <v>1.1100000000000001</v>
      </c>
      <c r="CG153" s="27" t="str">
        <f t="shared" si="46"/>
        <v>167 171</v>
      </c>
      <c r="CH153" s="80">
        <f t="shared" si="53"/>
        <v>0.11420789354088946</v>
      </c>
      <c r="CI153" s="27" t="str">
        <f t="shared" si="47"/>
        <v>165 169</v>
      </c>
      <c r="CJ153" s="55">
        <f>[1]!s_stmnote_bank_30(A153,$A$1,1)</f>
        <v>54.6021</v>
      </c>
      <c r="CP153" s="69">
        <f>[1]!b_stm07_bs($A153,141,$A$1,1,100000000)</f>
        <v>97.134712087000011</v>
      </c>
      <c r="CQ153" s="69">
        <f>[1]!b_stm07_bs($A153,141,$D$1,1,100000000)</f>
        <v>0</v>
      </c>
      <c r="CR153" s="68">
        <f>IF([1]!s_fa_roic_yearly($A153,$A$1)=0,"",[1]!s_fa_roic_yearly($A153,$A$1))</f>
        <v>5.7637999999999998</v>
      </c>
      <c r="CS153" s="27">
        <f t="shared" si="48"/>
        <v>0.75147928994082835</v>
      </c>
      <c r="CT153" s="68" t="str">
        <f>IF([1]!s_fa_roic_yearly($A153,$D$1)=0,"",[1]!s_fa_roic_yearly($A153,$D$1))</f>
        <v/>
      </c>
      <c r="CU153" s="27" t="e">
        <f t="shared" si="49"/>
        <v>#VALUE!</v>
      </c>
      <c r="CV153" s="78">
        <f>[1]!s_stm07_bs(A153,"W14578191",$A$1,1,100000000)</f>
        <v>608.44180473769995</v>
      </c>
      <c r="CW153" s="78">
        <f>[1]!s_stmnote_bank_682($A153,$A$1,1,2,100000000)</f>
        <v>195.55256505</v>
      </c>
      <c r="CX153" s="79">
        <f t="shared" si="50"/>
        <v>0.32139896293664921</v>
      </c>
    </row>
    <row r="154" spans="1:102" s="46" customFormat="1" ht="13.5">
      <c r="A154" s="8" t="s">
        <v>906</v>
      </c>
      <c r="B154" s="8" t="s">
        <v>907</v>
      </c>
      <c r="C154" s="9" t="s">
        <v>908</v>
      </c>
      <c r="D154" s="9" t="s">
        <v>1061</v>
      </c>
      <c r="E154" s="10"/>
      <c r="F154" s="11" t="s">
        <v>178</v>
      </c>
      <c r="G154" s="11" t="s">
        <v>67</v>
      </c>
      <c r="H154" s="11" t="s">
        <v>139</v>
      </c>
      <c r="I154" s="11"/>
      <c r="J154" s="11" t="e">
        <f>VLOOKUP(B154,[3]额度信息!$B:$T,19,0)</f>
        <v>#N/A</v>
      </c>
      <c r="K154" s="11"/>
      <c r="L154" s="27">
        <f>IFERROR(([1]!b_stm07_bs($A154,47,$A$1,1,100000000))/[1]!b_stm07_bs($A154,109,$A$1,1,100000000),"")</f>
        <v>0.10414052132393503</v>
      </c>
      <c r="M154" s="20"/>
      <c r="N154" s="18"/>
      <c r="O154" s="27" t="e">
        <f t="shared" si="39"/>
        <v>#N/A</v>
      </c>
      <c r="P154" s="21">
        <f t="shared" si="51"/>
        <v>7.0998241092316103E-2</v>
      </c>
      <c r="Q154" s="27" t="str">
        <f t="shared" si="40"/>
        <v>149 169</v>
      </c>
      <c r="R154" s="18">
        <v>4.6898241092316099E-2</v>
      </c>
      <c r="S154" s="22"/>
      <c r="T154" s="22"/>
      <c r="U154" s="22"/>
      <c r="V154" s="22"/>
      <c r="W154" s="22"/>
      <c r="X154" s="22"/>
      <c r="Y154" s="22"/>
      <c r="Z154" s="25">
        <f>[1]!b_stm07_bs(A154,74,$A$1,1,100000000)</f>
        <v>7199.0393199999999</v>
      </c>
      <c r="AA154" s="25">
        <f>[1]!b_stm07_bs(A154,109,$A$1,1,100000000)</f>
        <v>3824.7889</v>
      </c>
      <c r="AB154" s="10">
        <f>[1]!s_stmnote_bank_5n(A154,$A$1,1)</f>
        <v>2.41</v>
      </c>
      <c r="AC154" s="25">
        <f>IF([1]!s_stmnote_bank_23n(A154,$A$1,1)=0,"",IFERROR([1]!s_stmnote_bank_23n(A154,$A$1,1),""))</f>
        <v>154.26</v>
      </c>
      <c r="AD154" s="27" t="str">
        <f t="shared" si="41"/>
        <v>26 167</v>
      </c>
      <c r="AE154" s="25">
        <f>[1]!s_stmnote_bank_capadequacyratio(A154,$A$1,1)</f>
        <v>13.49</v>
      </c>
      <c r="AF154" s="25">
        <f>IF([1]!s_stmnote_bank_capadequacyratio_ct1(A154,$A$1,1)=0,"",IFERROR([1]!s_stmnote_bank_capadequacyratio_ct1(A154,$A$1,1),""))</f>
        <v>10.73</v>
      </c>
      <c r="AG154" s="27" t="str">
        <f t="shared" si="42"/>
        <v>103 167</v>
      </c>
      <c r="AH154" s="6">
        <f>IF(OR([1]!s_fa_roe(A154,20201231)=0,[1]!s_fa_roe(A154,20211231)="0",[1]!s_fa_roe(A154,20221231)="0"),"",IFERROR(([1]!s_fa_roe(A154,20221231)+[1]!s_fa_roe(A154,20201231)+[1]!s_fa_roe(A154,20211231))/3,""))</f>
        <v>6.7540333333333331</v>
      </c>
      <c r="AI154" s="27" t="str">
        <f t="shared" si="43"/>
        <v>68 173</v>
      </c>
      <c r="AJ154" s="28">
        <f>IFERROR(([1]!s_stmnote_bank_65(A154,$A$1,1,2,4,100000000)+[1]!s_stmnote_bank_65(A154,$A$1,1,2,6,100000000))/[1]!s_stmnote_bank_1n(A154,$A$1,1,100000000),"")</f>
        <v>0.15329750651366825</v>
      </c>
      <c r="AK154" s="28">
        <f>IFERROR([1]!s_stmnote_bank_614(A154,$A$1,1,2,100000000)/[1]!s_stmnote_bank_647(A154,$A$1,1,2,100000000),"")</f>
        <v>0.45883551377175347</v>
      </c>
      <c r="AL154" s="28">
        <f>IFERROR(([1]!b_stm07_bs(A154,104,$A$1,1,100000000)+[1]!b_stm07_bs(A154,106,$A$1,1,100000000)+[1]!b_stm07_bs(A154,76,$A$1,1,100000000)+[1]!b_stm07_bs(A154,108,$A$1,1,100000000)+[1]!b_stm07_bs(A154,95,$A$1,1,100000000))/[1]!b_stm07_bs(A154,128,$A$1,1,100000000),"")</f>
        <v>0.33359892482173831</v>
      </c>
      <c r="AM154" s="28">
        <f>IFERROR(([1]!s_stmnote_bank_614(A154,$A$1,1,2,100000000)+[1]!b_stm07_bs(A154,104,$A$1,1,100000000)+[1]!b_stm07_bs(A154,106,$A$1,1,100000000)+[1]!b_stm07_bs(A154,76,$A$1,1,100000000)+[1]!b_stm07_bs(A154,108,$A$1,1,100000000)+[1]!b_stm07_bs(A154,95,$A$1,1,100000000))/[1]!b_stm07_bs(A154,128,$A$1,1,100000000),"")</f>
        <v>0.59855163669490319</v>
      </c>
      <c r="AN154" s="31" t="e">
        <f>IF(Z154&gt;#REF!,#REF!,IF(Z154&gt;#REF!,#REF!,IF(Z154&gt;#REF!,#REF!,IF(Z154&gt;#REF!,#REF!,IF(Z154&gt;#REF!,#REF!,IF(Z154&gt;#REF!,#REF!,IF(Z154&gt;#REF!,#REF!,#REF!)))))))</f>
        <v>#REF!</v>
      </c>
      <c r="AO154" s="31" t="e">
        <f>IF(AA154&gt;#REF!,#REF!,IF(AA154&gt;#REF!,#REF!,IF(AA154&gt;#REF!,#REF!,IF(AA154&gt;#REF!,#REF!,IF(AA154&gt;#REF!,#REF!,IF(AA154&gt;#REF!,#REF!,IF(AA154&gt;#REF!,#REF!,#REF!)))))))</f>
        <v>#REF!</v>
      </c>
      <c r="AP154" s="31" t="e">
        <f>IF(AB154&lt;#REF!,#REF!,IF(AB154&lt;#REF!,#REF!,IF(AB154&lt;#REF!,#REF!,IF(AB154&lt;#REF!,#REF!,IF(AB154&lt;#REF!,#REF!,IF(AB154&lt;#REF!,#REF!,#REF!))))))</f>
        <v>#REF!</v>
      </c>
      <c r="AQ154" s="31" t="e">
        <f>IF(AC154&gt;#REF!,#REF!,IF(AC154&gt;#REF!,#REF!,IF(AC154&gt;#REF!,#REF!,IF(AC154&gt;#REF!,#REF!,#REF!))))</f>
        <v>#REF!</v>
      </c>
      <c r="AR154" s="31" t="e">
        <f>IF(AE154&gt;#REF!,#REF!,IF(AE154&gt;#REF!,#REF!,IF(AE154&gt;#REF!,#REF!,IF(AE154&gt;#REF!,#REF!,#REF!))))</f>
        <v>#REF!</v>
      </c>
      <c r="AS154" s="31" t="e">
        <f>IF(AF154&gt;#REF!,#REF!,IF(AF154&gt;#REF!,#REF!,IF(AF154&gt;#REF!,#REF!,IF(AF154&gt;#REF!,#REF!,#REF!))))</f>
        <v>#REF!</v>
      </c>
      <c r="AT154" s="31" t="e">
        <f>IF(AH154&gt;#REF!,#REF!,IF(AH154&gt;#REF!,#REF!,IF(AH154&gt;#REF!,#REF!,IF(AH154&gt;#REF!,#REF!,IF(AH154&gt;#REF!,#REF!,#REF!)))))</f>
        <v>#REF!</v>
      </c>
      <c r="AU154" s="10" t="e">
        <f t="shared" si="44"/>
        <v>#REF!</v>
      </c>
      <c r="AV154" s="10" t="s">
        <v>141</v>
      </c>
      <c r="AW154" s="10" t="s">
        <v>161</v>
      </c>
      <c r="AX154" s="10" t="s">
        <v>359</v>
      </c>
      <c r="AY154" s="31" t="str">
        <f>IFERROR(VLOOKUP(AV154,#REF!,3,0),"")</f>
        <v/>
      </c>
      <c r="AZ154" s="31" t="str">
        <f>IFERROR(VLOOKUP(AW154,#REF!,3,0),"")</f>
        <v/>
      </c>
      <c r="BA154" s="31" t="str">
        <f>IFERROR(VLOOKUP(AX154,#REF!,3,0),"")</f>
        <v/>
      </c>
      <c r="BB154" s="31" t="str">
        <f>IFERROR(AY154*#REF!+AZ154*#REF!+BA154*#REF!,"")</f>
        <v/>
      </c>
      <c r="BC154" s="32" t="str">
        <f t="shared" si="45"/>
        <v/>
      </c>
      <c r="BD154" s="32" t="str">
        <f>IFERROR(VLOOKUP(BC154*10,#REF!,2,1),"")</f>
        <v/>
      </c>
      <c r="BE154" s="10"/>
      <c r="BF154" s="10"/>
      <c r="BG154" s="10"/>
      <c r="BH154" s="11" t="s">
        <v>909</v>
      </c>
      <c r="BI154" s="10">
        <v>15.930000305175801</v>
      </c>
      <c r="BJ154" s="33" t="s">
        <v>240</v>
      </c>
      <c r="BK154" s="33" t="s">
        <v>241</v>
      </c>
      <c r="BL154" s="10">
        <f>IF([1]!s_stmnote_bank_17n(A154,$A$1,1)="0","",[1]!s_stmnote_bank_17n(A154,$A$1,1))</f>
        <v>5.49</v>
      </c>
      <c r="BM154" s="10">
        <f>IF([1]!s_stmnote_bank_18n(A154,$A$1,1)="0","",[1]!s_stmnote_bank_18n(A154,$A$1,1))</f>
        <v>39.26</v>
      </c>
      <c r="BN154" s="41">
        <v>4.25</v>
      </c>
      <c r="BO154" s="68">
        <v>2.77</v>
      </c>
      <c r="BP154" s="52">
        <f>[1]!s_stmnote_bank_5444(A154,$A$1,1)</f>
        <v>2.12</v>
      </c>
      <c r="BQ154" s="52">
        <f>[1]!s_stmnote_bank_129n($A154,$A$1,1)</f>
        <v>23.81</v>
      </c>
      <c r="BR154" s="52">
        <f t="shared" si="52"/>
        <v>4.4568688838214614</v>
      </c>
      <c r="BS154" s="52">
        <f>[1]!b_stm07_is(A154,19,$A$1,1,100000000)</f>
        <v>303.71879000000001</v>
      </c>
      <c r="BT154" s="52">
        <f xml:space="preserve"> [1]!s_stm07_bs(A154,"W15273164",$A$1,1,100000000)-[1]!s_stm07_bs(A154,"W17642530",$A$1,1,100000000)-[1]!s_stm07_bs(A154,"W15910877",$A$1,1,100000000)-[1]!s_stm07_bs_39(A154,$A$1,1,100000000)-[1]!s_stm07_bs(A154,"W17700468",$A$1,1,100000000)-[1]!s_stm07_bs(A154,"W16504296",$A$1,1,100000000)-[1]!s_stm07_bs(A154,"W13769069",$A$1,1,100000000)</f>
        <v>7068.5002000000004</v>
      </c>
      <c r="BU154" s="52">
        <f xml:space="preserve"> [1]!s_stm07_bs(A154,"W15273164",$B$1,1,100000000)-[1]!s_stm07_bs(A154,"W17642530",$B$1,1,100000000)-[1]!s_stm07_bs(A154,"W15910877",$B$1,1,100000000)-[1]!s_stm07_bs_39(A154,$B$1,1,100000000)-[1]!s_stm07_bs(A154,"W17700468",$B$1,1,100000000)-[1]!s_stm07_bs(A154,"W16504296",$B$1,1,100000000)-[1]!s_stm07_bs(A154,"W13769069",$B$1,1,100000000)</f>
        <v>6762.7319399999997</v>
      </c>
      <c r="BV154" s="52">
        <f xml:space="preserve"> [1]!s_stm07_bs(A154,"W15273164",$E$1,1,100000000)-[1]!s_stm07_bs(A154,"W17642530",$E$1,1,100000000)-[1]!s_stm07_bs(A154,"W15910877",$E$1,1,100000000)-[1]!s_stm07_bs_39(A154,$E$1,1,100000000)-[1]!s_stm07_bs(A154,"W17700468",$E$1,1,100000000)-[1]!s_stm07_bs(A154,"W16504296",$E$1,1,100000000)-[1]!s_stm07_bs(A154,"W13769069",$E$1,1,100000000)</f>
        <v>0</v>
      </c>
      <c r="BW154" s="52">
        <f xml:space="preserve"> [1]!s_stm07_bs(A154,"W15273164",$F$1,1,100000000)-[1]!s_stm07_bs(A154,"W17642530",$F$1,1,100000000)-[1]!s_stm07_bs(A154,"W15910877",$F$1,1,100000000)-[1]!s_stm07_bs_39(A154,$F$1,1,100000000)-[1]!s_stm07_bs(A154,"W17700468",$F$1,1,100000000)-[1]!s_stm07_bs(A154,"W16504296",$F$1,1,100000000)-[1]!s_stm07_bs(A154,"W13769069",$F$1,1,100000000)</f>
        <v>6923.9787700000006</v>
      </c>
      <c r="BX154" s="52">
        <f xml:space="preserve"> [1]!s_stm07_bs(A154,"W15273164",$G$1,1,100000000)-[1]!s_stm07_bs(A154,"W17642530",$G$1,1,100000000)-[1]!s_stm07_bs(A154,"W15910877",$G$1,1,100000000)-[1]!s_stm07_bs_39(A154,$G$1,1,100000000)-[1]!s_stm07_bs(A154,"W17700468",$G$1,1,100000000)-[1]!s_stm07_bs(A154,"W16504296",$G$1,1,100000000)-[1]!s_stm07_bs(A154,"W13769069",$G$1,1,100000000)</f>
        <v>0</v>
      </c>
      <c r="BY154" s="52">
        <f>IFERROR([1]!b_stm07_is(A154,20,$A$1,1,100000000)/AVERAGEIF(CA154:CE154,"&gt;0")*100,0)</f>
        <v>2.7285003593905004</v>
      </c>
      <c r="BZ154" s="52">
        <f>[1]!b_stm07_is(A154,20,$A$1,1,100000000)</f>
        <v>174.46540999999999</v>
      </c>
      <c r="CA154" s="52">
        <f>[1]!s_stmnote_bank_38(A154,$A$1,1,100000000)</f>
        <v>6565.1281099999997</v>
      </c>
      <c r="CB154" s="52">
        <f>[1]!s_stmnote_bank_38(A154,$B$1,1,100000000)</f>
        <v>6242.7954300000001</v>
      </c>
      <c r="CC154" s="52">
        <f>[1]!s_stmnote_bank_38(A154,$E$1,1,100000000)</f>
        <v>0</v>
      </c>
      <c r="CD154" s="52">
        <f>[1]!s_stmnote_bank_38(A154,$F$1,1,100000000)</f>
        <v>6374.63688</v>
      </c>
      <c r="CE154" s="52">
        <f>[1]!s_stmnote_bank_38(A154,$G$1,1,100000000)</f>
        <v>0</v>
      </c>
      <c r="CF154" s="52">
        <f>IF(BP154&lt;&gt;0,BP154,IFERROR(IF(([1]!b_stm07_is(A154,19,$A$1,1,100000000)-[1]!b_stm07_is(A154,20,$A$1,1,100000000))/AVERAGE([1]!s_stmnote_bank_35(A154,$A$1,1,100000000),[1]!s_stmnote_bank_35(A154,$B$1,1,100000000))*100=0,"",([1]!b_stm07_is(A154,19,$A$1,1,100000000)-[1]!b_stm07_is(A154,20,$A$1,1,100000000))/AVERAGE([1]!s_stmnote_bank_35(A154,$A$1,1,100000000),[1]!s_stmnote_bank_35(A154,$B$1,1,100000000))*100),""))</f>
        <v>2.12</v>
      </c>
      <c r="CG154" s="27" t="str">
        <f t="shared" si="46"/>
        <v>77 171</v>
      </c>
      <c r="CH154" s="80">
        <f t="shared" si="53"/>
        <v>0.2985989465912896</v>
      </c>
      <c r="CI154" s="27" t="str">
        <f t="shared" si="47"/>
        <v>145 169</v>
      </c>
      <c r="CJ154" s="55">
        <f>[1]!s_stmnote_bank_30(A154,$A$1,1)</f>
        <v>27.3751</v>
      </c>
      <c r="CP154" s="69">
        <f>[1]!b_stm07_bs($A154,141,$A$1,1,100000000)</f>
        <v>575.40837999999997</v>
      </c>
      <c r="CQ154" s="69">
        <f>[1]!b_stm07_bs($A154,141,$D$1,1,100000000)</f>
        <v>604.62936855629994</v>
      </c>
      <c r="CR154" s="68">
        <f>IF([1]!s_fa_roic_yearly($A154,$A$1)=0,"",[1]!s_fa_roic_yearly($A154,$A$1))</f>
        <v>5.8197000000000001</v>
      </c>
      <c r="CS154" s="27">
        <f t="shared" si="48"/>
        <v>0.73964497041420119</v>
      </c>
      <c r="CT154" s="68">
        <f>IF([1]!s_fa_roic_yearly($A154,$D$1)=0,"",[1]!s_fa_roic_yearly($A154,$D$1))</f>
        <v>10.396800000000001</v>
      </c>
      <c r="CU154" s="27">
        <f t="shared" si="49"/>
        <v>0.47887323943661969</v>
      </c>
      <c r="CV154" s="78">
        <f>[1]!s_stm07_bs(A154,"W14578191",$A$1,1,100000000)</f>
        <v>3246.0735800000002</v>
      </c>
      <c r="CW154" s="78">
        <f>[1]!s_stmnote_bank_682($A154,$A$1,1,2,100000000)</f>
        <v>1322.96164</v>
      </c>
      <c r="CX154" s="79">
        <f t="shared" si="50"/>
        <v>0.4075575021315444</v>
      </c>
    </row>
    <row r="155" spans="1:102" s="46" customFormat="1" ht="13.5">
      <c r="A155" s="8" t="s">
        <v>236</v>
      </c>
      <c r="B155" s="8" t="s">
        <v>237</v>
      </c>
      <c r="C155" s="9" t="s">
        <v>238</v>
      </c>
      <c r="D155" s="9" t="s">
        <v>1066</v>
      </c>
      <c r="E155" s="10"/>
      <c r="F155" s="11" t="s">
        <v>66</v>
      </c>
      <c r="G155" s="11" t="s">
        <v>67</v>
      </c>
      <c r="H155" s="11" t="s">
        <v>103</v>
      </c>
      <c r="I155" s="11"/>
      <c r="J155" s="11" t="e">
        <f>VLOOKUP(B155,[3]额度信息!$B:$T,19,0)</f>
        <v>#N/A</v>
      </c>
      <c r="K155" s="11"/>
      <c r="L155" s="27">
        <f>IFERROR(([1]!b_stm07_bs($A155,47,$A$1,1,100000000))/[1]!b_stm07_bs($A155,109,$A$1,1,100000000),"")</f>
        <v>8.1949265745393143E-2</v>
      </c>
      <c r="M155" s="20"/>
      <c r="N155" s="18"/>
      <c r="O155" s="27" t="e">
        <f t="shared" si="39"/>
        <v>#N/A</v>
      </c>
      <c r="P155" s="21">
        <f t="shared" si="51"/>
        <v>7.350443808503615E-2</v>
      </c>
      <c r="Q155" s="27" t="str">
        <f t="shared" si="40"/>
        <v>152 169</v>
      </c>
      <c r="R155" s="18">
        <f>IFERROR([1]!s_stmnote_bank($A155,"34",$A$1,100000000)/[1]!s_stmnote_bank_1n(A155,$A$1,1,100000000),"")</f>
        <v>4.7504438085036141E-2</v>
      </c>
      <c r="S155" s="22"/>
      <c r="T155" s="22"/>
      <c r="U155" s="22"/>
      <c r="V155" s="22"/>
      <c r="W155" s="22"/>
      <c r="X155" s="22"/>
      <c r="Y155" s="22"/>
      <c r="Z155" s="25">
        <f>[1]!b_stm07_bs(A155,74,$A$1,1,100000000)</f>
        <v>2088.7528091252998</v>
      </c>
      <c r="AA155" s="25">
        <f>[1]!b_stm07_bs(A155,109,$A$1,1,100000000)</f>
        <v>1686.0110771079999</v>
      </c>
      <c r="AB155" s="10">
        <f>[1]!s_stmnote_bank_5n(A155,$A$1,1)</f>
        <v>2.6</v>
      </c>
      <c r="AC155" s="25">
        <f>IF([1]!s_stmnote_bank_23n(A155,$A$1,1)=0,"",IFERROR([1]!s_stmnote_bank_23n(A155,$A$1,1),""))</f>
        <v>124.35</v>
      </c>
      <c r="AD155" s="27" t="str">
        <f t="shared" si="41"/>
        <v>2 167</v>
      </c>
      <c r="AE155" s="25">
        <f>[1]!s_stmnote_bank_capadequacyratio(A155,$A$1,1)</f>
        <v>16.41</v>
      </c>
      <c r="AF155" s="25">
        <f>IF([1]!s_stmnote_bank_capadequacyratio_ct1(A155,$A$1,1)=0,"",IFERROR([1]!s_stmnote_bank_capadequacyratio_ct1(A155,$A$1,1),""))</f>
        <v>7.95</v>
      </c>
      <c r="AG155" s="27" t="str">
        <f t="shared" si="42"/>
        <v>7 167</v>
      </c>
      <c r="AH155" s="6">
        <f>IF(OR([1]!s_fa_roe(A155,20201231)=0,[1]!s_fa_roe(A155,20211231)="0",[1]!s_fa_roe(A155,20221231)="0"),"",IFERROR(([1]!s_fa_roe(A155,20221231)+[1]!s_fa_roe(A155,20201231)+[1]!s_fa_roe(A155,20211231))/3,""))</f>
        <v>2.7090999999999998</v>
      </c>
      <c r="AI155" s="27" t="str">
        <f t="shared" si="43"/>
        <v>15 173</v>
      </c>
      <c r="AJ155" s="28">
        <f>IFERROR(([1]!s_stmnote_bank_65(A155,$A$1,1,2,4,100000000)+[1]!s_stmnote_bank_65(A155,$A$1,1,2,6,100000000))/[1]!s_stmnote_bank_1n(A155,$A$1,1,100000000),"")</f>
        <v>0.16815256629776121</v>
      </c>
      <c r="AK155" s="28">
        <f>IFERROR([1]!s_stmnote_bank_614(A155,$A$1,1,2,100000000)/[1]!s_stmnote_bank_647(A155,$A$1,1,2,100000000),"")</f>
        <v>0.13018839049237141</v>
      </c>
      <c r="AL155" s="28">
        <f>IFERROR(([1]!b_stm07_bs(A155,104,$A$1,1,100000000)+[1]!b_stm07_bs(A155,106,$A$1,1,100000000)+[1]!b_stm07_bs(A155,76,$A$1,1,100000000)+[1]!b_stm07_bs(A155,108,$A$1,1,100000000)+[1]!b_stm07_bs(A155,95,$A$1,1,100000000))/[1]!b_stm07_bs(A155,128,$A$1,1,100000000),"")</f>
        <v>0.13090233412682065</v>
      </c>
      <c r="AM155" s="28">
        <f>IFERROR(([1]!s_stmnote_bank_614(A155,$A$1,1,2,100000000)+[1]!b_stm07_bs(A155,104,$A$1,1,100000000)+[1]!b_stm07_bs(A155,106,$A$1,1,100000000)+[1]!b_stm07_bs(A155,76,$A$1,1,100000000)+[1]!b_stm07_bs(A155,108,$A$1,1,100000000)+[1]!b_stm07_bs(A155,95,$A$1,1,100000000))/[1]!b_stm07_bs(A155,128,$A$1,1,100000000),"")</f>
        <v>0.24264241395780992</v>
      </c>
      <c r="AN155" s="31" t="e">
        <f>IF(Z155&gt;#REF!,#REF!,IF(Z155&gt;#REF!,#REF!,IF(Z155&gt;#REF!,#REF!,IF(Z155&gt;#REF!,#REF!,IF(Z155&gt;#REF!,#REF!,IF(Z155&gt;#REF!,#REF!,IF(Z155&gt;#REF!,#REF!,#REF!)))))))</f>
        <v>#REF!</v>
      </c>
      <c r="AO155" s="31" t="e">
        <f>IF(AA155&gt;#REF!,#REF!,IF(AA155&gt;#REF!,#REF!,IF(AA155&gt;#REF!,#REF!,IF(AA155&gt;#REF!,#REF!,IF(AA155&gt;#REF!,#REF!,IF(AA155&gt;#REF!,#REF!,IF(AA155&gt;#REF!,#REF!,#REF!)))))))</f>
        <v>#REF!</v>
      </c>
      <c r="AP155" s="31" t="e">
        <f>IF(AB155&lt;#REF!,#REF!,IF(AB155&lt;#REF!,#REF!,IF(AB155&lt;#REF!,#REF!,IF(AB155&lt;#REF!,#REF!,IF(AB155&lt;#REF!,#REF!,IF(AB155&lt;#REF!,#REF!,#REF!))))))</f>
        <v>#REF!</v>
      </c>
      <c r="AQ155" s="31" t="e">
        <f>IF(AC155&gt;#REF!,#REF!,IF(AC155&gt;#REF!,#REF!,IF(AC155&gt;#REF!,#REF!,IF(AC155&gt;#REF!,#REF!,#REF!))))</f>
        <v>#REF!</v>
      </c>
      <c r="AR155" s="31" t="e">
        <f>IF(AE155&gt;#REF!,#REF!,IF(AE155&gt;#REF!,#REF!,IF(AE155&gt;#REF!,#REF!,IF(AE155&gt;#REF!,#REF!,#REF!))))</f>
        <v>#REF!</v>
      </c>
      <c r="AS155" s="31" t="e">
        <f>IF(AF155&gt;#REF!,#REF!,IF(AF155&gt;#REF!,#REF!,IF(AF155&gt;#REF!,#REF!,IF(AF155&gt;#REF!,#REF!,#REF!))))</f>
        <v>#REF!</v>
      </c>
      <c r="AT155" s="31" t="e">
        <f>IF(AH155&gt;#REF!,#REF!,IF(AH155&gt;#REF!,#REF!,IF(AH155&gt;#REF!,#REF!,IF(AH155&gt;#REF!,#REF!,IF(AH155&gt;#REF!,#REF!,#REF!)))))</f>
        <v>#REF!</v>
      </c>
      <c r="AU155" s="10" t="e">
        <f t="shared" si="44"/>
        <v>#REF!</v>
      </c>
      <c r="AV155" s="10"/>
      <c r="AW155" s="10"/>
      <c r="AX155" s="10"/>
      <c r="AY155" s="31" t="str">
        <f>IFERROR(VLOOKUP(AV155,#REF!,3,0),"")</f>
        <v/>
      </c>
      <c r="AZ155" s="31" t="str">
        <f>IFERROR(VLOOKUP(AW155,#REF!,3,0),"")</f>
        <v/>
      </c>
      <c r="BA155" s="31" t="str">
        <f>IFERROR(VLOOKUP(AX155,#REF!,3,0),"")</f>
        <v/>
      </c>
      <c r="BB155" s="31" t="str">
        <f>IFERROR(AY155*#REF!+AZ155*#REF!+BA155*#REF!,"")</f>
        <v/>
      </c>
      <c r="BC155" s="32" t="str">
        <f t="shared" si="45"/>
        <v/>
      </c>
      <c r="BD155" s="32" t="str">
        <f>IFERROR(VLOOKUP(BC155*10,#REF!,2,1),"")</f>
        <v/>
      </c>
      <c r="BE155" s="10"/>
      <c r="BF155" s="10"/>
      <c r="BG155" s="10"/>
      <c r="BH155" s="11" t="s">
        <v>239</v>
      </c>
      <c r="BI155" s="10">
        <v>11.0100002288818</v>
      </c>
      <c r="BJ155" s="33" t="s">
        <v>240</v>
      </c>
      <c r="BK155" s="33" t="s">
        <v>241</v>
      </c>
      <c r="BL155" s="10">
        <f>IF([1]!s_stmnote_bank_17n(A155,$A$1,1)="0","",[1]!s_stmnote_bank_17n(A155,$A$1,1))</f>
        <v>9.43</v>
      </c>
      <c r="BM155" s="10">
        <f>IF([1]!s_stmnote_bank_18n(A155,$A$1,1)="0","",[1]!s_stmnote_bank_18n(A155,$A$1,1))</f>
        <v>62.19</v>
      </c>
      <c r="BN155" s="41"/>
      <c r="BO155" s="52"/>
      <c r="BP155" s="52">
        <f>[1]!s_stmnote_bank_5444(A155,$A$1,1)</f>
        <v>1.27</v>
      </c>
      <c r="BQ155" s="52">
        <f>[1]!s_stmnote_bank_129n($A155,$A$1,1)</f>
        <v>53.05</v>
      </c>
      <c r="BR155" s="52">
        <f t="shared" si="52"/>
        <v>4.6183392385839666</v>
      </c>
      <c r="BS155" s="52">
        <f>[1]!b_stm07_is(A155,19,$A$1,1,100000000)</f>
        <v>88.263696515599989</v>
      </c>
      <c r="BT155" s="52">
        <f xml:space="preserve"> [1]!s_stm07_bs(A155,"W15273164",$A$1,1,100000000)-[1]!s_stm07_bs(A155,"W17642530",$A$1,1,100000000)-[1]!s_stm07_bs(A155,"W15910877",$A$1,1,100000000)-[1]!s_stm07_bs_39(A155,$A$1,1,100000000)-[1]!s_stm07_bs(A155,"W17700468",$A$1,1,100000000)-[1]!s_stm07_bs(A155,"W16504296",$A$1,1,100000000)-[1]!s_stm07_bs(A155,"W13769069",$A$1,1,100000000)</f>
        <v>2056.7512585934001</v>
      </c>
      <c r="BU155" s="52">
        <f xml:space="preserve"> [1]!s_stm07_bs(A155,"W15273164",$B$1,1,100000000)-[1]!s_stm07_bs(A155,"W17642530",$B$1,1,100000000)-[1]!s_stm07_bs(A155,"W15910877",$B$1,1,100000000)-[1]!s_stm07_bs_39(A155,$B$1,1,100000000)-[1]!s_stm07_bs(A155,"W17700468",$B$1,1,100000000)-[1]!s_stm07_bs(A155,"W16504296",$B$1,1,100000000)-[1]!s_stm07_bs(A155,"W13769069",$B$1,1,100000000)</f>
        <v>1884.8661958667001</v>
      </c>
      <c r="BV155" s="52">
        <f xml:space="preserve"> [1]!s_stm07_bs(A155,"W15273164",$E$1,1,100000000)-[1]!s_stm07_bs(A155,"W17642530",$E$1,1,100000000)-[1]!s_stm07_bs(A155,"W15910877",$E$1,1,100000000)-[1]!s_stm07_bs_39(A155,$E$1,1,100000000)-[1]!s_stm07_bs(A155,"W17700468",$E$1,1,100000000)-[1]!s_stm07_bs(A155,"W16504296",$E$1,1,100000000)-[1]!s_stm07_bs(A155,"W13769069",$E$1,1,100000000)</f>
        <v>2012.1636140870999</v>
      </c>
      <c r="BW155" s="52">
        <f xml:space="preserve"> [1]!s_stm07_bs(A155,"W15273164",$F$1,1,100000000)-[1]!s_stm07_bs(A155,"W17642530",$F$1,1,100000000)-[1]!s_stm07_bs(A155,"W15910877",$F$1,1,100000000)-[1]!s_stm07_bs_39(A155,$F$1,1,100000000)-[1]!s_stm07_bs(A155,"W17700468",$F$1,1,100000000)-[1]!s_stm07_bs(A155,"W16504296",$F$1,1,100000000)-[1]!s_stm07_bs(A155,"W13769069",$F$1,1,100000000)</f>
        <v>1918.9091233488002</v>
      </c>
      <c r="BX155" s="52">
        <f xml:space="preserve"> [1]!s_stm07_bs(A155,"W15273164",$G$1,1,100000000)-[1]!s_stm07_bs(A155,"W17642530",$G$1,1,100000000)-[1]!s_stm07_bs(A155,"W15910877",$G$1,1,100000000)-[1]!s_stm07_bs_39(A155,$G$1,1,100000000)-[1]!s_stm07_bs(A155,"W17700468",$G$1,1,100000000)-[1]!s_stm07_bs(A155,"W16504296",$G$1,1,100000000)-[1]!s_stm07_bs(A155,"W13769069",$G$1,1,100000000)</f>
        <v>1871.5214632267998</v>
      </c>
      <c r="BY155" s="52">
        <f>IFERROR([1]!b_stm07_is(A155,20,$A$1,1,100000000)/AVERAGEIF(CA155:CE155,"&gt;0")*100,0)</f>
        <v>3.738878472642007</v>
      </c>
      <c r="BZ155" s="52">
        <f>[1]!b_stm07_is(A155,20,$A$1,1,100000000)</f>
        <v>67.117250866500001</v>
      </c>
      <c r="CA155" s="52">
        <f>[1]!s_stmnote_bank_38(A155,$A$1,1,100000000)</f>
        <v>1951.7381792275</v>
      </c>
      <c r="CB155" s="52">
        <f>[1]!s_stmnote_bank_38(A155,$B$1,1,100000000)</f>
        <v>1711.8705907510998</v>
      </c>
      <c r="CC155" s="52">
        <f>[1]!s_stmnote_bank_38(A155,$E$1,1,100000000)</f>
        <v>1809.7866913547</v>
      </c>
      <c r="CD155" s="52">
        <f>[1]!s_stmnote_bank_38(A155,$F$1,1,100000000)</f>
        <v>1775.9576087052999</v>
      </c>
      <c r="CE155" s="52">
        <f>[1]!s_stmnote_bank_38(A155,$G$1,1,100000000)</f>
        <v>1726.2329723546</v>
      </c>
      <c r="CF155" s="52">
        <f>IF(BP155&lt;&gt;0,BP155,IFERROR(IF(([1]!b_stm07_is(A155,19,$A$1,1,100000000)-[1]!b_stm07_is(A155,20,$A$1,1,100000000))/AVERAGE([1]!s_stmnote_bank_35(A155,$A$1,1,100000000),[1]!s_stmnote_bank_35(A155,$B$1,1,100000000))*100=0,"",([1]!b_stm07_is(A155,19,$A$1,1,100000000)-[1]!b_stm07_is(A155,20,$A$1,1,100000000))/AVERAGE([1]!s_stmnote_bank_35(A155,$A$1,1,100000000),[1]!s_stmnote_bank_35(A155,$B$1,1,100000000))*100),""))</f>
        <v>1.27</v>
      </c>
      <c r="CG155" s="27" t="str">
        <f t="shared" si="46"/>
        <v>163 171</v>
      </c>
      <c r="CH155" s="80">
        <f t="shared" si="53"/>
        <v>0.1727786829049365</v>
      </c>
      <c r="CI155" s="27" t="str">
        <f t="shared" si="47"/>
        <v>162 169</v>
      </c>
      <c r="CJ155" s="55">
        <f>[1]!s_stmnote_bank_30(A155,$A$1,1)</f>
        <v>11.592499999999999</v>
      </c>
      <c r="CP155" s="69">
        <f>[1]!b_stm07_bs($A155,141,$A$1,1,100000000)</f>
        <v>124.380948885</v>
      </c>
      <c r="CQ155" s="69">
        <f>[1]!b_stm07_bs($A155,141,$D$1,1,100000000)</f>
        <v>127.0181608314</v>
      </c>
      <c r="CR155" s="68">
        <f>IF([1]!s_fa_roic_yearly($A155,$A$1)=0,"",[1]!s_fa_roic_yearly($A155,$A$1))</f>
        <v>2.6225000000000001</v>
      </c>
      <c r="CS155" s="27">
        <f t="shared" si="48"/>
        <v>0.9349112426035503</v>
      </c>
      <c r="CT155" s="68">
        <f>IF([1]!s_fa_roic_yearly($A155,$D$1)=0,"",[1]!s_fa_roic_yearly($A155,$D$1))</f>
        <v>4.8794000000000004</v>
      </c>
      <c r="CU155" s="27">
        <f t="shared" si="49"/>
        <v>0.90845070422535212</v>
      </c>
      <c r="CV155" s="78">
        <f>[1]!s_stm07_bs(A155,"W14578191",$A$1,1,100000000)</f>
        <v>1125.5341487762</v>
      </c>
      <c r="CW155" s="78">
        <f>[1]!s_stmnote_bank_682($A155,$A$1,1,2,100000000)</f>
        <v>237.03970000000001</v>
      </c>
      <c r="CX155" s="79">
        <f t="shared" si="50"/>
        <v>0.21060196197310821</v>
      </c>
    </row>
    <row r="156" spans="1:102" s="46" customFormat="1" ht="13.5">
      <c r="A156" s="8" t="s">
        <v>865</v>
      </c>
      <c r="B156" s="8" t="s">
        <v>866</v>
      </c>
      <c r="C156" s="9" t="s">
        <v>867</v>
      </c>
      <c r="D156" s="9" t="s">
        <v>1061</v>
      </c>
      <c r="E156" s="10" t="s">
        <v>867</v>
      </c>
      <c r="F156" s="11" t="s">
        <v>178</v>
      </c>
      <c r="G156" s="11" t="s">
        <v>116</v>
      </c>
      <c r="H156" s="11" t="s">
        <v>245</v>
      </c>
      <c r="I156" s="11"/>
      <c r="J156" s="11">
        <f>VLOOKUP(B156,[3]额度信息!$B:$T,19,0)</f>
        <v>3</v>
      </c>
      <c r="K156" s="11" t="s">
        <v>868</v>
      </c>
      <c r="L156" s="27">
        <f>IFERROR(([1]!b_stm07_bs($A156,47,$A$1,1,100000000))/[1]!b_stm07_bs($A156,109,$A$1,1,100000000),"")</f>
        <v>0.11127550744743653</v>
      </c>
      <c r="M156" s="20"/>
      <c r="N156" s="18"/>
      <c r="O156" s="27" t="e">
        <f t="shared" si="39"/>
        <v>#N/A</v>
      </c>
      <c r="P156" s="21">
        <f t="shared" si="51"/>
        <v>6.5714330267218207E-2</v>
      </c>
      <c r="Q156" s="27" t="str">
        <f t="shared" si="40"/>
        <v>148 169</v>
      </c>
      <c r="R156" s="18">
        <v>5.0014330267218202E-2</v>
      </c>
      <c r="S156" s="22"/>
      <c r="T156" s="22"/>
      <c r="U156" s="22"/>
      <c r="V156" s="22"/>
      <c r="W156" s="22"/>
      <c r="X156" s="22"/>
      <c r="Y156" s="22"/>
      <c r="Z156" s="25">
        <f>[1]!b_stm07_bs(A156,74,$A$1,1,100000000)</f>
        <v>7200.9652558686003</v>
      </c>
      <c r="AA156" s="25">
        <f>[1]!b_stm07_bs(A156,109,$A$1,1,100000000)</f>
        <v>4143.6328965275998</v>
      </c>
      <c r="AB156" s="10">
        <f>[1]!s_stmnote_bank_5n(A156,$A$1,1)</f>
        <v>1.57</v>
      </c>
      <c r="AC156" s="25">
        <f>IF([1]!s_stmnote_bank_23n(A156,$A$1,1)=0,"",IFERROR([1]!s_stmnote_bank_23n(A156,$A$1,1),""))</f>
        <v>189.43</v>
      </c>
      <c r="AD156" s="27" t="str">
        <f t="shared" si="41"/>
        <v>58 167</v>
      </c>
      <c r="AE156" s="25">
        <f>[1]!s_stmnote_bank_capadequacyratio(A156,$A$1,1)</f>
        <v>13.26</v>
      </c>
      <c r="AF156" s="25">
        <f>IF([1]!s_stmnote_bank_capadequacyratio_ct1(A156,$A$1,1)=0,"",IFERROR([1]!s_stmnote_bank_capadequacyratio_ct1(A156,$A$1,1),""))</f>
        <v>9.16</v>
      </c>
      <c r="AG156" s="27" t="str">
        <f t="shared" si="42"/>
        <v>47 167</v>
      </c>
      <c r="AH156" s="6">
        <f>IF(OR([1]!s_fa_roe(A156,20201231)=0,[1]!s_fa_roe(A156,20211231)="0",[1]!s_fa_roe(A156,20221231)="0"),"",IFERROR(([1]!s_fa_roe(A156,20221231)+[1]!s_fa_roe(A156,20201231)+[1]!s_fa_roe(A156,20211231))/3,""))</f>
        <v>8.6435666666666666</v>
      </c>
      <c r="AI156" s="27" t="str">
        <f t="shared" si="43"/>
        <v>88 173</v>
      </c>
      <c r="AJ156" s="28">
        <f>IFERROR(([1]!s_stmnote_bank_65(A156,$A$1,1,2,4,100000000)+[1]!s_stmnote_bank_65(A156,$A$1,1,2,6,100000000))/[1]!s_stmnote_bank_1n(A156,$A$1,1,100000000),"")</f>
        <v>0.15176915567093063</v>
      </c>
      <c r="AK156" s="28">
        <f>IFERROR([1]!s_stmnote_bank_614(A156,$A$1,1,2,100000000)/[1]!s_stmnote_bank_647(A156,$A$1,1,2,100000000),"")</f>
        <v>0.24476431602662402</v>
      </c>
      <c r="AL156" s="28">
        <f>IFERROR(([1]!b_stm07_bs(A156,104,$A$1,1,100000000)+[1]!b_stm07_bs(A156,106,$A$1,1,100000000)+[1]!b_stm07_bs(A156,76,$A$1,1,100000000)+[1]!b_stm07_bs(A156,108,$A$1,1,100000000)+[1]!b_stm07_bs(A156,95,$A$1,1,100000000))/[1]!b_stm07_bs(A156,128,$A$1,1,100000000),"")</f>
        <v>0.34681746229461574</v>
      </c>
      <c r="AM156" s="28">
        <f>IFERROR(([1]!s_stmnote_bank_614(A156,$A$1,1,2,100000000)+[1]!b_stm07_bs(A156,104,$A$1,1,100000000)+[1]!b_stm07_bs(A156,106,$A$1,1,100000000)+[1]!b_stm07_bs(A156,76,$A$1,1,100000000)+[1]!b_stm07_bs(A156,108,$A$1,1,100000000)+[1]!b_stm07_bs(A156,95,$A$1,1,100000000))/[1]!b_stm07_bs(A156,128,$A$1,1,100000000),"")</f>
        <v>0.49504836958952064</v>
      </c>
      <c r="AN156" s="31" t="e">
        <f>IF(Z156&gt;#REF!,#REF!,IF(Z156&gt;#REF!,#REF!,IF(Z156&gt;#REF!,#REF!,IF(Z156&gt;#REF!,#REF!,IF(Z156&gt;#REF!,#REF!,IF(Z156&gt;#REF!,#REF!,IF(Z156&gt;#REF!,#REF!,#REF!)))))))</f>
        <v>#REF!</v>
      </c>
      <c r="AO156" s="31" t="e">
        <f>IF(AA156&gt;#REF!,#REF!,IF(AA156&gt;#REF!,#REF!,IF(AA156&gt;#REF!,#REF!,IF(AA156&gt;#REF!,#REF!,IF(AA156&gt;#REF!,#REF!,IF(AA156&gt;#REF!,#REF!,IF(AA156&gt;#REF!,#REF!,#REF!)))))))</f>
        <v>#REF!</v>
      </c>
      <c r="AP156" s="31" t="e">
        <f>IF(AB156&lt;#REF!,#REF!,IF(AB156&lt;#REF!,#REF!,IF(AB156&lt;#REF!,#REF!,IF(AB156&lt;#REF!,#REF!,IF(AB156&lt;#REF!,#REF!,IF(AB156&lt;#REF!,#REF!,#REF!))))))</f>
        <v>#REF!</v>
      </c>
      <c r="AQ156" s="31" t="e">
        <f>IF(AC156&gt;#REF!,#REF!,IF(AC156&gt;#REF!,#REF!,IF(AC156&gt;#REF!,#REF!,IF(AC156&gt;#REF!,#REF!,#REF!))))</f>
        <v>#REF!</v>
      </c>
      <c r="AR156" s="31" t="e">
        <f>IF(AE156&gt;#REF!,#REF!,IF(AE156&gt;#REF!,#REF!,IF(AE156&gt;#REF!,#REF!,IF(AE156&gt;#REF!,#REF!,#REF!))))</f>
        <v>#REF!</v>
      </c>
      <c r="AS156" s="31" t="e">
        <f>IF(AF156&gt;#REF!,#REF!,IF(AF156&gt;#REF!,#REF!,IF(AF156&gt;#REF!,#REF!,IF(AF156&gt;#REF!,#REF!,#REF!))))</f>
        <v>#REF!</v>
      </c>
      <c r="AT156" s="31" t="e">
        <f>IF(AH156&gt;#REF!,#REF!,IF(AH156&gt;#REF!,#REF!,IF(AH156&gt;#REF!,#REF!,IF(AH156&gt;#REF!,#REF!,IF(AH156&gt;#REF!,#REF!,#REF!)))))</f>
        <v>#REF!</v>
      </c>
      <c r="AU156" s="10" t="e">
        <f t="shared" si="44"/>
        <v>#REF!</v>
      </c>
      <c r="AV156" s="10" t="s">
        <v>60</v>
      </c>
      <c r="AW156" s="10" t="s">
        <v>161</v>
      </c>
      <c r="AX156" s="10" t="s">
        <v>62</v>
      </c>
      <c r="AY156" s="31" t="str">
        <f>IFERROR(VLOOKUP(AV156,#REF!,3,0),"")</f>
        <v/>
      </c>
      <c r="AZ156" s="31" t="str">
        <f>IFERROR(VLOOKUP(AW156,#REF!,3,0),"")</f>
        <v/>
      </c>
      <c r="BA156" s="31" t="str">
        <f>IFERROR(VLOOKUP(AX156,#REF!,3,0),"")</f>
        <v/>
      </c>
      <c r="BB156" s="31" t="str">
        <f>IFERROR(AY156*#REF!+AZ156*#REF!+BA156*#REF!,"")</f>
        <v/>
      </c>
      <c r="BC156" s="32" t="str">
        <f t="shared" si="45"/>
        <v/>
      </c>
      <c r="BD156" s="32" t="str">
        <f>IFERROR(VLOOKUP(BC156*10,#REF!,2,1),"")</f>
        <v/>
      </c>
      <c r="BE156" s="11">
        <v>1</v>
      </c>
      <c r="BF156" s="11">
        <v>-1</v>
      </c>
      <c r="BG156" s="10" t="s">
        <v>869</v>
      </c>
      <c r="BH156" s="11" t="s">
        <v>870</v>
      </c>
      <c r="BI156" s="10">
        <v>22.579999923706101</v>
      </c>
      <c r="BJ156" s="33" t="s">
        <v>280</v>
      </c>
      <c r="BK156" s="33" t="s">
        <v>744</v>
      </c>
      <c r="BL156" s="10">
        <f>IF([1]!s_stmnote_bank_17n(A156,$A$1,1)="0","",[1]!s_stmnote_bank_17n(A156,$A$1,1))</f>
        <v>5.78</v>
      </c>
      <c r="BM156" s="10">
        <f>IF([1]!s_stmnote_bank_18n(A156,$A$1,1)="0","",[1]!s_stmnote_bank_18n(A156,$A$1,1))</f>
        <v>36.840000000000003</v>
      </c>
      <c r="BN156" s="41">
        <v>4.91</v>
      </c>
      <c r="BO156" s="68">
        <v>2.64</v>
      </c>
      <c r="BP156" s="52">
        <f>[1]!s_stmnote_bank_5444(A156,$A$1,1)</f>
        <v>2.04</v>
      </c>
      <c r="BQ156" s="52">
        <f>[1]!s_stmnote_bank_129n($A156,$A$1,1)</f>
        <v>25.05</v>
      </c>
      <c r="BR156" s="52">
        <f t="shared" si="52"/>
        <v>4.7163267226639629</v>
      </c>
      <c r="BS156" s="52">
        <f>[1]!b_stm07_is(A156,19,$A$1,1,100000000)</f>
        <v>306.14712140910001</v>
      </c>
      <c r="BT156" s="52">
        <f xml:space="preserve"> [1]!s_stm07_bs(A156,"W15273164",$A$1,1,100000000)-[1]!s_stm07_bs(A156,"W17642530",$A$1,1,100000000)-[1]!s_stm07_bs(A156,"W15910877",$A$1,1,100000000)-[1]!s_stm07_bs_39(A156,$A$1,1,100000000)-[1]!s_stm07_bs(A156,"W17700468",$A$1,1,100000000)-[1]!s_stm07_bs(A156,"W16504296",$A$1,1,100000000)-[1]!s_stm07_bs(A156,"W13769069",$A$1,1,100000000)</f>
        <v>7087.9702117989</v>
      </c>
      <c r="BU156" s="52">
        <f xml:space="preserve"> [1]!s_stm07_bs(A156,"W15273164",$B$1,1,100000000)-[1]!s_stm07_bs(A156,"W17642530",$B$1,1,100000000)-[1]!s_stm07_bs(A156,"W15910877",$B$1,1,100000000)-[1]!s_stm07_bs_39(A156,$B$1,1,100000000)-[1]!s_stm07_bs(A156,"W17700468",$B$1,1,100000000)-[1]!s_stm07_bs(A156,"W16504296",$B$1,1,100000000)-[1]!s_stm07_bs(A156,"W13769069",$B$1,1,100000000)</f>
        <v>6313.4541596775998</v>
      </c>
      <c r="BV156" s="52">
        <f xml:space="preserve"> [1]!s_stm07_bs(A156,"W15273164",$E$1,1,100000000)-[1]!s_stm07_bs(A156,"W17642530",$E$1,1,100000000)-[1]!s_stm07_bs(A156,"W15910877",$E$1,1,100000000)-[1]!s_stm07_bs_39(A156,$E$1,1,100000000)-[1]!s_stm07_bs(A156,"W17700468",$E$1,1,100000000)-[1]!s_stm07_bs(A156,"W16504296",$E$1,1,100000000)-[1]!s_stm07_bs(A156,"W13769069",$E$1,1,100000000)</f>
        <v>0</v>
      </c>
      <c r="BW156" s="52">
        <f xml:space="preserve"> [1]!s_stm07_bs(A156,"W15273164",$F$1,1,100000000)-[1]!s_stm07_bs(A156,"W17642530",$F$1,1,100000000)-[1]!s_stm07_bs(A156,"W15910877",$F$1,1,100000000)-[1]!s_stm07_bs_39(A156,$F$1,1,100000000)-[1]!s_stm07_bs(A156,"W17700468",$F$1,1,100000000)-[1]!s_stm07_bs(A156,"W16504296",$F$1,1,100000000)-[1]!s_stm07_bs(A156,"W13769069",$F$1,1,100000000)</f>
        <v>7138.8264574277</v>
      </c>
      <c r="BX156" s="52">
        <f xml:space="preserve"> [1]!s_stm07_bs(A156,"W15273164",$G$1,1,100000000)-[1]!s_stm07_bs(A156,"W17642530",$G$1,1,100000000)-[1]!s_stm07_bs(A156,"W15910877",$G$1,1,100000000)-[1]!s_stm07_bs_39(A156,$G$1,1,100000000)-[1]!s_stm07_bs(A156,"W17700468",$G$1,1,100000000)-[1]!s_stm07_bs(A156,"W16504296",$G$1,1,100000000)-[1]!s_stm07_bs(A156,"W13769069",$G$1,1,100000000)</f>
        <v>0</v>
      </c>
      <c r="BY156" s="52">
        <f>IFERROR([1]!b_stm07_is(A156,20,$A$1,1,100000000)/AVERAGEIF(CA156:CE156,"&gt;0")*100,0)</f>
        <v>2.7866115920556185</v>
      </c>
      <c r="BZ156" s="52">
        <f>[1]!b_stm07_is(A156,20,$A$1,1,100000000)</f>
        <v>179.48620401650001</v>
      </c>
      <c r="CA156" s="52">
        <f>[1]!s_stmnote_bank_38(A156,$A$1,1,100000000)</f>
        <v>6628.9359640548</v>
      </c>
      <c r="CB156" s="52">
        <f>[1]!s_stmnote_bank_38(A156,$B$1,1,100000000)</f>
        <v>5945.3678900572995</v>
      </c>
      <c r="CC156" s="52">
        <f>[1]!s_stmnote_bank_38(A156,$E$1,1,100000000)</f>
        <v>0</v>
      </c>
      <c r="CD156" s="52">
        <f>[1]!s_stmnote_bank_38(A156,$F$1,1,100000000)</f>
        <v>6748.7555053119995</v>
      </c>
      <c r="CE156" s="52">
        <f>[1]!s_stmnote_bank_38(A156,$G$1,1,100000000)</f>
        <v>0</v>
      </c>
      <c r="CF156" s="52">
        <f>IF(BP156&lt;&gt;0,BP156,IFERROR(IF(([1]!b_stm07_is(A156,19,$A$1,1,100000000)-[1]!b_stm07_is(A156,20,$A$1,1,100000000))/AVERAGE([1]!s_stmnote_bank_35(A156,$A$1,1,100000000),[1]!s_stmnote_bank_35(A156,$B$1,1,100000000))*100=0,"",([1]!b_stm07_is(A156,19,$A$1,1,100000000)-[1]!b_stm07_is(A156,20,$A$1,1,100000000))/AVERAGE([1]!s_stmnote_bank_35(A156,$A$1,1,100000000),[1]!s_stmnote_bank_35(A156,$B$1,1,100000000))*100),""))</f>
        <v>2.04</v>
      </c>
      <c r="CG156" s="27" t="str">
        <f t="shared" si="46"/>
        <v>88 171</v>
      </c>
      <c r="CH156" s="80">
        <f t="shared" si="53"/>
        <v>0.31043457214044839</v>
      </c>
      <c r="CI156" s="27" t="str">
        <f t="shared" si="47"/>
        <v>142 169</v>
      </c>
      <c r="CJ156" s="55">
        <f>[1]!s_stmnote_bank_30(A156,$A$1,1)</f>
        <v>23.53</v>
      </c>
      <c r="CP156" s="69">
        <f>[1]!b_stm07_bs($A156,141,$A$1,1,100000000)</f>
        <v>508.99926862069998</v>
      </c>
      <c r="CQ156" s="69">
        <f>[1]!b_stm07_bs($A156,141,$D$1,1,100000000)</f>
        <v>512.64458999999999</v>
      </c>
      <c r="CR156" s="68">
        <f>IF([1]!s_fa_roic_yearly($A156,$A$1)=0,"",[1]!s_fa_roic_yearly($A156,$A$1))</f>
        <v>8.7499000000000002</v>
      </c>
      <c r="CS156" s="27">
        <f t="shared" si="48"/>
        <v>0.50295857988165682</v>
      </c>
      <c r="CT156" s="68">
        <f>IF([1]!s_fa_roic_yearly($A156,$D$1)=0,"",[1]!s_fa_roic_yearly($A156,$D$1))</f>
        <v>6.2005999999999997</v>
      </c>
      <c r="CU156" s="27">
        <f t="shared" si="49"/>
        <v>0.83098591549295775</v>
      </c>
      <c r="CV156" s="78">
        <f>[1]!s_stm07_bs(A156,"W14578191",$A$1,1,100000000)</f>
        <v>3779.1435244197996</v>
      </c>
      <c r="CW156" s="78">
        <f>[1]!s_stmnote_bank_682($A156,$A$1,1,2,100000000)</f>
        <v>1775.2160838969</v>
      </c>
      <c r="CX156" s="79">
        <f t="shared" si="50"/>
        <v>0.4697403187854432</v>
      </c>
    </row>
    <row r="157" spans="1:102" s="46" customFormat="1" ht="13.5">
      <c r="A157" s="8" t="s">
        <v>910</v>
      </c>
      <c r="B157" s="8" t="s">
        <v>911</v>
      </c>
      <c r="C157" s="9" t="s">
        <v>912</v>
      </c>
      <c r="D157" s="9" t="s">
        <v>1061</v>
      </c>
      <c r="E157" s="10"/>
      <c r="F157" s="11" t="s">
        <v>178</v>
      </c>
      <c r="G157" s="11" t="s">
        <v>179</v>
      </c>
      <c r="H157" s="11" t="s">
        <v>116</v>
      </c>
      <c r="I157" s="11"/>
      <c r="J157" s="11" t="e">
        <f>VLOOKUP(B157,[3]额度信息!$B:$T,19,0)</f>
        <v>#N/A</v>
      </c>
      <c r="K157" s="11" t="s">
        <v>913</v>
      </c>
      <c r="L157" s="27">
        <f>IFERROR(([1]!b_stm07_bs($A157,47,$A$1,1,100000000))/[1]!b_stm07_bs($A157,109,$A$1,1,100000000),"")</f>
        <v>6.7703053016441125E-2</v>
      </c>
      <c r="M157" s="20"/>
      <c r="N157" s="18"/>
      <c r="O157" s="27" t="e">
        <f t="shared" si="39"/>
        <v>#N/A</v>
      </c>
      <c r="P157" s="21">
        <f t="shared" si="51"/>
        <v>7.3739614472151799E-2</v>
      </c>
      <c r="Q157" s="27" t="str">
        <f t="shared" si="40"/>
        <v>154 169</v>
      </c>
      <c r="R157" s="18">
        <v>5.6439614472151803E-2</v>
      </c>
      <c r="S157" s="22"/>
      <c r="T157" s="22"/>
      <c r="U157" s="22"/>
      <c r="V157" s="22"/>
      <c r="W157" s="22"/>
      <c r="X157" s="22"/>
      <c r="Y157" s="22"/>
      <c r="Z157" s="25">
        <f>[1]!b_stm07_bs(A157,74,$A$1,1,100000000)</f>
        <v>4003.4057092892999</v>
      </c>
      <c r="AA157" s="25">
        <f>[1]!b_stm07_bs(A157,109,$A$1,1,100000000)</f>
        <v>3056.5496011109999</v>
      </c>
      <c r="AB157" s="10">
        <f>[1]!s_stmnote_bank_5n(A157,$A$1,1)</f>
        <v>1.73</v>
      </c>
      <c r="AC157" s="25">
        <f>IF([1]!s_stmnote_bank_23n(A157,$A$1,1)=0,"",IFERROR([1]!s_stmnote_bank_23n(A157,$A$1,1),""))</f>
        <v>191.88</v>
      </c>
      <c r="AD157" s="27" t="str">
        <f t="shared" si="41"/>
        <v>60 167</v>
      </c>
      <c r="AE157" s="25">
        <f>[1]!s_stmnote_bank_capadequacyratio(A157,$A$1,1)</f>
        <v>11.56</v>
      </c>
      <c r="AF157" s="25">
        <f>IF([1]!s_stmnote_bank_capadequacyratio_ct1(A157,$A$1,1)=0,"",IFERROR([1]!s_stmnote_bank_capadequacyratio_ct1(A157,$A$1,1),""))</f>
        <v>8.58</v>
      </c>
      <c r="AG157" s="27" t="str">
        <f t="shared" si="42"/>
        <v>25 167</v>
      </c>
      <c r="AH157" s="6">
        <f>IF(OR([1]!s_fa_roe(A157,20201231)=0,[1]!s_fa_roe(A157,20211231)="0",[1]!s_fa_roe(A157,20221231)="0"),"",IFERROR(([1]!s_fa_roe(A157,20221231)+[1]!s_fa_roe(A157,20201231)+[1]!s_fa_roe(A157,20211231))/3,""))</f>
        <v>5.8320999999999996</v>
      </c>
      <c r="AI157" s="27" t="str">
        <f t="shared" si="43"/>
        <v>56 173</v>
      </c>
      <c r="AJ157" s="28">
        <f>IFERROR(([1]!s_stmnote_bank_65(A157,$A$1,1,2,4,100000000)+[1]!s_stmnote_bank_65(A157,$A$1,1,2,6,100000000))/[1]!s_stmnote_bank_1n(A157,$A$1,1,100000000),"")</f>
        <v>0.18649002459781594</v>
      </c>
      <c r="AK157" s="28">
        <f>IFERROR([1]!s_stmnote_bank_614(A157,$A$1,1,2,100000000)/[1]!s_stmnote_bank_647(A157,$A$1,1,2,100000000),"")</f>
        <v>0.26943090838742639</v>
      </c>
      <c r="AL157" s="28">
        <f>IFERROR(([1]!b_stm07_bs(A157,104,$A$1,1,100000000)+[1]!b_stm07_bs(A157,106,$A$1,1,100000000)+[1]!b_stm07_bs(A157,76,$A$1,1,100000000)+[1]!b_stm07_bs(A157,108,$A$1,1,100000000)+[1]!b_stm07_bs(A157,95,$A$1,1,100000000))/[1]!b_stm07_bs(A157,128,$A$1,1,100000000),"")</f>
        <v>0.12305340223465483</v>
      </c>
      <c r="AM157" s="28">
        <f>IFERROR(([1]!s_stmnote_bank_614(A157,$A$1,1,2,100000000)+[1]!b_stm07_bs(A157,104,$A$1,1,100000000)+[1]!b_stm07_bs(A157,106,$A$1,1,100000000)+[1]!b_stm07_bs(A157,76,$A$1,1,100000000)+[1]!b_stm07_bs(A157,108,$A$1,1,100000000)+[1]!b_stm07_bs(A157,95,$A$1,1,100000000))/[1]!b_stm07_bs(A157,128,$A$1,1,100000000),"")</f>
        <v>0.34054321101723212</v>
      </c>
      <c r="AN157" s="31" t="e">
        <f>IF(Z157&gt;#REF!,#REF!,IF(Z157&gt;#REF!,#REF!,IF(Z157&gt;#REF!,#REF!,IF(Z157&gt;#REF!,#REF!,IF(Z157&gt;#REF!,#REF!,IF(Z157&gt;#REF!,#REF!,IF(Z157&gt;#REF!,#REF!,#REF!)))))))</f>
        <v>#REF!</v>
      </c>
      <c r="AO157" s="31" t="e">
        <f>IF(AA157&gt;#REF!,#REF!,IF(AA157&gt;#REF!,#REF!,IF(AA157&gt;#REF!,#REF!,IF(AA157&gt;#REF!,#REF!,IF(AA157&gt;#REF!,#REF!,IF(AA157&gt;#REF!,#REF!,IF(AA157&gt;#REF!,#REF!,#REF!)))))))</f>
        <v>#REF!</v>
      </c>
      <c r="AP157" s="31" t="e">
        <f>IF(AB157&lt;#REF!,#REF!,IF(AB157&lt;#REF!,#REF!,IF(AB157&lt;#REF!,#REF!,IF(AB157&lt;#REF!,#REF!,IF(AB157&lt;#REF!,#REF!,IF(AB157&lt;#REF!,#REF!,#REF!))))))</f>
        <v>#REF!</v>
      </c>
      <c r="AQ157" s="31" t="e">
        <f>IF(AC157&gt;#REF!,#REF!,IF(AC157&gt;#REF!,#REF!,IF(AC157&gt;#REF!,#REF!,IF(AC157&gt;#REF!,#REF!,#REF!))))</f>
        <v>#REF!</v>
      </c>
      <c r="AR157" s="31" t="e">
        <f>IF(AE157&gt;#REF!,#REF!,IF(AE157&gt;#REF!,#REF!,IF(AE157&gt;#REF!,#REF!,IF(AE157&gt;#REF!,#REF!,#REF!))))</f>
        <v>#REF!</v>
      </c>
      <c r="AS157" s="31" t="e">
        <f>IF(AF157&gt;#REF!,#REF!,IF(AF157&gt;#REF!,#REF!,IF(AF157&gt;#REF!,#REF!,IF(AF157&gt;#REF!,#REF!,#REF!))))</f>
        <v>#REF!</v>
      </c>
      <c r="AT157" s="31" t="e">
        <f>IF(AH157&gt;#REF!,#REF!,IF(AH157&gt;#REF!,#REF!,IF(AH157&gt;#REF!,#REF!,IF(AH157&gt;#REF!,#REF!,IF(AH157&gt;#REF!,#REF!,#REF!)))))</f>
        <v>#REF!</v>
      </c>
      <c r="AU157" s="10" t="e">
        <f t="shared" si="44"/>
        <v>#REF!</v>
      </c>
      <c r="AV157" s="10" t="s">
        <v>68</v>
      </c>
      <c r="AW157" s="10" t="s">
        <v>227</v>
      </c>
      <c r="AX157" s="10" t="s">
        <v>261</v>
      </c>
      <c r="AY157" s="31" t="str">
        <f>IFERROR(VLOOKUP(AV157,#REF!,3,0),"")</f>
        <v/>
      </c>
      <c r="AZ157" s="31" t="str">
        <f>IFERROR(VLOOKUP(AW157,#REF!,3,0),"")</f>
        <v/>
      </c>
      <c r="BA157" s="31" t="str">
        <f>IFERROR(VLOOKUP(AX157,#REF!,3,0),"")</f>
        <v/>
      </c>
      <c r="BB157" s="31" t="str">
        <f>IFERROR(AY157*#REF!+AZ157*#REF!+BA157*#REF!,"")</f>
        <v/>
      </c>
      <c r="BC157" s="32" t="str">
        <f t="shared" si="45"/>
        <v/>
      </c>
      <c r="BD157" s="32" t="str">
        <f>IFERROR(VLOOKUP(BC157*10,#REF!,2,1),"")</f>
        <v/>
      </c>
      <c r="BE157" s="10"/>
      <c r="BF157" s="10"/>
      <c r="BG157" s="10"/>
      <c r="BH157" s="11" t="s">
        <v>914</v>
      </c>
      <c r="BI157" s="10">
        <v>8.7399997711181605</v>
      </c>
      <c r="BJ157" s="33" t="s">
        <v>441</v>
      </c>
      <c r="BK157" s="33" t="s">
        <v>442</v>
      </c>
      <c r="BL157" s="10">
        <f>IF([1]!s_stmnote_bank_17n(A157,$A$1,1)="0","",[1]!s_stmnote_bank_17n(A157,$A$1,1))</f>
        <v>6.22</v>
      </c>
      <c r="BM157" s="10">
        <f>IF([1]!s_stmnote_bank_18n(A157,$A$1,1)="0","",[1]!s_stmnote_bank_18n(A157,$A$1,1))</f>
        <v>44.52</v>
      </c>
      <c r="BN157" s="41">
        <v>4.62</v>
      </c>
      <c r="BO157" s="68">
        <v>2.96</v>
      </c>
      <c r="BP157" s="52">
        <f>[1]!s_stmnote_bank_5444(A157,$A$1,1)</f>
        <v>1.72</v>
      </c>
      <c r="BQ157" s="52">
        <f>[1]!s_stmnote_bank_129n($A157,$A$1,1)</f>
        <v>29.05</v>
      </c>
      <c r="BR157" s="52">
        <f t="shared" si="52"/>
        <v>5.0122128449526864</v>
      </c>
      <c r="BS157" s="52">
        <f>[1]!b_stm07_is(A157,19,$A$1,1,100000000)</f>
        <v>183.67967366209999</v>
      </c>
      <c r="BT157" s="52">
        <f xml:space="preserve"> [1]!s_stm07_bs(A157,"W15273164",$A$1,1,100000000)-[1]!s_stm07_bs(A157,"W17642530",$A$1,1,100000000)-[1]!s_stm07_bs(A157,"W15910877",$A$1,1,100000000)-[1]!s_stm07_bs_39(A157,$A$1,1,100000000)-[1]!s_stm07_bs(A157,"W17700468",$A$1,1,100000000)-[1]!s_stm07_bs(A157,"W16504296",$A$1,1,100000000)-[1]!s_stm07_bs(A157,"W13769069",$A$1,1,100000000)</f>
        <v>3949.2137906359999</v>
      </c>
      <c r="BU157" s="52">
        <f xml:space="preserve"> [1]!s_stm07_bs(A157,"W15273164",$B$1,1,100000000)-[1]!s_stm07_bs(A157,"W17642530",$B$1,1,100000000)-[1]!s_stm07_bs(A157,"W15910877",$B$1,1,100000000)-[1]!s_stm07_bs_39(A157,$B$1,1,100000000)-[1]!s_stm07_bs(A157,"W17700468",$B$1,1,100000000)-[1]!s_stm07_bs(A157,"W16504296",$B$1,1,100000000)-[1]!s_stm07_bs(A157,"W13769069",$B$1,1,100000000)</f>
        <v>3568.2614146253995</v>
      </c>
      <c r="BV157" s="52">
        <f xml:space="preserve"> [1]!s_stm07_bs(A157,"W15273164",$E$1,1,100000000)-[1]!s_stm07_bs(A157,"W17642530",$E$1,1,100000000)-[1]!s_stm07_bs(A157,"W15910877",$E$1,1,100000000)-[1]!s_stm07_bs_39(A157,$E$1,1,100000000)-[1]!s_stm07_bs(A157,"W17700468",$E$1,1,100000000)-[1]!s_stm07_bs(A157,"W16504296",$E$1,1,100000000)-[1]!s_stm07_bs(A157,"W13769069",$E$1,1,100000000)</f>
        <v>3949.6632862931006</v>
      </c>
      <c r="BW157" s="52">
        <f xml:space="preserve"> [1]!s_stm07_bs(A157,"W15273164",$F$1,1,100000000)-[1]!s_stm07_bs(A157,"W17642530",$F$1,1,100000000)-[1]!s_stm07_bs(A157,"W15910877",$F$1,1,100000000)-[1]!s_stm07_bs_39(A157,$F$1,1,100000000)-[1]!s_stm07_bs(A157,"W17700468",$F$1,1,100000000)-[1]!s_stm07_bs(A157,"W16504296",$F$1,1,100000000)-[1]!s_stm07_bs(A157,"W13769069",$F$1,1,100000000)</f>
        <v>3904.3072152711998</v>
      </c>
      <c r="BX157" s="52">
        <f xml:space="preserve"> [1]!s_stm07_bs(A157,"W15273164",$G$1,1,100000000)-[1]!s_stm07_bs(A157,"W17642530",$G$1,1,100000000)-[1]!s_stm07_bs(A157,"W15910877",$G$1,1,100000000)-[1]!s_stm07_bs_39(A157,$G$1,1,100000000)-[1]!s_stm07_bs(A157,"W17700468",$G$1,1,100000000)-[1]!s_stm07_bs(A157,"W16504296",$G$1,1,100000000)-[1]!s_stm07_bs(A157,"W13769069",$G$1,1,100000000)</f>
        <v>3680.4815275691994</v>
      </c>
      <c r="BY157" s="52">
        <f>IFERROR([1]!b_stm07_is(A157,20,$A$1,1,100000000)/AVERAGEIF(CA157:CE157,"&gt;0")*100,0)</f>
        <v>3.4686576943166436</v>
      </c>
      <c r="BZ157" s="52">
        <f>[1]!b_stm07_is(A157,20,$A$1,1,100000000)</f>
        <v>123.5542207103</v>
      </c>
      <c r="CA157" s="52">
        <f>[1]!s_stmnote_bank_38(A157,$A$1,1,100000000)</f>
        <v>3688.8199926540997</v>
      </c>
      <c r="CB157" s="52">
        <f>[1]!s_stmnote_bank_38(A157,$B$1,1,100000000)</f>
        <v>3329.1763459292997</v>
      </c>
      <c r="CC157" s="52">
        <f>[1]!s_stmnote_bank_38(A157,$E$1,1,100000000)</f>
        <v>3691.5837710340002</v>
      </c>
      <c r="CD157" s="52">
        <f>[1]!s_stmnote_bank_38(A157,$F$1,1,100000000)</f>
        <v>3656.1054695106</v>
      </c>
      <c r="CE157" s="52">
        <f>[1]!s_stmnote_bank_38(A157,$G$1,1,100000000)</f>
        <v>3444.4057586165995</v>
      </c>
      <c r="CF157" s="52">
        <f>IF(BP157&lt;&gt;0,BP157,IFERROR(IF(([1]!b_stm07_is(A157,19,$A$1,1,100000000)-[1]!b_stm07_is(A157,20,$A$1,1,100000000))/AVERAGE([1]!s_stmnote_bank_35(A157,$A$1,1,100000000),[1]!s_stmnote_bank_35(A157,$B$1,1,100000000))*100=0,"",([1]!b_stm07_is(A157,19,$A$1,1,100000000)-[1]!b_stm07_is(A157,20,$A$1,1,100000000))/AVERAGE([1]!s_stmnote_bank_35(A157,$A$1,1,100000000),[1]!s_stmnote_bank_35(A157,$B$1,1,100000000))*100),""))</f>
        <v>1.72</v>
      </c>
      <c r="CG157" s="27" t="str">
        <f t="shared" si="46"/>
        <v>137 171</v>
      </c>
      <c r="CH157" s="80">
        <f t="shared" si="53"/>
        <v>0.23325318586383012</v>
      </c>
      <c r="CI157" s="27" t="str">
        <f t="shared" si="47"/>
        <v>154 169</v>
      </c>
      <c r="CJ157" s="55">
        <f>[1]!s_stmnote_bank_30(A157,$A$1,1)</f>
        <v>23.271100000000001</v>
      </c>
      <c r="CP157" s="69">
        <f>[1]!b_stm07_bs($A157,141,$A$1,1,100000000)</f>
        <v>290.08160219349998</v>
      </c>
      <c r="CQ157" s="69">
        <f>[1]!b_stm07_bs($A157,141,$D$1,1,100000000)</f>
        <v>312.10042461159998</v>
      </c>
      <c r="CR157" s="68">
        <f>IF([1]!s_fa_roic_yearly($A157,$A$1)=0,"",[1]!s_fa_roic_yearly($A157,$A$1))</f>
        <v>5.6067</v>
      </c>
      <c r="CS157" s="27">
        <f t="shared" si="48"/>
        <v>0.78698224852071008</v>
      </c>
      <c r="CT157" s="68">
        <f>IF([1]!s_fa_roic_yearly($A157,$D$1)=0,"",[1]!s_fa_roic_yearly($A157,$D$1))</f>
        <v>5.5682</v>
      </c>
      <c r="CU157" s="27">
        <f t="shared" si="49"/>
        <v>0.88732394366197187</v>
      </c>
      <c r="CV157" s="78">
        <f>[1]!s_stm07_bs(A157,"W14578191",$A$1,1,100000000)</f>
        <v>2101.1610569549998</v>
      </c>
      <c r="CW157" s="78">
        <f>[1]!s_stmnote_bank_682($A157,$A$1,1,2,100000000)</f>
        <v>611.5931683865</v>
      </c>
      <c r="CX157" s="79">
        <f t="shared" si="50"/>
        <v>0.29107391190317422</v>
      </c>
    </row>
    <row r="158" spans="1:102" s="46" customFormat="1" ht="13.5">
      <c r="A158" s="8" t="s">
        <v>700</v>
      </c>
      <c r="B158" s="8" t="s">
        <v>701</v>
      </c>
      <c r="C158" s="9" t="s">
        <v>702</v>
      </c>
      <c r="D158" s="9" t="s">
        <v>1066</v>
      </c>
      <c r="E158" s="10" t="s">
        <v>167</v>
      </c>
      <c r="F158" s="11" t="s">
        <v>178</v>
      </c>
      <c r="G158" s="11" t="s">
        <v>139</v>
      </c>
      <c r="H158" s="11" t="s">
        <v>245</v>
      </c>
      <c r="I158" s="11"/>
      <c r="J158" s="11">
        <f>VLOOKUP(B158,[3]额度信息!$B:$T,19,0)</f>
        <v>0</v>
      </c>
      <c r="K158" s="11" t="s">
        <v>703</v>
      </c>
      <c r="L158" s="27">
        <f>IFERROR(([1]!b_stm07_bs($A158,47,$A$1,1,100000000))/[1]!b_stm07_bs($A158,109,$A$1,1,100000000),"")</f>
        <v>8.441474670910093E-2</v>
      </c>
      <c r="M158" s="20"/>
      <c r="N158" s="18"/>
      <c r="O158" s="27" t="e">
        <f t="shared" si="39"/>
        <v>#N/A</v>
      </c>
      <c r="P158" s="21">
        <f t="shared" si="51"/>
        <v>7.3612336758444391E-2</v>
      </c>
      <c r="Q158" s="27" t="str">
        <f t="shared" si="40"/>
        <v>153 169</v>
      </c>
      <c r="R158" s="18">
        <v>5.6212336758444399E-2</v>
      </c>
      <c r="S158" s="22"/>
      <c r="T158" s="22"/>
      <c r="U158" s="22"/>
      <c r="V158" s="22"/>
      <c r="W158" s="22"/>
      <c r="X158" s="22"/>
      <c r="Y158" s="22"/>
      <c r="Z158" s="25">
        <f>[1]!b_stm07_bs(A158,74,$A$1,1,100000000)</f>
        <v>4304.3809000000001</v>
      </c>
      <c r="AA158" s="25">
        <f>[1]!b_stm07_bs(A158,109,$A$1,1,100000000)</f>
        <v>2688.2304199999999</v>
      </c>
      <c r="AB158" s="10">
        <f>[1]!s_stmnote_bank_5n(A158,$A$1,1)</f>
        <v>1.74</v>
      </c>
      <c r="AC158" s="25">
        <f>IF([1]!s_stmnote_bank_23n(A158,$A$1,1)=0,"",IFERROR([1]!s_stmnote_bank_23n(A158,$A$1,1),""))</f>
        <v>231.77</v>
      </c>
      <c r="AD158" s="27" t="str">
        <f t="shared" si="41"/>
        <v>83 167</v>
      </c>
      <c r="AE158" s="25">
        <f>[1]!s_stmnote_bank_capadequacyratio(A158,$A$1,1)</f>
        <v>13.07</v>
      </c>
      <c r="AF158" s="25">
        <f>IF([1]!s_stmnote_bank_capadequacyratio_ct1(A158,$A$1,1)=0,"",IFERROR([1]!s_stmnote_bank_capadequacyratio_ct1(A158,$A$1,1),""))</f>
        <v>9.6199999999999992</v>
      </c>
      <c r="AG158" s="27" t="str">
        <f t="shared" si="42"/>
        <v>66 167</v>
      </c>
      <c r="AH158" s="6">
        <f>IF(OR([1]!s_fa_roe(A158,20201231)=0,[1]!s_fa_roe(A158,20211231)="0",[1]!s_fa_roe(A158,20221231)="0"),"",IFERROR(([1]!s_fa_roe(A158,20221231)+[1]!s_fa_roe(A158,20201231)+[1]!s_fa_roe(A158,20211231))/3,""))</f>
        <v>9.1635666666666662</v>
      </c>
      <c r="AI158" s="27" t="str">
        <f t="shared" si="43"/>
        <v>101 173</v>
      </c>
      <c r="AJ158" s="28">
        <f>IFERROR(([1]!s_stmnote_bank_65(A158,$A$1,1,2,4,100000000)+[1]!s_stmnote_bank_65(A158,$A$1,1,2,6,100000000))/[1]!s_stmnote_bank_1n(A158,$A$1,1,100000000),"")</f>
        <v>0.23098758255068738</v>
      </c>
      <c r="AK158" s="28">
        <f>IFERROR([1]!s_stmnote_bank_614(A158,$A$1,1,2,100000000)/[1]!s_stmnote_bank_647(A158,$A$1,1,2,100000000),"")</f>
        <v>0.22854659800651309</v>
      </c>
      <c r="AL158" s="28">
        <f>IFERROR(([1]!b_stm07_bs(A158,104,$A$1,1,100000000)+[1]!b_stm07_bs(A158,106,$A$1,1,100000000)+[1]!b_stm07_bs(A158,76,$A$1,1,100000000)+[1]!b_stm07_bs(A158,108,$A$1,1,100000000)+[1]!b_stm07_bs(A158,95,$A$1,1,100000000))/[1]!b_stm07_bs(A158,128,$A$1,1,100000000),"")</f>
        <v>0.2833783062029539</v>
      </c>
      <c r="AM158" s="28">
        <f>IFERROR(([1]!s_stmnote_bank_614(A158,$A$1,1,2,100000000)+[1]!b_stm07_bs(A158,104,$A$1,1,100000000)+[1]!b_stm07_bs(A158,106,$A$1,1,100000000)+[1]!b_stm07_bs(A158,76,$A$1,1,100000000)+[1]!b_stm07_bs(A158,108,$A$1,1,100000000)+[1]!b_stm07_bs(A158,95,$A$1,1,100000000))/[1]!b_stm07_bs(A158,128,$A$1,1,100000000),"")</f>
        <v>0.43565368325485482</v>
      </c>
      <c r="AN158" s="31" t="e">
        <f>IF(Z158&gt;#REF!,#REF!,IF(Z158&gt;#REF!,#REF!,IF(Z158&gt;#REF!,#REF!,IF(Z158&gt;#REF!,#REF!,IF(Z158&gt;#REF!,#REF!,IF(Z158&gt;#REF!,#REF!,IF(Z158&gt;#REF!,#REF!,#REF!)))))))</f>
        <v>#REF!</v>
      </c>
      <c r="AO158" s="31" t="e">
        <f>IF(AA158&gt;#REF!,#REF!,IF(AA158&gt;#REF!,#REF!,IF(AA158&gt;#REF!,#REF!,IF(AA158&gt;#REF!,#REF!,IF(AA158&gt;#REF!,#REF!,IF(AA158&gt;#REF!,#REF!,IF(AA158&gt;#REF!,#REF!,#REF!)))))))</f>
        <v>#REF!</v>
      </c>
      <c r="AP158" s="31" t="e">
        <f>IF(AB158&lt;#REF!,#REF!,IF(AB158&lt;#REF!,#REF!,IF(AB158&lt;#REF!,#REF!,IF(AB158&lt;#REF!,#REF!,IF(AB158&lt;#REF!,#REF!,IF(AB158&lt;#REF!,#REF!,#REF!))))))</f>
        <v>#REF!</v>
      </c>
      <c r="AQ158" s="31" t="e">
        <f>IF(AC158&gt;#REF!,#REF!,IF(AC158&gt;#REF!,#REF!,IF(AC158&gt;#REF!,#REF!,IF(AC158&gt;#REF!,#REF!,#REF!))))</f>
        <v>#REF!</v>
      </c>
      <c r="AR158" s="31" t="e">
        <f>IF(AE158&gt;#REF!,#REF!,IF(AE158&gt;#REF!,#REF!,IF(AE158&gt;#REF!,#REF!,IF(AE158&gt;#REF!,#REF!,#REF!))))</f>
        <v>#REF!</v>
      </c>
      <c r="AS158" s="31" t="e">
        <f>IF(AF158&gt;#REF!,#REF!,IF(AF158&gt;#REF!,#REF!,IF(AF158&gt;#REF!,#REF!,IF(AF158&gt;#REF!,#REF!,#REF!))))</f>
        <v>#REF!</v>
      </c>
      <c r="AT158" s="31" t="e">
        <f>IF(AH158&gt;#REF!,#REF!,IF(AH158&gt;#REF!,#REF!,IF(AH158&gt;#REF!,#REF!,IF(AH158&gt;#REF!,#REF!,IF(AH158&gt;#REF!,#REF!,#REF!)))))</f>
        <v>#REF!</v>
      </c>
      <c r="AU158" s="10" t="e">
        <f t="shared" si="44"/>
        <v>#REF!</v>
      </c>
      <c r="AV158" s="10" t="s">
        <v>60</v>
      </c>
      <c r="AW158" s="10" t="s">
        <v>161</v>
      </c>
      <c r="AX158" s="10" t="s">
        <v>261</v>
      </c>
      <c r="AY158" s="31" t="str">
        <f>IFERROR(VLOOKUP(AV158,#REF!,3,0),"")</f>
        <v/>
      </c>
      <c r="AZ158" s="31" t="str">
        <f>IFERROR(VLOOKUP(AW158,#REF!,3,0),"")</f>
        <v/>
      </c>
      <c r="BA158" s="31" t="str">
        <f>IFERROR(VLOOKUP(AX158,#REF!,3,0),"")</f>
        <v/>
      </c>
      <c r="BB158" s="31" t="str">
        <f>IFERROR(AY158*#REF!+AZ158*#REF!+BA158*#REF!,"")</f>
        <v/>
      </c>
      <c r="BC158" s="32" t="str">
        <f t="shared" si="45"/>
        <v/>
      </c>
      <c r="BD158" s="32" t="str">
        <f>IFERROR(VLOOKUP(BC158*10,#REF!,2,1),"")</f>
        <v/>
      </c>
      <c r="BE158" s="11">
        <v>1</v>
      </c>
      <c r="BF158" s="11">
        <v>0</v>
      </c>
      <c r="BG158" s="10" t="s">
        <v>704</v>
      </c>
      <c r="BH158" s="11" t="s">
        <v>705</v>
      </c>
      <c r="BI158" s="10">
        <v>9.0799999237060494</v>
      </c>
      <c r="BJ158" s="33" t="s">
        <v>105</v>
      </c>
      <c r="BK158" s="33" t="s">
        <v>649</v>
      </c>
      <c r="BL158" s="10">
        <f>IF([1]!s_stmnote_bank_17n(A158,$A$1,1)="0","",[1]!s_stmnote_bank_17n(A158,$A$1,1))</f>
        <v>5.48</v>
      </c>
      <c r="BM158" s="10">
        <f>IF([1]!s_stmnote_bank_18n(A158,$A$1,1)="0","",[1]!s_stmnote_bank_18n(A158,$A$1,1))</f>
        <v>39.72</v>
      </c>
      <c r="BN158" s="41">
        <v>4.2300000000000004</v>
      </c>
      <c r="BO158" s="68">
        <v>2.2200000000000002</v>
      </c>
      <c r="BP158" s="52">
        <f>[1]!s_stmnote_bank_5444(A158,$A$1,1)</f>
        <v>2.16</v>
      </c>
      <c r="BQ158" s="52">
        <f>[1]!s_stmnote_bank_129n($A158,$A$1,1)</f>
        <v>29.22</v>
      </c>
      <c r="BR158" s="52">
        <f t="shared" si="52"/>
        <v>4.0919647050799295</v>
      </c>
      <c r="BS158" s="52">
        <f>[1]!b_stm07_is(A158,19,$A$1,1,100000000)</f>
        <v>166.23335</v>
      </c>
      <c r="BT158" s="52">
        <f xml:space="preserve"> [1]!s_stm07_bs(A158,"W15273164",$A$1,1,100000000)-[1]!s_stm07_bs(A158,"W17642530",$A$1,1,100000000)-[1]!s_stm07_bs(A158,"W15910877",$A$1,1,100000000)-[1]!s_stm07_bs_39(A158,$A$1,1,100000000)-[1]!s_stm07_bs(A158,"W17700468",$A$1,1,100000000)-[1]!s_stm07_bs(A158,"W16504296",$A$1,1,100000000)-[1]!s_stm07_bs(A158,"W13769069",$A$1,1,100000000)</f>
        <v>4229.1515499999996</v>
      </c>
      <c r="BU158" s="52">
        <f xml:space="preserve"> [1]!s_stm07_bs(A158,"W15273164",$B$1,1,100000000)-[1]!s_stm07_bs(A158,"W17642530",$B$1,1,100000000)-[1]!s_stm07_bs(A158,"W15910877",$B$1,1,100000000)-[1]!s_stm07_bs_39(A158,$B$1,1,100000000)-[1]!s_stm07_bs(A158,"W17700468",$B$1,1,100000000)-[1]!s_stm07_bs(A158,"W16504296",$B$1,1,100000000)-[1]!s_stm07_bs(A158,"W13769069",$B$1,1,100000000)</f>
        <v>3995.5875499999997</v>
      </c>
      <c r="BV158" s="52">
        <f xml:space="preserve"> [1]!s_stm07_bs(A158,"W15273164",$E$1,1,100000000)-[1]!s_stm07_bs(A158,"W17642530",$E$1,1,100000000)-[1]!s_stm07_bs(A158,"W15910877",$E$1,1,100000000)-[1]!s_stm07_bs_39(A158,$E$1,1,100000000)-[1]!s_stm07_bs(A158,"W17700468",$E$1,1,100000000)-[1]!s_stm07_bs(A158,"W16504296",$E$1,1,100000000)-[1]!s_stm07_bs(A158,"W13769069",$E$1,1,100000000)</f>
        <v>4216.9031999999997</v>
      </c>
      <c r="BW158" s="52">
        <f xml:space="preserve"> [1]!s_stm07_bs(A158,"W15273164",$F$1,1,100000000)-[1]!s_stm07_bs(A158,"W17642530",$F$1,1,100000000)-[1]!s_stm07_bs(A158,"W15910877",$F$1,1,100000000)-[1]!s_stm07_bs_39(A158,$F$1,1,100000000)-[1]!s_stm07_bs(A158,"W17700468",$F$1,1,100000000)-[1]!s_stm07_bs(A158,"W16504296",$F$1,1,100000000)-[1]!s_stm07_bs(A158,"W13769069",$F$1,1,100000000)</f>
        <v>4235.8635400000003</v>
      </c>
      <c r="BX158" s="52">
        <f xml:space="preserve"> [1]!s_stm07_bs(A158,"W15273164",$G$1,1,100000000)-[1]!s_stm07_bs(A158,"W17642530",$G$1,1,100000000)-[1]!s_stm07_bs(A158,"W15910877",$G$1,1,100000000)-[1]!s_stm07_bs_39(A158,$G$1,1,100000000)-[1]!s_stm07_bs(A158,"W17700468",$G$1,1,100000000)-[1]!s_stm07_bs(A158,"W16504296",$G$1,1,100000000)-[1]!s_stm07_bs(A158,"W13769069",$G$1,1,100000000)</f>
        <v>4163.5133700000006</v>
      </c>
      <c r="BY158" s="52">
        <f>IFERROR([1]!b_stm07_is(A158,20,$A$1,1,100000000)/AVERAGEIF(CA158:CE158,"&gt;0")*100,0)</f>
        <v>2.219188761678363</v>
      </c>
      <c r="BZ158" s="52">
        <f>[1]!b_stm07_is(A158,20,$A$1,1,100000000)</f>
        <v>85.750929999999997</v>
      </c>
      <c r="CA158" s="52">
        <f>[1]!s_stmnote_bank_38(A158,$A$1,1,100000000)</f>
        <v>3910.2134999999998</v>
      </c>
      <c r="CB158" s="52">
        <f>[1]!s_stmnote_bank_38(A158,$B$1,1,100000000)</f>
        <v>3727.6736299999998</v>
      </c>
      <c r="CC158" s="52">
        <f>[1]!s_stmnote_bank_38(A158,$E$1,1,100000000)</f>
        <v>3902.0314600000002</v>
      </c>
      <c r="CD158" s="52">
        <f>[1]!s_stmnote_bank_38(A158,$F$1,1,100000000)</f>
        <v>3916.3944799999999</v>
      </c>
      <c r="CE158" s="52">
        <f>[1]!s_stmnote_bank_38(A158,$G$1,1,100000000)</f>
        <v>3864.0195399999998</v>
      </c>
      <c r="CF158" s="52">
        <f>IF(BP158&lt;&gt;0,BP158,IFERROR(IF(([1]!b_stm07_is(A158,19,$A$1,1,100000000)-[1]!b_stm07_is(A158,20,$A$1,1,100000000))/AVERAGE([1]!s_stmnote_bank_35(A158,$A$1,1,100000000),[1]!s_stmnote_bank_35(A158,$B$1,1,100000000))*100=0,"",([1]!b_stm07_is(A158,19,$A$1,1,100000000)-[1]!b_stm07_is(A158,20,$A$1,1,100000000))/AVERAGE([1]!s_stmnote_bank_35(A158,$A$1,1,100000000),[1]!s_stmnote_bank_35(A158,$B$1,1,100000000))*100),""))</f>
        <v>2.16</v>
      </c>
      <c r="CG158" s="27" t="str">
        <f t="shared" si="46"/>
        <v>71 171</v>
      </c>
      <c r="CH158" s="80">
        <f t="shared" si="53"/>
        <v>0.29342907658100081</v>
      </c>
      <c r="CI158" s="27" t="str">
        <f t="shared" si="47"/>
        <v>146 169</v>
      </c>
      <c r="CJ158" s="55">
        <f>[1]!s_stmnote_bank_30(A158,$A$1,1)</f>
        <v>21.8371</v>
      </c>
      <c r="CP158" s="69">
        <f>[1]!b_stm07_bs($A158,141,$A$1,1,100000000)</f>
        <v>350.50081999999998</v>
      </c>
      <c r="CQ158" s="69">
        <f>[1]!b_stm07_bs($A158,141,$D$1,1,100000000)</f>
        <v>360.81864999999999</v>
      </c>
      <c r="CR158" s="68">
        <f>IF([1]!s_fa_roic_yearly($A158,$A$1)=0,"",[1]!s_fa_roic_yearly($A158,$A$1))</f>
        <v>9.7309999999999999</v>
      </c>
      <c r="CS158" s="27">
        <f t="shared" si="48"/>
        <v>0.36686390532544377</v>
      </c>
      <c r="CT158" s="68">
        <f>IF([1]!s_fa_roic_yearly($A158,$D$1)=0,"",[1]!s_fa_roic_yearly($A158,$D$1))</f>
        <v>10.084</v>
      </c>
      <c r="CU158" s="27">
        <f t="shared" si="49"/>
        <v>0.52112676056338025</v>
      </c>
      <c r="CV158" s="78">
        <f>[1]!s_stm07_bs(A158,"W14578191",$A$1,1,100000000)</f>
        <v>2236.3227700000002</v>
      </c>
      <c r="CW158" s="78">
        <f>[1]!s_stmnote_bank_682($A158,$A$1,1,2,100000000)</f>
        <v>647.68606999999997</v>
      </c>
      <c r="CX158" s="79">
        <f t="shared" si="50"/>
        <v>0.28962101476970603</v>
      </c>
    </row>
    <row r="159" spans="1:102" s="46" customFormat="1" ht="13.5">
      <c r="A159" s="8" t="s">
        <v>525</v>
      </c>
      <c r="B159" s="13" t="s">
        <v>526</v>
      </c>
      <c r="C159" s="9" t="s">
        <v>527</v>
      </c>
      <c r="D159" s="9" t="s">
        <v>1061</v>
      </c>
      <c r="E159" s="10"/>
      <c r="F159" s="11" t="s">
        <v>66</v>
      </c>
      <c r="G159" s="11" t="s">
        <v>67</v>
      </c>
      <c r="H159" s="11" t="s">
        <v>116</v>
      </c>
      <c r="I159" s="11"/>
      <c r="J159" s="11" t="e">
        <f>VLOOKUP(B159,[3]额度信息!$B:$T,19,0)</f>
        <v>#N/A</v>
      </c>
      <c r="K159" s="11"/>
      <c r="L159" s="27">
        <f>IFERROR(([1]!b_stm07_bs($A159,47,$A$1,1,100000000))/[1]!b_stm07_bs($A159,109,$A$1,1,100000000),"")</f>
        <v>0.10111163480117245</v>
      </c>
      <c r="M159" s="20"/>
      <c r="N159" s="18"/>
      <c r="O159" s="27" t="e">
        <f t="shared" si="39"/>
        <v>#N/A</v>
      </c>
      <c r="P159" s="21">
        <f t="shared" si="51"/>
        <v>6.0984979602441813E-2</v>
      </c>
      <c r="Q159" s="27" t="str">
        <f t="shared" si="40"/>
        <v>141 169</v>
      </c>
      <c r="R159" s="18">
        <f>IFERROR([1]!s_stmnote_bank($A159,"34",$A$1,100000000)/[1]!s_stmnote_bank_1n(A159,$A$1,1,100000000),"")</f>
        <v>4.7684979602441814E-2</v>
      </c>
      <c r="S159" s="22"/>
      <c r="T159" s="22"/>
      <c r="U159" s="22"/>
      <c r="V159" s="22"/>
      <c r="W159" s="22"/>
      <c r="X159" s="22"/>
      <c r="Y159" s="22"/>
      <c r="Z159" s="25">
        <f>[1]!b_stm07_bs(A159,74,$A$1,1,100000000)</f>
        <v>2403.6550315359</v>
      </c>
      <c r="AA159" s="25">
        <f>[1]!b_stm07_bs(A159,109,$A$1,1,100000000)</f>
        <v>1493.4418894307998</v>
      </c>
      <c r="AB159" s="10">
        <f>[1]!s_stmnote_bank_5n(A159,$A$1,1)</f>
        <v>1.33</v>
      </c>
      <c r="AC159" s="25">
        <f>IF([1]!s_stmnote_bank_23n(A159,$A$1,1)=0,"",IFERROR([1]!s_stmnote_bank_23n(A159,$A$1,1),""))</f>
        <v>202.41</v>
      </c>
      <c r="AD159" s="27" t="str">
        <f t="shared" si="41"/>
        <v>68 167</v>
      </c>
      <c r="AE159" s="25">
        <f>[1]!s_stmnote_bank_capadequacyratio(A159,$A$1,1)</f>
        <v>15.36</v>
      </c>
      <c r="AF159" s="25">
        <f>IF([1]!s_stmnote_bank_capadequacyratio_ct1(A159,$A$1,1)=0,"",IFERROR([1]!s_stmnote_bank_capadequacyratio_ct1(A159,$A$1,1),""))</f>
        <v>10.39</v>
      </c>
      <c r="AG159" s="27" t="str">
        <f t="shared" si="42"/>
        <v>94 167</v>
      </c>
      <c r="AH159" s="6">
        <f>IF(OR([1]!s_fa_roe(A159,20201231)=0,[1]!s_fa_roe(A159,20211231)="0",[1]!s_fa_roe(A159,20221231)="0"),"",IFERROR(([1]!s_fa_roe(A159,20221231)+[1]!s_fa_roe(A159,20201231)+[1]!s_fa_roe(A159,20211231))/3,""))</f>
        <v>7.3266</v>
      </c>
      <c r="AI159" s="27" t="str">
        <f t="shared" si="43"/>
        <v>70 173</v>
      </c>
      <c r="AJ159" s="28">
        <f>IFERROR(([1]!s_stmnote_bank_65(A159,$A$1,1,2,4,100000000)+[1]!s_stmnote_bank_65(A159,$A$1,1,2,6,100000000))/[1]!s_stmnote_bank_1n(A159,$A$1,1,100000000),"")</f>
        <v>0.16043050424770749</v>
      </c>
      <c r="AK159" s="28">
        <f>IFERROR([1]!s_stmnote_bank_614(A159,$A$1,1,2,100000000)/[1]!s_stmnote_bank_647(A159,$A$1,1,2,100000000),"")</f>
        <v>0.22631072614972389</v>
      </c>
      <c r="AL159" s="28">
        <f>IFERROR(([1]!b_stm07_bs(A159,104,$A$1,1,100000000)+[1]!b_stm07_bs(A159,106,$A$1,1,100000000)+[1]!b_stm07_bs(A159,76,$A$1,1,100000000)+[1]!b_stm07_bs(A159,108,$A$1,1,100000000)+[1]!b_stm07_bs(A159,95,$A$1,1,100000000))/[1]!b_stm07_bs(A159,128,$A$1,1,100000000),"")</f>
        <v>0.28920938102696359</v>
      </c>
      <c r="AM159" s="28">
        <f>IFERROR(([1]!s_stmnote_bank_614(A159,$A$1,1,2,100000000)+[1]!b_stm07_bs(A159,104,$A$1,1,100000000)+[1]!b_stm07_bs(A159,106,$A$1,1,100000000)+[1]!b_stm07_bs(A159,76,$A$1,1,100000000)+[1]!b_stm07_bs(A159,108,$A$1,1,100000000)+[1]!b_stm07_bs(A159,95,$A$1,1,100000000))/[1]!b_stm07_bs(A159,128,$A$1,1,100000000),"")</f>
        <v>0.44287928476968341</v>
      </c>
      <c r="AN159" s="31" t="e">
        <f>IF(Z159&gt;#REF!,#REF!,IF(Z159&gt;#REF!,#REF!,IF(Z159&gt;#REF!,#REF!,IF(Z159&gt;#REF!,#REF!,IF(Z159&gt;#REF!,#REF!,IF(Z159&gt;#REF!,#REF!,IF(Z159&gt;#REF!,#REF!,#REF!)))))))</f>
        <v>#REF!</v>
      </c>
      <c r="AO159" s="31" t="e">
        <f>IF(AA159&gt;#REF!,#REF!,IF(AA159&gt;#REF!,#REF!,IF(AA159&gt;#REF!,#REF!,IF(AA159&gt;#REF!,#REF!,IF(AA159&gt;#REF!,#REF!,IF(AA159&gt;#REF!,#REF!,IF(AA159&gt;#REF!,#REF!,#REF!)))))))</f>
        <v>#REF!</v>
      </c>
      <c r="AP159" s="31" t="e">
        <f>IF(AB159&lt;#REF!,#REF!,IF(AB159&lt;#REF!,#REF!,IF(AB159&lt;#REF!,#REF!,IF(AB159&lt;#REF!,#REF!,IF(AB159&lt;#REF!,#REF!,IF(AB159&lt;#REF!,#REF!,#REF!))))))</f>
        <v>#REF!</v>
      </c>
      <c r="AQ159" s="31" t="e">
        <f>IF(AC159&gt;#REF!,#REF!,IF(AC159&gt;#REF!,#REF!,IF(AC159&gt;#REF!,#REF!,IF(AC159&gt;#REF!,#REF!,#REF!))))</f>
        <v>#REF!</v>
      </c>
      <c r="AR159" s="31" t="e">
        <f>IF(AE159&gt;#REF!,#REF!,IF(AE159&gt;#REF!,#REF!,IF(AE159&gt;#REF!,#REF!,IF(AE159&gt;#REF!,#REF!,#REF!))))</f>
        <v>#REF!</v>
      </c>
      <c r="AS159" s="31" t="e">
        <f>IF(AF159&gt;#REF!,#REF!,IF(AF159&gt;#REF!,#REF!,IF(AF159&gt;#REF!,#REF!,IF(AF159&gt;#REF!,#REF!,#REF!))))</f>
        <v>#REF!</v>
      </c>
      <c r="AT159" s="31" t="e">
        <f>IF(AH159&gt;#REF!,#REF!,IF(AH159&gt;#REF!,#REF!,IF(AH159&gt;#REF!,#REF!,IF(AH159&gt;#REF!,#REF!,IF(AH159&gt;#REF!,#REF!,#REF!)))))</f>
        <v>#REF!</v>
      </c>
      <c r="AU159" s="10" t="e">
        <f t="shared" si="44"/>
        <v>#REF!</v>
      </c>
      <c r="AV159" s="10" t="s">
        <v>60</v>
      </c>
      <c r="AW159" s="10" t="s">
        <v>141</v>
      </c>
      <c r="AX159" s="10" t="s">
        <v>261</v>
      </c>
      <c r="AY159" s="31" t="str">
        <f>IFERROR(VLOOKUP(AV159,#REF!,3,0),"")</f>
        <v/>
      </c>
      <c r="AZ159" s="31" t="str">
        <f>IFERROR(VLOOKUP(AW159,#REF!,3,0),"")</f>
        <v/>
      </c>
      <c r="BA159" s="31" t="str">
        <f>IFERROR(VLOOKUP(AX159,#REF!,3,0),"")</f>
        <v/>
      </c>
      <c r="BB159" s="31" t="str">
        <f>IFERROR(AY159*#REF!+AZ159*#REF!+BA159*#REF!,"")</f>
        <v/>
      </c>
      <c r="BC159" s="32" t="str">
        <f t="shared" si="45"/>
        <v/>
      </c>
      <c r="BD159" s="32" t="str">
        <f>IFERROR(VLOOKUP(BC159*10,#REF!,2,1),"")</f>
        <v/>
      </c>
      <c r="BE159" s="10"/>
      <c r="BF159" s="10"/>
      <c r="BG159" s="10"/>
      <c r="BH159" s="11" t="s">
        <v>329</v>
      </c>
      <c r="BI159" s="34">
        <v>28.996000289916999</v>
      </c>
      <c r="BJ159" s="11" t="s">
        <v>71</v>
      </c>
      <c r="BK159" s="11" t="s">
        <v>72</v>
      </c>
      <c r="BL159" s="10">
        <f>IF([1]!s_stmnote_bank_17n(A159,$A$1,1)="0","",[1]!s_stmnote_bank_17n(A159,$A$1,1))</f>
        <v>5.68</v>
      </c>
      <c r="BM159" s="10">
        <f>IF([1]!s_stmnote_bank_18n(A159,$A$1,1)="0","",[1]!s_stmnote_bank_18n(A159,$A$1,1))</f>
        <v>32.15</v>
      </c>
      <c r="BN159" s="41">
        <v>4.24</v>
      </c>
      <c r="BO159" s="68">
        <v>2.91</v>
      </c>
      <c r="BP159" s="52">
        <f>[1]!s_stmnote_bank_5444(A159,$A$1,1)</f>
        <v>2.09</v>
      </c>
      <c r="BQ159" s="52">
        <f>[1]!s_stmnote_bank_129n($A159,$A$1,1)</f>
        <v>26.63</v>
      </c>
      <c r="BR159" s="52">
        <f t="shared" si="52"/>
        <v>4.4699113392748533</v>
      </c>
      <c r="BS159" s="52">
        <f>[1]!b_stm07_is(A159,19,$A$1,1,100000000)</f>
        <v>105.0123346674</v>
      </c>
      <c r="BT159" s="52">
        <f xml:space="preserve"> [1]!s_stm07_bs(A159,"W15273164",$A$1,1,100000000)-[1]!s_stm07_bs(A159,"W17642530",$A$1,1,100000000)-[1]!s_stm07_bs(A159,"W15910877",$A$1,1,100000000)-[1]!s_stm07_bs_39(A159,$A$1,1,100000000)-[1]!s_stm07_bs(A159,"W17700468",$A$1,1,100000000)-[1]!s_stm07_bs(A159,"W16504296",$A$1,1,100000000)-[1]!s_stm07_bs(A159,"W13769069",$A$1,1,100000000)</f>
        <v>2370.3544821611999</v>
      </c>
      <c r="BU159" s="52">
        <f xml:space="preserve"> [1]!s_stm07_bs(A159,"W15273164",$B$1,1,100000000)-[1]!s_stm07_bs(A159,"W17642530",$B$1,1,100000000)-[1]!s_stm07_bs(A159,"W15910877",$B$1,1,100000000)-[1]!s_stm07_bs_39(A159,$B$1,1,100000000)-[1]!s_stm07_bs(A159,"W17700468",$B$1,1,100000000)-[1]!s_stm07_bs(A159,"W16504296",$B$1,1,100000000)-[1]!s_stm07_bs(A159,"W13769069",$B$1,1,100000000)</f>
        <v>2337.9844169853</v>
      </c>
      <c r="BV159" s="52">
        <f xml:space="preserve"> [1]!s_stm07_bs(A159,"W15273164",$E$1,1,100000000)-[1]!s_stm07_bs(A159,"W17642530",$E$1,1,100000000)-[1]!s_stm07_bs(A159,"W15910877",$E$1,1,100000000)-[1]!s_stm07_bs_39(A159,$E$1,1,100000000)-[1]!s_stm07_bs(A159,"W17700468",$E$1,1,100000000)-[1]!s_stm07_bs(A159,"W16504296",$E$1,1,100000000)-[1]!s_stm07_bs(A159,"W13769069",$E$1,1,100000000)</f>
        <v>2374.0104329999999</v>
      </c>
      <c r="BW159" s="52">
        <f xml:space="preserve"> [1]!s_stm07_bs(A159,"W15273164",$F$1,1,100000000)-[1]!s_stm07_bs(A159,"W17642530",$F$1,1,100000000)-[1]!s_stm07_bs(A159,"W15910877",$F$1,1,100000000)-[1]!s_stm07_bs_39(A159,$F$1,1,100000000)-[1]!s_stm07_bs(A159,"W17700468",$F$1,1,100000000)-[1]!s_stm07_bs(A159,"W16504296",$F$1,1,100000000)-[1]!s_stm07_bs(A159,"W13769069",$F$1,1,100000000)</f>
        <v>2420.9250440000001</v>
      </c>
      <c r="BX159" s="52">
        <f xml:space="preserve"> [1]!s_stm07_bs(A159,"W15273164",$G$1,1,100000000)-[1]!s_stm07_bs(A159,"W17642530",$G$1,1,100000000)-[1]!s_stm07_bs(A159,"W15910877",$G$1,1,100000000)-[1]!s_stm07_bs_39(A159,$G$1,1,100000000)-[1]!s_stm07_bs(A159,"W17700468",$G$1,1,100000000)-[1]!s_stm07_bs(A159,"W16504296",$G$1,1,100000000)-[1]!s_stm07_bs(A159,"W13769069",$G$1,1,100000000)</f>
        <v>2297.965271</v>
      </c>
      <c r="BY159" s="52">
        <f>IFERROR([1]!b_stm07_is(A159,20,$A$1,1,100000000)/AVERAGEIF(CA159:CE159,"&gt;0")*100,0)</f>
        <v>2.8939945684746369</v>
      </c>
      <c r="BZ159" s="52">
        <f>[1]!b_stm07_is(A159,20,$A$1,1,100000000)</f>
        <v>62.679829806800001</v>
      </c>
      <c r="CA159" s="52">
        <f>[1]!s_stmnote_bank_38(A159,$A$1,1,100000000)</f>
        <v>2177.6731617133</v>
      </c>
      <c r="CB159" s="52">
        <f>[1]!s_stmnote_bank_38(A159,$B$1,1,100000000)</f>
        <v>2154.0440080142998</v>
      </c>
      <c r="CC159" s="52">
        <f>[1]!s_stmnote_bank_38(A159,$E$1,1,100000000)</f>
        <v>0</v>
      </c>
      <c r="CD159" s="52">
        <f>[1]!s_stmnote_bank_38(A159,$F$1,1,100000000)</f>
        <v>0</v>
      </c>
      <c r="CE159" s="52">
        <f>[1]!s_stmnote_bank_38(A159,$G$1,1,100000000)</f>
        <v>0</v>
      </c>
      <c r="CF159" s="52">
        <f>IF(BP159&lt;&gt;0,BP159,IFERROR(IF(([1]!b_stm07_is(A159,19,$A$1,1,100000000)-[1]!b_stm07_is(A159,20,$A$1,1,100000000))/AVERAGE([1]!s_stmnote_bank_35(A159,$A$1,1,100000000),[1]!s_stmnote_bank_35(A159,$B$1,1,100000000))*100=0,"",([1]!b_stm07_is(A159,19,$A$1,1,100000000)-[1]!b_stm07_is(A159,20,$A$1,1,100000000))/AVERAGE([1]!s_stmnote_bank_35(A159,$A$1,1,100000000),[1]!s_stmnote_bank_35(A159,$B$1,1,100000000))*100),""))</f>
        <v>2.09</v>
      </c>
      <c r="CG159" s="27" t="str">
        <f t="shared" si="46"/>
        <v>82 171</v>
      </c>
      <c r="CH159" s="80">
        <f t="shared" si="53"/>
        <v>0.34270733771243522</v>
      </c>
      <c r="CI159" s="27" t="str">
        <f t="shared" si="47"/>
        <v>137 169</v>
      </c>
      <c r="CJ159" s="55">
        <f>[1]!s_stmnote_bank_30(A159,$A$1,1)</f>
        <v>19.317699999999999</v>
      </c>
      <c r="CP159" s="69">
        <f>[1]!b_stm07_bs($A159,141,$A$1,1,100000000)</f>
        <v>204.2528699691</v>
      </c>
      <c r="CQ159" s="69">
        <f>[1]!b_stm07_bs($A159,141,$D$1,1,100000000)</f>
        <v>208.80465248740001</v>
      </c>
      <c r="CR159" s="68">
        <f>IF([1]!s_fa_roic_yearly($A159,$A$1)=0,"",[1]!s_fa_roic_yearly($A159,$A$1))</f>
        <v>7.5608000000000004</v>
      </c>
      <c r="CS159" s="27">
        <f t="shared" si="48"/>
        <v>0.62130177514792895</v>
      </c>
      <c r="CT159" s="68">
        <f>IF([1]!s_fa_roic_yearly($A159,$D$1)=0,"",[1]!s_fa_roic_yearly($A159,$D$1))</f>
        <v>7.2708000000000004</v>
      </c>
      <c r="CU159" s="27">
        <f t="shared" si="49"/>
        <v>0.75352112676056338</v>
      </c>
      <c r="CV159" s="78">
        <f>[1]!s_stm07_bs(A159,"W14578191",$A$1,1,100000000)</f>
        <v>1171.6775542802</v>
      </c>
      <c r="CW159" s="78">
        <f>[1]!s_stmnote_bank_682($A159,$A$1,1,2,100000000)</f>
        <v>367.19329213169999</v>
      </c>
      <c r="CX159" s="79">
        <f t="shared" si="50"/>
        <v>0.3133910782794494</v>
      </c>
    </row>
    <row r="160" spans="1:102" s="46" customFormat="1" ht="13.5">
      <c r="A160" s="8" t="s">
        <v>94</v>
      </c>
      <c r="B160" s="8" t="s">
        <v>95</v>
      </c>
      <c r="C160" s="9" t="s">
        <v>96</v>
      </c>
      <c r="D160" s="9" t="s">
        <v>1066</v>
      </c>
      <c r="E160" s="10"/>
      <c r="F160" s="11" t="s">
        <v>90</v>
      </c>
      <c r="G160" s="11" t="s">
        <v>67</v>
      </c>
      <c r="H160" s="11" t="s">
        <v>67</v>
      </c>
      <c r="I160" s="11"/>
      <c r="J160" s="11" t="e">
        <f>VLOOKUP(B160,[3]额度信息!$B:$T,19,0)</f>
        <v>#N/A</v>
      </c>
      <c r="K160" s="11"/>
      <c r="L160" s="27">
        <f>IFERROR(([1]!b_stm07_bs($A160,47,$A$1,1,100000000))/[1]!b_stm07_bs($A160,109,$A$1,1,100000000),"")</f>
        <v>8.2799425722730732E-2</v>
      </c>
      <c r="M160" s="20"/>
      <c r="N160" s="18"/>
      <c r="O160" s="27" t="e">
        <f t="shared" si="39"/>
        <v>#N/A</v>
      </c>
      <c r="P160" s="21">
        <f t="shared" si="51"/>
        <v>6.1324620941263397E-2</v>
      </c>
      <c r="Q160" s="27" t="str">
        <f t="shared" si="40"/>
        <v>142 169</v>
      </c>
      <c r="R160" s="18">
        <f>IFERROR([1]!s_stmnote_bank($A160,"34",$A$1,100000000)/[1]!s_stmnote_bank_1n(A160,$A$1,1,100000000),"")</f>
        <v>2.4024620941263397E-2</v>
      </c>
      <c r="S160" s="22"/>
      <c r="T160" s="22"/>
      <c r="U160" s="22"/>
      <c r="V160" s="22"/>
      <c r="W160" s="22"/>
      <c r="X160" s="22"/>
      <c r="Y160" s="22"/>
      <c r="Z160" s="25">
        <f>[1]!b_stm07_bs(A160,74,$A$1,1,100000000)</f>
        <v>728.46482098139995</v>
      </c>
      <c r="AA160" s="25">
        <f>[1]!b_stm07_bs(A160,109,$A$1,1,100000000)</f>
        <v>589.7476163581</v>
      </c>
      <c r="AB160" s="10">
        <f>[1]!s_stmnote_bank_5n(A160,$A$1,1)</f>
        <v>3.73</v>
      </c>
      <c r="AC160" s="25">
        <f>IF([1]!s_stmnote_bank_23n(A160,$A$1,1)=0,"",IFERROR([1]!s_stmnote_bank_23n(A160,$A$1,1),""))</f>
        <v>104.57</v>
      </c>
      <c r="AD160" s="27" t="str">
        <f t="shared" si="41"/>
        <v>1 167</v>
      </c>
      <c r="AE160" s="25">
        <f>[1]!s_stmnote_bank_capadequacyratio(A160,$A$1,1)</f>
        <v>10.94</v>
      </c>
      <c r="AF160" s="25">
        <f>IF([1]!s_stmnote_bank_capadequacyratio_ct1(A160,$A$1,1)=0,"",IFERROR([1]!s_stmnote_bank_capadequacyratio_ct1(A160,$A$1,1),""))</f>
        <v>9.7200000000000006</v>
      </c>
      <c r="AG160" s="27" t="str">
        <f t="shared" si="42"/>
        <v>73 167</v>
      </c>
      <c r="AH160" s="6">
        <f>IF(OR([1]!s_fa_roe(A160,20201231)=0,[1]!s_fa_roe(A160,20211231)="0",[1]!s_fa_roe(A160,20221231)="0"),"",IFERROR(([1]!s_fa_roe(A160,20221231)+[1]!s_fa_roe(A160,20201231)+[1]!s_fa_roe(A160,20211231))/3,""))</f>
        <v>2.5926000000000005</v>
      </c>
      <c r="AI160" s="27" t="str">
        <f t="shared" si="43"/>
        <v>12 173</v>
      </c>
      <c r="AJ160" s="28">
        <f>IFERROR(([1]!s_stmnote_bank_65(A160,$A$1,1,2,4,100000000)+[1]!s_stmnote_bank_65(A160,$A$1,1,2,6,100000000))/[1]!s_stmnote_bank_1n(A160,$A$1,1,100000000),"")</f>
        <v>0</v>
      </c>
      <c r="AK160" s="28">
        <f>IFERROR([1]!s_stmnote_bank_614(A160,$A$1,1,2,100000000)/[1]!s_stmnote_bank_647(A160,$A$1,1,2,100000000),"")</f>
        <v>0.32357797214177586</v>
      </c>
      <c r="AL160" s="28">
        <f>IFERROR(([1]!b_stm07_bs(A160,104,$A$1,1,100000000)+[1]!b_stm07_bs(A160,106,$A$1,1,100000000)+[1]!b_stm07_bs(A160,76,$A$1,1,100000000)+[1]!b_stm07_bs(A160,108,$A$1,1,100000000)+[1]!b_stm07_bs(A160,95,$A$1,1,100000000))/[1]!b_stm07_bs(A160,128,$A$1,1,100000000),"")</f>
        <v>8.2816292903779024E-2</v>
      </c>
      <c r="AM160" s="28">
        <f>IFERROR(([1]!s_stmnote_bank_614(A160,$A$1,1,2,100000000)+[1]!b_stm07_bs(A160,104,$A$1,1,100000000)+[1]!b_stm07_bs(A160,106,$A$1,1,100000000)+[1]!b_stm07_bs(A160,76,$A$1,1,100000000)+[1]!b_stm07_bs(A160,108,$A$1,1,100000000)+[1]!b_stm07_bs(A160,95,$A$1,1,100000000))/[1]!b_stm07_bs(A160,128,$A$1,1,100000000),"")</f>
        <v>0.36510707584047797</v>
      </c>
      <c r="AN160" s="31" t="e">
        <f>IF(Z160&gt;#REF!,#REF!,IF(Z160&gt;#REF!,#REF!,IF(Z160&gt;#REF!,#REF!,IF(Z160&gt;#REF!,#REF!,IF(Z160&gt;#REF!,#REF!,IF(Z160&gt;#REF!,#REF!,IF(Z160&gt;#REF!,#REF!,#REF!)))))))</f>
        <v>#REF!</v>
      </c>
      <c r="AO160" s="31" t="e">
        <f>IF(AA160&gt;#REF!,#REF!,IF(AA160&gt;#REF!,#REF!,IF(AA160&gt;#REF!,#REF!,IF(AA160&gt;#REF!,#REF!,IF(AA160&gt;#REF!,#REF!,IF(AA160&gt;#REF!,#REF!,IF(AA160&gt;#REF!,#REF!,#REF!)))))))</f>
        <v>#REF!</v>
      </c>
      <c r="AP160" s="31" t="e">
        <f>IF(AB160&lt;#REF!,#REF!,IF(AB160&lt;#REF!,#REF!,IF(AB160&lt;#REF!,#REF!,IF(AB160&lt;#REF!,#REF!,IF(AB160&lt;#REF!,#REF!,IF(AB160&lt;#REF!,#REF!,#REF!))))))</f>
        <v>#REF!</v>
      </c>
      <c r="AQ160" s="31" t="e">
        <f>IF(AC160&gt;#REF!,#REF!,IF(AC160&gt;#REF!,#REF!,IF(AC160&gt;#REF!,#REF!,IF(AC160&gt;#REF!,#REF!,#REF!))))</f>
        <v>#REF!</v>
      </c>
      <c r="AR160" s="31" t="e">
        <f>IF(AE160&gt;#REF!,#REF!,IF(AE160&gt;#REF!,#REF!,IF(AE160&gt;#REF!,#REF!,IF(AE160&gt;#REF!,#REF!,#REF!))))</f>
        <v>#REF!</v>
      </c>
      <c r="AS160" s="31" t="e">
        <f>IF(AF160&gt;#REF!,#REF!,IF(AF160&gt;#REF!,#REF!,IF(AF160&gt;#REF!,#REF!,IF(AF160&gt;#REF!,#REF!,#REF!))))</f>
        <v>#REF!</v>
      </c>
      <c r="AT160" s="31" t="e">
        <f>IF(AH160&gt;#REF!,#REF!,IF(AH160&gt;#REF!,#REF!,IF(AH160&gt;#REF!,#REF!,IF(AH160&gt;#REF!,#REF!,IF(AH160&gt;#REF!,#REF!,#REF!)))))</f>
        <v>#REF!</v>
      </c>
      <c r="AU160" s="10" t="e">
        <f t="shared" si="44"/>
        <v>#REF!</v>
      </c>
      <c r="AV160" s="10"/>
      <c r="AW160" s="10"/>
      <c r="AX160" s="10"/>
      <c r="AY160" s="31" t="str">
        <f>IFERROR(VLOOKUP(AV160,#REF!,3,0),"")</f>
        <v/>
      </c>
      <c r="AZ160" s="31" t="str">
        <f>IFERROR(VLOOKUP(AW160,#REF!,3,0),"")</f>
        <v/>
      </c>
      <c r="BA160" s="31" t="str">
        <f>IFERROR(VLOOKUP(AX160,#REF!,3,0),"")</f>
        <v/>
      </c>
      <c r="BB160" s="31" t="str">
        <f>IFERROR(AY160*#REF!+AZ160*#REF!+BA160*#REF!,"")</f>
        <v/>
      </c>
      <c r="BC160" s="32" t="str">
        <f t="shared" si="45"/>
        <v/>
      </c>
      <c r="BD160" s="32" t="str">
        <f>IFERROR(VLOOKUP(BC160*10,#REF!,2,1),"")</f>
        <v/>
      </c>
      <c r="BE160" s="10"/>
      <c r="BF160" s="10"/>
      <c r="BG160" s="10"/>
      <c r="BH160" s="11" t="s">
        <v>97</v>
      </c>
      <c r="BI160" s="10">
        <v>6.1873002052307102</v>
      </c>
      <c r="BJ160" s="11" t="s">
        <v>98</v>
      </c>
      <c r="BK160" s="33" t="s">
        <v>99</v>
      </c>
      <c r="BL160" s="10">
        <f>IF([1]!s_stmnote_bank_17n(A160,$A$1,1)="0","",[1]!s_stmnote_bank_17n(A160,$A$1,1))</f>
        <v>9.6999999999999993</v>
      </c>
      <c r="BM160" s="10">
        <f>IF([1]!s_stmnote_bank_18n(A160,$A$1,1)="0","",[1]!s_stmnote_bank_18n(A160,$A$1,1))</f>
        <v>68.53</v>
      </c>
      <c r="BN160" s="41"/>
      <c r="BO160" s="52"/>
      <c r="BP160" s="52">
        <f>[1]!s_stmnote_bank_5444(A160,$A$1,1)</f>
        <v>0</v>
      </c>
      <c r="BQ160" s="52">
        <f>[1]!s_stmnote_bank_129n($A160,$A$1,1)</f>
        <v>35.99</v>
      </c>
      <c r="BR160" s="52">
        <f t="shared" si="52"/>
        <v>4.7174535389157768</v>
      </c>
      <c r="BS160" s="52">
        <f>[1]!b_stm07_is(A160,19,$A$1,1,100000000)</f>
        <v>32.761313836799999</v>
      </c>
      <c r="BT160" s="52">
        <f xml:space="preserve"> [1]!s_stm07_bs(A160,"W15273164",$A$1,1,100000000)-[1]!s_stm07_bs(A160,"W17642530",$A$1,1,100000000)-[1]!s_stm07_bs(A160,"W15910877",$A$1,1,100000000)-[1]!s_stm07_bs_39(A160,$A$1,1,100000000)-[1]!s_stm07_bs(A160,"W17700468",$A$1,1,100000000)-[1]!s_stm07_bs(A160,"W16504296",$A$1,1,100000000)-[1]!s_stm07_bs(A160,"W13769069",$A$1,1,100000000)</f>
        <v>715.56730368239994</v>
      </c>
      <c r="BU160" s="52">
        <f xml:space="preserve"> [1]!s_stm07_bs(A160,"W15273164",$B$1,1,100000000)-[1]!s_stm07_bs(A160,"W17642530",$B$1,1,100000000)-[1]!s_stm07_bs(A160,"W15910877",$B$1,1,100000000)-[1]!s_stm07_bs_39(A160,$B$1,1,100000000)-[1]!s_stm07_bs(A160,"W17700468",$B$1,1,100000000)-[1]!s_stm07_bs(A160,"W16504296",$B$1,1,100000000)-[1]!s_stm07_bs(A160,"W13769069",$B$1,1,100000000)</f>
        <v>682.69725490180008</v>
      </c>
      <c r="BV160" s="52">
        <f xml:space="preserve"> [1]!s_stm07_bs(A160,"W15273164",$E$1,1,100000000)-[1]!s_stm07_bs(A160,"W17642530",$E$1,1,100000000)-[1]!s_stm07_bs(A160,"W15910877",$E$1,1,100000000)-[1]!s_stm07_bs_39(A160,$E$1,1,100000000)-[1]!s_stm07_bs(A160,"W17700468",$E$1,1,100000000)-[1]!s_stm07_bs(A160,"W16504296",$E$1,1,100000000)-[1]!s_stm07_bs(A160,"W13769069",$E$1,1,100000000)</f>
        <v>710.133826</v>
      </c>
      <c r="BW160" s="52">
        <f xml:space="preserve"> [1]!s_stm07_bs(A160,"W15273164",$F$1,1,100000000)-[1]!s_stm07_bs(A160,"W17642530",$F$1,1,100000000)-[1]!s_stm07_bs(A160,"W15910877",$F$1,1,100000000)-[1]!s_stm07_bs_39(A160,$F$1,1,100000000)-[1]!s_stm07_bs(A160,"W17700468",$F$1,1,100000000)-[1]!s_stm07_bs(A160,"W16504296",$F$1,1,100000000)-[1]!s_stm07_bs(A160,"W13769069",$F$1,1,100000000)</f>
        <v>718.46202166199998</v>
      </c>
      <c r="BX160" s="52">
        <f xml:space="preserve"> [1]!s_stm07_bs(A160,"W15273164",$G$1,1,100000000)-[1]!s_stm07_bs(A160,"W17642530",$G$1,1,100000000)-[1]!s_stm07_bs(A160,"W15910877",$G$1,1,100000000)-[1]!s_stm07_bs_39(A160,$G$1,1,100000000)-[1]!s_stm07_bs(A160,"W17700468",$G$1,1,100000000)-[1]!s_stm07_bs(A160,"W16504296",$G$1,1,100000000)-[1]!s_stm07_bs(A160,"W13769069",$G$1,1,100000000)</f>
        <v>753.45199400000001</v>
      </c>
      <c r="BY160" s="52">
        <f>IFERROR([1]!b_stm07_is(A160,20,$A$1,1,100000000)/AVERAGEIF(CA160:CE160,"&gt;0")*100,0)</f>
        <v>2.226716944728842</v>
      </c>
      <c r="BZ160" s="52">
        <f>[1]!b_stm07_is(A160,20,$A$1,1,100000000)</f>
        <v>14.502714488900001</v>
      </c>
      <c r="CA160" s="52">
        <f>[1]!s_stmnote_bank_38(A160,$A$1,1,100000000)</f>
        <v>671.993133951</v>
      </c>
      <c r="CB160" s="52">
        <f>[1]!s_stmnote_bank_38(A160,$B$1,1,100000000)</f>
        <v>620.39768607400003</v>
      </c>
      <c r="CC160" s="52">
        <f>[1]!s_stmnote_bank_38(A160,$E$1,1,100000000)</f>
        <v>0</v>
      </c>
      <c r="CD160" s="52">
        <f>[1]!s_stmnote_bank_38(A160,$F$1,1,100000000)</f>
        <v>661.52359957349995</v>
      </c>
      <c r="CE160" s="52">
        <f>[1]!s_stmnote_bank_38(A160,$G$1,1,100000000)</f>
        <v>0</v>
      </c>
      <c r="CF160" s="52">
        <f>IF(BP160&lt;&gt;0,BP160,IFERROR(IF(([1]!b_stm07_is(A160,19,$A$1,1,100000000)-[1]!b_stm07_is(A160,20,$A$1,1,100000000))/AVERAGE([1]!s_stmnote_bank_35(A160,$A$1,1,100000000),[1]!s_stmnote_bank_35(A160,$B$1,1,100000000))*100=0,"",([1]!b_stm07_is(A160,19,$A$1,1,100000000)-[1]!b_stm07_is(A160,20,$A$1,1,100000000))/AVERAGE([1]!s_stmnote_bank_35(A160,$A$1,1,100000000),[1]!s_stmnote_bank_35(A160,$B$1,1,100000000))*100),""))</f>
        <v>2.6347637089338938</v>
      </c>
      <c r="CG160" s="27" t="str">
        <f t="shared" si="46"/>
        <v>22 171</v>
      </c>
      <c r="CH160" s="80">
        <f t="shared" si="53"/>
        <v>0.42964207010059885</v>
      </c>
      <c r="CI160" s="27" t="str">
        <f t="shared" si="47"/>
        <v>128 169</v>
      </c>
      <c r="CJ160" s="55">
        <f>[1]!s_stmnote_bank_30(A160,$A$1,1)</f>
        <v>3.7000999999999999</v>
      </c>
      <c r="CP160" s="69">
        <f>[1]!b_stm07_bs($A160,141,$A$1,1,100000000)</f>
        <v>52.462098570900004</v>
      </c>
      <c r="CQ160" s="69">
        <f>[1]!b_stm07_bs($A160,141,$D$1,1,100000000)</f>
        <v>52.850267821999999</v>
      </c>
      <c r="CR160" s="68">
        <f>IF([1]!s_fa_roic_yearly($A160,$A$1)=0,"",[1]!s_fa_roic_yearly($A160,$A$1))</f>
        <v>0.32079999999999997</v>
      </c>
      <c r="CS160" s="27">
        <f t="shared" si="48"/>
        <v>0.98816568047337283</v>
      </c>
      <c r="CT160" s="68">
        <f>IF([1]!s_fa_roic_yearly($A160,$D$1)=0,"",[1]!s_fa_roic_yearly($A160,$D$1))</f>
        <v>0.19700000000000001</v>
      </c>
      <c r="CU160" s="27">
        <f t="shared" si="49"/>
        <v>1</v>
      </c>
      <c r="CV160" s="78">
        <f>[1]!s_stm07_bs(A160,"W14578191",$A$1,1,100000000)</f>
        <v>485.0042558536</v>
      </c>
      <c r="CW160" s="78">
        <f>[1]!s_stmnote_bank_682($A160,$A$1,1,2,100000000)</f>
        <v>0</v>
      </c>
      <c r="CX160" s="79" t="str">
        <f t="shared" si="50"/>
        <v/>
      </c>
    </row>
    <row r="161" spans="1:102" s="46" customFormat="1" ht="13.5">
      <c r="A161" s="8" t="s">
        <v>706</v>
      </c>
      <c r="B161" s="8" t="s">
        <v>707</v>
      </c>
      <c r="C161" s="9" t="s">
        <v>708</v>
      </c>
      <c r="D161" s="9" t="s">
        <v>1061</v>
      </c>
      <c r="E161" s="10"/>
      <c r="F161" s="11" t="s">
        <v>178</v>
      </c>
      <c r="G161" s="11" t="s">
        <v>67</v>
      </c>
      <c r="H161" s="11" t="s">
        <v>259</v>
      </c>
      <c r="I161" s="11"/>
      <c r="J161" s="11" t="e">
        <f>VLOOKUP(B161,[3]额度信息!$B:$T,19,0)</f>
        <v>#N/A</v>
      </c>
      <c r="K161" s="11"/>
      <c r="L161" s="27">
        <f>IFERROR(([1]!b_stm07_bs($A161,47,$A$1,1,100000000))/[1]!b_stm07_bs($A161,109,$A$1,1,100000000),"")</f>
        <v>0.13518017585280467</v>
      </c>
      <c r="M161" s="20"/>
      <c r="N161" s="18"/>
      <c r="O161" s="27" t="e">
        <f t="shared" si="39"/>
        <v>#N/A</v>
      </c>
      <c r="P161" s="21">
        <f t="shared" si="51"/>
        <v>7.5931020999539106E-2</v>
      </c>
      <c r="Q161" s="27" t="str">
        <f t="shared" si="40"/>
        <v>156 169</v>
      </c>
      <c r="R161" s="18">
        <v>6.1231020999539101E-2</v>
      </c>
      <c r="S161" s="22"/>
      <c r="T161" s="22"/>
      <c r="U161" s="22"/>
      <c r="V161" s="22"/>
      <c r="W161" s="22"/>
      <c r="X161" s="22"/>
      <c r="Y161" s="22"/>
      <c r="Z161" s="25">
        <f>[1]!b_stm07_bs(A161,74,$A$1,1,100000000)</f>
        <v>5085.5980799999998</v>
      </c>
      <c r="AA161" s="25">
        <f>[1]!b_stm07_bs(A161,109,$A$1,1,100000000)</f>
        <v>3437.2622099999999</v>
      </c>
      <c r="AB161" s="10">
        <f>[1]!s_stmnote_bank_5n(A161,$A$1,1)</f>
        <v>1.47</v>
      </c>
      <c r="AC161" s="25">
        <f>IF([1]!s_stmnote_bank_23n(A161,$A$1,1)=0,"",IFERROR([1]!s_stmnote_bank_23n(A161,$A$1,1),""))</f>
        <v>188.26</v>
      </c>
      <c r="AD161" s="27" t="str">
        <f t="shared" si="41"/>
        <v>56 167</v>
      </c>
      <c r="AE161" s="25">
        <f>[1]!s_stmnote_bank_capadequacyratio(A161,$A$1,1)</f>
        <v>14.41</v>
      </c>
      <c r="AF161" s="25">
        <f>IF([1]!s_stmnote_bank_capadequacyratio_ct1(A161,$A$1,1)=0,"",IFERROR([1]!s_stmnote_bank_capadequacyratio_ct1(A161,$A$1,1),""))</f>
        <v>9.66</v>
      </c>
      <c r="AG161" s="27" t="str">
        <f t="shared" si="42"/>
        <v>68 167</v>
      </c>
      <c r="AH161" s="6">
        <f>IF(OR([1]!s_fa_roe(A161,20201231)=0,[1]!s_fa_roe(A161,20211231)="0",[1]!s_fa_roe(A161,20221231)="0"),"",IFERROR(([1]!s_fa_roe(A161,20221231)+[1]!s_fa_roe(A161,20201231)+[1]!s_fa_roe(A161,20211231))/3,""))</f>
        <v>4.7771666666666661</v>
      </c>
      <c r="AI161" s="27" t="str">
        <f t="shared" si="43"/>
        <v>38 173</v>
      </c>
      <c r="AJ161" s="28">
        <f>IFERROR(([1]!s_stmnote_bank_65(A161,$A$1,1,2,4,100000000)+[1]!s_stmnote_bank_65(A161,$A$1,1,2,6,100000000))/[1]!s_stmnote_bank_1n(A161,$A$1,1,100000000),"")</f>
        <v>7.7874020406985725E-2</v>
      </c>
      <c r="AK161" s="28">
        <f>IFERROR([1]!s_stmnote_bank_614(A161,$A$1,1,2,100000000)/[1]!s_stmnote_bank_647(A161,$A$1,1,2,100000000),"")</f>
        <v>0.35558427867388176</v>
      </c>
      <c r="AL161" s="28">
        <f>IFERROR(([1]!b_stm07_bs(A161,104,$A$1,1,100000000)+[1]!b_stm07_bs(A161,106,$A$1,1,100000000)+[1]!b_stm07_bs(A161,76,$A$1,1,100000000)+[1]!b_stm07_bs(A161,108,$A$1,1,100000000)+[1]!b_stm07_bs(A161,95,$A$1,1,100000000))/[1]!b_stm07_bs(A161,128,$A$1,1,100000000),"")</f>
        <v>0.19003463997959832</v>
      </c>
      <c r="AM161" s="28">
        <f>IFERROR(([1]!s_stmnote_bank_614(A161,$A$1,1,2,100000000)+[1]!b_stm07_bs(A161,104,$A$1,1,100000000)+[1]!b_stm07_bs(A161,106,$A$1,1,100000000)+[1]!b_stm07_bs(A161,76,$A$1,1,100000000)+[1]!b_stm07_bs(A161,108,$A$1,1,100000000)+[1]!b_stm07_bs(A161,95,$A$1,1,100000000))/[1]!b_stm07_bs(A161,128,$A$1,1,100000000),"")</f>
        <v>0.4517967663646979</v>
      </c>
      <c r="AN161" s="31" t="e">
        <f>IF(Z161&gt;#REF!,#REF!,IF(Z161&gt;#REF!,#REF!,IF(Z161&gt;#REF!,#REF!,IF(Z161&gt;#REF!,#REF!,IF(Z161&gt;#REF!,#REF!,IF(Z161&gt;#REF!,#REF!,IF(Z161&gt;#REF!,#REF!,#REF!)))))))</f>
        <v>#REF!</v>
      </c>
      <c r="AO161" s="31" t="e">
        <f>IF(AA161&gt;#REF!,#REF!,IF(AA161&gt;#REF!,#REF!,IF(AA161&gt;#REF!,#REF!,IF(AA161&gt;#REF!,#REF!,IF(AA161&gt;#REF!,#REF!,IF(AA161&gt;#REF!,#REF!,IF(AA161&gt;#REF!,#REF!,#REF!)))))))</f>
        <v>#REF!</v>
      </c>
      <c r="AP161" s="31" t="e">
        <f>IF(AB161&lt;#REF!,#REF!,IF(AB161&lt;#REF!,#REF!,IF(AB161&lt;#REF!,#REF!,IF(AB161&lt;#REF!,#REF!,IF(AB161&lt;#REF!,#REF!,IF(AB161&lt;#REF!,#REF!,#REF!))))))</f>
        <v>#REF!</v>
      </c>
      <c r="AQ161" s="31" t="e">
        <f>IF(AC161&gt;#REF!,#REF!,IF(AC161&gt;#REF!,#REF!,IF(AC161&gt;#REF!,#REF!,IF(AC161&gt;#REF!,#REF!,#REF!))))</f>
        <v>#REF!</v>
      </c>
      <c r="AR161" s="31" t="e">
        <f>IF(AE161&gt;#REF!,#REF!,IF(AE161&gt;#REF!,#REF!,IF(AE161&gt;#REF!,#REF!,IF(AE161&gt;#REF!,#REF!,#REF!))))</f>
        <v>#REF!</v>
      </c>
      <c r="AS161" s="31" t="e">
        <f>IF(AF161&gt;#REF!,#REF!,IF(AF161&gt;#REF!,#REF!,IF(AF161&gt;#REF!,#REF!,IF(AF161&gt;#REF!,#REF!,#REF!))))</f>
        <v>#REF!</v>
      </c>
      <c r="AT161" s="31" t="e">
        <f>IF(AH161&gt;#REF!,#REF!,IF(AH161&gt;#REF!,#REF!,IF(AH161&gt;#REF!,#REF!,IF(AH161&gt;#REF!,#REF!,IF(AH161&gt;#REF!,#REF!,#REF!)))))</f>
        <v>#REF!</v>
      </c>
      <c r="AU161" s="10" t="e">
        <f t="shared" si="44"/>
        <v>#REF!</v>
      </c>
      <c r="AV161" s="10" t="s">
        <v>141</v>
      </c>
      <c r="AW161" s="10" t="s">
        <v>161</v>
      </c>
      <c r="AX161" s="10" t="s">
        <v>68</v>
      </c>
      <c r="AY161" s="31" t="str">
        <f>IFERROR(VLOOKUP(AV161,#REF!,3,0),"")</f>
        <v/>
      </c>
      <c r="AZ161" s="31" t="str">
        <f>IFERROR(VLOOKUP(AW161,#REF!,3,0),"")</f>
        <v/>
      </c>
      <c r="BA161" s="31" t="str">
        <f>IFERROR(VLOOKUP(AX161,#REF!,3,0),"")</f>
        <v/>
      </c>
      <c r="BB161" s="31" t="str">
        <f>IFERROR(AY161*#REF!+AZ161*#REF!+BA161*#REF!,"")</f>
        <v/>
      </c>
      <c r="BC161" s="32" t="str">
        <f t="shared" si="45"/>
        <v/>
      </c>
      <c r="BD161" s="32" t="str">
        <f>IFERROR(VLOOKUP(BC161*10,#REF!,2,1),"")</f>
        <v/>
      </c>
      <c r="BE161" s="10"/>
      <c r="BF161" s="10"/>
      <c r="BG161" s="10"/>
      <c r="BH161" s="11" t="s">
        <v>709</v>
      </c>
      <c r="BI161" s="10">
        <v>15.560000419616699</v>
      </c>
      <c r="BJ161" s="33" t="s">
        <v>98</v>
      </c>
      <c r="BK161" s="33" t="s">
        <v>99</v>
      </c>
      <c r="BL161" s="10">
        <f>IF([1]!s_stmnote_bank_17n(A161,$A$1,1)="0","",[1]!s_stmnote_bank_17n(A161,$A$1,1))</f>
        <v>5.62</v>
      </c>
      <c r="BM161" s="10">
        <f>IF([1]!s_stmnote_bank_18n(A161,$A$1,1)="0","",[1]!s_stmnote_bank_18n(A161,$A$1,1))</f>
        <v>37.1</v>
      </c>
      <c r="BN161" s="41">
        <v>4.32</v>
      </c>
      <c r="BO161" s="68">
        <v>2.41</v>
      </c>
      <c r="BP161" s="52">
        <f>[1]!s_stmnote_bank_5444(A161,$A$1,1)</f>
        <v>1.94</v>
      </c>
      <c r="BQ161" s="52">
        <f>[1]!s_stmnote_bank_129n($A161,$A$1,1)</f>
        <v>31.46</v>
      </c>
      <c r="BR161" s="52">
        <f t="shared" si="52"/>
        <v>4.3670715491004293</v>
      </c>
      <c r="BS161" s="52">
        <f>[1]!b_stm07_is(A161,19,$A$1,1,100000000)</f>
        <v>199.65718000000001</v>
      </c>
      <c r="BT161" s="52">
        <f xml:space="preserve"> [1]!s_stm07_bs(A161,"W15273164",$A$1,1,100000000)-[1]!s_stm07_bs(A161,"W17642530",$A$1,1,100000000)-[1]!s_stm07_bs(A161,"W15910877",$A$1,1,100000000)-[1]!s_stm07_bs_39(A161,$A$1,1,100000000)-[1]!s_stm07_bs(A161,"W17700468",$A$1,1,100000000)-[1]!s_stm07_bs(A161,"W16504296",$A$1,1,100000000)-[1]!s_stm07_bs(A161,"W13769069",$A$1,1,100000000)</f>
        <v>4985.1125399999992</v>
      </c>
      <c r="BU161" s="52">
        <f xml:space="preserve"> [1]!s_stm07_bs(A161,"W15273164",$B$1,1,100000000)-[1]!s_stm07_bs(A161,"W17642530",$B$1,1,100000000)-[1]!s_stm07_bs(A161,"W15910877",$B$1,1,100000000)-[1]!s_stm07_bs_39(A161,$B$1,1,100000000)-[1]!s_stm07_bs(A161,"W17700468",$B$1,1,100000000)-[1]!s_stm07_bs(A161,"W16504296",$B$1,1,100000000)-[1]!s_stm07_bs(A161,"W13769069",$B$1,1,100000000)</f>
        <v>4495.2979299999997</v>
      </c>
      <c r="BV161" s="52">
        <f xml:space="preserve"> [1]!s_stm07_bs(A161,"W15273164",$E$1,1,100000000)-[1]!s_stm07_bs(A161,"W17642530",$E$1,1,100000000)-[1]!s_stm07_bs(A161,"W15910877",$E$1,1,100000000)-[1]!s_stm07_bs_39(A161,$E$1,1,100000000)-[1]!s_stm07_bs(A161,"W17700468",$E$1,1,100000000)-[1]!s_stm07_bs(A161,"W16504296",$E$1,1,100000000)-[1]!s_stm07_bs(A161,"W13769069",$E$1,1,100000000)</f>
        <v>4773.3237609999996</v>
      </c>
      <c r="BW161" s="52">
        <f xml:space="preserve"> [1]!s_stm07_bs(A161,"W15273164",$F$1,1,100000000)-[1]!s_stm07_bs(A161,"W17642530",$F$1,1,100000000)-[1]!s_stm07_bs(A161,"W15910877",$F$1,1,100000000)-[1]!s_stm07_bs_39(A161,$F$1,1,100000000)-[1]!s_stm07_bs(A161,"W17700468",$F$1,1,100000000)-[1]!s_stm07_bs(A161,"W16504296",$F$1,1,100000000)-[1]!s_stm07_bs(A161,"W13769069",$F$1,1,100000000)</f>
        <v>4625.6372799999999</v>
      </c>
      <c r="BX161" s="52">
        <f xml:space="preserve"> [1]!s_stm07_bs(A161,"W15273164",$G$1,1,100000000)-[1]!s_stm07_bs(A161,"W17642530",$G$1,1,100000000)-[1]!s_stm07_bs(A161,"W15910877",$G$1,1,100000000)-[1]!s_stm07_bs_39(A161,$G$1,1,100000000)-[1]!s_stm07_bs(A161,"W17700468",$G$1,1,100000000)-[1]!s_stm07_bs(A161,"W16504296",$G$1,1,100000000)-[1]!s_stm07_bs(A161,"W13769069",$G$1,1,100000000)</f>
        <v>4508.5640229999999</v>
      </c>
      <c r="BY161" s="52">
        <f>IFERROR([1]!b_stm07_is(A161,20,$A$1,1,100000000)/AVERAGEIF(CA161:CE161,"&gt;0")*100,0)</f>
        <v>2.6145687016240857</v>
      </c>
      <c r="BZ161" s="52">
        <f>[1]!b_stm07_is(A161,20,$A$1,1,100000000)</f>
        <v>112.03910999999999</v>
      </c>
      <c r="CA161" s="52">
        <f>[1]!s_stmnote_bank_38(A161,$A$1,1,100000000)</f>
        <v>4517.0060700000004</v>
      </c>
      <c r="CB161" s="52">
        <f>[1]!s_stmnote_bank_38(A161,$B$1,1,100000000)</f>
        <v>4098.3656499999997</v>
      </c>
      <c r="CC161" s="52">
        <f>[1]!s_stmnote_bank_38(A161,$E$1,1,100000000)</f>
        <v>0</v>
      </c>
      <c r="CD161" s="52">
        <f>[1]!s_stmnote_bank_38(A161,$F$1,1,100000000)</f>
        <v>4240.1837599999999</v>
      </c>
      <c r="CE161" s="52">
        <f>[1]!s_stmnote_bank_38(A161,$G$1,1,100000000)</f>
        <v>0</v>
      </c>
      <c r="CF161" s="52">
        <f>IF(BP161&lt;&gt;0,BP161,IFERROR(IF(([1]!b_stm07_is(A161,19,$A$1,1,100000000)-[1]!b_stm07_is(A161,20,$A$1,1,100000000))/AVERAGE([1]!s_stmnote_bank_35(A161,$A$1,1,100000000),[1]!s_stmnote_bank_35(A161,$B$1,1,100000000))*100=0,"",([1]!b_stm07_is(A161,19,$A$1,1,100000000)-[1]!b_stm07_is(A161,20,$A$1,1,100000000))/AVERAGE([1]!s_stmnote_bank_35(A161,$A$1,1,100000000),[1]!s_stmnote_bank_35(A161,$B$1,1,100000000))*100),""))</f>
        <v>1.94</v>
      </c>
      <c r="CG161" s="27" t="str">
        <f t="shared" si="46"/>
        <v>104 171</v>
      </c>
      <c r="CH161" s="80">
        <f t="shared" si="53"/>
        <v>0.25549504991007244</v>
      </c>
      <c r="CI161" s="27" t="str">
        <f t="shared" si="47"/>
        <v>150 169</v>
      </c>
      <c r="CJ161" s="55">
        <f>[1]!s_stmnote_bank_30(A161,$A$1,1)</f>
        <v>21.426300000000001</v>
      </c>
      <c r="CP161" s="69">
        <f>[1]!b_stm07_bs($A161,141,$A$1,1,100000000)</f>
        <v>416.33436</v>
      </c>
      <c r="CQ161" s="69">
        <f>[1]!b_stm07_bs($A161,141,$D$1,1,100000000)</f>
        <v>432.25292999999999</v>
      </c>
      <c r="CR161" s="68">
        <f>IF([1]!s_fa_roic_yearly($A161,$A$1)=0,"",[1]!s_fa_roic_yearly($A161,$A$1))</f>
        <v>5.4349999999999996</v>
      </c>
      <c r="CS161" s="27">
        <f t="shared" si="48"/>
        <v>0.80473372781065089</v>
      </c>
      <c r="CT161" s="68">
        <f>IF([1]!s_fa_roic_yearly($A161,$D$1)=0,"",[1]!s_fa_roic_yearly($A161,$D$1))</f>
        <v>6.1470000000000002</v>
      </c>
      <c r="CU161" s="27">
        <f t="shared" si="49"/>
        <v>0.8380281690140845</v>
      </c>
      <c r="CV161" s="78">
        <f>[1]!s_stm07_bs(A161,"W14578191",$A$1,1,100000000)</f>
        <v>2706.5822499999999</v>
      </c>
      <c r="CW161" s="78">
        <f>[1]!s_stmnote_bank_682($A161,$A$1,1,2,100000000)</f>
        <v>801.98968000000002</v>
      </c>
      <c r="CX161" s="79">
        <f t="shared" si="50"/>
        <v>0.29631084737956886</v>
      </c>
    </row>
    <row r="162" spans="1:102" s="46" customFormat="1" ht="13.5">
      <c r="A162" s="8" t="s">
        <v>462</v>
      </c>
      <c r="B162" s="8" t="s">
        <v>463</v>
      </c>
      <c r="C162" s="9" t="s">
        <v>464</v>
      </c>
      <c r="D162" s="9" t="s">
        <v>1061</v>
      </c>
      <c r="E162" s="10"/>
      <c r="F162" s="11" t="s">
        <v>66</v>
      </c>
      <c r="G162" s="11" t="s">
        <v>67</v>
      </c>
      <c r="H162" s="11" t="s">
        <v>103</v>
      </c>
      <c r="I162" s="11"/>
      <c r="J162" s="11" t="e">
        <f>VLOOKUP(B162,[3]额度信息!$B:$T,19,0)</f>
        <v>#N/A</v>
      </c>
      <c r="K162" s="11"/>
      <c r="L162" s="27">
        <f>IFERROR(([1]!b_stm07_bs($A162,47,$A$1,1,100000000))/[1]!b_stm07_bs($A162,109,$A$1,1,100000000),"")</f>
        <v>0.10343634157651529</v>
      </c>
      <c r="M162" s="20"/>
      <c r="N162" s="18"/>
      <c r="O162" s="27" t="e">
        <f t="shared" si="39"/>
        <v>#N/A</v>
      </c>
      <c r="P162" s="21">
        <f t="shared" si="51"/>
        <v>0.10180275905838101</v>
      </c>
      <c r="Q162" s="27" t="str">
        <f t="shared" si="40"/>
        <v>163 169</v>
      </c>
      <c r="R162" s="18">
        <f>IFERROR([1]!s_stmnote_bank($A162,"34",$A$1,100000000)/[1]!s_stmnote_bank_1n(A162,$A$1,1,100000000),"")</f>
        <v>7.1002759058381007E-2</v>
      </c>
      <c r="S162" s="22"/>
      <c r="T162" s="22"/>
      <c r="U162" s="22"/>
      <c r="V162" s="22"/>
      <c r="W162" s="22"/>
      <c r="X162" s="22"/>
      <c r="Y162" s="22"/>
      <c r="Z162" s="25">
        <f>[1]!b_stm07_bs(A162,74,$A$1,1,100000000)</f>
        <v>1721.7478799999999</v>
      </c>
      <c r="AA162" s="25">
        <f>[1]!b_stm07_bs(A162,109,$A$1,1,100000000)</f>
        <v>1096.0019299999999</v>
      </c>
      <c r="AB162" s="10">
        <f>[1]!s_stmnote_bank_5n(A162,$A$1,1)</f>
        <v>3.08</v>
      </c>
      <c r="AC162" s="25">
        <f>IF([1]!s_stmnote_bank_23n(A162,$A$1,1)=0,"",IFERROR([1]!s_stmnote_bank_23n(A162,$A$1,1),""))</f>
        <v>146.96</v>
      </c>
      <c r="AD162" s="27" t="str">
        <f t="shared" si="41"/>
        <v>18 167</v>
      </c>
      <c r="AE162" s="25">
        <f>[1]!s_stmnote_bank_capadequacyratio(A162,$A$1,1)</f>
        <v>12.85</v>
      </c>
      <c r="AF162" s="25">
        <f>IF([1]!s_stmnote_bank_capadequacyratio_ct1(A162,$A$1,1)=0,"",IFERROR([1]!s_stmnote_bank_capadequacyratio_ct1(A162,$A$1,1),""))</f>
        <v>9.92</v>
      </c>
      <c r="AG162" s="27" t="str">
        <f t="shared" si="42"/>
        <v>82 167</v>
      </c>
      <c r="AH162" s="6">
        <f>IF(OR([1]!s_fa_roe(A162,20201231)=0,[1]!s_fa_roe(A162,20211231)="0",[1]!s_fa_roe(A162,20221231)="0"),"",IFERROR(([1]!s_fa_roe(A162,20221231)+[1]!s_fa_roe(A162,20201231)+[1]!s_fa_roe(A162,20211231))/3,""))</f>
        <v>5.2253666666666669</v>
      </c>
      <c r="AI162" s="27" t="str">
        <f t="shared" si="43"/>
        <v>43 173</v>
      </c>
      <c r="AJ162" s="28">
        <f>IFERROR(([1]!s_stmnote_bank_65(A162,$A$1,1,2,4,100000000)+[1]!s_stmnote_bank_65(A162,$A$1,1,2,6,100000000))/[1]!s_stmnote_bank_1n(A162,$A$1,1,100000000),"")</f>
        <v>6.7271933252870092E-2</v>
      </c>
      <c r="AK162" s="28">
        <f>IFERROR([1]!s_stmnote_bank_614(A162,$A$1,1,2,100000000)/[1]!s_stmnote_bank_647(A162,$A$1,1,2,100000000),"")</f>
        <v>0.27151663866139364</v>
      </c>
      <c r="AL162" s="28">
        <f>IFERROR(([1]!b_stm07_bs(A162,104,$A$1,1,100000000)+[1]!b_stm07_bs(A162,106,$A$1,1,100000000)+[1]!b_stm07_bs(A162,76,$A$1,1,100000000)+[1]!b_stm07_bs(A162,108,$A$1,1,100000000)+[1]!b_stm07_bs(A162,95,$A$1,1,100000000))/[1]!b_stm07_bs(A162,128,$A$1,1,100000000),"")</f>
        <v>0.26382880565389971</v>
      </c>
      <c r="AM162" s="28">
        <f>IFERROR(([1]!s_stmnote_bank_614(A162,$A$1,1,2,100000000)+[1]!b_stm07_bs(A162,104,$A$1,1,100000000)+[1]!b_stm07_bs(A162,106,$A$1,1,100000000)+[1]!b_stm07_bs(A162,76,$A$1,1,100000000)+[1]!b_stm07_bs(A162,108,$A$1,1,100000000)+[1]!b_stm07_bs(A162,95,$A$1,1,100000000))/[1]!b_stm07_bs(A162,128,$A$1,1,100000000),"")</f>
        <v>0.45126241867651362</v>
      </c>
      <c r="AN162" s="31" t="e">
        <f>IF(Z162&gt;#REF!,#REF!,IF(Z162&gt;#REF!,#REF!,IF(Z162&gt;#REF!,#REF!,IF(Z162&gt;#REF!,#REF!,IF(Z162&gt;#REF!,#REF!,IF(Z162&gt;#REF!,#REF!,IF(Z162&gt;#REF!,#REF!,#REF!)))))))</f>
        <v>#REF!</v>
      </c>
      <c r="AO162" s="31" t="e">
        <f>IF(AA162&gt;#REF!,#REF!,IF(AA162&gt;#REF!,#REF!,IF(AA162&gt;#REF!,#REF!,IF(AA162&gt;#REF!,#REF!,IF(AA162&gt;#REF!,#REF!,IF(AA162&gt;#REF!,#REF!,IF(AA162&gt;#REF!,#REF!,#REF!)))))))</f>
        <v>#REF!</v>
      </c>
      <c r="AP162" s="31" t="e">
        <f>IF(AB162&lt;#REF!,#REF!,IF(AB162&lt;#REF!,#REF!,IF(AB162&lt;#REF!,#REF!,IF(AB162&lt;#REF!,#REF!,IF(AB162&lt;#REF!,#REF!,IF(AB162&lt;#REF!,#REF!,#REF!))))))</f>
        <v>#REF!</v>
      </c>
      <c r="AQ162" s="31" t="e">
        <f>IF(AC162&gt;#REF!,#REF!,IF(AC162&gt;#REF!,#REF!,IF(AC162&gt;#REF!,#REF!,IF(AC162&gt;#REF!,#REF!,#REF!))))</f>
        <v>#REF!</v>
      </c>
      <c r="AR162" s="31" t="e">
        <f>IF(AE162&gt;#REF!,#REF!,IF(AE162&gt;#REF!,#REF!,IF(AE162&gt;#REF!,#REF!,IF(AE162&gt;#REF!,#REF!,#REF!))))</f>
        <v>#REF!</v>
      </c>
      <c r="AS162" s="31" t="e">
        <f>IF(AF162&gt;#REF!,#REF!,IF(AF162&gt;#REF!,#REF!,IF(AF162&gt;#REF!,#REF!,IF(AF162&gt;#REF!,#REF!,#REF!))))</f>
        <v>#REF!</v>
      </c>
      <c r="AT162" s="31" t="e">
        <f>IF(AH162&gt;#REF!,#REF!,IF(AH162&gt;#REF!,#REF!,IF(AH162&gt;#REF!,#REF!,IF(AH162&gt;#REF!,#REF!,IF(AH162&gt;#REF!,#REF!,#REF!)))))</f>
        <v>#REF!</v>
      </c>
      <c r="AU162" s="10" t="e">
        <f t="shared" si="44"/>
        <v>#REF!</v>
      </c>
      <c r="AV162" s="10"/>
      <c r="AW162" s="10"/>
      <c r="AX162" s="10"/>
      <c r="AY162" s="31" t="str">
        <f>IFERROR(VLOOKUP(AV162,#REF!,3,0),"")</f>
        <v/>
      </c>
      <c r="AZ162" s="31" t="str">
        <f>IFERROR(VLOOKUP(AW162,#REF!,3,0),"")</f>
        <v/>
      </c>
      <c r="BA162" s="31" t="str">
        <f>IFERROR(VLOOKUP(AX162,#REF!,3,0),"")</f>
        <v/>
      </c>
      <c r="BB162" s="31" t="str">
        <f>IFERROR(AY162*#REF!+AZ162*#REF!+BA162*#REF!,"")</f>
        <v/>
      </c>
      <c r="BC162" s="32" t="str">
        <f t="shared" si="45"/>
        <v/>
      </c>
      <c r="BD162" s="32" t="str">
        <f>IFERROR(VLOOKUP(BC162*10,#REF!,2,1),"")</f>
        <v/>
      </c>
      <c r="BE162" s="10"/>
      <c r="BF162" s="10"/>
      <c r="BG162" s="10"/>
      <c r="BH162" s="11" t="s">
        <v>465</v>
      </c>
      <c r="BI162" s="10">
        <v>28.040000915527301</v>
      </c>
      <c r="BJ162" s="33" t="s">
        <v>466</v>
      </c>
      <c r="BK162" s="33" t="s">
        <v>467</v>
      </c>
      <c r="BL162" s="10">
        <f>IF([1]!s_stmnote_bank_17n(A162,$A$1,1)="0","",[1]!s_stmnote_bank_17n(A162,$A$1,1))</f>
        <v>3.08</v>
      </c>
      <c r="BM162" s="10">
        <f>IF([1]!s_stmnote_bank_18n(A162,$A$1,1)="0","",[1]!s_stmnote_bank_18n(A162,$A$1,1))</f>
        <v>21.88</v>
      </c>
      <c r="BN162" s="41"/>
      <c r="BO162" s="52"/>
      <c r="BP162" s="52">
        <f>[1]!s_stmnote_bank_5444(A162,$A$1,1)</f>
        <v>1.91</v>
      </c>
      <c r="BQ162" s="52">
        <f>[1]!s_stmnote_bank_129n($A162,$A$1,1)</f>
        <v>40.78</v>
      </c>
      <c r="BR162" s="52">
        <f t="shared" si="52"/>
        <v>3.7767493110475265</v>
      </c>
      <c r="BS162" s="52">
        <f>[1]!b_stm07_is(A162,19,$A$1,1,100000000)</f>
        <v>60.435540000000003</v>
      </c>
      <c r="BT162" s="52">
        <f xml:space="preserve"> [1]!s_stm07_bs(A162,"W15273164",$A$1,1,100000000)-[1]!s_stm07_bs(A162,"W17642530",$A$1,1,100000000)-[1]!s_stm07_bs(A162,"W15910877",$A$1,1,100000000)-[1]!s_stm07_bs_39(A162,$A$1,1,100000000)-[1]!s_stm07_bs(A162,"W17700468",$A$1,1,100000000)-[1]!s_stm07_bs(A162,"W16504296",$A$1,1,100000000)-[1]!s_stm07_bs(A162,"W13769069",$A$1,1,100000000)</f>
        <v>1675.2196699999997</v>
      </c>
      <c r="BU162" s="52">
        <f xml:space="preserve"> [1]!s_stm07_bs(A162,"W15273164",$B$1,1,100000000)-[1]!s_stm07_bs(A162,"W17642530",$B$1,1,100000000)-[1]!s_stm07_bs(A162,"W15910877",$B$1,1,100000000)-[1]!s_stm07_bs_39(A162,$B$1,1,100000000)-[1]!s_stm07_bs(A162,"W17700468",$B$1,1,100000000)-[1]!s_stm07_bs(A162,"W16504296",$B$1,1,100000000)-[1]!s_stm07_bs(A162,"W13769069",$B$1,1,100000000)</f>
        <v>1573.4632200000001</v>
      </c>
      <c r="BV162" s="52">
        <f xml:space="preserve"> [1]!s_stm07_bs(A162,"W15273164",$E$1,1,100000000)-[1]!s_stm07_bs(A162,"W17642530",$E$1,1,100000000)-[1]!s_stm07_bs(A162,"W15910877",$E$1,1,100000000)-[1]!s_stm07_bs_39(A162,$E$1,1,100000000)-[1]!s_stm07_bs(A162,"W17700468",$E$1,1,100000000)-[1]!s_stm07_bs(A162,"W16504296",$E$1,1,100000000)-[1]!s_stm07_bs(A162,"W13769069",$E$1,1,100000000)</f>
        <v>1661.0392781465</v>
      </c>
      <c r="BW162" s="52">
        <f xml:space="preserve"> [1]!s_stm07_bs(A162,"W15273164",$F$1,1,100000000)-[1]!s_stm07_bs(A162,"W17642530",$F$1,1,100000000)-[1]!s_stm07_bs(A162,"W15910877",$F$1,1,100000000)-[1]!s_stm07_bs_39(A162,$F$1,1,100000000)-[1]!s_stm07_bs(A162,"W17700468",$F$1,1,100000000)-[1]!s_stm07_bs(A162,"W16504296",$F$1,1,100000000)-[1]!s_stm07_bs(A162,"W13769069",$F$1,1,100000000)</f>
        <v>1647.3465500000002</v>
      </c>
      <c r="BX162" s="52">
        <f xml:space="preserve"> [1]!s_stm07_bs(A162,"W15273164",$G$1,1,100000000)-[1]!s_stm07_bs(A162,"W17642530",$G$1,1,100000000)-[1]!s_stm07_bs(A162,"W15910877",$G$1,1,100000000)-[1]!s_stm07_bs_39(A162,$G$1,1,100000000)-[1]!s_stm07_bs(A162,"W17700468",$G$1,1,100000000)-[1]!s_stm07_bs(A162,"W16504296",$G$1,1,100000000)-[1]!s_stm07_bs(A162,"W13769069",$G$1,1,100000000)</f>
        <v>1669.341891</v>
      </c>
      <c r="BY162" s="52">
        <f>IFERROR([1]!b_stm07_is(A162,20,$A$1,1,100000000)/AVERAGEIF(CA162:CE162,"&gt;0")*100,0)</f>
        <v>2.4872770988823909</v>
      </c>
      <c r="BZ162" s="52">
        <f>[1]!b_stm07_is(A162,20,$A$1,1,100000000)</f>
        <v>38.266060000000003</v>
      </c>
      <c r="CA162" s="52">
        <f>[1]!s_stmnote_bank_38(A162,$A$1,1,100000000)</f>
        <v>1573.1723999999999</v>
      </c>
      <c r="CB162" s="52">
        <f>[1]!s_stmnote_bank_38(A162,$B$1,1,100000000)</f>
        <v>1477.8917200000001</v>
      </c>
      <c r="CC162" s="52">
        <f>[1]!s_stmnote_bank_38(A162,$E$1,1,100000000)</f>
        <v>1556.4272719902999</v>
      </c>
      <c r="CD162" s="52">
        <f>[1]!s_stmnote_bank_38(A162,$F$1,1,100000000)</f>
        <v>1546.39633</v>
      </c>
      <c r="CE162" s="52">
        <f>[1]!s_stmnote_bank_38(A162,$G$1,1,100000000)</f>
        <v>0</v>
      </c>
      <c r="CF162" s="52">
        <f>IF(BP162&lt;&gt;0,BP162,IFERROR(IF(([1]!b_stm07_is(A162,19,$A$1,1,100000000)-[1]!b_stm07_is(A162,20,$A$1,1,100000000))/AVERAGE([1]!s_stmnote_bank_35(A162,$A$1,1,100000000),[1]!s_stmnote_bank_35(A162,$B$1,1,100000000))*100=0,"",([1]!b_stm07_is(A162,19,$A$1,1,100000000)-[1]!b_stm07_is(A162,20,$A$1,1,100000000))/AVERAGE([1]!s_stmnote_bank_35(A162,$A$1,1,100000000),[1]!s_stmnote_bank_35(A162,$B$1,1,100000000))*100),""))</f>
        <v>1.91</v>
      </c>
      <c r="CG162" s="27" t="str">
        <f t="shared" si="46"/>
        <v>107 171</v>
      </c>
      <c r="CH162" s="80">
        <f t="shared" si="53"/>
        <v>0.18761770483103202</v>
      </c>
      <c r="CI162" s="27" t="str">
        <f t="shared" si="47"/>
        <v>160 169</v>
      </c>
      <c r="CJ162" s="55">
        <f>[1]!s_stmnote_bank_30(A162,$A$1,1)</f>
        <v>34.672699999999999</v>
      </c>
      <c r="CP162" s="69">
        <f>[1]!b_stm07_bs($A162,141,$A$1,1,100000000)</f>
        <v>134.07768999999999</v>
      </c>
      <c r="CQ162" s="69">
        <f>[1]!b_stm07_bs($A162,141,$D$1,1,100000000)</f>
        <v>136.00167999999999</v>
      </c>
      <c r="CR162" s="68">
        <f>IF([1]!s_fa_roic_yearly($A162,$A$1)=0,"",[1]!s_fa_roic_yearly($A162,$A$1))</f>
        <v>5.1578999999999997</v>
      </c>
      <c r="CS162" s="27">
        <f t="shared" si="48"/>
        <v>0.8224852071005917</v>
      </c>
      <c r="CT162" s="68">
        <f>IF([1]!s_fa_roic_yearly($A162,$D$1)=0,"",[1]!s_fa_roic_yearly($A162,$D$1))</f>
        <v>5.9375999999999998</v>
      </c>
      <c r="CU162" s="27">
        <f t="shared" si="49"/>
        <v>0.84507042253521125</v>
      </c>
      <c r="CV162" s="78">
        <f>[1]!s_stm07_bs(A162,"W14578191",$A$1,1,100000000)</f>
        <v>879.79435999999998</v>
      </c>
      <c r="CW162" s="78">
        <f>[1]!s_stmnote_bank_682($A162,$A$1,1,2,100000000)</f>
        <v>343.55561</v>
      </c>
      <c r="CX162" s="79">
        <f t="shared" si="50"/>
        <v>0.39049535393702683</v>
      </c>
    </row>
    <row r="163" spans="1:102" s="46" customFormat="1" ht="13.5">
      <c r="A163" s="8" t="s">
        <v>877</v>
      </c>
      <c r="B163" s="8" t="s">
        <v>878</v>
      </c>
      <c r="C163" s="9" t="s">
        <v>879</v>
      </c>
      <c r="D163" s="9" t="s">
        <v>1061</v>
      </c>
      <c r="E163" s="10"/>
      <c r="F163" s="11" t="s">
        <v>178</v>
      </c>
      <c r="G163" s="11" t="s">
        <v>67</v>
      </c>
      <c r="H163" s="11" t="s">
        <v>103</v>
      </c>
      <c r="I163" s="11"/>
      <c r="J163" s="11" t="e">
        <f>VLOOKUP(B163,[3]额度信息!$B:$T,19,0)</f>
        <v>#N/A</v>
      </c>
      <c r="K163" s="11"/>
      <c r="L163" s="27">
        <f>IFERROR(([1]!b_stm07_bs($A163,47,$A$1,1,100000000))/[1]!b_stm07_bs($A163,109,$A$1,1,100000000),"")</f>
        <v>0.12810922869469663</v>
      </c>
      <c r="M163" s="20"/>
      <c r="N163" s="18"/>
      <c r="O163" s="27" t="e">
        <f t="shared" si="39"/>
        <v>#N/A</v>
      </c>
      <c r="P163" s="21">
        <f t="shared" si="51"/>
        <v>8.5245009561015606E-2</v>
      </c>
      <c r="Q163" s="27" t="str">
        <f t="shared" si="40"/>
        <v>160 169</v>
      </c>
      <c r="R163" s="18">
        <v>5.6445009561015599E-2</v>
      </c>
      <c r="S163" s="22"/>
      <c r="T163" s="22"/>
      <c r="U163" s="22"/>
      <c r="V163" s="22"/>
      <c r="W163" s="22"/>
      <c r="X163" s="22"/>
      <c r="Y163" s="22"/>
      <c r="Z163" s="25">
        <f>[1]!b_stm07_bs(A163,74,$A$1,1,100000000)</f>
        <v>6450.4617600000001</v>
      </c>
      <c r="AA163" s="25">
        <f>[1]!b_stm07_bs(A163,109,$A$1,1,100000000)</f>
        <v>5067.7994600000002</v>
      </c>
      <c r="AB163" s="10">
        <f>[1]!s_stmnote_bank_5n(A163,$A$1,1)</f>
        <v>2.88</v>
      </c>
      <c r="AC163" s="25">
        <f>IF([1]!s_stmnote_bank_23n(A163,$A$1,1)=0,"",IFERROR([1]!s_stmnote_bank_23n(A163,$A$1,1),""))</f>
        <v>162.44999999999999</v>
      </c>
      <c r="AD163" s="27" t="str">
        <f t="shared" si="41"/>
        <v>32 167</v>
      </c>
      <c r="AE163" s="25">
        <f>[1]!s_stmnote_bank_capadequacyratio(A163,$A$1,1)</f>
        <v>12.54</v>
      </c>
      <c r="AF163" s="25">
        <f>IF([1]!s_stmnote_bank_capadequacyratio_ct1(A163,$A$1,1)=0,"",IFERROR([1]!s_stmnote_bank_capadequacyratio_ct1(A163,$A$1,1),""))</f>
        <v>9.2799999999999994</v>
      </c>
      <c r="AG163" s="27" t="str">
        <f t="shared" si="42"/>
        <v>52 167</v>
      </c>
      <c r="AH163" s="6">
        <f>IF(OR([1]!s_fa_roe(A163,20201231)=0,[1]!s_fa_roe(A163,20211231)="0",[1]!s_fa_roe(A163,20221231)="0"),"",IFERROR(([1]!s_fa_roe(A163,20221231)+[1]!s_fa_roe(A163,20201231)+[1]!s_fa_roe(A163,20211231))/3,""))</f>
        <v>0.97106666666666663</v>
      </c>
      <c r="AI163" s="27" t="str">
        <f t="shared" si="43"/>
        <v>8 173</v>
      </c>
      <c r="AJ163" s="28">
        <f>IFERROR(([1]!s_stmnote_bank_65(A163,$A$1,1,2,4,100000000)+[1]!s_stmnote_bank_65(A163,$A$1,1,2,6,100000000))/[1]!s_stmnote_bank_1n(A163,$A$1,1,100000000),"")</f>
        <v>0.15036042568351435</v>
      </c>
      <c r="AK163" s="28">
        <f>IFERROR([1]!s_stmnote_bank_614(A163,$A$1,1,2,100000000)/[1]!s_stmnote_bank_647(A163,$A$1,1,2,100000000),"")</f>
        <v>0.17018132165790159</v>
      </c>
      <c r="AL163" s="28">
        <f>IFERROR(([1]!b_stm07_bs(A163,104,$A$1,1,100000000)+[1]!b_stm07_bs(A163,106,$A$1,1,100000000)+[1]!b_stm07_bs(A163,76,$A$1,1,100000000)+[1]!b_stm07_bs(A163,108,$A$1,1,100000000)+[1]!b_stm07_bs(A163,95,$A$1,1,100000000))/[1]!b_stm07_bs(A163,128,$A$1,1,100000000),"")</f>
        <v>8.7229323012356696E-2</v>
      </c>
      <c r="AM163" s="28">
        <f>IFERROR(([1]!s_stmnote_bank_614(A163,$A$1,1,2,100000000)+[1]!b_stm07_bs(A163,104,$A$1,1,100000000)+[1]!b_stm07_bs(A163,106,$A$1,1,100000000)+[1]!b_stm07_bs(A163,76,$A$1,1,100000000)+[1]!b_stm07_bs(A163,108,$A$1,1,100000000)+[1]!b_stm07_bs(A163,95,$A$1,1,100000000))/[1]!b_stm07_bs(A163,128,$A$1,1,100000000),"")</f>
        <v>0.23534793211403612</v>
      </c>
      <c r="AN163" s="31" t="e">
        <f>IF(Z163&gt;#REF!,#REF!,IF(Z163&gt;#REF!,#REF!,IF(Z163&gt;#REF!,#REF!,IF(Z163&gt;#REF!,#REF!,IF(Z163&gt;#REF!,#REF!,IF(Z163&gt;#REF!,#REF!,IF(Z163&gt;#REF!,#REF!,#REF!)))))))</f>
        <v>#REF!</v>
      </c>
      <c r="AO163" s="31" t="e">
        <f>IF(AA163&gt;#REF!,#REF!,IF(AA163&gt;#REF!,#REF!,IF(AA163&gt;#REF!,#REF!,IF(AA163&gt;#REF!,#REF!,IF(AA163&gt;#REF!,#REF!,IF(AA163&gt;#REF!,#REF!,IF(AA163&gt;#REF!,#REF!,#REF!)))))))</f>
        <v>#REF!</v>
      </c>
      <c r="AP163" s="31" t="e">
        <f>IF(AB163&lt;#REF!,#REF!,IF(AB163&lt;#REF!,#REF!,IF(AB163&lt;#REF!,#REF!,IF(AB163&lt;#REF!,#REF!,IF(AB163&lt;#REF!,#REF!,IF(AB163&lt;#REF!,#REF!,#REF!))))))</f>
        <v>#REF!</v>
      </c>
      <c r="AQ163" s="31" t="e">
        <f>IF(AC163&gt;#REF!,#REF!,IF(AC163&gt;#REF!,#REF!,IF(AC163&gt;#REF!,#REF!,IF(AC163&gt;#REF!,#REF!,#REF!))))</f>
        <v>#REF!</v>
      </c>
      <c r="AR163" s="31" t="e">
        <f>IF(AE163&gt;#REF!,#REF!,IF(AE163&gt;#REF!,#REF!,IF(AE163&gt;#REF!,#REF!,IF(AE163&gt;#REF!,#REF!,#REF!))))</f>
        <v>#REF!</v>
      </c>
      <c r="AS163" s="31" t="e">
        <f>IF(AF163&gt;#REF!,#REF!,IF(AF163&gt;#REF!,#REF!,IF(AF163&gt;#REF!,#REF!,IF(AF163&gt;#REF!,#REF!,#REF!))))</f>
        <v>#REF!</v>
      </c>
      <c r="AT163" s="31" t="e">
        <f>IF(AH163&gt;#REF!,#REF!,IF(AH163&gt;#REF!,#REF!,IF(AH163&gt;#REF!,#REF!,IF(AH163&gt;#REF!,#REF!,IF(AH163&gt;#REF!,#REF!,#REF!)))))</f>
        <v>#REF!</v>
      </c>
      <c r="AU163" s="10" t="e">
        <f t="shared" si="44"/>
        <v>#REF!</v>
      </c>
      <c r="AV163" s="10" t="s">
        <v>141</v>
      </c>
      <c r="AW163" s="10" t="s">
        <v>161</v>
      </c>
      <c r="AX163" s="10" t="s">
        <v>68</v>
      </c>
      <c r="AY163" s="31" t="str">
        <f>IFERROR(VLOOKUP(AV163,#REF!,3,0),"")</f>
        <v/>
      </c>
      <c r="AZ163" s="31" t="str">
        <f>IFERROR(VLOOKUP(AW163,#REF!,3,0),"")</f>
        <v/>
      </c>
      <c r="BA163" s="31" t="str">
        <f>IFERROR(VLOOKUP(AX163,#REF!,3,0),"")</f>
        <v/>
      </c>
      <c r="BB163" s="31" t="str">
        <f>IFERROR(AY163*#REF!+AZ163*#REF!+BA163*#REF!,"")</f>
        <v/>
      </c>
      <c r="BC163" s="32" t="str">
        <f t="shared" si="45"/>
        <v/>
      </c>
      <c r="BD163" s="32" t="str">
        <f>IFERROR(VLOOKUP(BC163*10,#REF!,2,1),"")</f>
        <v/>
      </c>
      <c r="BE163" s="10"/>
      <c r="BF163" s="10"/>
      <c r="BG163" s="10"/>
      <c r="BH163" s="11" t="s">
        <v>880</v>
      </c>
      <c r="BI163" s="10">
        <v>29.629999160766602</v>
      </c>
      <c r="BJ163" s="33" t="s">
        <v>85</v>
      </c>
      <c r="BK163" s="33" t="s">
        <v>86</v>
      </c>
      <c r="BL163" s="10">
        <f>IF([1]!s_stmnote_bank_17n(A163,$A$1,1)="0","",[1]!s_stmnote_bank_17n(A163,$A$1,1))</f>
        <v>7.5</v>
      </c>
      <c r="BM163" s="10">
        <f>IF([1]!s_stmnote_bank_18n(A163,$A$1,1)="0","",[1]!s_stmnote_bank_18n(A163,$A$1,1))</f>
        <v>37.71</v>
      </c>
      <c r="BN163" s="41">
        <f>IF([1]!s_stmnote_bank_58(A163,$A$1,1)="0","",[1]!s_stmnote_bank_58(A163,$A$1,1))</f>
        <v>4.68</v>
      </c>
      <c r="BO163" s="68">
        <v>2.89</v>
      </c>
      <c r="BP163" s="52">
        <f>[1]!s_stmnote_bank_5444(A163,$A$1,1)</f>
        <v>1.78</v>
      </c>
      <c r="BQ163" s="52">
        <f>[1]!s_stmnote_bank_129n($A163,$A$1,1)</f>
        <v>38.28</v>
      </c>
      <c r="BR163" s="52">
        <f t="shared" si="52"/>
        <v>4.4754782994410851</v>
      </c>
      <c r="BS163" s="52">
        <f>[1]!b_stm07_is(A163,19,$A$1,1,100000000)</f>
        <v>264.48104999999998</v>
      </c>
      <c r="BT163" s="52">
        <f xml:space="preserve"> [1]!s_stm07_bs(A163,"W15273164",$A$1,1,100000000)-[1]!s_stm07_bs(A163,"W17642530",$A$1,1,100000000)-[1]!s_stm07_bs(A163,"W15910877",$A$1,1,100000000)-[1]!s_stm07_bs_39(A163,$A$1,1,100000000)-[1]!s_stm07_bs(A163,"W17700468",$A$1,1,100000000)-[1]!s_stm07_bs(A163,"W16504296",$A$1,1,100000000)-[1]!s_stm07_bs(A163,"W13769069",$A$1,1,100000000)</f>
        <v>6260.6160399999999</v>
      </c>
      <c r="BU163" s="52">
        <f xml:space="preserve"> [1]!s_stm07_bs(A163,"W15273164",$B$1,1,100000000)-[1]!s_stm07_bs(A163,"W17642530",$B$1,1,100000000)-[1]!s_stm07_bs(A163,"W15910877",$B$1,1,100000000)-[1]!s_stm07_bs_39(A163,$B$1,1,100000000)-[1]!s_stm07_bs(A163,"W17700468",$B$1,1,100000000)-[1]!s_stm07_bs(A163,"W16504296",$B$1,1,100000000)-[1]!s_stm07_bs(A163,"W13769069",$B$1,1,100000000)</f>
        <v>5812.8269599999994</v>
      </c>
      <c r="BV163" s="52">
        <f xml:space="preserve"> [1]!s_stm07_bs(A163,"W15273164",$E$1,1,100000000)-[1]!s_stm07_bs(A163,"W17642530",$E$1,1,100000000)-[1]!s_stm07_bs(A163,"W15910877",$E$1,1,100000000)-[1]!s_stm07_bs_39(A163,$E$1,1,100000000)-[1]!s_stm07_bs(A163,"W17700468",$E$1,1,100000000)-[1]!s_stm07_bs(A163,"W16504296",$E$1,1,100000000)-[1]!s_stm07_bs(A163,"W13769069",$E$1,1,100000000)</f>
        <v>6115.0427999999993</v>
      </c>
      <c r="BW163" s="52">
        <f xml:space="preserve"> [1]!s_stm07_bs(A163,"W15273164",$F$1,1,100000000)-[1]!s_stm07_bs(A163,"W17642530",$F$1,1,100000000)-[1]!s_stm07_bs(A163,"W15910877",$F$1,1,100000000)-[1]!s_stm07_bs_39(A163,$F$1,1,100000000)-[1]!s_stm07_bs(A163,"W17700468",$F$1,1,100000000)-[1]!s_stm07_bs(A163,"W16504296",$F$1,1,100000000)-[1]!s_stm07_bs(A163,"W13769069",$F$1,1,100000000)</f>
        <v>6132.8884500000004</v>
      </c>
      <c r="BX163" s="52">
        <f xml:space="preserve"> [1]!s_stm07_bs(A163,"W15273164",$G$1,1,100000000)-[1]!s_stm07_bs(A163,"W17642530",$G$1,1,100000000)-[1]!s_stm07_bs(A163,"W15910877",$G$1,1,100000000)-[1]!s_stm07_bs_39(A163,$G$1,1,100000000)-[1]!s_stm07_bs(A163,"W17700468",$G$1,1,100000000)-[1]!s_stm07_bs(A163,"W16504296",$G$1,1,100000000)-[1]!s_stm07_bs(A163,"W13769069",$G$1,1,100000000)</f>
        <v>0</v>
      </c>
      <c r="BY163" s="52">
        <f>IFERROR([1]!b_stm07_is(A163,20,$A$1,1,100000000)/AVERAGEIF(CA163:CE163,"&gt;0")*100,0)</f>
        <v>3.0057497685034997</v>
      </c>
      <c r="BZ163" s="52">
        <f>[1]!b_stm07_is(A163,20,$A$1,1,100000000)</f>
        <v>163.87093999999999</v>
      </c>
      <c r="CA163" s="52">
        <f>[1]!s_stmnote_bank_38(A163,$A$1,1,100000000)</f>
        <v>5618.4162800000004</v>
      </c>
      <c r="CB163" s="52">
        <f>[1]!s_stmnote_bank_38(A163,$B$1,1,100000000)</f>
        <v>5309.68379</v>
      </c>
      <c r="CC163" s="52">
        <f>[1]!s_stmnote_bank_38(A163,$E$1,1,100000000)</f>
        <v>5583.5277299999998</v>
      </c>
      <c r="CD163" s="52">
        <f>[1]!s_stmnote_bank_38(A163,$F$1,1,100000000)</f>
        <v>5296.0345299999999</v>
      </c>
      <c r="CE163" s="52">
        <f>[1]!s_stmnote_bank_38(A163,$G$1,1,100000000)</f>
        <v>0</v>
      </c>
      <c r="CF163" s="52">
        <f>IF(BP163&lt;&gt;0,BP163,IFERROR(IF(([1]!b_stm07_is(A163,19,$A$1,1,100000000)-[1]!b_stm07_is(A163,20,$A$1,1,100000000))/AVERAGE([1]!s_stmnote_bank_35(A163,$A$1,1,100000000),[1]!s_stmnote_bank_35(A163,$B$1,1,100000000))*100=0,"",([1]!b_stm07_is(A163,19,$A$1,1,100000000)-[1]!b_stm07_is(A163,20,$A$1,1,100000000))/AVERAGE([1]!s_stmnote_bank_35(A163,$A$1,1,100000000),[1]!s_stmnote_bank_35(A163,$B$1,1,100000000))*100),""))</f>
        <v>1.78</v>
      </c>
      <c r="CG163" s="27" t="str">
        <f t="shared" si="46"/>
        <v>130 171</v>
      </c>
      <c r="CH163" s="80">
        <f t="shared" si="53"/>
        <v>0.20880987745399146</v>
      </c>
      <c r="CI163" s="27" t="str">
        <f t="shared" si="47"/>
        <v>159 169</v>
      </c>
      <c r="CJ163" s="55">
        <f>[1]!s_stmnote_bank_30(A163,$A$1,1)</f>
        <v>18.1647</v>
      </c>
      <c r="CP163" s="69">
        <f>[1]!b_stm07_bs($A163,141,$A$1,1,100000000)</f>
        <v>627.79831999999999</v>
      </c>
      <c r="CQ163" s="69">
        <f>[1]!b_stm07_bs($A163,141,$D$1,1,100000000)</f>
        <v>628.32623000000001</v>
      </c>
      <c r="CR163" s="68">
        <f>IF([1]!s_fa_roic_yearly($A163,$A$1)=0,"",[1]!s_fa_roic_yearly($A163,$A$1))</f>
        <v>0.49819999999999998</v>
      </c>
      <c r="CS163" s="27">
        <f t="shared" si="48"/>
        <v>0.98224852071005919</v>
      </c>
      <c r="CT163" s="68">
        <f>IF([1]!s_fa_roic_yearly($A163,$D$1)=0,"",[1]!s_fa_roic_yearly($A163,$D$1))</f>
        <v>1.6277999999999999</v>
      </c>
      <c r="CU163" s="27">
        <f t="shared" si="49"/>
        <v>0.97887323943661975</v>
      </c>
      <c r="CV163" s="78">
        <f>[1]!s_stm07_bs(A163,"W14578191",$A$1,1,100000000)</f>
        <v>2836.37048</v>
      </c>
      <c r="CW163" s="78">
        <f>[1]!s_stmnote_bank_682($A163,$A$1,1,2,100000000)</f>
        <v>1327.5004300000001</v>
      </c>
      <c r="CX163" s="79">
        <f t="shared" si="50"/>
        <v>0.46802786848916861</v>
      </c>
    </row>
    <row r="164" spans="1:102" s="46" customFormat="1" ht="13.5">
      <c r="A164" s="8" t="s">
        <v>739</v>
      </c>
      <c r="B164" s="8" t="s">
        <v>740</v>
      </c>
      <c r="C164" s="9" t="s">
        <v>741</v>
      </c>
      <c r="D164" s="9" t="s">
        <v>1066</v>
      </c>
      <c r="E164" s="10" t="s">
        <v>456</v>
      </c>
      <c r="F164" s="11" t="s">
        <v>178</v>
      </c>
      <c r="G164" s="11" t="s">
        <v>179</v>
      </c>
      <c r="H164" s="11" t="s">
        <v>245</v>
      </c>
      <c r="I164" s="11"/>
      <c r="J164" s="11">
        <f>VLOOKUP(B164,[3]额度信息!$B:$T,19,0)</f>
        <v>0</v>
      </c>
      <c r="K164" s="11" t="s">
        <v>742</v>
      </c>
      <c r="L164" s="27">
        <f>IFERROR(([1]!b_stm07_bs($A164,47,$A$1,1,100000000))/[1]!b_stm07_bs($A164,109,$A$1,1,100000000),"")</f>
        <v>0.10151607310845247</v>
      </c>
      <c r="M164" s="20">
        <v>69.12</v>
      </c>
      <c r="N164" s="18">
        <f>IFERROR(([1]!s_stmnote_bank_26($A164,$A$1,1,100000000)-[1]!s_stmnote_bank_26($A164,$B$1,1,100000000)+M164)/[1]!s_stmnote_bank_1n($A164,$B$1,1,100000000),"")</f>
        <v>1.5207474108635221E-2</v>
      </c>
      <c r="O164" s="27" t="str">
        <f t="shared" si="39"/>
        <v>36 50</v>
      </c>
      <c r="P164" s="21">
        <f t="shared" si="51"/>
        <v>9.5422624149966204E-2</v>
      </c>
      <c r="Q164" s="27" t="str">
        <f t="shared" si="40"/>
        <v>161 169</v>
      </c>
      <c r="R164" s="18">
        <v>7.7122624149966207E-2</v>
      </c>
      <c r="S164" s="22">
        <v>8.5613301103971404E-2</v>
      </c>
      <c r="T164" s="22">
        <v>5.2109051200280199E-2</v>
      </c>
      <c r="U164" s="22">
        <v>1.55068555506798E-2</v>
      </c>
      <c r="V164" s="22"/>
      <c r="W164" s="22">
        <v>1.90878412322932E-2</v>
      </c>
      <c r="X164" s="22">
        <v>2.48685667629127E-2</v>
      </c>
      <c r="Y164" s="22">
        <v>0.46018411967778999</v>
      </c>
      <c r="Z164" s="25">
        <f>[1]!b_stm07_bs(A164,74,$A$1,1,100000000)</f>
        <v>11616.286260000001</v>
      </c>
      <c r="AA164" s="25">
        <f>[1]!b_stm07_bs(A164,109,$A$1,1,100000000)</f>
        <v>8497.6680400000005</v>
      </c>
      <c r="AB164" s="10">
        <f>[1]!s_stmnote_bank_5n(A164,$A$1,1)</f>
        <v>1.83</v>
      </c>
      <c r="AC164" s="25">
        <f>IF([1]!s_stmnote_bank_23n(A164,$A$1,1)=0,"",IFERROR([1]!s_stmnote_bank_23n(A164,$A$1,1),""))</f>
        <v>167.04</v>
      </c>
      <c r="AD164" s="27" t="str">
        <f t="shared" si="41"/>
        <v>37 167</v>
      </c>
      <c r="AE164" s="25">
        <f>[1]!s_stmnote_bank_capadequacyratio(A164,$A$1,1)</f>
        <v>13.09</v>
      </c>
      <c r="AF164" s="25">
        <f>IF([1]!s_stmnote_bank_capadequacyratio_ct1(A164,$A$1,1)=0,"",IFERROR([1]!s_stmnote_bank_capadequacyratio_ct1(A164,$A$1,1),""))</f>
        <v>9.68</v>
      </c>
      <c r="AG164" s="27" t="str">
        <f t="shared" si="42"/>
        <v>69 167</v>
      </c>
      <c r="AH164" s="6">
        <f>IF(OR([1]!s_fa_roe(A164,20201231)=0,[1]!s_fa_roe(A164,20211231)="0",[1]!s_fa_roe(A164,20221231)="0"),"",IFERROR(([1]!s_fa_roe(A164,20221231)+[1]!s_fa_roe(A164,20201231)+[1]!s_fa_roe(A164,20211231))/3,""))</f>
        <v>5.3185666666666664</v>
      </c>
      <c r="AI164" s="27" t="str">
        <f t="shared" si="43"/>
        <v>45 173</v>
      </c>
      <c r="AJ164" s="28">
        <f>IFERROR(([1]!s_stmnote_bank_65(A164,$A$1,1,2,4,100000000)+[1]!s_stmnote_bank_65(A164,$A$1,1,2,6,100000000))/[1]!s_stmnote_bank_1n(A164,$A$1,1,100000000),"")</f>
        <v>0.14895606325264524</v>
      </c>
      <c r="AK164" s="28">
        <f>IFERROR([1]!s_stmnote_bank_614(A164,$A$1,1,2,100000000)/[1]!s_stmnote_bank_647(A164,$A$1,1,2,100000000),"")</f>
        <v>0.21100161832634554</v>
      </c>
      <c r="AL164" s="28">
        <f>IFERROR(([1]!b_stm07_bs(A164,104,$A$1,1,100000000)+[1]!b_stm07_bs(A164,106,$A$1,1,100000000)+[1]!b_stm07_bs(A164,76,$A$1,1,100000000)+[1]!b_stm07_bs(A164,108,$A$1,1,100000000)+[1]!b_stm07_bs(A164,95,$A$1,1,100000000))/[1]!b_stm07_bs(A164,128,$A$1,1,100000000),"")</f>
        <v>0.16558128444729353</v>
      </c>
      <c r="AM164" s="28">
        <f>IFERROR(([1]!s_stmnote_bank_614(A164,$A$1,1,2,100000000)+[1]!b_stm07_bs(A164,104,$A$1,1,100000000)+[1]!b_stm07_bs(A164,106,$A$1,1,100000000)+[1]!b_stm07_bs(A164,76,$A$1,1,100000000)+[1]!b_stm07_bs(A164,108,$A$1,1,100000000)+[1]!b_stm07_bs(A164,95,$A$1,1,100000000))/[1]!b_stm07_bs(A164,128,$A$1,1,100000000),"")</f>
        <v>0.33241382947460124</v>
      </c>
      <c r="AN164" s="31" t="e">
        <f>IF(Z164&gt;#REF!,#REF!,IF(Z164&gt;#REF!,#REF!,IF(Z164&gt;#REF!,#REF!,IF(Z164&gt;#REF!,#REF!,IF(Z164&gt;#REF!,#REF!,IF(Z164&gt;#REF!,#REF!,IF(Z164&gt;#REF!,#REF!,#REF!)))))))</f>
        <v>#REF!</v>
      </c>
      <c r="AO164" s="31" t="e">
        <f>IF(AA164&gt;#REF!,#REF!,IF(AA164&gt;#REF!,#REF!,IF(AA164&gt;#REF!,#REF!,IF(AA164&gt;#REF!,#REF!,IF(AA164&gt;#REF!,#REF!,IF(AA164&gt;#REF!,#REF!,IF(AA164&gt;#REF!,#REF!,#REF!)))))))</f>
        <v>#REF!</v>
      </c>
      <c r="AP164" s="31" t="e">
        <f>IF(AB164&lt;#REF!,#REF!,IF(AB164&lt;#REF!,#REF!,IF(AB164&lt;#REF!,#REF!,IF(AB164&lt;#REF!,#REF!,IF(AB164&lt;#REF!,#REF!,IF(AB164&lt;#REF!,#REF!,#REF!))))))</f>
        <v>#REF!</v>
      </c>
      <c r="AQ164" s="31" t="e">
        <f>IF(AC164&gt;#REF!,#REF!,IF(AC164&gt;#REF!,#REF!,IF(AC164&gt;#REF!,#REF!,IF(AC164&gt;#REF!,#REF!,#REF!))))</f>
        <v>#REF!</v>
      </c>
      <c r="AR164" s="31" t="e">
        <f>IF(AE164&gt;#REF!,#REF!,IF(AE164&gt;#REF!,#REF!,IF(AE164&gt;#REF!,#REF!,IF(AE164&gt;#REF!,#REF!,#REF!))))</f>
        <v>#REF!</v>
      </c>
      <c r="AS164" s="31" t="e">
        <f>IF(AF164&gt;#REF!,#REF!,IF(AF164&gt;#REF!,#REF!,IF(AF164&gt;#REF!,#REF!,IF(AF164&gt;#REF!,#REF!,#REF!))))</f>
        <v>#REF!</v>
      </c>
      <c r="AT164" s="31" t="e">
        <f>IF(AH164&gt;#REF!,#REF!,IF(AH164&gt;#REF!,#REF!,IF(AH164&gt;#REF!,#REF!,IF(AH164&gt;#REF!,#REF!,IF(AH164&gt;#REF!,#REF!,#REF!)))))</f>
        <v>#REF!</v>
      </c>
      <c r="AU164" s="10" t="e">
        <f t="shared" si="44"/>
        <v>#REF!</v>
      </c>
      <c r="AV164" s="10" t="s">
        <v>60</v>
      </c>
      <c r="AW164" s="10" t="s">
        <v>227</v>
      </c>
      <c r="AX164" s="10" t="s">
        <v>359</v>
      </c>
      <c r="AY164" s="31" t="str">
        <f>IFERROR(VLOOKUP(AV164,#REF!,3,0),"")</f>
        <v/>
      </c>
      <c r="AZ164" s="31" t="str">
        <f>IFERROR(VLOOKUP(AW164,#REF!,3,0),"")</f>
        <v/>
      </c>
      <c r="BA164" s="31" t="str">
        <f>IFERROR(VLOOKUP(AX164,#REF!,3,0),"")</f>
        <v/>
      </c>
      <c r="BB164" s="31" t="str">
        <f>IFERROR(AY164*#REF!+AZ164*#REF!+BA164*#REF!,"")</f>
        <v/>
      </c>
      <c r="BC164" s="32" t="str">
        <f t="shared" si="45"/>
        <v/>
      </c>
      <c r="BD164" s="32" t="str">
        <f>IFERROR(VLOOKUP(BC164*10,#REF!,2,1),"")</f>
        <v/>
      </c>
      <c r="BE164" s="11">
        <v>0</v>
      </c>
      <c r="BF164" s="11">
        <v>-2</v>
      </c>
      <c r="BG164" s="10" t="s">
        <v>743</v>
      </c>
      <c r="BH164" s="11" t="s">
        <v>634</v>
      </c>
      <c r="BI164" s="10">
        <v>18.559999465942401</v>
      </c>
      <c r="BJ164" s="33" t="s">
        <v>280</v>
      </c>
      <c r="BK164" s="33" t="s">
        <v>744</v>
      </c>
      <c r="BL164" s="10">
        <f>IF([1]!s_stmnote_bank_17n(A164,$A$1,1)="0","",[1]!s_stmnote_bank_17n(A164,$A$1,1))</f>
        <v>7.07</v>
      </c>
      <c r="BM164" s="10">
        <f>IF([1]!s_stmnote_bank_18n(A164,$A$1,1)="0","",[1]!s_stmnote_bank_18n(A164,$A$1,1))</f>
        <v>0</v>
      </c>
      <c r="BN164" s="41">
        <v>3.99</v>
      </c>
      <c r="BO164" s="68">
        <v>2.2799999999999998</v>
      </c>
      <c r="BP164" s="52">
        <f>[1]!s_stmnote_bank_5444(A164,$A$1,1)</f>
        <v>2</v>
      </c>
      <c r="BQ164" s="52">
        <f>[1]!s_stmnote_bank_129n($A164,$A$1,1)</f>
        <v>26.08</v>
      </c>
      <c r="BR164" s="52">
        <f t="shared" si="52"/>
        <v>4.0976663717211332</v>
      </c>
      <c r="BS164" s="52">
        <f>[1]!b_stm07_is(A164,19,$A$1,1,100000000)</f>
        <v>425.65951000000001</v>
      </c>
      <c r="BT164" s="52">
        <f xml:space="preserve"> [1]!s_stm07_bs(A164,"W15273164",$A$1,1,100000000)-[1]!s_stm07_bs(A164,"W17642530",$A$1,1,100000000)-[1]!s_stm07_bs(A164,"W15910877",$A$1,1,100000000)-[1]!s_stm07_bs_39(A164,$A$1,1,100000000)-[1]!s_stm07_bs(A164,"W17700468",$A$1,1,100000000)-[1]!s_stm07_bs(A164,"W16504296",$A$1,1,100000000)-[1]!s_stm07_bs(A164,"W13769069",$A$1,1,100000000)</f>
        <v>11462.53457</v>
      </c>
      <c r="BU164" s="52">
        <f xml:space="preserve"> [1]!s_stm07_bs(A164,"W15273164",$B$1,1,100000000)-[1]!s_stm07_bs(A164,"W17642530",$B$1,1,100000000)-[1]!s_stm07_bs(A164,"W15910877",$B$1,1,100000000)-[1]!s_stm07_bs_39(A164,$B$1,1,100000000)-[1]!s_stm07_bs(A164,"W17700468",$B$1,1,100000000)-[1]!s_stm07_bs(A164,"W16504296",$B$1,1,100000000)-[1]!s_stm07_bs(A164,"W13769069",$B$1,1,100000000)</f>
        <v>10136.09355</v>
      </c>
      <c r="BV164" s="52">
        <f xml:space="preserve"> [1]!s_stm07_bs(A164,"W15273164",$E$1,1,100000000)-[1]!s_stm07_bs(A164,"W17642530",$E$1,1,100000000)-[1]!s_stm07_bs(A164,"W15910877",$E$1,1,100000000)-[1]!s_stm07_bs_39(A164,$E$1,1,100000000)-[1]!s_stm07_bs(A164,"W17700468",$E$1,1,100000000)-[1]!s_stm07_bs(A164,"W16504296",$E$1,1,100000000)-[1]!s_stm07_bs(A164,"W13769069",$E$1,1,100000000)</f>
        <v>11041.7597218725</v>
      </c>
      <c r="BW164" s="52">
        <f xml:space="preserve"> [1]!s_stm07_bs(A164,"W15273164",$F$1,1,100000000)-[1]!s_stm07_bs(A164,"W17642530",$F$1,1,100000000)-[1]!s_stm07_bs(A164,"W15910877",$F$1,1,100000000)-[1]!s_stm07_bs_39(A164,$F$1,1,100000000)-[1]!s_stm07_bs(A164,"W17700468",$F$1,1,100000000)-[1]!s_stm07_bs(A164,"W16504296",$F$1,1,100000000)-[1]!s_stm07_bs(A164,"W13769069",$F$1,1,100000000)</f>
        <v>10748.52283</v>
      </c>
      <c r="BX164" s="52">
        <f xml:space="preserve"> [1]!s_stm07_bs(A164,"W15273164",$G$1,1,100000000)-[1]!s_stm07_bs(A164,"W17642530",$G$1,1,100000000)-[1]!s_stm07_bs(A164,"W15910877",$G$1,1,100000000)-[1]!s_stm07_bs_39(A164,$G$1,1,100000000)-[1]!s_stm07_bs(A164,"W17700468",$G$1,1,100000000)-[1]!s_stm07_bs(A164,"W16504296",$G$1,1,100000000)-[1]!s_stm07_bs(A164,"W13769069",$G$1,1,100000000)</f>
        <v>0</v>
      </c>
      <c r="BY164" s="52">
        <f>IFERROR([1]!b_stm07_is(A164,20,$A$1,1,100000000)/AVERAGEIF(CA164:CE164,"&gt;0")*100,0)</f>
        <v>2.3240985470554363</v>
      </c>
      <c r="BZ164" s="52">
        <f>[1]!b_stm07_is(A164,20,$A$1,1,100000000)</f>
        <v>230.06795</v>
      </c>
      <c r="CA164" s="52">
        <f>[1]!s_stmnote_bank_38(A164,$A$1,1,100000000)</f>
        <v>10525.84079</v>
      </c>
      <c r="CB164" s="52">
        <f>[1]!s_stmnote_bank_38(A164,$B$1,1,100000000)</f>
        <v>9284.9556200000006</v>
      </c>
      <c r="CC164" s="52">
        <f>[1]!s_stmnote_bank_38(A164,$E$1,1,100000000)</f>
        <v>0</v>
      </c>
      <c r="CD164" s="52">
        <f>[1]!s_stmnote_bank_38(A164,$F$1,1,100000000)</f>
        <v>9886.9051299999992</v>
      </c>
      <c r="CE164" s="52">
        <f>[1]!s_stmnote_bank_38(A164,$G$1,1,100000000)</f>
        <v>0</v>
      </c>
      <c r="CF164" s="52">
        <f>IF(BP164&lt;&gt;0,BP164,IFERROR(IF(([1]!b_stm07_is(A164,19,$A$1,1,100000000)-[1]!b_stm07_is(A164,20,$A$1,1,100000000))/AVERAGE([1]!s_stmnote_bank_35(A164,$A$1,1,100000000),[1]!s_stmnote_bank_35(A164,$B$1,1,100000000))*100=0,"",([1]!b_stm07_is(A164,19,$A$1,1,100000000)-[1]!b_stm07_is(A164,20,$A$1,1,100000000))/AVERAGE([1]!s_stmnote_bank_35(A164,$A$1,1,100000000),[1]!s_stmnote_bank_35(A164,$B$1,1,100000000))*100),""))</f>
        <v>2</v>
      </c>
      <c r="CG164" s="27" t="str">
        <f t="shared" si="46"/>
        <v>92 171</v>
      </c>
      <c r="CH164" s="80">
        <f t="shared" si="53"/>
        <v>0.20959390058869057</v>
      </c>
      <c r="CI164" s="27" t="str">
        <f t="shared" si="47"/>
        <v>158 169</v>
      </c>
      <c r="CJ164" s="55">
        <f>[1]!s_stmnote_bank_30(A164,$A$1,1)</f>
        <v>16.612200000000001</v>
      </c>
      <c r="CP164" s="69">
        <f>[1]!b_stm07_bs($A164,141,$A$1,1,100000000)</f>
        <v>868.85266000000001</v>
      </c>
      <c r="CQ164" s="69">
        <f>[1]!b_stm07_bs($A164,141,$D$1,1,100000000)</f>
        <v>875.34855000000005</v>
      </c>
      <c r="CR164" s="68">
        <f>IF([1]!s_fa_roic_yearly($A164,$A$1)=0,"",[1]!s_fa_roic_yearly($A164,$A$1))</f>
        <v>4.2473999999999998</v>
      </c>
      <c r="CS164" s="27">
        <f t="shared" si="48"/>
        <v>0.8875739644970414</v>
      </c>
      <c r="CT164" s="68">
        <f>IF([1]!s_fa_roic_yearly($A164,$D$1)=0,"",[1]!s_fa_roic_yearly($A164,$D$1))</f>
        <v>6.2988</v>
      </c>
      <c r="CU164" s="27">
        <f t="shared" si="49"/>
        <v>0.823943661971831</v>
      </c>
      <c r="CV164" s="78">
        <f>[1]!s_stm07_bs(A164,"W14578191",$A$1,1,100000000)</f>
        <v>6375.5381100000004</v>
      </c>
      <c r="CW164" s="78">
        <f>[1]!s_stmnote_bank_682($A164,$A$1,1,2,100000000)</f>
        <v>1584.2946999999999</v>
      </c>
      <c r="CX164" s="79">
        <f t="shared" si="50"/>
        <v>0.24849584029856892</v>
      </c>
    </row>
    <row r="165" spans="1:102" s="46" customFormat="1" ht="13.5">
      <c r="A165" s="8" t="s">
        <v>563</v>
      </c>
      <c r="B165" s="8" t="s">
        <v>564</v>
      </c>
      <c r="C165" s="9" t="s">
        <v>565</v>
      </c>
      <c r="D165" s="9" t="s">
        <v>1061</v>
      </c>
      <c r="E165" s="10"/>
      <c r="F165" s="11" t="s">
        <v>178</v>
      </c>
      <c r="G165" s="11" t="s">
        <v>67</v>
      </c>
      <c r="H165" s="11" t="s">
        <v>116</v>
      </c>
      <c r="I165" s="11"/>
      <c r="J165" s="11" t="e">
        <f>VLOOKUP(B165,[3]额度信息!$B:$T,19,0)</f>
        <v>#N/A</v>
      </c>
      <c r="K165" s="11"/>
      <c r="L165" s="27">
        <f>IFERROR(([1]!b_stm07_bs($A165,47,$A$1,1,100000000))/[1]!b_stm07_bs($A165,109,$A$1,1,100000000),"")</f>
        <v>0.10556794541025377</v>
      </c>
      <c r="M165" s="20"/>
      <c r="N165" s="18"/>
      <c r="O165" s="27" t="e">
        <f t="shared" si="39"/>
        <v>#N/A</v>
      </c>
      <c r="P165" s="21">
        <f t="shared" si="51"/>
        <v>0.12888603425503187</v>
      </c>
      <c r="Q165" s="27" t="str">
        <f t="shared" si="40"/>
        <v>165 169</v>
      </c>
      <c r="R165" s="18">
        <f>IFERROR([1]!s_stmnote_bank($A165,"34",$A$1,100000000)/[1]!s_stmnote_bank_1n(A165,$A$1,1,100000000),"")</f>
        <v>0.10428603425503187</v>
      </c>
      <c r="S165" s="22"/>
      <c r="T165" s="22"/>
      <c r="U165" s="22"/>
      <c r="V165" s="22"/>
      <c r="W165" s="22"/>
      <c r="X165" s="22"/>
      <c r="Y165" s="22"/>
      <c r="Z165" s="25">
        <f>[1]!b_stm07_bs(A165,74,$A$1,1,100000000)</f>
        <v>4557.0035799999996</v>
      </c>
      <c r="AA165" s="25">
        <f>[1]!b_stm07_bs(A165,109,$A$1,1,100000000)</f>
        <v>3031.8309100000001</v>
      </c>
      <c r="AB165" s="10">
        <f>[1]!s_stmnote_bank_5n(A165,$A$1,1)</f>
        <v>2.46</v>
      </c>
      <c r="AC165" s="25">
        <f>IF([1]!s_stmnote_bank_23n(A165,$A$1,1)=0,"",IFERROR([1]!s_stmnote_bank_23n(A165,$A$1,1),""))</f>
        <v>151.38999999999999</v>
      </c>
      <c r="AD165" s="27" t="str">
        <f t="shared" si="41"/>
        <v>20 167</v>
      </c>
      <c r="AE165" s="25">
        <f>[1]!s_stmnote_bank_capadequacyratio(A165,$A$1,1)</f>
        <v>11.95</v>
      </c>
      <c r="AF165" s="25">
        <f>IF([1]!s_stmnote_bank_capadequacyratio_ct1(A165,$A$1,1)=0,"",IFERROR([1]!s_stmnote_bank_capadequacyratio_ct1(A165,$A$1,1),""))</f>
        <v>9.42</v>
      </c>
      <c r="AG165" s="27" t="str">
        <f t="shared" si="42"/>
        <v>60 167</v>
      </c>
      <c r="AH165" s="6">
        <f>IF(OR([1]!s_fa_roe(A165,20201231)=0,[1]!s_fa_roe(A165,20211231)="0",[1]!s_fa_roe(A165,20221231)="0"),"",IFERROR(([1]!s_fa_roe(A165,20221231)+[1]!s_fa_roe(A165,20201231)+[1]!s_fa_roe(A165,20211231))/3,""))</f>
        <v>2.9382333333333333</v>
      </c>
      <c r="AI165" s="27" t="str">
        <f t="shared" si="43"/>
        <v>16 173</v>
      </c>
      <c r="AJ165" s="28">
        <f>IFERROR(([1]!s_stmnote_bank_65(A165,$A$1,1,2,4,100000000)+[1]!s_stmnote_bank_65(A165,$A$1,1,2,6,100000000))/[1]!s_stmnote_bank_1n(A165,$A$1,1,100000000),"")</f>
        <v>0.18533473133405159</v>
      </c>
      <c r="AK165" s="28">
        <f>IFERROR([1]!s_stmnote_bank_614(A165,$A$1,1,2,100000000)/[1]!s_stmnote_bank_647(A165,$A$1,1,2,100000000),"")</f>
        <v>0.23862994061235426</v>
      </c>
      <c r="AL165" s="28">
        <f>IFERROR(([1]!b_stm07_bs(A165,104,$A$1,1,100000000)+[1]!b_stm07_bs(A165,106,$A$1,1,100000000)+[1]!b_stm07_bs(A165,76,$A$1,1,100000000)+[1]!b_stm07_bs(A165,108,$A$1,1,100000000)+[1]!b_stm07_bs(A165,95,$A$1,1,100000000))/[1]!b_stm07_bs(A165,128,$A$1,1,100000000),"")</f>
        <v>0.22985686361067187</v>
      </c>
      <c r="AM165" s="28">
        <f>IFERROR(([1]!s_stmnote_bank_614(A165,$A$1,1,2,100000000)+[1]!b_stm07_bs(A165,104,$A$1,1,100000000)+[1]!b_stm07_bs(A165,106,$A$1,1,100000000)+[1]!b_stm07_bs(A165,76,$A$1,1,100000000)+[1]!b_stm07_bs(A165,108,$A$1,1,100000000)+[1]!b_stm07_bs(A165,95,$A$1,1,100000000))/[1]!b_stm07_bs(A165,128,$A$1,1,100000000),"")</f>
        <v>0.39991667162459027</v>
      </c>
      <c r="AN165" s="31" t="e">
        <f>IF(Z165&gt;#REF!,#REF!,IF(Z165&gt;#REF!,#REF!,IF(Z165&gt;#REF!,#REF!,IF(Z165&gt;#REF!,#REF!,IF(Z165&gt;#REF!,#REF!,IF(Z165&gt;#REF!,#REF!,IF(Z165&gt;#REF!,#REF!,#REF!)))))))</f>
        <v>#REF!</v>
      </c>
      <c r="AO165" s="31" t="e">
        <f>IF(AA165&gt;#REF!,#REF!,IF(AA165&gt;#REF!,#REF!,IF(AA165&gt;#REF!,#REF!,IF(AA165&gt;#REF!,#REF!,IF(AA165&gt;#REF!,#REF!,IF(AA165&gt;#REF!,#REF!,IF(AA165&gt;#REF!,#REF!,#REF!)))))))</f>
        <v>#REF!</v>
      </c>
      <c r="AP165" s="31" t="e">
        <f>IF(AB165&lt;#REF!,#REF!,IF(AB165&lt;#REF!,#REF!,IF(AB165&lt;#REF!,#REF!,IF(AB165&lt;#REF!,#REF!,IF(AB165&lt;#REF!,#REF!,IF(AB165&lt;#REF!,#REF!,#REF!))))))</f>
        <v>#REF!</v>
      </c>
      <c r="AQ165" s="31" t="e">
        <f>IF(AC165&gt;#REF!,#REF!,IF(AC165&gt;#REF!,#REF!,IF(AC165&gt;#REF!,#REF!,IF(AC165&gt;#REF!,#REF!,#REF!))))</f>
        <v>#REF!</v>
      </c>
      <c r="AR165" s="31" t="e">
        <f>IF(AE165&gt;#REF!,#REF!,IF(AE165&gt;#REF!,#REF!,IF(AE165&gt;#REF!,#REF!,IF(AE165&gt;#REF!,#REF!,#REF!))))</f>
        <v>#REF!</v>
      </c>
      <c r="AS165" s="31" t="e">
        <f>IF(AF165&gt;#REF!,#REF!,IF(AF165&gt;#REF!,#REF!,IF(AF165&gt;#REF!,#REF!,IF(AF165&gt;#REF!,#REF!,#REF!))))</f>
        <v>#REF!</v>
      </c>
      <c r="AT165" s="31" t="e">
        <f>IF(AH165&gt;#REF!,#REF!,IF(AH165&gt;#REF!,#REF!,IF(AH165&gt;#REF!,#REF!,IF(AH165&gt;#REF!,#REF!,IF(AH165&gt;#REF!,#REF!,#REF!)))))</f>
        <v>#REF!</v>
      </c>
      <c r="AU165" s="10" t="e">
        <f t="shared" si="44"/>
        <v>#REF!</v>
      </c>
      <c r="AV165" s="10" t="s">
        <v>141</v>
      </c>
      <c r="AW165" s="10" t="s">
        <v>161</v>
      </c>
      <c r="AX165" s="10" t="s">
        <v>68</v>
      </c>
      <c r="AY165" s="31" t="str">
        <f>IFERROR(VLOOKUP(AV165,#REF!,3,0),"")</f>
        <v/>
      </c>
      <c r="AZ165" s="31" t="str">
        <f>IFERROR(VLOOKUP(AW165,#REF!,3,0),"")</f>
        <v/>
      </c>
      <c r="BA165" s="31" t="str">
        <f>IFERROR(VLOOKUP(AX165,#REF!,3,0),"")</f>
        <v/>
      </c>
      <c r="BB165" s="31" t="str">
        <f>IFERROR(AY165*#REF!+AZ165*#REF!+BA165*#REF!,"")</f>
        <v/>
      </c>
      <c r="BC165" s="32" t="str">
        <f t="shared" si="45"/>
        <v/>
      </c>
      <c r="BD165" s="32" t="str">
        <f>IFERROR(VLOOKUP(BC165*10,#REF!,2,1),"")</f>
        <v/>
      </c>
      <c r="BE165" s="10"/>
      <c r="BF165" s="10"/>
      <c r="BG165" s="10"/>
      <c r="BH165" s="11" t="s">
        <v>566</v>
      </c>
      <c r="BI165" s="10">
        <v>50.290000915527301</v>
      </c>
      <c r="BJ165" s="33" t="s">
        <v>78</v>
      </c>
      <c r="BK165" s="33" t="s">
        <v>79</v>
      </c>
      <c r="BL165" s="10">
        <f>IF([1]!s_stmnote_bank_17n(A165,$A$1,1)="0","",[1]!s_stmnote_bank_17n(A165,$A$1,1))</f>
        <v>10.07</v>
      </c>
      <c r="BM165" s="10">
        <f>IF([1]!s_stmnote_bank_18n(A165,$A$1,1)="0","",[1]!s_stmnote_bank_18n(A165,$A$1,1))</f>
        <v>0</v>
      </c>
      <c r="BN165" s="41" t="s">
        <v>67</v>
      </c>
      <c r="BO165" s="68" t="s">
        <v>67</v>
      </c>
      <c r="BP165" s="52">
        <f>[1]!s_stmnote_bank_5444(A165,$A$1,1)</f>
        <v>1.57</v>
      </c>
      <c r="BQ165" s="52">
        <f>[1]!s_stmnote_bank_129n($A165,$A$1,1)</f>
        <v>33.11</v>
      </c>
      <c r="BR165" s="52">
        <f t="shared" si="52"/>
        <v>4.2642662548728874</v>
      </c>
      <c r="BS165" s="52">
        <f>[1]!b_stm07_is(A165,19,$A$1,1,100000000)</f>
        <v>179.23393999999999</v>
      </c>
      <c r="BT165" s="52">
        <f xml:space="preserve"> [1]!s_stm07_bs(A165,"W15273164",$A$1,1,100000000)-[1]!s_stm07_bs(A165,"W17642530",$A$1,1,100000000)-[1]!s_stm07_bs(A165,"W15910877",$A$1,1,100000000)-[1]!s_stm07_bs_39(A165,$A$1,1,100000000)-[1]!s_stm07_bs(A165,"W17700468",$A$1,1,100000000)-[1]!s_stm07_bs(A165,"W16504296",$A$1,1,100000000)-[1]!s_stm07_bs(A165,"W13769069",$A$1,1,100000000)</f>
        <v>4416.632169999999</v>
      </c>
      <c r="BU165" s="52">
        <f xml:space="preserve"> [1]!s_stm07_bs(A165,"W15273164",$B$1,1,100000000)-[1]!s_stm07_bs(A165,"W17642530",$B$1,1,100000000)-[1]!s_stm07_bs(A165,"W15910877",$B$1,1,100000000)-[1]!s_stm07_bs_39(A165,$B$1,1,100000000)-[1]!s_stm07_bs(A165,"W17700468",$B$1,1,100000000)-[1]!s_stm07_bs(A165,"W16504296",$B$1,1,100000000)-[1]!s_stm07_bs(A165,"W13769069",$B$1,1,100000000)</f>
        <v>4125.0914100000009</v>
      </c>
      <c r="BV165" s="52">
        <f xml:space="preserve"> [1]!s_stm07_bs(A165,"W15273164",$E$1,1,100000000)-[1]!s_stm07_bs(A165,"W17642530",$E$1,1,100000000)-[1]!s_stm07_bs(A165,"W15910877",$E$1,1,100000000)-[1]!s_stm07_bs_39(A165,$E$1,1,100000000)-[1]!s_stm07_bs(A165,"W17700468",$E$1,1,100000000)-[1]!s_stm07_bs(A165,"W16504296",$E$1,1,100000000)-[1]!s_stm07_bs(A165,"W13769069",$E$1,1,100000000)</f>
        <v>4379.7040900000002</v>
      </c>
      <c r="BW165" s="52">
        <f xml:space="preserve"> [1]!s_stm07_bs(A165,"W15273164",$F$1,1,100000000)-[1]!s_stm07_bs(A165,"W17642530",$F$1,1,100000000)-[1]!s_stm07_bs(A165,"W15910877",$F$1,1,100000000)-[1]!s_stm07_bs_39(A165,$F$1,1,100000000)-[1]!s_stm07_bs(A165,"W17700468",$F$1,1,100000000)-[1]!s_stm07_bs(A165,"W16504296",$F$1,1,100000000)-[1]!s_stm07_bs(A165,"W13769069",$F$1,1,100000000)</f>
        <v>4397.9048199999997</v>
      </c>
      <c r="BX165" s="52">
        <f xml:space="preserve"> [1]!s_stm07_bs(A165,"W15273164",$G$1,1,100000000)-[1]!s_stm07_bs(A165,"W17642530",$G$1,1,100000000)-[1]!s_stm07_bs(A165,"W15910877",$G$1,1,100000000)-[1]!s_stm07_bs_39(A165,$G$1,1,100000000)-[1]!s_stm07_bs(A165,"W17700468",$G$1,1,100000000)-[1]!s_stm07_bs(A165,"W16504296",$G$1,1,100000000)-[1]!s_stm07_bs(A165,"W13769069",$G$1,1,100000000)</f>
        <v>4303.1452299999992</v>
      </c>
      <c r="BY165" s="52">
        <f>IFERROR([1]!b_stm07_is(A165,20,$A$1,1,100000000)/AVERAGEIF(CA165:CE165,"&gt;0")*100,0)</f>
        <v>2.9293275379751913</v>
      </c>
      <c r="BZ165" s="52">
        <f>[1]!b_stm07_is(A165,20,$A$1,1,100000000)</f>
        <v>119.43689000000001</v>
      </c>
      <c r="CA165" s="52">
        <f>[1]!s_stmnote_bank_38(A165,$A$1,1,100000000)</f>
        <v>4218.2556299999997</v>
      </c>
      <c r="CB165" s="52">
        <f>[1]!s_stmnote_bank_38(A165,$B$1,1,100000000)</f>
        <v>3915.0179899999998</v>
      </c>
      <c r="CC165" s="52">
        <f>[1]!s_stmnote_bank_38(A165,$E$1,1,100000000)</f>
        <v>4091.8502800000001</v>
      </c>
      <c r="CD165" s="52">
        <f>[1]!s_stmnote_bank_38(A165,$F$1,1,100000000)</f>
        <v>4114.1545999999998</v>
      </c>
      <c r="CE165" s="52">
        <f>[1]!s_stmnote_bank_38(A165,$G$1,1,100000000)</f>
        <v>4047.12221</v>
      </c>
      <c r="CF165" s="52">
        <f>IF(BP165&lt;&gt;0,BP165,IFERROR(IF(([1]!b_stm07_is(A165,19,$A$1,1,100000000)-[1]!b_stm07_is(A165,20,$A$1,1,100000000))/AVERAGE([1]!s_stmnote_bank_35(A165,$A$1,1,100000000),[1]!s_stmnote_bank_35(A165,$B$1,1,100000000))*100=0,"",([1]!b_stm07_is(A165,19,$A$1,1,100000000)-[1]!b_stm07_is(A165,20,$A$1,1,100000000))/AVERAGE([1]!s_stmnote_bank_35(A165,$A$1,1,100000000),[1]!s_stmnote_bank_35(A165,$B$1,1,100000000))*100),""))</f>
        <v>1.57</v>
      </c>
      <c r="CG165" s="27" t="str">
        <f t="shared" si="46"/>
        <v>149 171</v>
      </c>
      <c r="CH165" s="80">
        <f t="shared" si="53"/>
        <v>0.12181304274545211</v>
      </c>
      <c r="CI165" s="27" t="str">
        <f t="shared" si="47"/>
        <v>164 169</v>
      </c>
      <c r="CJ165" s="55">
        <f>[1]!s_stmnote_bank_30(A165,$A$1,1)</f>
        <v>24.687899999999999</v>
      </c>
      <c r="CK165" s="48"/>
      <c r="CL165" s="48"/>
      <c r="CM165" s="48"/>
      <c r="CN165" s="48"/>
      <c r="CO165" s="48"/>
      <c r="CP165" s="69">
        <f>[1]!b_stm07_bs($A165,141,$A$1,1,100000000)</f>
        <v>302.70247000000001</v>
      </c>
      <c r="CQ165" s="69">
        <f>[1]!b_stm07_bs($A165,141,$D$1,1,100000000)</f>
        <v>307.62518</v>
      </c>
      <c r="CR165" s="68">
        <f>IF([1]!s_fa_roic_yearly($A165,$A$1)=0,"",[1]!s_fa_roic_yearly($A165,$A$1))</f>
        <v>2.8296000000000001</v>
      </c>
      <c r="CS165" s="27">
        <f t="shared" si="48"/>
        <v>0.92899408284023666</v>
      </c>
      <c r="CT165" s="68">
        <f>IF([1]!s_fa_roic_yearly($A165,$D$1)=0,"",[1]!s_fa_roic_yearly($A165,$D$1))</f>
        <v>2.7555999999999998</v>
      </c>
      <c r="CU165" s="27">
        <f t="shared" si="49"/>
        <v>0.95774647887323938</v>
      </c>
      <c r="CV165" s="78">
        <f>[1]!s_stm07_bs(A165,"W14578191",$A$1,1,100000000)</f>
        <v>2358.6876099999999</v>
      </c>
      <c r="CW165" s="78">
        <f>[1]!s_stmnote_bank_682($A165,$A$1,1,2,100000000)</f>
        <v>470.70765</v>
      </c>
      <c r="CX165" s="79">
        <f t="shared" si="50"/>
        <v>0.19956337075090669</v>
      </c>
    </row>
    <row r="166" spans="1:102" s="46" customFormat="1" ht="13.5">
      <c r="A166" s="8" t="s">
        <v>175</v>
      </c>
      <c r="B166" s="8" t="s">
        <v>176</v>
      </c>
      <c r="C166" s="9" t="s">
        <v>177</v>
      </c>
      <c r="D166" s="9" t="s">
        <v>1061</v>
      </c>
      <c r="E166" s="10"/>
      <c r="F166" s="11" t="s">
        <v>178</v>
      </c>
      <c r="G166" s="11" t="s">
        <v>67</v>
      </c>
      <c r="H166" s="11" t="s">
        <v>179</v>
      </c>
      <c r="I166" s="11"/>
      <c r="J166" s="11" t="e">
        <f>VLOOKUP(B166,[3]额度信息!$B:$T,19,0)</f>
        <v>#N/A</v>
      </c>
      <c r="K166" s="11"/>
      <c r="L166" s="27">
        <f>IFERROR(([1]!b_stm07_bs($A166,47,$A$1,1,100000000))/[1]!b_stm07_bs($A166,109,$A$1,1,100000000),"")</f>
        <v>0.13445370904431886</v>
      </c>
      <c r="M166" s="20"/>
      <c r="N166" s="18"/>
      <c r="O166" s="27" t="e">
        <f t="shared" si="39"/>
        <v>#N/A</v>
      </c>
      <c r="P166" s="21">
        <f t="shared" si="51"/>
        <v>0.14552661961378391</v>
      </c>
      <c r="Q166" s="27" t="str">
        <f t="shared" si="40"/>
        <v>166 169</v>
      </c>
      <c r="R166" s="18">
        <f>IFERROR([1]!s_stmnote_bank($A166,"34",$A$1,100000000)/[1]!s_stmnote_bank_1n(A166,$A$1,1,100000000),"")</f>
        <v>0.12762661961378391</v>
      </c>
      <c r="S166" s="22"/>
      <c r="T166" s="22"/>
      <c r="U166" s="22"/>
      <c r="V166" s="22"/>
      <c r="W166" s="22"/>
      <c r="X166" s="22"/>
      <c r="Y166" s="22"/>
      <c r="Z166" s="25">
        <f>[1]!b_stm07_bs(A166,74,$A$1,1,100000000)</f>
        <v>4883.3472938065997</v>
      </c>
      <c r="AA166" s="25">
        <f>[1]!b_stm07_bs(A166,109,$A$1,1,100000000)</f>
        <v>3794.3497501510997</v>
      </c>
      <c r="AB166" s="10">
        <f>[1]!s_stmnote_bank_5n(A166,$A$1,1)</f>
        <v>1.79</v>
      </c>
      <c r="AC166" s="25">
        <f>IF([1]!s_stmnote_bank_23n(A166,$A$1,1)=0,"",IFERROR([1]!s_stmnote_bank_23n(A166,$A$1,1),""))</f>
        <v>144.32570000000001</v>
      </c>
      <c r="AD166" s="27" t="str">
        <f t="shared" si="41"/>
        <v>15 167</v>
      </c>
      <c r="AE166" s="25">
        <f>[1]!s_stmnote_bank_capadequacyratio(A166,$A$1,1)</f>
        <v>12.97</v>
      </c>
      <c r="AF166" s="25">
        <f>IF([1]!s_stmnote_bank_capadequacyratio_ct1(A166,$A$1,1)=0,"",IFERROR([1]!s_stmnote_bank_capadequacyratio_ct1(A166,$A$1,1),""))</f>
        <v>10.24</v>
      </c>
      <c r="AG166" s="27" t="str">
        <f t="shared" si="42"/>
        <v>91 167</v>
      </c>
      <c r="AH166" s="6">
        <f>IF(OR([1]!s_fa_roe(A166,20201231)=0,[1]!s_fa_roe(A166,20211231)="0",[1]!s_fa_roe(A166,20221231)="0"),"",IFERROR(([1]!s_fa_roe(A166,20221231)+[1]!s_fa_roe(A166,20201231)+[1]!s_fa_roe(A166,20211231))/3,""))</f>
        <v>4.4467000000000008</v>
      </c>
      <c r="AI166" s="27" t="str">
        <f t="shared" si="43"/>
        <v>29 173</v>
      </c>
      <c r="AJ166" s="28">
        <f>IFERROR(([1]!s_stmnote_bank_65(A166,$A$1,1,2,4,100000000)+[1]!s_stmnote_bank_65(A166,$A$1,1,2,6,100000000))/[1]!s_stmnote_bank_1n(A166,$A$1,1,100000000),"")</f>
        <v>0.10887623017594403</v>
      </c>
      <c r="AK166" s="28">
        <f>IFERROR([1]!s_stmnote_bank_614(A166,$A$1,1,2,100000000)/[1]!s_stmnote_bank_647(A166,$A$1,1,2,100000000),"")</f>
        <v>0.21177561929015659</v>
      </c>
      <c r="AL166" s="28">
        <f>IFERROR(([1]!b_stm07_bs(A166,104,$A$1,1,100000000)+[1]!b_stm07_bs(A166,106,$A$1,1,100000000)+[1]!b_stm07_bs(A166,76,$A$1,1,100000000)+[1]!b_stm07_bs(A166,108,$A$1,1,100000000)+[1]!b_stm07_bs(A166,95,$A$1,1,100000000))/[1]!b_stm07_bs(A166,128,$A$1,1,100000000),"")</f>
        <v>9.6821233096590492E-2</v>
      </c>
      <c r="AM166" s="28">
        <f>IFERROR(([1]!s_stmnote_bank_614(A166,$A$1,1,2,100000000)+[1]!b_stm07_bs(A166,104,$A$1,1,100000000)+[1]!b_stm07_bs(A166,106,$A$1,1,100000000)+[1]!b_stm07_bs(A166,76,$A$1,1,100000000)+[1]!b_stm07_bs(A166,108,$A$1,1,100000000)+[1]!b_stm07_bs(A166,95,$A$1,1,100000000))/[1]!b_stm07_bs(A166,128,$A$1,1,100000000),"")</f>
        <v>0.27552586567889376</v>
      </c>
      <c r="AN166" s="31" t="e">
        <f>IF(Z166&gt;#REF!,#REF!,IF(Z166&gt;#REF!,#REF!,IF(Z166&gt;#REF!,#REF!,IF(Z166&gt;#REF!,#REF!,IF(Z166&gt;#REF!,#REF!,IF(Z166&gt;#REF!,#REF!,IF(Z166&gt;#REF!,#REF!,#REF!)))))))</f>
        <v>#REF!</v>
      </c>
      <c r="AO166" s="31" t="e">
        <f>IF(AA166&gt;#REF!,#REF!,IF(AA166&gt;#REF!,#REF!,IF(AA166&gt;#REF!,#REF!,IF(AA166&gt;#REF!,#REF!,IF(AA166&gt;#REF!,#REF!,IF(AA166&gt;#REF!,#REF!,IF(AA166&gt;#REF!,#REF!,#REF!)))))))</f>
        <v>#REF!</v>
      </c>
      <c r="AP166" s="31" t="e">
        <f>IF(AB166&lt;#REF!,#REF!,IF(AB166&lt;#REF!,#REF!,IF(AB166&lt;#REF!,#REF!,IF(AB166&lt;#REF!,#REF!,IF(AB166&lt;#REF!,#REF!,IF(AB166&lt;#REF!,#REF!,#REF!))))))</f>
        <v>#REF!</v>
      </c>
      <c r="AQ166" s="31" t="e">
        <f>IF(AC166&gt;#REF!,#REF!,IF(AC166&gt;#REF!,#REF!,IF(AC166&gt;#REF!,#REF!,IF(AC166&gt;#REF!,#REF!,#REF!))))</f>
        <v>#REF!</v>
      </c>
      <c r="AR166" s="31" t="e">
        <f>IF(AE166&gt;#REF!,#REF!,IF(AE166&gt;#REF!,#REF!,IF(AE166&gt;#REF!,#REF!,IF(AE166&gt;#REF!,#REF!,#REF!))))</f>
        <v>#REF!</v>
      </c>
      <c r="AS166" s="31" t="e">
        <f>IF(AF166&gt;#REF!,#REF!,IF(AF166&gt;#REF!,#REF!,IF(AF166&gt;#REF!,#REF!,IF(AF166&gt;#REF!,#REF!,#REF!))))</f>
        <v>#REF!</v>
      </c>
      <c r="AT166" s="31" t="e">
        <f>IF(AH166&gt;#REF!,#REF!,IF(AH166&gt;#REF!,#REF!,IF(AH166&gt;#REF!,#REF!,IF(AH166&gt;#REF!,#REF!,IF(AH166&gt;#REF!,#REF!,#REF!)))))</f>
        <v>#REF!</v>
      </c>
      <c r="AU166" s="10" t="e">
        <f t="shared" si="44"/>
        <v>#REF!</v>
      </c>
      <c r="AV166" s="10"/>
      <c r="AW166" s="10"/>
      <c r="AX166" s="10"/>
      <c r="AY166" s="31" t="str">
        <f>IFERROR(VLOOKUP(AV166,#REF!,3,0),"")</f>
        <v/>
      </c>
      <c r="AZ166" s="31" t="str">
        <f>IFERROR(VLOOKUP(AW166,#REF!,3,0),"")</f>
        <v/>
      </c>
      <c r="BA166" s="31" t="str">
        <f>IFERROR(VLOOKUP(AX166,#REF!,3,0),"")</f>
        <v/>
      </c>
      <c r="BB166" s="31" t="str">
        <f>IFERROR(AY166*#REF!+AZ166*#REF!+BA166*#REF!,"")</f>
        <v/>
      </c>
      <c r="BC166" s="32" t="str">
        <f t="shared" si="45"/>
        <v/>
      </c>
      <c r="BD166" s="32" t="str">
        <f>IFERROR(VLOOKUP(BC166*10,#REF!,2,1),"")</f>
        <v/>
      </c>
      <c r="BE166" s="10"/>
      <c r="BF166" s="10"/>
      <c r="BG166" s="10"/>
      <c r="BH166" s="11" t="s">
        <v>180</v>
      </c>
      <c r="BI166" s="10">
        <v>11.920000076293899</v>
      </c>
      <c r="BJ166" s="33" t="s">
        <v>181</v>
      </c>
      <c r="BK166" s="33" t="s">
        <v>182</v>
      </c>
      <c r="BL166" s="10">
        <f>IF([1]!s_stmnote_bank_17n(A166,$A$1,1)="0","",[1]!s_stmnote_bank_17n(A166,$A$1,1))</f>
        <v>0</v>
      </c>
      <c r="BM166" s="10">
        <f>IF([1]!s_stmnote_bank_18n(A166,$A$1,1)="0","",[1]!s_stmnote_bank_18n(A166,$A$1,1))</f>
        <v>0</v>
      </c>
      <c r="BN166" s="41">
        <v>4.51</v>
      </c>
      <c r="BO166" s="68">
        <v>2.66</v>
      </c>
      <c r="BP166" s="52">
        <f>[1]!s_stmnote_bank_5444(A166,$A$1,1)</f>
        <v>0</v>
      </c>
      <c r="BQ166" s="52">
        <f>[1]!s_stmnote_bank_129n($A166,$A$1,1)</f>
        <v>39.299999999999997</v>
      </c>
      <c r="BR166" s="52">
        <f t="shared" si="52"/>
        <v>4.620946730251223</v>
      </c>
      <c r="BS166" s="52">
        <f>[1]!b_stm07_is(A166,19,$A$1,1,100000000)</f>
        <v>199.3831605373</v>
      </c>
      <c r="BT166" s="52">
        <f xml:space="preserve"> [1]!s_stm07_bs(A166,"W15273164",$A$1,1,100000000)-[1]!s_stm07_bs(A166,"W17642530",$A$1,1,100000000)-[1]!s_stm07_bs(A166,"W15910877",$A$1,1,100000000)-[1]!s_stm07_bs_39(A166,$A$1,1,100000000)-[1]!s_stm07_bs(A166,"W17700468",$A$1,1,100000000)-[1]!s_stm07_bs(A166,"W16504296",$A$1,1,100000000)-[1]!s_stm07_bs(A166,"W13769069",$A$1,1,100000000)</f>
        <v>4729.3092022289002</v>
      </c>
      <c r="BU166" s="52">
        <f xml:space="preserve"> [1]!s_stm07_bs(A166,"W15273164",$B$1,1,100000000)-[1]!s_stm07_bs(A166,"W17642530",$B$1,1,100000000)-[1]!s_stm07_bs(A166,"W15910877",$B$1,1,100000000)-[1]!s_stm07_bs_39(A166,$B$1,1,100000000)-[1]!s_stm07_bs(A166,"W17700468",$B$1,1,100000000)-[1]!s_stm07_bs(A166,"W16504296",$B$1,1,100000000)-[1]!s_stm07_bs(A166,"W13769069",$B$1,1,100000000)</f>
        <v>4212.1491126498004</v>
      </c>
      <c r="BV166" s="52">
        <f xml:space="preserve"> [1]!s_stm07_bs(A166,"W15273164",$E$1,1,100000000)-[1]!s_stm07_bs(A166,"W17642530",$E$1,1,100000000)-[1]!s_stm07_bs(A166,"W15910877",$E$1,1,100000000)-[1]!s_stm07_bs_39(A166,$E$1,1,100000000)-[1]!s_stm07_bs(A166,"W17700468",$E$1,1,100000000)-[1]!s_stm07_bs(A166,"W16504296",$E$1,1,100000000)-[1]!s_stm07_bs(A166,"W13769069",$E$1,1,100000000)</f>
        <v>4681.0738687370003</v>
      </c>
      <c r="BW166" s="52">
        <f xml:space="preserve"> [1]!s_stm07_bs(A166,"W15273164",$F$1,1,100000000)-[1]!s_stm07_bs(A166,"W17642530",$F$1,1,100000000)-[1]!s_stm07_bs(A166,"W15910877",$F$1,1,100000000)-[1]!s_stm07_bs_39(A166,$F$1,1,100000000)-[1]!s_stm07_bs(A166,"W17700468",$F$1,1,100000000)-[1]!s_stm07_bs(A166,"W16504296",$F$1,1,100000000)-[1]!s_stm07_bs(A166,"W13769069",$F$1,1,100000000)</f>
        <v>4459.3623469037002</v>
      </c>
      <c r="BX166" s="52">
        <f xml:space="preserve"> [1]!s_stm07_bs(A166,"W15273164",$G$1,1,100000000)-[1]!s_stm07_bs(A166,"W17642530",$G$1,1,100000000)-[1]!s_stm07_bs(A166,"W15910877",$G$1,1,100000000)-[1]!s_stm07_bs_39(A166,$G$1,1,100000000)-[1]!s_stm07_bs(A166,"W17700468",$G$1,1,100000000)-[1]!s_stm07_bs(A166,"W16504296",$G$1,1,100000000)-[1]!s_stm07_bs(A166,"W13769069",$G$1,1,100000000)</f>
        <v>4266.8683205257994</v>
      </c>
      <c r="BY166" s="52">
        <f>IFERROR([1]!b_stm07_is(A166,20,$A$1,1,100000000)/AVERAGEIF(CA166:CE166,"&gt;0")*100,0)</f>
        <v>2.5395134978568583</v>
      </c>
      <c r="BZ166" s="52">
        <f>[1]!b_stm07_is(A166,20,$A$1,1,100000000)</f>
        <v>104.72778332870001</v>
      </c>
      <c r="CA166" s="52">
        <f>[1]!s_stmnote_bank_38(A166,$A$1,1,100000000)</f>
        <v>4344.5657199999996</v>
      </c>
      <c r="CB166" s="52">
        <f>[1]!s_stmnote_bank_38(A166,$B$1,1,100000000)</f>
        <v>3846.0023700000002</v>
      </c>
      <c r="CC166" s="52">
        <f>[1]!s_stmnote_bank_38(A166,$E$1,1,100000000)</f>
        <v>4358.1191314320004</v>
      </c>
      <c r="CD166" s="52">
        <f>[1]!s_stmnote_bank_38(A166,$F$1,1,100000000)</f>
        <v>4128.4078898036996</v>
      </c>
      <c r="CE166" s="52">
        <f>[1]!s_stmnote_bank_38(A166,$G$1,1,100000000)</f>
        <v>3942.5596803378999</v>
      </c>
      <c r="CF166" s="52">
        <f>IF(BP166&lt;&gt;0,BP166,IFERROR(IF(([1]!b_stm07_is(A166,19,$A$1,1,100000000)-[1]!b_stm07_is(A166,20,$A$1,1,100000000))/AVERAGE([1]!s_stmnote_bank_35(A166,$A$1,1,100000000),[1]!s_stmnote_bank_35(A166,$B$1,1,100000000))*100=0,"",([1]!b_stm07_is(A166,19,$A$1,1,100000000)-[1]!b_stm07_is(A166,20,$A$1,1,100000000))/AVERAGE([1]!s_stmnote_bank_35(A166,$A$1,1,100000000),[1]!s_stmnote_bank_35(A166,$B$1,1,100000000))*100),""))</f>
        <v>2.216247240344464</v>
      </c>
      <c r="CG166" s="27" t="str">
        <f t="shared" si="46"/>
        <v>64 171</v>
      </c>
      <c r="CH166" s="80">
        <f t="shared" si="53"/>
        <v>0.1522915358184096</v>
      </c>
      <c r="CI166" s="27" t="str">
        <f t="shared" si="47"/>
        <v>163 169</v>
      </c>
      <c r="CJ166" s="55">
        <f>[1]!s_stmnote_bank_30(A166,$A$1,1)</f>
        <v>14.609</v>
      </c>
      <c r="CP166" s="69">
        <f>[1]!b_stm07_bs($A166,141,$A$1,1,100000000)</f>
        <v>386.81714497780001</v>
      </c>
      <c r="CQ166" s="69">
        <f>[1]!b_stm07_bs($A166,141,$D$1,1,100000000)</f>
        <v>391.75699039989996</v>
      </c>
      <c r="CR166" s="68">
        <f>IF([1]!s_fa_roic_yearly($A166,$A$1)=0,"",[1]!s_fa_roic_yearly($A166,$A$1))</f>
        <v>5.2262000000000004</v>
      </c>
      <c r="CS166" s="27">
        <f t="shared" si="48"/>
        <v>0.81656804733727806</v>
      </c>
      <c r="CT166" s="68">
        <f>IF([1]!s_fa_roic_yearly($A166,$D$1)=0,"",[1]!s_fa_roic_yearly($A166,$D$1))</f>
        <v>3.3330000000000002</v>
      </c>
      <c r="CU166" s="27">
        <f t="shared" si="49"/>
        <v>0.95070422535211263</v>
      </c>
      <c r="CV166" s="78">
        <f>[1]!s_stm07_bs(A166,"W14578191",$A$1,1,100000000)</f>
        <v>3405.2163333122999</v>
      </c>
      <c r="CW166" s="78">
        <f>[1]!s_stmnote_bank_682($A166,$A$1,1,2,100000000)</f>
        <v>924.46836634639999</v>
      </c>
      <c r="CX166" s="79">
        <f t="shared" si="50"/>
        <v>0.27148594269990395</v>
      </c>
    </row>
    <row r="167" spans="1:102" s="46" customFormat="1" ht="13.5">
      <c r="A167" s="8" t="s">
        <v>125</v>
      </c>
      <c r="B167" s="8" t="s">
        <v>126</v>
      </c>
      <c r="C167" s="9" t="s">
        <v>127</v>
      </c>
      <c r="D167" s="9" t="s">
        <v>1061</v>
      </c>
      <c r="E167" s="10"/>
      <c r="F167" s="11" t="s">
        <v>90</v>
      </c>
      <c r="G167" s="11" t="s">
        <v>67</v>
      </c>
      <c r="H167" s="11" t="s">
        <v>67</v>
      </c>
      <c r="I167" s="11"/>
      <c r="J167" s="11" t="e">
        <f>VLOOKUP(B167,[3]额度信息!$B:$T,19,0)</f>
        <v>#N/A</v>
      </c>
      <c r="K167" s="11"/>
      <c r="L167" s="27">
        <f>IFERROR(([1]!b_stm07_bs($A167,47,$A$1,1,100000000))/[1]!b_stm07_bs($A167,109,$A$1,1,100000000),"")</f>
        <v>0.10458243333003123</v>
      </c>
      <c r="M167" s="20"/>
      <c r="N167" s="18"/>
      <c r="O167" s="27" t="e">
        <f t="shared" si="39"/>
        <v>#N/A</v>
      </c>
      <c r="P167" s="21">
        <f t="shared" si="51"/>
        <v>0.23222298628152666</v>
      </c>
      <c r="Q167" s="27" t="str">
        <f t="shared" si="40"/>
        <v>169 169</v>
      </c>
      <c r="R167" s="18">
        <f>IFERROR([1]!s_stmnote_bank($A167,"34",$A$1,100000000)/[1]!s_stmnote_bank_1n(A167,$A$1,1,100000000),"")</f>
        <v>0.19252298628152664</v>
      </c>
      <c r="S167" s="22"/>
      <c r="T167" s="22"/>
      <c r="U167" s="22"/>
      <c r="V167" s="22"/>
      <c r="W167" s="22"/>
      <c r="X167" s="22"/>
      <c r="Y167" s="22"/>
      <c r="Z167" s="25">
        <f>[1]!b_stm07_bs(A167,74,$A$1,1,100000000)</f>
        <v>1168.2492245563001</v>
      </c>
      <c r="AA167" s="25">
        <f>[1]!b_stm07_bs(A167,109,$A$1,1,100000000)</f>
        <v>1039.7980313131</v>
      </c>
      <c r="AB167" s="10">
        <f>[1]!s_stmnote_bank_5n(A167,$A$1,1)</f>
        <v>3.97</v>
      </c>
      <c r="AC167" s="25">
        <f>IF([1]!s_stmnote_bank_23n(A167,$A$1,1)=0,"",IFERROR([1]!s_stmnote_bank_23n(A167,$A$1,1),""))</f>
        <v>134.94999999999999</v>
      </c>
      <c r="AD167" s="27" t="str">
        <f t="shared" si="41"/>
        <v>7 167</v>
      </c>
      <c r="AE167" s="25">
        <f>[1]!s_stmnote_bank_capadequacyratio(A167,$A$1,1)</f>
        <v>11.2</v>
      </c>
      <c r="AF167" s="25">
        <f>IF([1]!s_stmnote_bank_capadequacyratio_ct1(A167,$A$1,1)=0,"",IFERROR([1]!s_stmnote_bank_capadequacyratio_ct1(A167,$A$1,1),""))</f>
        <v>7.99</v>
      </c>
      <c r="AG167" s="27" t="str">
        <f t="shared" si="42"/>
        <v>9 167</v>
      </c>
      <c r="AH167" s="6">
        <f>IF(OR([1]!s_fa_roe(A167,20201231)=0,[1]!s_fa_roe(A167,20211231)="0",[1]!s_fa_roe(A167,20221231)="0"),"",IFERROR(([1]!s_fa_roe(A167,20221231)+[1]!s_fa_roe(A167,20201231)+[1]!s_fa_roe(A167,20211231))/3,""))</f>
        <v>0.37646666666666667</v>
      </c>
      <c r="AI167" s="27" t="str">
        <f t="shared" si="43"/>
        <v>3 173</v>
      </c>
      <c r="AJ167" s="28">
        <f>IFERROR(([1]!s_stmnote_bank_65(A167,$A$1,1,2,4,100000000)+[1]!s_stmnote_bank_65(A167,$A$1,1,2,6,100000000))/[1]!s_stmnote_bank_1n(A167,$A$1,1,100000000),"")</f>
        <v>6.3958309323116094E-2</v>
      </c>
      <c r="AK167" s="28" t="str">
        <f>IFERROR([1]!s_stmnote_bank_614(A167,$A$1,1,2,100000000)/[1]!s_stmnote_bank_647(A167,$A$1,1,2,100000000),"")</f>
        <v/>
      </c>
      <c r="AL167" s="28">
        <f>IFERROR(([1]!b_stm07_bs(A167,104,$A$1,1,100000000)+[1]!b_stm07_bs(A167,106,$A$1,1,100000000)+[1]!b_stm07_bs(A167,76,$A$1,1,100000000)+[1]!b_stm07_bs(A167,108,$A$1,1,100000000)+[1]!b_stm07_bs(A167,95,$A$1,1,100000000))/[1]!b_stm07_bs(A167,128,$A$1,1,100000000),"")</f>
        <v>2.0886855614486312E-2</v>
      </c>
      <c r="AM167" s="28">
        <f>IFERROR(([1]!s_stmnote_bank_614(A167,$A$1,1,2,100000000)+[1]!b_stm07_bs(A167,104,$A$1,1,100000000)+[1]!b_stm07_bs(A167,106,$A$1,1,100000000)+[1]!b_stm07_bs(A167,76,$A$1,1,100000000)+[1]!b_stm07_bs(A167,108,$A$1,1,100000000)+[1]!b_stm07_bs(A167,95,$A$1,1,100000000))/[1]!b_stm07_bs(A167,128,$A$1,1,100000000),"")</f>
        <v>2.0886855614486312E-2</v>
      </c>
      <c r="AN167" s="31" t="e">
        <f>IF(Z167&gt;#REF!,#REF!,IF(Z167&gt;#REF!,#REF!,IF(Z167&gt;#REF!,#REF!,IF(Z167&gt;#REF!,#REF!,IF(Z167&gt;#REF!,#REF!,IF(Z167&gt;#REF!,#REF!,IF(Z167&gt;#REF!,#REF!,#REF!)))))))</f>
        <v>#REF!</v>
      </c>
      <c r="AO167" s="31" t="e">
        <f>IF(AA167&gt;#REF!,#REF!,IF(AA167&gt;#REF!,#REF!,IF(AA167&gt;#REF!,#REF!,IF(AA167&gt;#REF!,#REF!,IF(AA167&gt;#REF!,#REF!,IF(AA167&gt;#REF!,#REF!,IF(AA167&gt;#REF!,#REF!,#REF!)))))))</f>
        <v>#REF!</v>
      </c>
      <c r="AP167" s="31" t="e">
        <f>IF(AB167&lt;#REF!,#REF!,IF(AB167&lt;#REF!,#REF!,IF(AB167&lt;#REF!,#REF!,IF(AB167&lt;#REF!,#REF!,IF(AB167&lt;#REF!,#REF!,IF(AB167&lt;#REF!,#REF!,#REF!))))))</f>
        <v>#REF!</v>
      </c>
      <c r="AQ167" s="31" t="e">
        <f>IF(AC167&gt;#REF!,#REF!,IF(AC167&gt;#REF!,#REF!,IF(AC167&gt;#REF!,#REF!,IF(AC167&gt;#REF!,#REF!,#REF!))))</f>
        <v>#REF!</v>
      </c>
      <c r="AR167" s="31" t="e">
        <f>IF(AE167&gt;#REF!,#REF!,IF(AE167&gt;#REF!,#REF!,IF(AE167&gt;#REF!,#REF!,IF(AE167&gt;#REF!,#REF!,#REF!))))</f>
        <v>#REF!</v>
      </c>
      <c r="AS167" s="31" t="e">
        <f>IF(AF167&gt;#REF!,#REF!,IF(AF167&gt;#REF!,#REF!,IF(AF167&gt;#REF!,#REF!,IF(AF167&gt;#REF!,#REF!,#REF!))))</f>
        <v>#REF!</v>
      </c>
      <c r="AT167" s="31" t="e">
        <f>IF(AH167&gt;#REF!,#REF!,IF(AH167&gt;#REF!,#REF!,IF(AH167&gt;#REF!,#REF!,IF(AH167&gt;#REF!,#REF!,IF(AH167&gt;#REF!,#REF!,#REF!)))))</f>
        <v>#REF!</v>
      </c>
      <c r="AU167" s="10" t="e">
        <f t="shared" si="44"/>
        <v>#REF!</v>
      </c>
      <c r="AV167" s="10"/>
      <c r="AW167" s="10"/>
      <c r="AX167" s="10"/>
      <c r="AY167" s="31" t="str">
        <f>IFERROR(VLOOKUP(AV167,#REF!,3,0),"")</f>
        <v/>
      </c>
      <c r="AZ167" s="31" t="str">
        <f>IFERROR(VLOOKUP(AW167,#REF!,3,0),"")</f>
        <v/>
      </c>
      <c r="BA167" s="31" t="str">
        <f>IFERROR(VLOOKUP(AX167,#REF!,3,0),"")</f>
        <v/>
      </c>
      <c r="BB167" s="31" t="str">
        <f>IFERROR(AY167*#REF!+AZ167*#REF!+BA167*#REF!,"")</f>
        <v/>
      </c>
      <c r="BC167" s="32" t="str">
        <f t="shared" si="45"/>
        <v/>
      </c>
      <c r="BD167" s="32" t="str">
        <f>IFERROR(VLOOKUP(BC167*10,#REF!,2,1),"")</f>
        <v/>
      </c>
      <c r="BE167" s="10"/>
      <c r="BF167" s="10"/>
      <c r="BG167" s="10"/>
      <c r="BH167" s="11" t="s">
        <v>128</v>
      </c>
      <c r="BI167" s="10">
        <v>11.550000190734901</v>
      </c>
      <c r="BJ167" s="11"/>
      <c r="BK167" s="33" t="s">
        <v>129</v>
      </c>
      <c r="BL167" s="10">
        <f>IF([1]!s_stmnote_bank_17n(A167,$A$1,1)="0","",[1]!s_stmnote_bank_17n(A167,$A$1,1))</f>
        <v>9.35</v>
      </c>
      <c r="BM167" s="10">
        <f>IF([1]!s_stmnote_bank_18n(A167,$A$1,1)="0","",[1]!s_stmnote_bank_18n(A167,$A$1,1))</f>
        <v>0</v>
      </c>
      <c r="BN167" s="41"/>
      <c r="BO167" s="52"/>
      <c r="BP167" s="52">
        <f>[1]!s_stmnote_bank_5444(A167,$A$1,1)</f>
        <v>1.86</v>
      </c>
      <c r="BQ167" s="52">
        <f>[1]!s_stmnote_bank_129n($A167,$A$1,1)</f>
        <v>59.91</v>
      </c>
      <c r="BR167" s="52">
        <f t="shared" si="52"/>
        <v>4.689599935335675</v>
      </c>
      <c r="BS167" s="52">
        <f>[1]!b_stm07_is(A167,19,$A$1,1,100000000)</f>
        <v>48.009050804300003</v>
      </c>
      <c r="BT167" s="52">
        <f xml:space="preserve"> [1]!s_stm07_bs(A167,"W15273164",$A$1,1,100000000)-[1]!s_stm07_bs(A167,"W17642530",$A$1,1,100000000)-[1]!s_stm07_bs(A167,"W15910877",$A$1,1,100000000)-[1]!s_stm07_bs_39(A167,$A$1,1,100000000)-[1]!s_stm07_bs(A167,"W17700468",$A$1,1,100000000)-[1]!s_stm07_bs(A167,"W16504296",$A$1,1,100000000)-[1]!s_stm07_bs(A167,"W13769069",$A$1,1,100000000)</f>
        <v>1088.0159428914999</v>
      </c>
      <c r="BU167" s="52">
        <f xml:space="preserve"> [1]!s_stm07_bs(A167,"W15273164",$B$1,1,100000000)-[1]!s_stm07_bs(A167,"W17642530",$B$1,1,100000000)-[1]!s_stm07_bs(A167,"W15910877",$B$1,1,100000000)-[1]!s_stm07_bs_39(A167,$B$1,1,100000000)-[1]!s_stm07_bs(A167,"W17700468",$B$1,1,100000000)-[1]!s_stm07_bs(A167,"W16504296",$B$1,1,100000000)-[1]!s_stm07_bs(A167,"W13769069",$B$1,1,100000000)</f>
        <v>1014.5513966238002</v>
      </c>
      <c r="BV167" s="52">
        <f xml:space="preserve"> [1]!s_stm07_bs(A167,"W15273164",$E$1,1,100000000)-[1]!s_stm07_bs(A167,"W17642530",$E$1,1,100000000)-[1]!s_stm07_bs(A167,"W15910877",$E$1,1,100000000)-[1]!s_stm07_bs_39(A167,$E$1,1,100000000)-[1]!s_stm07_bs(A167,"W17700468",$E$1,1,100000000)-[1]!s_stm07_bs(A167,"W16504296",$E$1,1,100000000)-[1]!s_stm07_bs(A167,"W13769069",$E$1,1,100000000)</f>
        <v>0</v>
      </c>
      <c r="BW167" s="52">
        <f xml:space="preserve"> [1]!s_stm07_bs(A167,"W15273164",$F$1,1,100000000)-[1]!s_stm07_bs(A167,"W17642530",$F$1,1,100000000)-[1]!s_stm07_bs(A167,"W15910877",$F$1,1,100000000)-[1]!s_stm07_bs_39(A167,$F$1,1,100000000)-[1]!s_stm07_bs(A167,"W17700468",$F$1,1,100000000)-[1]!s_stm07_bs(A167,"W16504296",$F$1,1,100000000)-[1]!s_stm07_bs(A167,"W13769069",$F$1,1,100000000)</f>
        <v>0</v>
      </c>
      <c r="BX167" s="52">
        <f xml:space="preserve"> [1]!s_stm07_bs(A167,"W15273164",$G$1,1,100000000)-[1]!s_stm07_bs(A167,"W17642530",$G$1,1,100000000)-[1]!s_stm07_bs(A167,"W15910877",$G$1,1,100000000)-[1]!s_stm07_bs_39(A167,$G$1,1,100000000)-[1]!s_stm07_bs(A167,"W17700468",$G$1,1,100000000)-[1]!s_stm07_bs(A167,"W16504296",$G$1,1,100000000)-[1]!s_stm07_bs(A167,"W13769069",$G$1,1,100000000)</f>
        <v>0</v>
      </c>
      <c r="BY167" s="52">
        <f>IFERROR([1]!b_stm07_is(A167,20,$A$1,1,100000000)/AVERAGEIF(CA167:CE167,"&gt;0")*100,0)</f>
        <v>2.7026457883935673</v>
      </c>
      <c r="BZ167" s="52">
        <f>[1]!b_stm07_is(A167,20,$A$1,1,100000000)</f>
        <v>27.019687785100004</v>
      </c>
      <c r="CA167" s="52">
        <f>[1]!s_stmnote_bank_38(A167,$A$1,1,100000000)</f>
        <v>1065.8730424119001</v>
      </c>
      <c r="CB167" s="52">
        <f>[1]!s_stmnote_bank_38(A167,$B$1,1,100000000)</f>
        <v>933.62595972410008</v>
      </c>
      <c r="CC167" s="52">
        <f>[1]!s_stmnote_bank_38(A167,$E$1,1,100000000)</f>
        <v>0</v>
      </c>
      <c r="CD167" s="52">
        <f>[1]!s_stmnote_bank_38(A167,$F$1,1,100000000)</f>
        <v>0</v>
      </c>
      <c r="CE167" s="52">
        <f>[1]!s_stmnote_bank_38(A167,$G$1,1,100000000)</f>
        <v>0</v>
      </c>
      <c r="CF167" s="52">
        <f>IF(BP167&lt;&gt;0,BP167,IFERROR(IF(([1]!b_stm07_is(A167,19,$A$1,1,100000000)-[1]!b_stm07_is(A167,20,$A$1,1,100000000))/AVERAGE([1]!s_stmnote_bank_35(A167,$A$1,1,100000000),[1]!s_stmnote_bank_35(A167,$B$1,1,100000000))*100=0,"",([1]!b_stm07_is(A167,19,$A$1,1,100000000)-[1]!b_stm07_is(A167,20,$A$1,1,100000000))/AVERAGE([1]!s_stmnote_bank_35(A167,$A$1,1,100000000),[1]!s_stmnote_bank_35(A167,$B$1,1,100000000))*100),""))</f>
        <v>1.86</v>
      </c>
      <c r="CG167" s="27" t="str">
        <f t="shared" si="46"/>
        <v>117 171</v>
      </c>
      <c r="CH167" s="80">
        <f t="shared" si="53"/>
        <v>8.0095430249316507E-2</v>
      </c>
      <c r="CI167" s="27" t="str">
        <f t="shared" si="47"/>
        <v>169 169</v>
      </c>
      <c r="CJ167" s="55">
        <f>[1]!s_stmnote_bank_30(A167,$A$1,1)</f>
        <v>2.9443999999999999</v>
      </c>
      <c r="CP167" s="69">
        <f>[1]!b_stm07_bs($A167,141,$A$1,1,100000000)</f>
        <v>65.325331942100007</v>
      </c>
      <c r="CQ167" s="69">
        <f>[1]!b_stm07_bs($A167,141,$D$1,1,100000000)</f>
        <v>0</v>
      </c>
      <c r="CR167" s="68">
        <f>IF([1]!s_fa_roic_yearly($A167,$A$1)=0,"",[1]!s_fa_roic_yearly($A167,$A$1))</f>
        <v>0.17299999999999999</v>
      </c>
      <c r="CS167" s="27">
        <f t="shared" si="48"/>
        <v>0.99408284023668636</v>
      </c>
      <c r="CT167" s="68" t="str">
        <f>IF([1]!s_fa_roic_yearly($A167,$D$1)=0,"",[1]!s_fa_roic_yearly($A167,$D$1))</f>
        <v/>
      </c>
      <c r="CU167" s="27" t="e">
        <f t="shared" si="49"/>
        <v>#VALUE!</v>
      </c>
      <c r="CV167" s="78">
        <f>[1]!s_stm07_bs(A167,"W14578191",$A$1,1,100000000)</f>
        <v>659.76040764360005</v>
      </c>
      <c r="CW167" s="78">
        <f>[1]!s_stmnote_bank_682($A167,$A$1,1,2,100000000)</f>
        <v>0</v>
      </c>
      <c r="CX167" s="79" t="str">
        <f t="shared" si="50"/>
        <v/>
      </c>
    </row>
    <row r="168" spans="1:102" s="46" customFormat="1" ht="13.5">
      <c r="A168" s="8" t="s">
        <v>80</v>
      </c>
      <c r="B168" s="8" t="s">
        <v>81</v>
      </c>
      <c r="C168" s="9" t="s">
        <v>82</v>
      </c>
      <c r="D168" s="9" t="s">
        <v>1061</v>
      </c>
      <c r="E168" s="10"/>
      <c r="F168" s="11" t="s">
        <v>66</v>
      </c>
      <c r="G168" s="11" t="s">
        <v>67</v>
      </c>
      <c r="H168" s="11" t="s">
        <v>83</v>
      </c>
      <c r="I168" s="11"/>
      <c r="J168" s="11" t="e">
        <f>VLOOKUP(B168,[3]额度信息!$B:$T,19,0)</f>
        <v>#N/A</v>
      </c>
      <c r="K168" s="11"/>
      <c r="L168" s="27">
        <f>IFERROR(([1]!b_stm07_bs($A168,47,$A$1,1,100000000))/[1]!b_stm07_bs($A168,109,$A$1,1,100000000),"")</f>
        <v>0.15663780714500344</v>
      </c>
      <c r="M168" s="20"/>
      <c r="N168" s="18"/>
      <c r="O168" s="27" t="e">
        <f t="shared" si="39"/>
        <v>#N/A</v>
      </c>
      <c r="P168" s="21">
        <f t="shared" si="51"/>
        <v>0.12057712092307105</v>
      </c>
      <c r="Q168" s="27" t="str">
        <f t="shared" si="40"/>
        <v>164 169</v>
      </c>
      <c r="R168" s="18">
        <f>IFERROR([1]!s_stmnote_bank($A168,"34",$A$1,100000000)/[1]!s_stmnote_bank_1n(A168,$A$1,1,100000000),"")</f>
        <v>0.12057712092307105</v>
      </c>
      <c r="S168" s="22"/>
      <c r="T168" s="22"/>
      <c r="U168" s="22"/>
      <c r="V168" s="22"/>
      <c r="W168" s="22"/>
      <c r="X168" s="22"/>
      <c r="Y168" s="22"/>
      <c r="Z168" s="25">
        <f>[1]!b_stm07_bs(A168,74,$A$1,1,100000000)</f>
        <v>2829.6415900000002</v>
      </c>
      <c r="AA168" s="25">
        <f>[1]!b_stm07_bs(A168,109,$A$1,1,100000000)</f>
        <v>2341.4779400000002</v>
      </c>
      <c r="AB168" s="10">
        <f>[1]!s_stmnote_bank_5n(A168,$A$1,1)</f>
        <v>0</v>
      </c>
      <c r="AC168" s="25" t="str">
        <f>IF([1]!s_stmnote_bank_23n(A168,$A$1,1)=0,"",IFERROR([1]!s_stmnote_bank_23n(A168,$A$1,1),""))</f>
        <v/>
      </c>
      <c r="AD168" s="27" t="e">
        <f t="shared" si="41"/>
        <v>#VALUE!</v>
      </c>
      <c r="AE168" s="25">
        <f>[1]!s_stmnote_bank_capadequacyratio(A168,$A$1,1)</f>
        <v>14.74</v>
      </c>
      <c r="AF168" s="25">
        <f>IF([1]!s_stmnote_bank_capadequacyratio_ct1(A168,$A$1,1)=0,"",IFERROR([1]!s_stmnote_bank_capadequacyratio_ct1(A168,$A$1,1),""))</f>
        <v>9.6</v>
      </c>
      <c r="AG168" s="27" t="str">
        <f t="shared" si="42"/>
        <v>65 167</v>
      </c>
      <c r="AH168" s="6">
        <f>IF(OR([1]!s_fa_roe(A168,20201231)=0,[1]!s_fa_roe(A168,20211231)="0",[1]!s_fa_roe(A168,20221231)="0"),"",IFERROR(([1]!s_fa_roe(A168,20221231)+[1]!s_fa_roe(A168,20201231)+[1]!s_fa_roe(A168,20211231))/3,""))</f>
        <v>4.055533333333333</v>
      </c>
      <c r="AI168" s="27" t="str">
        <f t="shared" si="43"/>
        <v>22 173</v>
      </c>
      <c r="AJ168" s="28">
        <f>IFERROR(([1]!s_stmnote_bank_65(A168,$A$1,1,2,4,100000000)+[1]!s_stmnote_bank_65(A168,$A$1,1,2,6,100000000))/[1]!s_stmnote_bank_1n(A168,$A$1,1,100000000),"")</f>
        <v>6.8217505206546944E-2</v>
      </c>
      <c r="AK168" s="28">
        <f>IFERROR([1]!s_stmnote_bank_614(A168,$A$1,1,2,100000000)/[1]!s_stmnote_bank_647(A168,$A$1,1,2,100000000),"")</f>
        <v>0.15809697100968628</v>
      </c>
      <c r="AL168" s="28">
        <f>IFERROR(([1]!b_stm07_bs(A168,104,$A$1,1,100000000)+[1]!b_stm07_bs(A168,106,$A$1,1,100000000)+[1]!b_stm07_bs(A168,76,$A$1,1,100000000)+[1]!b_stm07_bs(A168,108,$A$1,1,100000000)+[1]!b_stm07_bs(A168,95,$A$1,1,100000000))/[1]!b_stm07_bs(A168,128,$A$1,1,100000000),"")</f>
        <v>9.5172266027660213E-2</v>
      </c>
      <c r="AM168" s="28">
        <f>IFERROR(([1]!s_stmnote_bank_614(A168,$A$1,1,2,100000000)+[1]!b_stm07_bs(A168,104,$A$1,1,100000000)+[1]!b_stm07_bs(A168,106,$A$1,1,100000000)+[1]!b_stm07_bs(A168,76,$A$1,1,100000000)+[1]!b_stm07_bs(A168,108,$A$1,1,100000000)+[1]!b_stm07_bs(A168,95,$A$1,1,100000000))/[1]!b_stm07_bs(A168,128,$A$1,1,100000000),"")</f>
        <v>0.23466373490602455</v>
      </c>
      <c r="AN168" s="31" t="e">
        <f>IF(Z168&gt;#REF!,#REF!,IF(Z168&gt;#REF!,#REF!,IF(Z168&gt;#REF!,#REF!,IF(Z168&gt;#REF!,#REF!,IF(Z168&gt;#REF!,#REF!,IF(Z168&gt;#REF!,#REF!,IF(Z168&gt;#REF!,#REF!,#REF!)))))))</f>
        <v>#REF!</v>
      </c>
      <c r="AO168" s="31" t="e">
        <f>IF(AA168&gt;#REF!,#REF!,IF(AA168&gt;#REF!,#REF!,IF(AA168&gt;#REF!,#REF!,IF(AA168&gt;#REF!,#REF!,IF(AA168&gt;#REF!,#REF!,IF(AA168&gt;#REF!,#REF!,IF(AA168&gt;#REF!,#REF!,#REF!)))))))</f>
        <v>#REF!</v>
      </c>
      <c r="AP168" s="31" t="e">
        <f>IF(AB168&lt;#REF!,#REF!,IF(AB168&lt;#REF!,#REF!,IF(AB168&lt;#REF!,#REF!,IF(AB168&lt;#REF!,#REF!,IF(AB168&lt;#REF!,#REF!,IF(AB168&lt;#REF!,#REF!,#REF!))))))</f>
        <v>#REF!</v>
      </c>
      <c r="AQ168" s="31" t="e">
        <f>IF(AC168&gt;#REF!,#REF!,IF(AC168&gt;#REF!,#REF!,IF(AC168&gt;#REF!,#REF!,IF(AC168&gt;#REF!,#REF!,#REF!))))</f>
        <v>#REF!</v>
      </c>
      <c r="AR168" s="31" t="e">
        <f>IF(AE168&gt;#REF!,#REF!,IF(AE168&gt;#REF!,#REF!,IF(AE168&gt;#REF!,#REF!,IF(AE168&gt;#REF!,#REF!,#REF!))))</f>
        <v>#REF!</v>
      </c>
      <c r="AS168" s="31" t="e">
        <f>IF(AF168&gt;#REF!,#REF!,IF(AF168&gt;#REF!,#REF!,IF(AF168&gt;#REF!,#REF!,IF(AF168&gt;#REF!,#REF!,#REF!))))</f>
        <v>#REF!</v>
      </c>
      <c r="AT168" s="31" t="e">
        <f>IF(AH168&gt;#REF!,#REF!,IF(AH168&gt;#REF!,#REF!,IF(AH168&gt;#REF!,#REF!,IF(AH168&gt;#REF!,#REF!,IF(AH168&gt;#REF!,#REF!,#REF!)))))</f>
        <v>#REF!</v>
      </c>
      <c r="AU168" s="10" t="e">
        <f t="shared" si="44"/>
        <v>#REF!</v>
      </c>
      <c r="AV168" s="10"/>
      <c r="AW168" s="10"/>
      <c r="AX168" s="10"/>
      <c r="AY168" s="31" t="str">
        <f>IFERROR(VLOOKUP(AV168,#REF!,3,0),"")</f>
        <v/>
      </c>
      <c r="AZ168" s="31" t="str">
        <f>IFERROR(VLOOKUP(AW168,#REF!,3,0),"")</f>
        <v/>
      </c>
      <c r="BA168" s="31" t="str">
        <f>IFERROR(VLOOKUP(AX168,#REF!,3,0),"")</f>
        <v/>
      </c>
      <c r="BB168" s="31" t="str">
        <f>IFERROR(AY168*#REF!+AZ168*#REF!+BA168*#REF!,"")</f>
        <v/>
      </c>
      <c r="BC168" s="32" t="str">
        <f t="shared" si="45"/>
        <v/>
      </c>
      <c r="BD168" s="32" t="str">
        <f>IFERROR(VLOOKUP(BC168*10,#REF!,2,1),"")</f>
        <v/>
      </c>
      <c r="BE168" s="10"/>
      <c r="BF168" s="10"/>
      <c r="BG168" s="10"/>
      <c r="BH168" s="11" t="s">
        <v>84</v>
      </c>
      <c r="BI168" s="10">
        <v>20.5</v>
      </c>
      <c r="BJ168" s="33" t="s">
        <v>85</v>
      </c>
      <c r="BK168" s="33" t="s">
        <v>86</v>
      </c>
      <c r="BL168" s="10">
        <f>IF([1]!s_stmnote_bank_17n(A168,$A$1,1)="0","",[1]!s_stmnote_bank_17n(A168,$A$1,1))</f>
        <v>0</v>
      </c>
      <c r="BM168" s="10">
        <f>IF([1]!s_stmnote_bank_18n(A168,$A$1,1)="0","",[1]!s_stmnote_bank_18n(A168,$A$1,1))</f>
        <v>0</v>
      </c>
      <c r="BN168" s="41" t="s">
        <v>67</v>
      </c>
      <c r="BO168" s="68" t="s">
        <v>67</v>
      </c>
      <c r="BP168" s="52">
        <f>[1]!s_stmnote_bank_5444(A168,$A$1,1)</f>
        <v>0</v>
      </c>
      <c r="BQ168" s="52">
        <f>[1]!s_stmnote_bank_129n($A168,$A$1,1)</f>
        <v>42.943399999999997</v>
      </c>
      <c r="BR168" s="52">
        <f t="shared" si="52"/>
        <v>3.6234413020489771</v>
      </c>
      <c r="BS168" s="52">
        <f>[1]!b_stm07_is(A168,19,$A$1,1,100000000)</f>
        <v>100.8579</v>
      </c>
      <c r="BT168" s="52">
        <f xml:space="preserve"> [1]!s_stm07_bs(A168,"W15273164",$A$1,1,100000000)-[1]!s_stm07_bs(A168,"W17642530",$A$1,1,100000000)-[1]!s_stm07_bs(A168,"W15910877",$A$1,1,100000000)-[1]!s_stm07_bs_39(A168,$A$1,1,100000000)-[1]!s_stm07_bs(A168,"W17700468",$A$1,1,100000000)-[1]!s_stm07_bs(A168,"W16504296",$A$1,1,100000000)-[1]!s_stm07_bs(A168,"W13769069",$A$1,1,100000000)</f>
        <v>2773.8353400000001</v>
      </c>
      <c r="BU168" s="52">
        <f xml:space="preserve"> [1]!s_stm07_bs(A168,"W15273164",$B$1,1,100000000)-[1]!s_stm07_bs(A168,"W17642530",$B$1,1,100000000)-[1]!s_stm07_bs(A168,"W15910877",$B$1,1,100000000)-[1]!s_stm07_bs_39(A168,$B$1,1,100000000)-[1]!s_stm07_bs(A168,"W17700468",$B$1,1,100000000)-[1]!s_stm07_bs(A168,"W16504296",$B$1,1,100000000)-[1]!s_stm07_bs(A168,"W13769069",$B$1,1,100000000)</f>
        <v>2778.7181300000002</v>
      </c>
      <c r="BV168" s="52">
        <f xml:space="preserve"> [1]!s_stm07_bs(A168,"W15273164",$E$1,1,100000000)-[1]!s_stm07_bs(A168,"W17642530",$E$1,1,100000000)-[1]!s_stm07_bs(A168,"W15910877",$E$1,1,100000000)-[1]!s_stm07_bs_39(A168,$E$1,1,100000000)-[1]!s_stm07_bs(A168,"W17700468",$E$1,1,100000000)-[1]!s_stm07_bs(A168,"W16504296",$E$1,1,100000000)-[1]!s_stm07_bs(A168,"W13769069",$E$1,1,100000000)</f>
        <v>2949.609539</v>
      </c>
      <c r="BW168" s="52">
        <f xml:space="preserve"> [1]!s_stm07_bs(A168,"W15273164",$F$1,1,100000000)-[1]!s_stm07_bs(A168,"W17642530",$F$1,1,100000000)-[1]!s_stm07_bs(A168,"W15910877",$F$1,1,100000000)-[1]!s_stm07_bs_39(A168,$F$1,1,100000000)-[1]!s_stm07_bs(A168,"W17700468",$F$1,1,100000000)-[1]!s_stm07_bs(A168,"W16504296",$F$1,1,100000000)-[1]!s_stm07_bs(A168,"W13769069",$F$1,1,100000000)</f>
        <v>2765.6635379999998</v>
      </c>
      <c r="BX168" s="52">
        <f xml:space="preserve"> [1]!s_stm07_bs(A168,"W15273164",$G$1,1,100000000)-[1]!s_stm07_bs(A168,"W17642530",$G$1,1,100000000)-[1]!s_stm07_bs(A168,"W15910877",$G$1,1,100000000)-[1]!s_stm07_bs_39(A168,$G$1,1,100000000)-[1]!s_stm07_bs(A168,"W17700468",$G$1,1,100000000)-[1]!s_stm07_bs(A168,"W16504296",$G$1,1,100000000)-[1]!s_stm07_bs(A168,"W13769069",$G$1,1,100000000)</f>
        <v>2739.0139770000001</v>
      </c>
      <c r="BY168" s="52">
        <f>IFERROR([1]!b_stm07_is(A168,20,$A$1,1,100000000)/AVERAGEIF(CA168:CE168,"&gt;0")*100,0)</f>
        <v>2.8458776040581975</v>
      </c>
      <c r="BZ168" s="52">
        <f>[1]!b_stm07_is(A168,20,$A$1,1,100000000)</f>
        <v>74.156480000000002</v>
      </c>
      <c r="CA168" s="52">
        <f>[1]!s_stmnote_bank_38(A168,$A$1,1,100000000)</f>
        <v>2634.9724200000001</v>
      </c>
      <c r="CB168" s="52">
        <f>[1]!s_stmnote_bank_38(A168,$B$1,1,100000000)</f>
        <v>2576.5292899999999</v>
      </c>
      <c r="CC168" s="52">
        <f>[1]!s_stmnote_bank_38(A168,$E$1,1,100000000)</f>
        <v>0</v>
      </c>
      <c r="CD168" s="52">
        <f>[1]!s_stmnote_bank_38(A168,$F$1,1,100000000)</f>
        <v>0</v>
      </c>
      <c r="CE168" s="52">
        <f>[1]!s_stmnote_bank_38(A168,$G$1,1,100000000)</f>
        <v>0</v>
      </c>
      <c r="CF168" s="52">
        <f>IF(BP168&lt;&gt;0,BP168,IFERROR(IF(([1]!b_stm07_is(A168,19,$A$1,1,100000000)-[1]!b_stm07_is(A168,20,$A$1,1,100000000))/AVERAGE([1]!s_stmnote_bank_35(A168,$A$1,1,100000000),[1]!s_stmnote_bank_35(A168,$B$1,1,100000000))*100=0,"",([1]!b_stm07_is(A168,19,$A$1,1,100000000)-[1]!b_stm07_is(A168,20,$A$1,1,100000000))/AVERAGE([1]!s_stmnote_bank_35(A168,$A$1,1,100000000),[1]!s_stmnote_bank_35(A168,$B$1,1,100000000))*100),""))</f>
        <v>0.97360541841014636</v>
      </c>
      <c r="CG168" s="27" t="str">
        <f t="shared" si="46"/>
        <v>170 171</v>
      </c>
      <c r="CH168" s="80">
        <f t="shared" si="53"/>
        <v>8.0745452450412439E-2</v>
      </c>
      <c r="CI168" s="27" t="str">
        <f t="shared" si="47"/>
        <v>168 169</v>
      </c>
      <c r="CJ168" s="55">
        <f>[1]!s_stmnote_bank_30(A168,$A$1,1)</f>
        <v>40.545900000000003</v>
      </c>
      <c r="CP168" s="69">
        <f>[1]!b_stm07_bs($A168,141,$A$1,1,100000000)</f>
        <v>175.85514000000001</v>
      </c>
      <c r="CQ168" s="69">
        <f>[1]!b_stm07_bs($A168,141,$D$1,1,100000000)</f>
        <v>182.04555300000001</v>
      </c>
      <c r="CR168" s="68">
        <f>IF([1]!s_fa_roic_yearly($A168,$A$1)=0,"",[1]!s_fa_roic_yearly($A168,$A$1))</f>
        <v>4.1525999999999996</v>
      </c>
      <c r="CS168" s="27">
        <f t="shared" si="48"/>
        <v>0.89940828402366868</v>
      </c>
      <c r="CT168" s="68" t="str">
        <f>IF([1]!s_fa_roic_yearly($A168,$D$1)=0,"",[1]!s_fa_roic_yearly($A168,$D$1))</f>
        <v/>
      </c>
      <c r="CU168" s="27" t="e">
        <f t="shared" si="49"/>
        <v>#VALUE!</v>
      </c>
      <c r="CV168" s="78">
        <f>[1]!s_stm07_bs(A168,"W14578191",$A$1,1,100000000)</f>
        <v>1185.3706199999999</v>
      </c>
      <c r="CW168" s="78">
        <f>[1]!s_stmnote_bank_682($A168,$A$1,1,2,100000000)</f>
        <v>233.70291</v>
      </c>
      <c r="CX168" s="79">
        <f t="shared" si="50"/>
        <v>0.19715598316415167</v>
      </c>
    </row>
    <row r="169" spans="1:102" s="46" customFormat="1" ht="13.5">
      <c r="A169" s="8" t="s">
        <v>321</v>
      </c>
      <c r="B169" s="8" t="s">
        <v>322</v>
      </c>
      <c r="C169" s="9" t="s">
        <v>323</v>
      </c>
      <c r="D169" s="9" t="s">
        <v>1066</v>
      </c>
      <c r="E169" s="10"/>
      <c r="F169" s="11" t="s">
        <v>90</v>
      </c>
      <c r="G169" s="11" t="s">
        <v>67</v>
      </c>
      <c r="H169" s="11" t="s">
        <v>103</v>
      </c>
      <c r="I169" s="11"/>
      <c r="J169" s="11" t="e">
        <f>VLOOKUP(B169,[3]额度信息!$B:$T,19,0)</f>
        <v>#N/A</v>
      </c>
      <c r="K169" s="11"/>
      <c r="L169" s="27">
        <f>IFERROR(([1]!b_stm07_bs($A169,47,$A$1,1,100000000))/[1]!b_stm07_bs($A169,109,$A$1,1,100000000),"")</f>
        <v>7.7378093835471576E-2</v>
      </c>
      <c r="M169" s="20"/>
      <c r="N169" s="18"/>
      <c r="O169" s="27" t="e">
        <f t="shared" si="39"/>
        <v>#N/A</v>
      </c>
      <c r="P169" s="21">
        <f t="shared" si="51"/>
        <v>0.20163911917664207</v>
      </c>
      <c r="Q169" s="27" t="str">
        <f t="shared" si="40"/>
        <v>168 169</v>
      </c>
      <c r="R169" s="18">
        <f>IFERROR([1]!s_stmnote_bank($A169,"34",$A$1,100000000)/[1]!s_stmnote_bank_1n(A169,$A$1,1,100000000),"")</f>
        <v>0.18033911917664208</v>
      </c>
      <c r="S169" s="22"/>
      <c r="T169" s="22"/>
      <c r="U169" s="22"/>
      <c r="V169" s="22"/>
      <c r="W169" s="22"/>
      <c r="X169" s="22"/>
      <c r="Y169" s="22"/>
      <c r="Z169" s="25">
        <f>[1]!b_stm07_bs(A169,74,$A$1,1,100000000)</f>
        <v>727.44557763499995</v>
      </c>
      <c r="AA169" s="25">
        <f>[1]!b_stm07_bs(A169,109,$A$1,1,100000000)</f>
        <v>506.0325985124</v>
      </c>
      <c r="AB169" s="10">
        <f>[1]!s_stmnote_bank_5n(A169,$A$1,1)</f>
        <v>2.13</v>
      </c>
      <c r="AC169" s="25">
        <f>IF([1]!s_stmnote_bank_23n(A169,$A$1,1)=0,"",IFERROR([1]!s_stmnote_bank_23n(A169,$A$1,1),""))</f>
        <v>172.99</v>
      </c>
      <c r="AD169" s="27" t="str">
        <f t="shared" si="41"/>
        <v>43 167</v>
      </c>
      <c r="AE169" s="25">
        <f>[1]!s_stmnote_bank_capadequacyratio(A169,$A$1,1)</f>
        <v>14.99</v>
      </c>
      <c r="AF169" s="25">
        <f>IF([1]!s_stmnote_bank_capadequacyratio_ct1(A169,$A$1,1)=0,"",IFERROR([1]!s_stmnote_bank_capadequacyratio_ct1(A169,$A$1,1),""))</f>
        <v>11.25</v>
      </c>
      <c r="AG169" s="27" t="str">
        <f t="shared" si="42"/>
        <v>108 167</v>
      </c>
      <c r="AH169" s="6">
        <f>IF(OR([1]!s_fa_roe(A169,20201231)=0,[1]!s_fa_roe(A169,20211231)="0",[1]!s_fa_roe(A169,20221231)="0"),"",IFERROR(([1]!s_fa_roe(A169,20221231)+[1]!s_fa_roe(A169,20201231)+[1]!s_fa_roe(A169,20211231))/3,""))</f>
        <v>5.0216666666666665</v>
      </c>
      <c r="AI169" s="27" t="str">
        <f t="shared" si="43"/>
        <v>39 173</v>
      </c>
      <c r="AJ169" s="28">
        <f>IFERROR(([1]!s_stmnote_bank_65(A169,$A$1,1,2,4,100000000)+[1]!s_stmnote_bank_65(A169,$A$1,1,2,6,100000000))/[1]!s_stmnote_bank_1n(A169,$A$1,1,100000000),"")</f>
        <v>7.6911977530827333E-2</v>
      </c>
      <c r="AK169" s="28">
        <f>IFERROR([1]!s_stmnote_bank_614(A169,$A$1,1,2,100000000)/[1]!s_stmnote_bank_647(A169,$A$1,1,2,100000000),"")</f>
        <v>0.20306845023163453</v>
      </c>
      <c r="AL169" s="28">
        <f>IFERROR(([1]!b_stm07_bs(A169,104,$A$1,1,100000000)+[1]!b_stm07_bs(A169,106,$A$1,1,100000000)+[1]!b_stm07_bs(A169,76,$A$1,1,100000000)+[1]!b_stm07_bs(A169,108,$A$1,1,100000000)+[1]!b_stm07_bs(A169,95,$A$1,1,100000000))/[1]!b_stm07_bs(A169,128,$A$1,1,100000000),"")</f>
        <v>0.18758546425098813</v>
      </c>
      <c r="AM169" s="28">
        <f>IFERROR(([1]!s_stmnote_bank_614(A169,$A$1,1,2,100000000)+[1]!b_stm07_bs(A169,104,$A$1,1,100000000)+[1]!b_stm07_bs(A169,106,$A$1,1,100000000)+[1]!b_stm07_bs(A169,76,$A$1,1,100000000)+[1]!b_stm07_bs(A169,108,$A$1,1,100000000)+[1]!b_stm07_bs(A169,95,$A$1,1,100000000))/[1]!b_stm07_bs(A169,128,$A$1,1,100000000),"")</f>
        <v>0.34347261895718223</v>
      </c>
      <c r="AN169" s="31" t="e">
        <f>IF(Z169&gt;#REF!,#REF!,IF(Z169&gt;#REF!,#REF!,IF(Z169&gt;#REF!,#REF!,IF(Z169&gt;#REF!,#REF!,IF(Z169&gt;#REF!,#REF!,IF(Z169&gt;#REF!,#REF!,IF(Z169&gt;#REF!,#REF!,#REF!)))))))</f>
        <v>#REF!</v>
      </c>
      <c r="AO169" s="31" t="e">
        <f>IF(AA169&gt;#REF!,#REF!,IF(AA169&gt;#REF!,#REF!,IF(AA169&gt;#REF!,#REF!,IF(AA169&gt;#REF!,#REF!,IF(AA169&gt;#REF!,#REF!,IF(AA169&gt;#REF!,#REF!,IF(AA169&gt;#REF!,#REF!,#REF!)))))))</f>
        <v>#REF!</v>
      </c>
      <c r="AP169" s="31" t="e">
        <f>IF(AB169&lt;#REF!,#REF!,IF(AB169&lt;#REF!,#REF!,IF(AB169&lt;#REF!,#REF!,IF(AB169&lt;#REF!,#REF!,IF(AB169&lt;#REF!,#REF!,IF(AB169&lt;#REF!,#REF!,#REF!))))))</f>
        <v>#REF!</v>
      </c>
      <c r="AQ169" s="31" t="e">
        <f>IF(AC169&gt;#REF!,#REF!,IF(AC169&gt;#REF!,#REF!,IF(AC169&gt;#REF!,#REF!,IF(AC169&gt;#REF!,#REF!,#REF!))))</f>
        <v>#REF!</v>
      </c>
      <c r="AR169" s="31" t="e">
        <f>IF(AE169&gt;#REF!,#REF!,IF(AE169&gt;#REF!,#REF!,IF(AE169&gt;#REF!,#REF!,IF(AE169&gt;#REF!,#REF!,#REF!))))</f>
        <v>#REF!</v>
      </c>
      <c r="AS169" s="31" t="e">
        <f>IF(AF169&gt;#REF!,#REF!,IF(AF169&gt;#REF!,#REF!,IF(AF169&gt;#REF!,#REF!,IF(AF169&gt;#REF!,#REF!,#REF!))))</f>
        <v>#REF!</v>
      </c>
      <c r="AT169" s="31" t="e">
        <f>IF(AH169&gt;#REF!,#REF!,IF(AH169&gt;#REF!,#REF!,IF(AH169&gt;#REF!,#REF!,IF(AH169&gt;#REF!,#REF!,IF(AH169&gt;#REF!,#REF!,#REF!)))))</f>
        <v>#REF!</v>
      </c>
      <c r="AU169" s="10" t="e">
        <f t="shared" si="44"/>
        <v>#REF!</v>
      </c>
      <c r="AV169" s="10"/>
      <c r="AW169" s="10"/>
      <c r="AX169" s="10"/>
      <c r="AY169" s="31" t="str">
        <f>IFERROR(VLOOKUP(AV169,#REF!,3,0),"")</f>
        <v/>
      </c>
      <c r="AZ169" s="31" t="str">
        <f>IFERROR(VLOOKUP(AW169,#REF!,3,0),"")</f>
        <v/>
      </c>
      <c r="BA169" s="31" t="str">
        <f>IFERROR(VLOOKUP(AX169,#REF!,3,0),"")</f>
        <v/>
      </c>
      <c r="BB169" s="31" t="str">
        <f>IFERROR(AY169*#REF!+AZ169*#REF!+BA169*#REF!,"")</f>
        <v/>
      </c>
      <c r="BC169" s="32" t="str">
        <f t="shared" si="45"/>
        <v/>
      </c>
      <c r="BD169" s="32" t="str">
        <f>IFERROR(VLOOKUP(BC169*10,#REF!,2,1),"")</f>
        <v/>
      </c>
      <c r="BE169" s="10"/>
      <c r="BF169" s="10"/>
      <c r="BG169" s="10"/>
      <c r="BH169" s="11">
        <v>0</v>
      </c>
      <c r="BI169" s="10">
        <v>0</v>
      </c>
      <c r="BJ169" s="11" t="s">
        <v>324</v>
      </c>
      <c r="BK169" s="33" t="s">
        <v>325</v>
      </c>
      <c r="BL169" s="10">
        <f>IF([1]!s_stmnote_bank_17n(A169,$A$1,1)="0","",[1]!s_stmnote_bank_17n(A169,$A$1,1))</f>
        <v>8.31</v>
      </c>
      <c r="BM169" s="10">
        <f>IF([1]!s_stmnote_bank_18n(A169,$A$1,1)="0","",[1]!s_stmnote_bank_18n(A169,$A$1,1))</f>
        <v>0</v>
      </c>
      <c r="BN169" s="41"/>
      <c r="BO169" s="52"/>
      <c r="BP169" s="52">
        <f>[1]!s_stmnote_bank_5444(A169,$A$1,1)</f>
        <v>1.91</v>
      </c>
      <c r="BQ169" s="52">
        <f>[1]!s_stmnote_bank_129n($A169,$A$1,1)</f>
        <v>60.944299999999998</v>
      </c>
      <c r="BR169" s="52">
        <f t="shared" si="52"/>
        <v>3.1853949444581269</v>
      </c>
      <c r="BS169" s="52">
        <f>[1]!b_stm07_is(A169,19,$A$1,1,100000000)</f>
        <v>21.750787792099999</v>
      </c>
      <c r="BT169" s="52">
        <f xml:space="preserve"> [1]!s_stm07_bs(A169,"W15273164",$A$1,1,100000000)-[1]!s_stm07_bs(A169,"W17642530",$A$1,1,100000000)-[1]!s_stm07_bs(A169,"W15910877",$A$1,1,100000000)-[1]!s_stm07_bs_39(A169,$A$1,1,100000000)-[1]!s_stm07_bs(A169,"W17700468",$A$1,1,100000000)-[1]!s_stm07_bs(A169,"W16504296",$A$1,1,100000000)-[1]!s_stm07_bs(A169,"W13769069",$A$1,1,100000000)</f>
        <v>694.12469173859995</v>
      </c>
      <c r="BU169" s="52">
        <f xml:space="preserve"> [1]!s_stm07_bs(A169,"W15273164",$B$1,1,100000000)-[1]!s_stm07_bs(A169,"W17642530",$B$1,1,100000000)-[1]!s_stm07_bs(A169,"W15910877",$B$1,1,100000000)-[1]!s_stm07_bs_39(A169,$B$1,1,100000000)-[1]!s_stm07_bs(A169,"W17700468",$B$1,1,100000000)-[1]!s_stm07_bs(A169,"W16504296",$B$1,1,100000000)-[1]!s_stm07_bs(A169,"W13769069",$B$1,1,100000000)</f>
        <v>679.14661942980013</v>
      </c>
      <c r="BV169" s="52">
        <f xml:space="preserve"> [1]!s_stm07_bs(A169,"W15273164",$E$1,1,100000000)-[1]!s_stm07_bs(A169,"W17642530",$E$1,1,100000000)-[1]!s_stm07_bs(A169,"W15910877",$E$1,1,100000000)-[1]!s_stm07_bs_39(A169,$E$1,1,100000000)-[1]!s_stm07_bs(A169,"W17700468",$E$1,1,100000000)-[1]!s_stm07_bs(A169,"W16504296",$E$1,1,100000000)-[1]!s_stm07_bs(A169,"W13769069",$E$1,1,100000000)</f>
        <v>679.75</v>
      </c>
      <c r="BW169" s="52">
        <f xml:space="preserve"> [1]!s_stm07_bs(A169,"W15273164",$F$1,1,100000000)-[1]!s_stm07_bs(A169,"W17642530",$F$1,1,100000000)-[1]!s_stm07_bs(A169,"W15910877",$F$1,1,100000000)-[1]!s_stm07_bs_39(A169,$F$1,1,100000000)-[1]!s_stm07_bs(A169,"W17700468",$F$1,1,100000000)-[1]!s_stm07_bs(A169,"W16504296",$F$1,1,100000000)-[1]!s_stm07_bs(A169,"W13769069",$F$1,1,100000000)</f>
        <v>693.71</v>
      </c>
      <c r="BX169" s="52">
        <f xml:space="preserve"> [1]!s_stm07_bs(A169,"W15273164",$G$1,1,100000000)-[1]!s_stm07_bs(A169,"W17642530",$G$1,1,100000000)-[1]!s_stm07_bs(A169,"W15910877",$G$1,1,100000000)-[1]!s_stm07_bs_39(A169,$G$1,1,100000000)-[1]!s_stm07_bs(A169,"W17700468",$G$1,1,100000000)-[1]!s_stm07_bs(A169,"W16504296",$G$1,1,100000000)-[1]!s_stm07_bs(A169,"W13769069",$G$1,1,100000000)</f>
        <v>693.1</v>
      </c>
      <c r="BY169" s="52">
        <f>IFERROR([1]!b_stm07_is(A169,20,$A$1,1,100000000)/AVERAGEIF(CA169:CE169,"&gt;0")*100,0)</f>
        <v>2.1636717613597742</v>
      </c>
      <c r="BZ169" s="52">
        <f>[1]!b_stm07_is(A169,20,$A$1,1,100000000)</f>
        <v>13.7579967236</v>
      </c>
      <c r="CA169" s="52">
        <f>[1]!s_stmnote_bank_38(A169,$A$1,1,100000000)</f>
        <v>638.90395349180005</v>
      </c>
      <c r="CB169" s="52">
        <f>[1]!s_stmnote_bank_38(A169,$B$1,1,100000000)</f>
        <v>632.8228369853</v>
      </c>
      <c r="CC169" s="52">
        <f>[1]!s_stmnote_bank_38(A169,$E$1,1,100000000)</f>
        <v>0</v>
      </c>
      <c r="CD169" s="52">
        <f>[1]!s_stmnote_bank_38(A169,$F$1,1,100000000)</f>
        <v>0</v>
      </c>
      <c r="CE169" s="52">
        <f>[1]!s_stmnote_bank_38(A169,$G$1,1,100000000)</f>
        <v>0</v>
      </c>
      <c r="CF169" s="52">
        <f>IF(BP169&lt;&gt;0,BP169,IFERROR(IF(([1]!b_stm07_is(A169,19,$A$1,1,100000000)-[1]!b_stm07_is(A169,20,$A$1,1,100000000))/AVERAGE([1]!s_stmnote_bank_35(A169,$A$1,1,100000000),[1]!s_stmnote_bank_35(A169,$B$1,1,100000000))*100=0,"",([1]!b_stm07_is(A169,19,$A$1,1,100000000)-[1]!b_stm07_is(A169,20,$A$1,1,100000000))/AVERAGE([1]!s_stmnote_bank_35(A169,$A$1,1,100000000),[1]!s_stmnote_bank_35(A169,$B$1,1,100000000))*100),""))</f>
        <v>1.91</v>
      </c>
      <c r="CG169" s="27" t="str">
        <f t="shared" si="46"/>
        <v>107 171</v>
      </c>
      <c r="CH169" s="80">
        <f t="shared" si="53"/>
        <v>9.4723682973777576E-2</v>
      </c>
      <c r="CI169" s="27" t="str">
        <f t="shared" si="47"/>
        <v>167 169</v>
      </c>
      <c r="CJ169" s="55">
        <f>[1]!s_stmnote_bank_30(A169,$A$1,1)</f>
        <v>45.011899999999997</v>
      </c>
      <c r="CP169" s="69">
        <f>[1]!b_stm07_bs($A169,141,$A$1,1,100000000)</f>
        <v>68.255564575400001</v>
      </c>
      <c r="CQ169" s="69">
        <f>[1]!b_stm07_bs($A169,141,$D$1,1,100000000)</f>
        <v>70.95</v>
      </c>
      <c r="CR169" s="68">
        <f>IF([1]!s_fa_roic_yearly($A169,$A$1)=0,"",[1]!s_fa_roic_yearly($A169,$A$1))</f>
        <v>5.9741999999999997</v>
      </c>
      <c r="CS169" s="27">
        <f t="shared" si="48"/>
        <v>0.72781065088757402</v>
      </c>
      <c r="CT169" s="68" t="str">
        <f>IF([1]!s_fa_roic_yearly($A169,$D$1)=0,"",[1]!s_fa_roic_yearly($A169,$D$1))</f>
        <v/>
      </c>
      <c r="CU169" s="27" t="e">
        <f t="shared" si="49"/>
        <v>#VALUE!</v>
      </c>
      <c r="CV169" s="78">
        <f>[1]!s_stm07_bs(A169,"W14578191",$A$1,1,100000000)</f>
        <v>370.32342464279998</v>
      </c>
      <c r="CW169" s="78">
        <f>[1]!s_stmnote_bank_682($A169,$A$1,1,2,100000000)</f>
        <v>165.35557700000001</v>
      </c>
      <c r="CX169" s="79">
        <f t="shared" si="50"/>
        <v>0.44651665543300634</v>
      </c>
    </row>
    <row r="170" spans="1:102" s="46" customFormat="1" ht="13.5">
      <c r="A170" s="8" t="s">
        <v>967</v>
      </c>
      <c r="B170" s="8" t="s">
        <v>968</v>
      </c>
      <c r="C170" s="9" t="s">
        <v>969</v>
      </c>
      <c r="D170" s="9" t="s">
        <v>1061</v>
      </c>
      <c r="E170" s="10"/>
      <c r="F170" s="11" t="s">
        <v>66</v>
      </c>
      <c r="G170" s="11" t="s">
        <v>179</v>
      </c>
      <c r="H170" s="11" t="s">
        <v>67</v>
      </c>
      <c r="I170" s="11"/>
      <c r="J170" s="11" t="e">
        <f>VLOOKUP(B170,[3]额度信息!$B:$T,19,0)</f>
        <v>#N/A</v>
      </c>
      <c r="K170" s="11" t="s">
        <v>970</v>
      </c>
      <c r="L170" s="27" t="str">
        <f>IFERROR(([1]!b_stm07_bs($A170,47,$A$1,1,100000000))/[1]!b_stm07_bs($A170,109,$A$1,1,100000000),"")</f>
        <v/>
      </c>
      <c r="M170" s="20"/>
      <c r="N170" s="18"/>
      <c r="O170" s="27" t="e">
        <f t="shared" si="39"/>
        <v>#N/A</v>
      </c>
      <c r="P170" s="21" t="str">
        <f t="shared" si="51"/>
        <v/>
      </c>
      <c r="Q170" s="27" t="e">
        <f t="shared" si="40"/>
        <v>#VALUE!</v>
      </c>
      <c r="R170" s="18" t="str">
        <f>IFERROR([1]!s_stmnote_bank($A170,"34",$A$1,100000000)/[1]!s_stmnote_bank_1n(A170,$A$1,1,100000000),"")</f>
        <v/>
      </c>
      <c r="S170" s="22"/>
      <c r="T170" s="22"/>
      <c r="U170" s="22"/>
      <c r="V170" s="22"/>
      <c r="W170" s="22"/>
      <c r="X170" s="22"/>
      <c r="Y170" s="22"/>
      <c r="Z170" s="25">
        <f>[1]!b_stm07_bs(A170,74,$A$1,1,100000000)</f>
        <v>0</v>
      </c>
      <c r="AA170" s="25">
        <f>[1]!b_stm07_bs(A170,109,$A$1,1,100000000)</f>
        <v>0</v>
      </c>
      <c r="AB170" s="10">
        <f>[1]!s_stmnote_bank_5n(A170,$A$1,1)</f>
        <v>0</v>
      </c>
      <c r="AC170" s="25" t="str">
        <f>IF([1]!s_stmnote_bank_23n(A170,$A$1,1)=0,"",IFERROR([1]!s_stmnote_bank_23n(A170,$A$1,1),""))</f>
        <v/>
      </c>
      <c r="AD170" s="27" t="e">
        <f t="shared" si="41"/>
        <v>#VALUE!</v>
      </c>
      <c r="AE170" s="25">
        <f>[1]!s_stmnote_bank_capadequacyratio(A170,$A$1,1)</f>
        <v>0</v>
      </c>
      <c r="AF170" s="25" t="str">
        <f>IF([1]!s_stmnote_bank_capadequacyratio_ct1(A170,$A$1,1)=0,"",IFERROR([1]!s_stmnote_bank_capadequacyratio_ct1(A170,$A$1,1),""))</f>
        <v/>
      </c>
      <c r="AG170" s="27" t="e">
        <f t="shared" si="42"/>
        <v>#VALUE!</v>
      </c>
      <c r="AH170" s="6">
        <f>IF(OR([1]!s_fa_roe(A170,20201231)=0,[1]!s_fa_roe(A170,20211231)="0",[1]!s_fa_roe(A170,20221231)="0"),"",IFERROR(([1]!s_fa_roe(A170,20221231)+[1]!s_fa_roe(A170,20201231)+[1]!s_fa_roe(A170,20211231))/3,""))</f>
        <v>2.6520999999999999</v>
      </c>
      <c r="AI170" s="27" t="str">
        <f t="shared" si="43"/>
        <v>14 173</v>
      </c>
      <c r="AJ170" s="28" t="str">
        <f>IFERROR(([1]!s_stmnote_bank_65(A170,$A$1,1,2,4,100000000)+[1]!s_stmnote_bank_65(A170,$A$1,1,2,6,100000000))/[1]!s_stmnote_bank_1n(A170,$A$1,1,100000000),"")</f>
        <v/>
      </c>
      <c r="AK170" s="28" t="str">
        <f>IFERROR([1]!s_stmnote_bank_614(A170,$A$1,1,2,100000000)/[1]!s_stmnote_bank_647(A170,$A$1,1,2,100000000),"")</f>
        <v/>
      </c>
      <c r="AL170" s="28" t="str">
        <f>IFERROR(([1]!b_stm07_bs(A170,104,$A$1,1,100000000)+[1]!b_stm07_bs(A170,106,$A$1,1,100000000)+[1]!b_stm07_bs(A170,76,$A$1,1,100000000)+[1]!b_stm07_bs(A170,108,$A$1,1,100000000)+[1]!b_stm07_bs(A170,95,$A$1,1,100000000))/[1]!b_stm07_bs(A170,128,$A$1,1,100000000),"")</f>
        <v/>
      </c>
      <c r="AM170" s="28" t="str">
        <f>IFERROR(([1]!s_stmnote_bank_614(A170,$A$1,1,2,100000000)+[1]!b_stm07_bs(A170,104,$A$1,1,100000000)+[1]!b_stm07_bs(A170,106,$A$1,1,100000000)+[1]!b_stm07_bs(A170,76,$A$1,1,100000000)+[1]!b_stm07_bs(A170,108,$A$1,1,100000000)+[1]!b_stm07_bs(A170,95,$A$1,1,100000000))/[1]!b_stm07_bs(A170,128,$A$1,1,100000000),"")</f>
        <v/>
      </c>
      <c r="AN170" s="31" t="e">
        <f>IF(Z170&gt;#REF!,#REF!,IF(Z170&gt;#REF!,#REF!,IF(Z170&gt;#REF!,#REF!,IF(Z170&gt;#REF!,#REF!,IF(Z170&gt;#REF!,#REF!,IF(Z170&gt;#REF!,#REF!,IF(Z170&gt;#REF!,#REF!,#REF!)))))))</f>
        <v>#REF!</v>
      </c>
      <c r="AO170" s="31" t="e">
        <f>IF(AA170&gt;#REF!,#REF!,IF(AA170&gt;#REF!,#REF!,IF(AA170&gt;#REF!,#REF!,IF(AA170&gt;#REF!,#REF!,IF(AA170&gt;#REF!,#REF!,IF(AA170&gt;#REF!,#REF!,IF(AA170&gt;#REF!,#REF!,#REF!)))))))</f>
        <v>#REF!</v>
      </c>
      <c r="AP170" s="31" t="e">
        <f>IF(AB170&lt;#REF!,#REF!,IF(AB170&lt;#REF!,#REF!,IF(AB170&lt;#REF!,#REF!,IF(AB170&lt;#REF!,#REF!,IF(AB170&lt;#REF!,#REF!,IF(AB170&lt;#REF!,#REF!,#REF!))))))</f>
        <v>#REF!</v>
      </c>
      <c r="AQ170" s="31" t="e">
        <f>IF(AC170&gt;#REF!,#REF!,IF(AC170&gt;#REF!,#REF!,IF(AC170&gt;#REF!,#REF!,IF(AC170&gt;#REF!,#REF!,#REF!))))</f>
        <v>#REF!</v>
      </c>
      <c r="AR170" s="31" t="e">
        <f>IF(AE170&gt;#REF!,#REF!,IF(AE170&gt;#REF!,#REF!,IF(AE170&gt;#REF!,#REF!,IF(AE170&gt;#REF!,#REF!,#REF!))))</f>
        <v>#REF!</v>
      </c>
      <c r="AS170" s="31" t="e">
        <f>IF(AF170&gt;#REF!,#REF!,IF(AF170&gt;#REF!,#REF!,IF(AF170&gt;#REF!,#REF!,IF(AF170&gt;#REF!,#REF!,#REF!))))</f>
        <v>#REF!</v>
      </c>
      <c r="AT170" s="31" t="e">
        <f>IF(AH170&gt;#REF!,#REF!,IF(AH170&gt;#REF!,#REF!,IF(AH170&gt;#REF!,#REF!,IF(AH170&gt;#REF!,#REF!,IF(AH170&gt;#REF!,#REF!,#REF!)))))</f>
        <v>#REF!</v>
      </c>
      <c r="AU170" s="10" t="e">
        <f t="shared" si="44"/>
        <v>#REF!</v>
      </c>
      <c r="AV170" s="10" t="s">
        <v>141</v>
      </c>
      <c r="AW170" s="10" t="s">
        <v>227</v>
      </c>
      <c r="AX170" s="10" t="s">
        <v>141</v>
      </c>
      <c r="AY170" s="31" t="str">
        <f>IFERROR(VLOOKUP(AV170,#REF!,3,0),"")</f>
        <v/>
      </c>
      <c r="AZ170" s="31" t="str">
        <f>IFERROR(VLOOKUP(AW170,#REF!,3,0),"")</f>
        <v/>
      </c>
      <c r="BA170" s="31" t="str">
        <f>IFERROR(VLOOKUP(AX170,#REF!,3,0),"")</f>
        <v/>
      </c>
      <c r="BB170" s="31" t="str">
        <f>IFERROR(AY170*#REF!+AZ170*#REF!+BA170*#REF!,"")</f>
        <v/>
      </c>
      <c r="BC170" s="32" t="str">
        <f t="shared" si="45"/>
        <v/>
      </c>
      <c r="BD170" s="32" t="str">
        <f>IFERROR(VLOOKUP(BC170*10,#REF!,2,1),"")</f>
        <v/>
      </c>
      <c r="BE170" s="10"/>
      <c r="BF170" s="10"/>
      <c r="BG170" s="10"/>
      <c r="BH170" s="11" t="s">
        <v>971</v>
      </c>
      <c r="BI170" s="10">
        <v>17.120000839233398</v>
      </c>
      <c r="BJ170" s="33" t="s">
        <v>821</v>
      </c>
      <c r="BK170" s="33" t="s">
        <v>972</v>
      </c>
      <c r="BL170" s="10">
        <f>IF([1]!s_stmnote_bank_17n(A170,$A$1,1)="0","",[1]!s_stmnote_bank_17n(A170,$A$1,1))</f>
        <v>0</v>
      </c>
      <c r="BM170" s="10">
        <f>IF([1]!s_stmnote_bank_18n(A170,$A$1,1)="0","",[1]!s_stmnote_bank_18n(A170,$A$1,1))</f>
        <v>0</v>
      </c>
      <c r="BN170" s="41"/>
      <c r="BO170" s="52"/>
      <c r="BP170" s="52">
        <f>[1]!s_stmnote_bank_5444(A170,$A$1,1)</f>
        <v>0</v>
      </c>
      <c r="BQ170" s="52">
        <f>[1]!s_stmnote_bank_129n($A170,$A$1,1)</f>
        <v>0</v>
      </c>
      <c r="BR170" s="52">
        <f t="shared" si="52"/>
        <v>0</v>
      </c>
      <c r="BS170" s="52">
        <f>[1]!b_stm07_is(A170,19,$A$1,1,100000000)</f>
        <v>0</v>
      </c>
      <c r="BT170" s="52">
        <f xml:space="preserve"> [1]!s_stm07_bs(A170,"W15273164",$A$1,1,100000000)-[1]!s_stm07_bs(A170,"W17642530",$A$1,1,100000000)-[1]!s_stm07_bs(A170,"W15910877",$A$1,1,100000000)-[1]!s_stm07_bs_39(A170,$A$1,1,100000000)-[1]!s_stm07_bs(A170,"W17700468",$A$1,1,100000000)-[1]!s_stm07_bs(A170,"W16504296",$A$1,1,100000000)-[1]!s_stm07_bs(A170,"W13769069",$A$1,1,100000000)</f>
        <v>0</v>
      </c>
      <c r="BU170" s="52">
        <f xml:space="preserve"> [1]!s_stm07_bs(A170,"W15273164",$B$1,1,100000000)-[1]!s_stm07_bs(A170,"W17642530",$B$1,1,100000000)-[1]!s_stm07_bs(A170,"W15910877",$B$1,1,100000000)-[1]!s_stm07_bs_39(A170,$B$1,1,100000000)-[1]!s_stm07_bs(A170,"W17700468",$B$1,1,100000000)-[1]!s_stm07_bs(A170,"W16504296",$B$1,1,100000000)-[1]!s_stm07_bs(A170,"W13769069",$B$1,1,100000000)</f>
        <v>2719.1026300000003</v>
      </c>
      <c r="BV170" s="52">
        <f xml:space="preserve"> [1]!s_stm07_bs(A170,"W15273164",$E$1,1,100000000)-[1]!s_stm07_bs(A170,"W17642530",$E$1,1,100000000)-[1]!s_stm07_bs(A170,"W15910877",$E$1,1,100000000)-[1]!s_stm07_bs_39(A170,$E$1,1,100000000)-[1]!s_stm07_bs(A170,"W17700468",$E$1,1,100000000)-[1]!s_stm07_bs(A170,"W16504296",$E$1,1,100000000)-[1]!s_stm07_bs(A170,"W13769069",$E$1,1,100000000)</f>
        <v>0</v>
      </c>
      <c r="BW170" s="52">
        <f xml:space="preserve"> [1]!s_stm07_bs(A170,"W15273164",$F$1,1,100000000)-[1]!s_stm07_bs(A170,"W17642530",$F$1,1,100000000)-[1]!s_stm07_bs(A170,"W15910877",$F$1,1,100000000)-[1]!s_stm07_bs_39(A170,$F$1,1,100000000)-[1]!s_stm07_bs(A170,"W17700468",$F$1,1,100000000)-[1]!s_stm07_bs(A170,"W16504296",$F$1,1,100000000)-[1]!s_stm07_bs(A170,"W13769069",$F$1,1,100000000)</f>
        <v>0</v>
      </c>
      <c r="BX170" s="52">
        <f xml:space="preserve"> [1]!s_stm07_bs(A170,"W15273164",$G$1,1,100000000)-[1]!s_stm07_bs(A170,"W17642530",$G$1,1,100000000)-[1]!s_stm07_bs(A170,"W15910877",$G$1,1,100000000)-[1]!s_stm07_bs_39(A170,$G$1,1,100000000)-[1]!s_stm07_bs(A170,"W17700468",$G$1,1,100000000)-[1]!s_stm07_bs(A170,"W16504296",$G$1,1,100000000)-[1]!s_stm07_bs(A170,"W13769069",$G$1,1,100000000)</f>
        <v>2848.37491</v>
      </c>
      <c r="BY170" s="52">
        <f>IFERROR([1]!b_stm07_is(A170,20,$A$1,1,100000000)/AVERAGEIF(CA170:CE170,"&gt;0")*100,0)</f>
        <v>0</v>
      </c>
      <c r="BZ170" s="52">
        <f>[1]!b_stm07_is(A170,20,$A$1,1,100000000)</f>
        <v>0</v>
      </c>
      <c r="CA170" s="52">
        <f>[1]!s_stmnote_bank_38(A170,$A$1,1,100000000)</f>
        <v>0</v>
      </c>
      <c r="CB170" s="52">
        <f>[1]!s_stmnote_bank_38(A170,$B$1,1,100000000)</f>
        <v>2449.9254799999999</v>
      </c>
      <c r="CC170" s="52">
        <f>[1]!s_stmnote_bank_38(A170,$E$1,1,100000000)</f>
        <v>0</v>
      </c>
      <c r="CD170" s="52">
        <f>[1]!s_stmnote_bank_38(A170,$F$1,1,100000000)</f>
        <v>0</v>
      </c>
      <c r="CE170" s="52">
        <f>[1]!s_stmnote_bank_38(A170,$G$1,1,100000000)</f>
        <v>2618.25641</v>
      </c>
      <c r="CF170" s="52" t="str">
        <f>IF(BP170&lt;&gt;0,BP170,IFERROR(IF(([1]!b_stm07_is(A170,19,$A$1,1,100000000)-[1]!b_stm07_is(A170,20,$A$1,1,100000000))/AVERAGE([1]!s_stmnote_bank_35(A170,$A$1,1,100000000),[1]!s_stmnote_bank_35(A170,$B$1,1,100000000))*100=0,"",([1]!b_stm07_is(A170,19,$A$1,1,100000000)-[1]!b_stm07_is(A170,20,$A$1,1,100000000))/AVERAGE([1]!s_stmnote_bank_35(A170,$A$1,1,100000000),[1]!s_stmnote_bank_35(A170,$B$1,1,100000000))*100),""))</f>
        <v/>
      </c>
      <c r="CG170" s="27" t="e">
        <f t="shared" si="46"/>
        <v>#VALUE!</v>
      </c>
      <c r="CH170" s="80" t="str">
        <f t="shared" si="53"/>
        <v/>
      </c>
      <c r="CI170" s="27" t="e">
        <f t="shared" si="47"/>
        <v>#VALUE!</v>
      </c>
      <c r="CJ170" s="55">
        <f>[1]!s_stmnote_bank_30(A170,$A$1,1)</f>
        <v>0</v>
      </c>
      <c r="CP170" s="69">
        <f>[1]!b_stm07_bs($A170,141,$A$1,1,100000000)</f>
        <v>0</v>
      </c>
      <c r="CQ170" s="69">
        <f>[1]!b_stm07_bs($A170,141,$D$1,1,100000000)</f>
        <v>0</v>
      </c>
      <c r="CR170" s="68" t="str">
        <f>IF([1]!s_fa_roic_yearly($A170,$A$1)=0,"",[1]!s_fa_roic_yearly($A170,$A$1))</f>
        <v/>
      </c>
      <c r="CS170" s="27" t="e">
        <f t="shared" si="48"/>
        <v>#VALUE!</v>
      </c>
      <c r="CT170" s="68" t="str">
        <f>IF([1]!s_fa_roic_yearly($A170,$D$1)=0,"",[1]!s_fa_roic_yearly($A170,$D$1))</f>
        <v/>
      </c>
      <c r="CU170" s="27" t="e">
        <f t="shared" si="49"/>
        <v>#VALUE!</v>
      </c>
      <c r="CV170" s="78">
        <f>[1]!s_stm07_bs(A170,"W14578191",$A$1,1,100000000)</f>
        <v>0</v>
      </c>
      <c r="CW170" s="78">
        <f>[1]!s_stmnote_bank_682($A170,$A$1,1,2,100000000)</f>
        <v>0</v>
      </c>
      <c r="CX170" s="79" t="str">
        <f t="shared" si="50"/>
        <v/>
      </c>
    </row>
    <row r="171" spans="1:102" s="46" customFormat="1" ht="13.5">
      <c r="A171" s="8" t="s">
        <v>973</v>
      </c>
      <c r="B171" s="8" t="s">
        <v>974</v>
      </c>
      <c r="C171" s="9" t="s">
        <v>975</v>
      </c>
      <c r="D171" s="9" t="s">
        <v>1066</v>
      </c>
      <c r="E171" s="10"/>
      <c r="F171" s="11" t="s">
        <v>90</v>
      </c>
      <c r="G171" s="11" t="s">
        <v>67</v>
      </c>
      <c r="H171" s="11" t="s">
        <v>67</v>
      </c>
      <c r="I171" s="11"/>
      <c r="J171" s="11" t="e">
        <f>VLOOKUP(B171,[3]额度信息!$B:$T,19,0)</f>
        <v>#N/A</v>
      </c>
      <c r="K171" s="11"/>
      <c r="L171" s="27">
        <f>IFERROR(([1]!b_stm07_bs($A171,47,$A$1,1,100000000))/[1]!b_stm07_bs($A171,109,$A$1,1,100000000),"")</f>
        <v>6.9874103879396451E-2</v>
      </c>
      <c r="M171" s="20"/>
      <c r="N171" s="18"/>
      <c r="O171" s="27" t="e">
        <f t="shared" si="39"/>
        <v>#N/A</v>
      </c>
      <c r="P171" s="21">
        <f t="shared" si="51"/>
        <v>7.4780989351554708E-2</v>
      </c>
      <c r="Q171" s="27" t="str">
        <f t="shared" si="40"/>
        <v>155 169</v>
      </c>
      <c r="R171" s="18">
        <f>IFERROR([1]!s_stmnote_bank($A171,"34",$A$1,100000000)/[1]!s_stmnote_bank_1n(A171,$A$1,1,100000000),"")</f>
        <v>5.1780989351554708E-2</v>
      </c>
      <c r="S171" s="22"/>
      <c r="T171" s="22"/>
      <c r="U171" s="22"/>
      <c r="V171" s="22"/>
      <c r="W171" s="22"/>
      <c r="X171" s="22"/>
      <c r="Y171" s="22"/>
      <c r="Z171" s="25">
        <f>[1]!b_stm07_bs(A171,74,$A$1,1,100000000)</f>
        <v>395.63174066559998</v>
      </c>
      <c r="AA171" s="25">
        <f>[1]!b_stm07_bs(A171,109,$A$1,1,100000000)</f>
        <v>322.97601778410001</v>
      </c>
      <c r="AB171" s="10">
        <f>[1]!s_stmnote_bank_5n(A171,$A$1,1)</f>
        <v>2.2999999999999998</v>
      </c>
      <c r="AC171" s="25">
        <f>IF([1]!s_stmnote_bank_23n(A171,$A$1,1)=0,"",IFERROR([1]!s_stmnote_bank_23n(A171,$A$1,1),""))</f>
        <v>171.33</v>
      </c>
      <c r="AD171" s="27" t="str">
        <f t="shared" si="41"/>
        <v>41 167</v>
      </c>
      <c r="AE171" s="25">
        <f>[1]!s_stmnote_bank_capadequacyratio(A171,$A$1,1)</f>
        <v>17.54</v>
      </c>
      <c r="AF171" s="25">
        <f>IF([1]!s_stmnote_bank_capadequacyratio_ct1(A171,$A$1,1)=0,"",IFERROR([1]!s_stmnote_bank_capadequacyratio_ct1(A171,$A$1,1),""))</f>
        <v>15.04</v>
      </c>
      <c r="AG171" s="27" t="str">
        <f t="shared" si="42"/>
        <v>154 167</v>
      </c>
      <c r="AH171" s="6">
        <f>IF(OR([1]!s_fa_roe(A171,20201231)=0,[1]!s_fa_roe(A171,20211231)="0",[1]!s_fa_roe(A171,20221231)="0"),"",IFERROR(([1]!s_fa_roe(A171,20221231)+[1]!s_fa_roe(A171,20201231)+[1]!s_fa_roe(A171,20211231))/3,""))</f>
        <v>8.8156333333333325</v>
      </c>
      <c r="AI171" s="27" t="str">
        <f t="shared" si="43"/>
        <v>93 173</v>
      </c>
      <c r="AJ171" s="28">
        <f>IFERROR(([1]!s_stmnote_bank_65(A171,$A$1,1,2,4,100000000)+[1]!s_stmnote_bank_65(A171,$A$1,1,2,6,100000000))/[1]!s_stmnote_bank_1n(A171,$A$1,1,100000000),"")</f>
        <v>0.13375964864891346</v>
      </c>
      <c r="AK171" s="28">
        <f>IFERROR([1]!s_stmnote_bank_614(A171,$A$1,1,2,100000000)/[1]!s_stmnote_bank_647(A171,$A$1,1,2,100000000),"")</f>
        <v>0.34732827438599478</v>
      </c>
      <c r="AL171" s="28">
        <f>IFERROR(([1]!b_stm07_bs(A171,104,$A$1,1,100000000)+[1]!b_stm07_bs(A171,106,$A$1,1,100000000)+[1]!b_stm07_bs(A171,76,$A$1,1,100000000)+[1]!b_stm07_bs(A171,108,$A$1,1,100000000)+[1]!b_stm07_bs(A171,95,$A$1,1,100000000))/[1]!b_stm07_bs(A171,128,$A$1,1,100000000),"")</f>
        <v>3.4554899344224406E-2</v>
      </c>
      <c r="AM171" s="28">
        <f>IFERROR(([1]!s_stmnote_bank_614(A171,$A$1,1,2,100000000)+[1]!b_stm07_bs(A171,104,$A$1,1,100000000)+[1]!b_stm07_bs(A171,106,$A$1,1,100000000)+[1]!b_stm07_bs(A171,76,$A$1,1,100000000)+[1]!b_stm07_bs(A171,108,$A$1,1,100000000)+[1]!b_stm07_bs(A171,95,$A$1,1,100000000))/[1]!b_stm07_bs(A171,128,$A$1,1,100000000),"")</f>
        <v>0.34901673763180902</v>
      </c>
      <c r="AN171" s="31" t="e">
        <f>IF(Z171&gt;#REF!,#REF!,IF(Z171&gt;#REF!,#REF!,IF(Z171&gt;#REF!,#REF!,IF(Z171&gt;#REF!,#REF!,IF(Z171&gt;#REF!,#REF!,IF(Z171&gt;#REF!,#REF!,IF(Z171&gt;#REF!,#REF!,#REF!)))))))</f>
        <v>#REF!</v>
      </c>
      <c r="AO171" s="31" t="e">
        <f>IF(AA171&gt;#REF!,#REF!,IF(AA171&gt;#REF!,#REF!,IF(AA171&gt;#REF!,#REF!,IF(AA171&gt;#REF!,#REF!,IF(AA171&gt;#REF!,#REF!,IF(AA171&gt;#REF!,#REF!,IF(AA171&gt;#REF!,#REF!,#REF!)))))))</f>
        <v>#REF!</v>
      </c>
      <c r="AP171" s="31" t="e">
        <f>IF(AB171&lt;#REF!,#REF!,IF(AB171&lt;#REF!,#REF!,IF(AB171&lt;#REF!,#REF!,IF(AB171&lt;#REF!,#REF!,IF(AB171&lt;#REF!,#REF!,IF(AB171&lt;#REF!,#REF!,#REF!))))))</f>
        <v>#REF!</v>
      </c>
      <c r="AQ171" s="31" t="e">
        <f>IF(AC171&gt;#REF!,#REF!,IF(AC171&gt;#REF!,#REF!,IF(AC171&gt;#REF!,#REF!,IF(AC171&gt;#REF!,#REF!,#REF!))))</f>
        <v>#REF!</v>
      </c>
      <c r="AR171" s="31" t="e">
        <f>IF(AE171&gt;#REF!,#REF!,IF(AE171&gt;#REF!,#REF!,IF(AE171&gt;#REF!,#REF!,IF(AE171&gt;#REF!,#REF!,#REF!))))</f>
        <v>#REF!</v>
      </c>
      <c r="AS171" s="31" t="e">
        <f>IF(AF171&gt;#REF!,#REF!,IF(AF171&gt;#REF!,#REF!,IF(AF171&gt;#REF!,#REF!,IF(AF171&gt;#REF!,#REF!,#REF!))))</f>
        <v>#REF!</v>
      </c>
      <c r="AT171" s="31" t="e">
        <f>IF(AH171&gt;#REF!,#REF!,IF(AH171&gt;#REF!,#REF!,IF(AH171&gt;#REF!,#REF!,IF(AH171&gt;#REF!,#REF!,IF(AH171&gt;#REF!,#REF!,#REF!)))))</f>
        <v>#REF!</v>
      </c>
      <c r="AU171" s="10" t="e">
        <f t="shared" si="44"/>
        <v>#REF!</v>
      </c>
      <c r="AV171" s="10"/>
      <c r="AW171" s="10"/>
      <c r="AX171" s="10"/>
      <c r="AY171" s="31" t="str">
        <f>IFERROR(VLOOKUP(AV171,#REF!,3,0),"")</f>
        <v/>
      </c>
      <c r="AZ171" s="31" t="str">
        <f>IFERROR(VLOOKUP(AW171,#REF!,3,0),"")</f>
        <v/>
      </c>
      <c r="BA171" s="31" t="str">
        <f>IFERROR(VLOOKUP(AX171,#REF!,3,0),"")</f>
        <v/>
      </c>
      <c r="BB171" s="31" t="str">
        <f>IFERROR(AY171*#REF!+AZ171*#REF!+BA171*#REF!,"")</f>
        <v/>
      </c>
      <c r="BC171" s="32" t="str">
        <f t="shared" si="45"/>
        <v/>
      </c>
      <c r="BD171" s="32" t="str">
        <f>IFERROR(VLOOKUP(BC171*10,#REF!,2,1),"")</f>
        <v/>
      </c>
      <c r="BE171" s="10"/>
      <c r="BF171" s="10"/>
      <c r="BG171" s="10"/>
      <c r="BH171" s="11" t="str">
        <f>[1]!b_issuer_shareholder(A171,"",1)</f>
        <v>泰州市金融控股集团有限公司</v>
      </c>
      <c r="BI171" s="10">
        <f>[1]!b_issuer_propofshareholder(A171,"",1)</f>
        <v>9.6099996566772461</v>
      </c>
      <c r="BJ171" s="11" t="str">
        <f>LEFT(B171,2)</f>
        <v>江苏</v>
      </c>
      <c r="BK171" s="33" t="str">
        <f>[1]!s_info_city(A171)</f>
        <v>泰州市</v>
      </c>
      <c r="BL171" s="10">
        <f>IF([1]!s_stmnote_bank_17n(A171,$A$1,1)="0","",[1]!s_stmnote_bank_17n(A171,$A$1,1))</f>
        <v>5.94</v>
      </c>
      <c r="BM171" s="10">
        <f>IF([1]!s_stmnote_bank_18n(A171,$A$1,1)="0","",[1]!s_stmnote_bank_18n(A171,$A$1,1))</f>
        <v>0</v>
      </c>
      <c r="BN171" s="41"/>
      <c r="BO171" s="52"/>
      <c r="BP171" s="52">
        <f>[1]!s_stmnote_bank_5444(A171,$A$1,1)</f>
        <v>0</v>
      </c>
      <c r="BQ171" s="52">
        <f>[1]!s_stmnote_bank_129n($A171,$A$1,1)</f>
        <v>33.659999999999997</v>
      </c>
      <c r="BR171" s="52">
        <f t="shared" si="52"/>
        <v>3.9314198307526396</v>
      </c>
      <c r="BS171" s="52">
        <f>[1]!b_stm07_is(A171,19,$A$1,1,100000000)</f>
        <v>14.706242378599999</v>
      </c>
      <c r="BT171" s="52">
        <f xml:space="preserve"> [1]!s_stm07_bs(A171,"W15273164",$A$1,1,100000000)-[1]!s_stm07_bs(A171,"W17642530",$A$1,1,100000000)-[1]!s_stm07_bs(A171,"W15910877",$A$1,1,100000000)-[1]!s_stm07_bs_39(A171,$A$1,1,100000000)-[1]!s_stm07_bs(A171,"W17700468",$A$1,1,100000000)-[1]!s_stm07_bs(A171,"W16504296",$A$1,1,100000000)-[1]!s_stm07_bs(A171,"W13769069",$A$1,1,100000000)</f>
        <v>391.30533813589994</v>
      </c>
      <c r="BU171" s="52">
        <f xml:space="preserve"> [1]!s_stm07_bs(A171,"W15273164",$B$1,1,100000000)-[1]!s_stm07_bs(A171,"W17642530",$B$1,1,100000000)-[1]!s_stm07_bs(A171,"W15910877",$B$1,1,100000000)-[1]!s_stm07_bs_39(A171,$B$1,1,100000000)-[1]!s_stm07_bs(A171,"W17700468",$B$1,1,100000000)-[1]!s_stm07_bs(A171,"W16504296",$B$1,1,100000000)-[1]!s_stm07_bs(A171,"W13769069",$B$1,1,100000000)</f>
        <v>365.30770328839998</v>
      </c>
      <c r="BV171" s="52">
        <f xml:space="preserve"> [1]!s_stm07_bs(A171,"W15273164",$E$1,1,100000000)-[1]!s_stm07_bs(A171,"W17642530",$E$1,1,100000000)-[1]!s_stm07_bs(A171,"W15910877",$E$1,1,100000000)-[1]!s_stm07_bs_39(A171,$E$1,1,100000000)-[1]!s_stm07_bs(A171,"W17700468",$E$1,1,100000000)-[1]!s_stm07_bs(A171,"W16504296",$E$1,1,100000000)-[1]!s_stm07_bs(A171,"W13769069",$E$1,1,100000000)</f>
        <v>396.21926200000001</v>
      </c>
      <c r="BW171" s="52">
        <f xml:space="preserve"> [1]!s_stm07_bs(A171,"W15273164",$F$1,1,100000000)-[1]!s_stm07_bs(A171,"W17642530",$F$1,1,100000000)-[1]!s_stm07_bs(A171,"W15910877",$F$1,1,100000000)-[1]!s_stm07_bs_39(A171,$F$1,1,100000000)-[1]!s_stm07_bs(A171,"W17700468",$F$1,1,100000000)-[1]!s_stm07_bs(A171,"W16504296",$F$1,1,100000000)-[1]!s_stm07_bs(A171,"W13769069",$F$1,1,100000000)</f>
        <v>394.19522999999998</v>
      </c>
      <c r="BX171" s="52">
        <f xml:space="preserve"> [1]!s_stm07_bs(A171,"W15273164",$G$1,1,100000000)-[1]!s_stm07_bs(A171,"W17642530",$G$1,1,100000000)-[1]!s_stm07_bs(A171,"W15910877",$G$1,1,100000000)-[1]!s_stm07_bs_39(A171,$G$1,1,100000000)-[1]!s_stm07_bs(A171,"W17700468",$G$1,1,100000000)-[1]!s_stm07_bs(A171,"W16504296",$G$1,1,100000000)-[1]!s_stm07_bs(A171,"W13769069",$G$1,1,100000000)</f>
        <v>399.86169200000001</v>
      </c>
      <c r="BY171" s="52">
        <f>IFERROR([1]!b_stm07_is(A171,20,$A$1,1,100000000)/AVERAGEIF(CA171:CE171,"&gt;0")*100,0)</f>
        <v>2.5262482288285923</v>
      </c>
      <c r="BZ171" s="52">
        <f>[1]!b_stm07_is(A171,20,$A$1,1,100000000)</f>
        <v>8.6915133387000001</v>
      </c>
      <c r="CA171" s="52">
        <f>[1]!s_stmnote_bank_38(A171,$A$1,1,100000000)</f>
        <v>354.32607540070001</v>
      </c>
      <c r="CB171" s="52">
        <f>[1]!s_stmnote_bank_38(A171,$B$1,1,100000000)</f>
        <v>333.7704655105</v>
      </c>
      <c r="CC171" s="52">
        <f>[1]!s_stmnote_bank_38(A171,$E$1,1,100000000)</f>
        <v>0</v>
      </c>
      <c r="CD171" s="52">
        <f>[1]!s_stmnote_bank_38(A171,$F$1,1,100000000)</f>
        <v>0</v>
      </c>
      <c r="CE171" s="52">
        <f>[1]!s_stmnote_bank_38(A171,$G$1,1,100000000)</f>
        <v>0</v>
      </c>
      <c r="CF171" s="52">
        <f>IF(BP171&lt;&gt;0,BP171,IFERROR(IF(([1]!b_stm07_is(A171,19,$A$1,1,100000000)-[1]!b_stm07_is(A171,20,$A$1,1,100000000))/AVERAGE([1]!s_stmnote_bank_35(A171,$A$1,1,100000000),[1]!s_stmnote_bank_35(A171,$B$1,1,100000000))*100=0,"",([1]!b_stm07_is(A171,19,$A$1,1,100000000)-[1]!b_stm07_is(A171,20,$A$1,1,100000000))/AVERAGE([1]!s_stmnote_bank_35(A171,$A$1,1,100000000),[1]!s_stmnote_bank_35(A171,$B$1,1,100000000))*100),""))</f>
        <v>1.6022690090462217</v>
      </c>
      <c r="CG171" s="27" t="str">
        <f t="shared" si="46"/>
        <v>146 171</v>
      </c>
      <c r="CH171" s="80">
        <f t="shared" si="53"/>
        <v>0.21426154199615577</v>
      </c>
      <c r="CI171" s="27" t="str">
        <f t="shared" si="47"/>
        <v>157 169</v>
      </c>
      <c r="CJ171" s="55">
        <f>[1]!s_stmnote_bank_30(A171,$A$1,1)</f>
        <v>36.9863</v>
      </c>
      <c r="CP171" s="69">
        <f>[1]!b_stm07_bs($A171,141,$A$1,1,100000000)</f>
        <v>38.899414699200001</v>
      </c>
      <c r="CQ171" s="69">
        <f>[1]!b_stm07_bs($A171,141,$D$1,1,100000000)</f>
        <v>40.608812999999998</v>
      </c>
      <c r="CR171" s="68">
        <f>IF([1]!s_fa_roic_yearly($A171,$A$1)=0,"",[1]!s_fa_roic_yearly($A171,$A$1))</f>
        <v>8.7993000000000006</v>
      </c>
      <c r="CS171" s="27">
        <f t="shared" si="48"/>
        <v>0.48520710059171596</v>
      </c>
      <c r="CT171" s="68" t="str">
        <f>IF([1]!s_fa_roic_yearly($A171,$D$1)=0,"",[1]!s_fa_roic_yearly($A171,$D$1))</f>
        <v/>
      </c>
      <c r="CU171" s="27" t="e">
        <f t="shared" si="49"/>
        <v>#VALUE!</v>
      </c>
      <c r="CV171" s="78">
        <f>[1]!s_stm07_bs(A171,"W14578191",$A$1,1,100000000)</f>
        <v>256.60494381889998</v>
      </c>
      <c r="CW171" s="78">
        <f>[1]!s_stmnote_bank_682($A171,$A$1,1,2,100000000)</f>
        <v>82.445656</v>
      </c>
      <c r="CX171" s="79">
        <f t="shared" si="50"/>
        <v>0.32129410592411023</v>
      </c>
    </row>
    <row r="172" spans="1:102" s="46" customFormat="1" ht="13.5">
      <c r="A172" s="8" t="s">
        <v>980</v>
      </c>
      <c r="B172" s="8" t="s">
        <v>981</v>
      </c>
      <c r="C172" s="9" t="s">
        <v>982</v>
      </c>
      <c r="D172" s="9" t="s">
        <v>1061</v>
      </c>
      <c r="E172" s="10"/>
      <c r="F172" s="11" t="s">
        <v>178</v>
      </c>
      <c r="G172" s="11" t="s">
        <v>67</v>
      </c>
      <c r="H172" s="11" t="s">
        <v>103</v>
      </c>
      <c r="I172" s="11"/>
      <c r="J172" s="11" t="e">
        <f>VLOOKUP(B172,[3]额度信息!$B:$T,19,0)</f>
        <v>#N/A</v>
      </c>
      <c r="K172" s="11"/>
      <c r="L172" s="27">
        <f>IFERROR(([1]!b_stm07_bs($A172,47,$A$1,1,100000000))/[1]!b_stm07_bs($A172,109,$A$1,1,100000000),"")</f>
        <v>0.10314654201304201</v>
      </c>
      <c r="M172" s="20"/>
      <c r="N172" s="18"/>
      <c r="O172" s="27" t="e">
        <f t="shared" si="39"/>
        <v>#N/A</v>
      </c>
      <c r="P172" s="21">
        <f t="shared" si="51"/>
        <v>0.15460945728504297</v>
      </c>
      <c r="Q172" s="27" t="str">
        <f t="shared" si="40"/>
        <v>167 169</v>
      </c>
      <c r="R172" s="18">
        <f>IFERROR([1]!s_stmnote_bank($A172,"34",$A$1,100000000)/[1]!s_stmnote_bank_1n(A172,$A$1,1,100000000),"")</f>
        <v>0.12710945728504297</v>
      </c>
      <c r="S172" s="22"/>
      <c r="T172" s="22"/>
      <c r="U172" s="22"/>
      <c r="V172" s="22"/>
      <c r="W172" s="22"/>
      <c r="X172" s="22"/>
      <c r="Y172" s="22"/>
      <c r="Z172" s="25">
        <f>[1]!b_stm07_bs(A172,74,$A$1,1,100000000)</f>
        <v>8496.6200200000003</v>
      </c>
      <c r="AA172" s="25">
        <f>[1]!b_stm07_bs(A172,109,$A$1,1,100000000)</f>
        <v>4760.7290599999997</v>
      </c>
      <c r="AB172" s="10">
        <f>[1]!s_stmnote_bank_5n(A172,$A$1,1)</f>
        <v>2.75</v>
      </c>
      <c r="AC172" s="25">
        <f>IF([1]!s_stmnote_bank_23n(A172,$A$1,1)=0,"",IFERROR([1]!s_stmnote_bank_23n(A172,$A$1,1),""))</f>
        <v>166.82</v>
      </c>
      <c r="AD172" s="27" t="str">
        <f t="shared" si="41"/>
        <v>36 167</v>
      </c>
      <c r="AE172" s="25">
        <f>[1]!s_stmnote_bank_capadequacyratio(A172,$A$1,1)</f>
        <v>11.5</v>
      </c>
      <c r="AF172" s="25">
        <f>IF([1]!s_stmnote_bank_capadequacyratio_ct1(A172,$A$1,1)=0,"",IFERROR([1]!s_stmnote_bank_capadequacyratio_ct1(A172,$A$1,1),""))</f>
        <v>8.2899999999999991</v>
      </c>
      <c r="AG172" s="27" t="str">
        <f t="shared" si="42"/>
        <v>18 167</v>
      </c>
      <c r="AH172" s="6">
        <f>IF(OR([1]!s_fa_roe(A172,20201231)=0,[1]!s_fa_roe(A172,20211231)="0",[1]!s_fa_roe(A172,20221231)="0"),"",IFERROR(([1]!s_fa_roe(A172,20221231)+[1]!s_fa_roe(A172,20201231)+[1]!s_fa_roe(A172,20211231))/3,""))</f>
        <v>0.84133333333333338</v>
      </c>
      <c r="AI172" s="27" t="str">
        <f t="shared" si="43"/>
        <v>7 173</v>
      </c>
      <c r="AJ172" s="28">
        <f>IFERROR(([1]!s_stmnote_bank_65(A172,$A$1,1,2,4,100000000)+[1]!s_stmnote_bank_65(A172,$A$1,1,2,6,100000000))/[1]!s_stmnote_bank_1n(A172,$A$1,1,100000000),"")</f>
        <v>6.72319324390004E-2</v>
      </c>
      <c r="AK172" s="28">
        <f>IFERROR([1]!s_stmnote_bank_614(A172,$A$1,1,2,100000000)/[1]!s_stmnote_bank_647(A172,$A$1,1,2,100000000),"")</f>
        <v>8.001547315660143E-2</v>
      </c>
      <c r="AL172" s="28">
        <f>IFERROR(([1]!b_stm07_bs(A172,104,$A$1,1,100000000)+[1]!b_stm07_bs(A172,106,$A$1,1,100000000)+[1]!b_stm07_bs(A172,76,$A$1,1,100000000)+[1]!b_stm07_bs(A172,108,$A$1,1,100000000)+[1]!b_stm07_bs(A172,95,$A$1,1,100000000))/[1]!b_stm07_bs(A172,128,$A$1,1,100000000),"")</f>
        <v>0.38161152032295087</v>
      </c>
      <c r="AM172" s="28">
        <f>IFERROR(([1]!s_stmnote_bank_614(A172,$A$1,1,2,100000000)+[1]!b_stm07_bs(A172,104,$A$1,1,100000000)+[1]!b_stm07_bs(A172,106,$A$1,1,100000000)+[1]!b_stm07_bs(A172,76,$A$1,1,100000000)+[1]!b_stm07_bs(A172,108,$A$1,1,100000000)+[1]!b_stm07_bs(A172,95,$A$1,1,100000000))/[1]!b_stm07_bs(A172,128,$A$1,1,100000000),"")</f>
        <v>0.42941651885892657</v>
      </c>
      <c r="AN172" s="31" t="e">
        <f>IF(Z172&gt;#REF!,#REF!,IF(Z172&gt;#REF!,#REF!,IF(Z172&gt;#REF!,#REF!,IF(Z172&gt;#REF!,#REF!,IF(Z172&gt;#REF!,#REF!,IF(Z172&gt;#REF!,#REF!,IF(Z172&gt;#REF!,#REF!,#REF!)))))))</f>
        <v>#REF!</v>
      </c>
      <c r="AO172" s="31" t="e">
        <f>IF(AA172&gt;#REF!,#REF!,IF(AA172&gt;#REF!,#REF!,IF(AA172&gt;#REF!,#REF!,IF(AA172&gt;#REF!,#REF!,IF(AA172&gt;#REF!,#REF!,IF(AA172&gt;#REF!,#REF!,IF(AA172&gt;#REF!,#REF!,#REF!)))))))</f>
        <v>#REF!</v>
      </c>
      <c r="AP172" s="31" t="e">
        <f>IF(AB172&lt;#REF!,#REF!,IF(AB172&lt;#REF!,#REF!,IF(AB172&lt;#REF!,#REF!,IF(AB172&lt;#REF!,#REF!,IF(AB172&lt;#REF!,#REF!,IF(AB172&lt;#REF!,#REF!,#REF!))))))</f>
        <v>#REF!</v>
      </c>
      <c r="AQ172" s="31" t="e">
        <f>IF(AC172&gt;#REF!,#REF!,IF(AC172&gt;#REF!,#REF!,IF(AC172&gt;#REF!,#REF!,IF(AC172&gt;#REF!,#REF!,#REF!))))</f>
        <v>#REF!</v>
      </c>
      <c r="AR172" s="31" t="e">
        <f>IF(AE172&gt;#REF!,#REF!,IF(AE172&gt;#REF!,#REF!,IF(AE172&gt;#REF!,#REF!,IF(AE172&gt;#REF!,#REF!,#REF!))))</f>
        <v>#REF!</v>
      </c>
      <c r="AS172" s="31" t="e">
        <f>IF(AF172&gt;#REF!,#REF!,IF(AF172&gt;#REF!,#REF!,IF(AF172&gt;#REF!,#REF!,IF(AF172&gt;#REF!,#REF!,#REF!))))</f>
        <v>#REF!</v>
      </c>
      <c r="AT172" s="31" t="e">
        <f>IF(AH172&gt;#REF!,#REF!,IF(AH172&gt;#REF!,#REF!,IF(AH172&gt;#REF!,#REF!,IF(AH172&gt;#REF!,#REF!,IF(AH172&gt;#REF!,#REF!,#REF!)))))</f>
        <v>#REF!</v>
      </c>
      <c r="AU172" s="10" t="e">
        <f t="shared" si="44"/>
        <v>#REF!</v>
      </c>
      <c r="AV172" s="10" t="s">
        <v>68</v>
      </c>
      <c r="AW172" s="10" t="s">
        <v>161</v>
      </c>
      <c r="AX172" s="10" t="s">
        <v>68</v>
      </c>
      <c r="AY172" s="31" t="str">
        <f>IFERROR(VLOOKUP(AV172,#REF!,3,0),"")</f>
        <v/>
      </c>
      <c r="AZ172" s="31" t="str">
        <f>IFERROR(VLOOKUP(AW172,#REF!,3,0),"")</f>
        <v/>
      </c>
      <c r="BA172" s="31" t="str">
        <f>IFERROR(VLOOKUP(AX172,#REF!,3,0),"")</f>
        <v/>
      </c>
      <c r="BB172" s="31" t="str">
        <f>IFERROR(AY172*#REF!+AZ172*#REF!+BA172*#REF!,"")</f>
        <v/>
      </c>
      <c r="BC172" s="32" t="str">
        <f t="shared" si="45"/>
        <v/>
      </c>
      <c r="BD172" s="32" t="str">
        <f>IFERROR(VLOOKUP(BC172*10,#REF!,2,1),"")</f>
        <v/>
      </c>
      <c r="BE172" s="10"/>
      <c r="BF172" s="10"/>
      <c r="BG172" s="10"/>
      <c r="BH172" s="11" t="s">
        <v>983</v>
      </c>
      <c r="BI172" s="10">
        <v>37.689998626708999</v>
      </c>
      <c r="BJ172" s="33" t="s">
        <v>78</v>
      </c>
      <c r="BK172" s="33" t="s">
        <v>984</v>
      </c>
      <c r="BL172" s="10">
        <f>IF([1]!s_stmnote_bank_17n(A172,$A$1,1)="0","",[1]!s_stmnote_bank_17n(A172,$A$1,1))</f>
        <v>0</v>
      </c>
      <c r="BM172" s="10">
        <f>IF([1]!s_stmnote_bank_18n(A172,$A$1,1)="0","",[1]!s_stmnote_bank_18n(A172,$A$1,1))</f>
        <v>0</v>
      </c>
      <c r="BN172" s="41"/>
      <c r="BO172" s="52"/>
      <c r="BP172" s="52">
        <f>[1]!s_stmnote_bank_5444(A172,$A$1,1)</f>
        <v>1.6</v>
      </c>
      <c r="BQ172" s="52">
        <f>[1]!s_stmnote_bank_129n($A172,$A$1,1)</f>
        <v>22.68</v>
      </c>
      <c r="BR172" s="52">
        <f t="shared" si="52"/>
        <v>5.1363115327048048</v>
      </c>
      <c r="BS172" s="52">
        <f>[1]!b_stm07_is(A172,19,$A$1,1,100000000)</f>
        <v>392.97278</v>
      </c>
      <c r="BT172" s="52">
        <f xml:space="preserve"> [1]!s_stm07_bs(A172,"W15273164",$A$1,1,100000000)-[1]!s_stm07_bs(A172,"W17642530",$A$1,1,100000000)-[1]!s_stm07_bs(A172,"W15910877",$A$1,1,100000000)-[1]!s_stm07_bs_39(A172,$A$1,1,100000000)-[1]!s_stm07_bs(A172,"W17700468",$A$1,1,100000000)-[1]!s_stm07_bs(A172,"W16504296",$A$1,1,100000000)-[1]!s_stm07_bs(A172,"W13769069",$A$1,1,100000000)</f>
        <v>8272.6844500000007</v>
      </c>
      <c r="BU172" s="52">
        <f xml:space="preserve"> [1]!s_stm07_bs(A172,"W15273164",$B$1,1,100000000)-[1]!s_stm07_bs(A172,"W17642530",$B$1,1,100000000)-[1]!s_stm07_bs(A172,"W15910877",$B$1,1,100000000)-[1]!s_stm07_bs_39(A172,$B$1,1,100000000)-[1]!s_stm07_bs(A172,"W17700468",$B$1,1,100000000)-[1]!s_stm07_bs(A172,"W16504296",$B$1,1,100000000)-[1]!s_stm07_bs(A172,"W13769069",$B$1,1,100000000)</f>
        <v>7504.4362099999998</v>
      </c>
      <c r="BV172" s="52">
        <f xml:space="preserve"> [1]!s_stm07_bs(A172,"W15273164",$E$1,1,100000000)-[1]!s_stm07_bs(A172,"W17642530",$E$1,1,100000000)-[1]!s_stm07_bs(A172,"W15910877",$E$1,1,100000000)-[1]!s_stm07_bs_39(A172,$E$1,1,100000000)-[1]!s_stm07_bs(A172,"W17700468",$E$1,1,100000000)-[1]!s_stm07_bs(A172,"W16504296",$E$1,1,100000000)-[1]!s_stm07_bs(A172,"W13769069",$E$1,1,100000000)</f>
        <v>0</v>
      </c>
      <c r="BW172" s="52">
        <f xml:space="preserve"> [1]!s_stm07_bs(A172,"W15273164",$F$1,1,100000000)-[1]!s_stm07_bs(A172,"W17642530",$F$1,1,100000000)-[1]!s_stm07_bs(A172,"W15910877",$F$1,1,100000000)-[1]!s_stm07_bs_39(A172,$F$1,1,100000000)-[1]!s_stm07_bs(A172,"W17700468",$F$1,1,100000000)-[1]!s_stm07_bs(A172,"W16504296",$F$1,1,100000000)-[1]!s_stm07_bs(A172,"W13769069",$F$1,1,100000000)</f>
        <v>8054.1379600000009</v>
      </c>
      <c r="BX172" s="52">
        <f xml:space="preserve"> [1]!s_stm07_bs(A172,"W15273164",$G$1,1,100000000)-[1]!s_stm07_bs(A172,"W17642530",$G$1,1,100000000)-[1]!s_stm07_bs(A172,"W15910877",$G$1,1,100000000)-[1]!s_stm07_bs_39(A172,$G$1,1,100000000)-[1]!s_stm07_bs(A172,"W17700468",$G$1,1,100000000)-[1]!s_stm07_bs(A172,"W16504296",$G$1,1,100000000)-[1]!s_stm07_bs(A172,"W13769069",$G$1,1,100000000)</f>
        <v>0</v>
      </c>
      <c r="BY172" s="52">
        <f>IFERROR([1]!b_stm07_is(A172,20,$A$1,1,100000000)/AVERAGEIF(CA172:CE172,"&gt;0")*100,0)</f>
        <v>3.6622334302533281</v>
      </c>
      <c r="BZ172" s="52">
        <f>[1]!b_stm07_is(A172,20,$A$1,1,100000000)</f>
        <v>272.49527999999998</v>
      </c>
      <c r="CA172" s="52">
        <f>[1]!s_stmnote_bank_38(A172,$A$1,1,100000000)</f>
        <v>7746.5426600000001</v>
      </c>
      <c r="CB172" s="52">
        <f>[1]!s_stmnote_bank_38(A172,$B$1,1,100000000)</f>
        <v>7034.0036200000004</v>
      </c>
      <c r="CC172" s="52">
        <f>[1]!s_stmnote_bank_38(A172,$E$1,1,100000000)</f>
        <v>0</v>
      </c>
      <c r="CD172" s="52">
        <f>[1]!s_stmnote_bank_38(A172,$F$1,1,100000000)</f>
        <v>7541.5108899999996</v>
      </c>
      <c r="CE172" s="52">
        <f>[1]!s_stmnote_bank_38(A172,$G$1,1,100000000)</f>
        <v>0</v>
      </c>
      <c r="CF172" s="52">
        <f>IF(BP172&lt;&gt;0,BP172,IFERROR(IF(([1]!b_stm07_is(A172,19,$A$1,1,100000000)-[1]!b_stm07_is(A172,20,$A$1,1,100000000))/AVERAGE([1]!s_stmnote_bank_35(A172,$A$1,1,100000000),[1]!s_stmnote_bank_35(A172,$B$1,1,100000000))*100=0,"",([1]!b_stm07_is(A172,19,$A$1,1,100000000)-[1]!b_stm07_is(A172,20,$A$1,1,100000000))/AVERAGE([1]!s_stmnote_bank_35(A172,$A$1,1,100000000),[1]!s_stmnote_bank_35(A172,$B$1,1,100000000))*100),""))</f>
        <v>1.6</v>
      </c>
      <c r="CG172" s="27" t="str">
        <f t="shared" si="46"/>
        <v>147 171</v>
      </c>
      <c r="CH172" s="80">
        <f t="shared" si="53"/>
        <v>0.10348655432184777</v>
      </c>
      <c r="CI172" s="27" t="str">
        <f t="shared" si="47"/>
        <v>166 169</v>
      </c>
      <c r="CJ172" s="55">
        <f>[1]!s_stmnote_bank_30(A172,$A$1,1)</f>
        <v>4.1379999999999999</v>
      </c>
      <c r="CP172" s="69">
        <f>[1]!b_stm07_bs($A172,141,$A$1,1,100000000)</f>
        <v>710.10289</v>
      </c>
      <c r="CQ172" s="69">
        <f>[1]!b_stm07_bs($A172,141,$D$1,1,100000000)</f>
        <v>709.89872000000003</v>
      </c>
      <c r="CR172" s="68">
        <f>IF([1]!s_fa_roic_yearly($A172,$A$1)=0,"",[1]!s_fa_roic_yearly($A172,$A$1))</f>
        <v>1.8678999999999999</v>
      </c>
      <c r="CS172" s="27">
        <f t="shared" si="48"/>
        <v>0.9526627218934911</v>
      </c>
      <c r="CT172" s="68">
        <f>IF([1]!s_fa_roic_yearly($A172,$D$1)=0,"",[1]!s_fa_roic_yearly($A172,$D$1))</f>
        <v>0.7762</v>
      </c>
      <c r="CU172" s="27">
        <f t="shared" si="49"/>
        <v>0.99295774647887325</v>
      </c>
      <c r="CV172" s="78">
        <f>[1]!s_stm07_bs(A172,"W14578191",$A$1,1,100000000)</f>
        <v>5863.2288799999997</v>
      </c>
      <c r="CW172" s="78">
        <f>[1]!s_stmnote_bank_682($A172,$A$1,1,2,100000000)</f>
        <v>115.09283000000001</v>
      </c>
      <c r="CX172" s="79">
        <f t="shared" si="50"/>
        <v>1.9629598699889065E-2</v>
      </c>
    </row>
    <row r="173" spans="1:102" s="46" customFormat="1" ht="13.5">
      <c r="A173" s="8" t="s">
        <v>985</v>
      </c>
      <c r="B173" s="8" t="s">
        <v>986</v>
      </c>
      <c r="C173" s="9" t="s">
        <v>987</v>
      </c>
      <c r="D173" s="9" t="s">
        <v>1061</v>
      </c>
      <c r="E173" s="10"/>
      <c r="F173" s="11" t="s">
        <v>66</v>
      </c>
      <c r="G173" s="11" t="s">
        <v>67</v>
      </c>
      <c r="H173" s="11" t="s">
        <v>67</v>
      </c>
      <c r="I173" s="11"/>
      <c r="J173" s="11" t="e">
        <f>VLOOKUP(B173,[3]额度信息!$B:$T,19,0)</f>
        <v>#N/A</v>
      </c>
      <c r="K173" s="11"/>
      <c r="L173" s="27" t="str">
        <f>IFERROR(([1]!b_stm07_bs($A173,47,$A$1,1,100000000))/[1]!b_stm07_bs($A173,109,$A$1,1,100000000),"")</f>
        <v/>
      </c>
      <c r="M173" s="20"/>
      <c r="N173" s="18"/>
      <c r="O173" s="27" t="e">
        <f t="shared" si="39"/>
        <v>#N/A</v>
      </c>
      <c r="P173" s="21" t="str">
        <f t="shared" si="51"/>
        <v/>
      </c>
      <c r="Q173" s="27" t="e">
        <f t="shared" si="40"/>
        <v>#VALUE!</v>
      </c>
      <c r="R173" s="18" t="str">
        <f>IFERROR([1]!s_stmnote_bank($A173,"34",$A$1,100000000)/[1]!s_stmnote_bank_1n(A173,$A$1,1,100000000),"")</f>
        <v/>
      </c>
      <c r="S173" s="22"/>
      <c r="T173" s="22"/>
      <c r="U173" s="22"/>
      <c r="V173" s="22"/>
      <c r="W173" s="22"/>
      <c r="X173" s="22"/>
      <c r="Y173" s="22"/>
      <c r="Z173" s="25">
        <f>[1]!b_stm07_bs(A173,74,$A$1,1,100000000)</f>
        <v>0</v>
      </c>
      <c r="AA173" s="25">
        <f>[1]!b_stm07_bs(A173,109,$A$1,1,100000000)</f>
        <v>0</v>
      </c>
      <c r="AB173" s="10">
        <f>[1]!s_stmnote_bank_5n(A173,$A$1,1)</f>
        <v>0</v>
      </c>
      <c r="AC173" s="25" t="str">
        <f>IF([1]!s_stmnote_bank_23n(A173,$A$1,1)=0,"",IFERROR([1]!s_stmnote_bank_23n(A173,$A$1,1),""))</f>
        <v/>
      </c>
      <c r="AD173" s="27" t="e">
        <f t="shared" si="41"/>
        <v>#VALUE!</v>
      </c>
      <c r="AE173" s="25">
        <f>[1]!s_stmnote_bank_capadequacyratio(A173,$A$1,1)</f>
        <v>0</v>
      </c>
      <c r="AF173" s="25" t="str">
        <f>IF([1]!s_stmnote_bank_capadequacyratio_ct1(A173,$A$1,1)=0,"",IFERROR([1]!s_stmnote_bank_capadequacyratio_ct1(A173,$A$1,1),""))</f>
        <v/>
      </c>
      <c r="AG173" s="27" t="e">
        <f t="shared" si="42"/>
        <v>#VALUE!</v>
      </c>
      <c r="AH173" s="6" t="str">
        <f>IF(OR([1]!s_fa_roe(A173,20201231)=0,[1]!s_fa_roe(A173,20211231)="0",[1]!s_fa_roe(A173,20221231)="0"),"",IFERROR(([1]!s_fa_roe(A173,20221231)+[1]!s_fa_roe(A173,20201231)+[1]!s_fa_roe(A173,20211231))/3,""))</f>
        <v/>
      </c>
      <c r="AI173" s="27" t="e">
        <f t="shared" si="43"/>
        <v>#VALUE!</v>
      </c>
      <c r="AJ173" s="28" t="str">
        <f>IFERROR(([1]!s_stmnote_bank_65(A173,$A$1,1,2,4,100000000)+[1]!s_stmnote_bank_65(A173,$A$1,1,2,6,100000000))/[1]!s_stmnote_bank_1n(A173,$A$1,1,100000000),"")</f>
        <v/>
      </c>
      <c r="AK173" s="28" t="str">
        <f>IFERROR([1]!s_stmnote_bank_614(A173,$A$1,1,2,100000000)/[1]!s_stmnote_bank_647(A173,$A$1,1,2,100000000),"")</f>
        <v/>
      </c>
      <c r="AL173" s="28" t="str">
        <f>IFERROR(([1]!b_stm07_bs(A173,104,$A$1,1,100000000)+[1]!b_stm07_bs(A173,106,$A$1,1,100000000)+[1]!b_stm07_bs(A173,76,$A$1,1,100000000)+[1]!b_stm07_bs(A173,108,$A$1,1,100000000)+[1]!b_stm07_bs(A173,95,$A$1,1,100000000))/[1]!b_stm07_bs(A173,128,$A$1,1,100000000),"")</f>
        <v/>
      </c>
      <c r="AM173" s="28" t="str">
        <f>IFERROR(([1]!s_stmnote_bank_614(A173,$A$1,1,2,100000000)+[1]!b_stm07_bs(A173,104,$A$1,1,100000000)+[1]!b_stm07_bs(A173,106,$A$1,1,100000000)+[1]!b_stm07_bs(A173,76,$A$1,1,100000000)+[1]!b_stm07_bs(A173,108,$A$1,1,100000000)+[1]!b_stm07_bs(A173,95,$A$1,1,100000000))/[1]!b_stm07_bs(A173,128,$A$1,1,100000000),"")</f>
        <v/>
      </c>
      <c r="AN173" s="31" t="e">
        <f>IF(Z173&gt;#REF!,#REF!,IF(Z173&gt;#REF!,#REF!,IF(Z173&gt;#REF!,#REF!,IF(Z173&gt;#REF!,#REF!,IF(Z173&gt;#REF!,#REF!,IF(Z173&gt;#REF!,#REF!,IF(Z173&gt;#REF!,#REF!,#REF!)))))))</f>
        <v>#REF!</v>
      </c>
      <c r="AO173" s="31" t="e">
        <f>IF(AA173&gt;#REF!,#REF!,IF(AA173&gt;#REF!,#REF!,IF(AA173&gt;#REF!,#REF!,IF(AA173&gt;#REF!,#REF!,IF(AA173&gt;#REF!,#REF!,IF(AA173&gt;#REF!,#REF!,IF(AA173&gt;#REF!,#REF!,#REF!)))))))</f>
        <v>#REF!</v>
      </c>
      <c r="AP173" s="31" t="e">
        <f>IF(AB173&lt;#REF!,#REF!,IF(AB173&lt;#REF!,#REF!,IF(AB173&lt;#REF!,#REF!,IF(AB173&lt;#REF!,#REF!,IF(AB173&lt;#REF!,#REF!,IF(AB173&lt;#REF!,#REF!,#REF!))))))</f>
        <v>#REF!</v>
      </c>
      <c r="AQ173" s="31" t="e">
        <f>IF(AC173&gt;#REF!,#REF!,IF(AC173&gt;#REF!,#REF!,IF(AC173&gt;#REF!,#REF!,IF(AC173&gt;#REF!,#REF!,#REF!))))</f>
        <v>#REF!</v>
      </c>
      <c r="AR173" s="31" t="e">
        <f>IF(AE173&gt;#REF!,#REF!,IF(AE173&gt;#REF!,#REF!,IF(AE173&gt;#REF!,#REF!,IF(AE173&gt;#REF!,#REF!,#REF!))))</f>
        <v>#REF!</v>
      </c>
      <c r="AS173" s="31" t="e">
        <f>IF(AF173&gt;#REF!,#REF!,IF(AF173&gt;#REF!,#REF!,IF(AF173&gt;#REF!,#REF!,IF(AF173&gt;#REF!,#REF!,#REF!))))</f>
        <v>#REF!</v>
      </c>
      <c r="AT173" s="31" t="e">
        <f>IF(AH173&gt;#REF!,#REF!,IF(AH173&gt;#REF!,#REF!,IF(AH173&gt;#REF!,#REF!,IF(AH173&gt;#REF!,#REF!,IF(AH173&gt;#REF!,#REF!,#REF!)))))</f>
        <v>#REF!</v>
      </c>
      <c r="AU173" s="10" t="e">
        <f t="shared" si="44"/>
        <v>#REF!</v>
      </c>
      <c r="AV173" s="10"/>
      <c r="AW173" s="10"/>
      <c r="AX173" s="10"/>
      <c r="AY173" s="31" t="str">
        <f>IFERROR(VLOOKUP(AV173,#REF!,3,0),"")</f>
        <v/>
      </c>
      <c r="AZ173" s="31" t="str">
        <f>IFERROR(VLOOKUP(AW173,#REF!,3,0),"")</f>
        <v/>
      </c>
      <c r="BA173" s="31" t="str">
        <f>IFERROR(VLOOKUP(AX173,#REF!,3,0),"")</f>
        <v/>
      </c>
      <c r="BB173" s="31" t="str">
        <f>IFERROR(AY173*#REF!+AZ173*#REF!+BA173*#REF!,"")</f>
        <v/>
      </c>
      <c r="BC173" s="32" t="str">
        <f t="shared" si="45"/>
        <v/>
      </c>
      <c r="BD173" s="32" t="str">
        <f>IFERROR(VLOOKUP(BC173*10,#REF!,2,1),"")</f>
        <v/>
      </c>
      <c r="BE173" s="10"/>
      <c r="BF173" s="10"/>
      <c r="BG173" s="10"/>
      <c r="BH173" s="11" t="s">
        <v>988</v>
      </c>
      <c r="BI173" s="10">
        <v>15.8599996566772</v>
      </c>
      <c r="BJ173" s="33" t="s">
        <v>78</v>
      </c>
      <c r="BK173" s="33" t="s">
        <v>989</v>
      </c>
      <c r="BL173" s="10">
        <f>IF([1]!s_stmnote_bank_17n(A173,$A$1,1)="0","",[1]!s_stmnote_bank_17n(A173,$A$1,1))</f>
        <v>0</v>
      </c>
      <c r="BM173" s="10">
        <f>IF([1]!s_stmnote_bank_18n(A173,$A$1,1)="0","",[1]!s_stmnote_bank_18n(A173,$A$1,1))</f>
        <v>0</v>
      </c>
      <c r="BN173" s="41"/>
      <c r="BO173" s="52"/>
      <c r="BP173" s="52">
        <f>[1]!s_stmnote_bank_5444(A173,$A$1,1)</f>
        <v>0</v>
      </c>
      <c r="BQ173" s="52">
        <f>[1]!s_stmnote_bank_129n($A173,$A$1,1)</f>
        <v>0</v>
      </c>
      <c r="BR173" s="52">
        <f t="shared" si="52"/>
        <v>0</v>
      </c>
      <c r="BS173" s="52">
        <f>[1]!b_stm07_is(A173,19,$A$1,1,100000000)</f>
        <v>0</v>
      </c>
      <c r="BT173" s="52">
        <f xml:space="preserve"> [1]!s_stm07_bs(A173,"W15273164",$A$1,1,100000000)-[1]!s_stm07_bs(A173,"W17642530",$A$1,1,100000000)-[1]!s_stm07_bs(A173,"W15910877",$A$1,1,100000000)-[1]!s_stm07_bs_39(A173,$A$1,1,100000000)-[1]!s_stm07_bs(A173,"W17700468",$A$1,1,100000000)-[1]!s_stm07_bs(A173,"W16504296",$A$1,1,100000000)-[1]!s_stm07_bs(A173,"W13769069",$A$1,1,100000000)</f>
        <v>0</v>
      </c>
      <c r="BU173" s="52">
        <f xml:space="preserve"> [1]!s_stm07_bs(A173,"W15273164",$B$1,1,100000000)-[1]!s_stm07_bs(A173,"W17642530",$B$1,1,100000000)-[1]!s_stm07_bs(A173,"W15910877",$B$1,1,100000000)-[1]!s_stm07_bs_39(A173,$B$1,1,100000000)-[1]!s_stm07_bs(A173,"W17700468",$B$1,1,100000000)-[1]!s_stm07_bs(A173,"W16504296",$B$1,1,100000000)-[1]!s_stm07_bs(A173,"W13769069",$B$1,1,100000000)</f>
        <v>0</v>
      </c>
      <c r="BV173" s="52">
        <f xml:space="preserve"> [1]!s_stm07_bs(A173,"W15273164",$E$1,1,100000000)-[1]!s_stm07_bs(A173,"W17642530",$E$1,1,100000000)-[1]!s_stm07_bs(A173,"W15910877",$E$1,1,100000000)-[1]!s_stm07_bs_39(A173,$E$1,1,100000000)-[1]!s_stm07_bs(A173,"W17700468",$E$1,1,100000000)-[1]!s_stm07_bs(A173,"W16504296",$E$1,1,100000000)-[1]!s_stm07_bs(A173,"W13769069",$E$1,1,100000000)</f>
        <v>0</v>
      </c>
      <c r="BW173" s="52">
        <f xml:space="preserve"> [1]!s_stm07_bs(A173,"W15273164",$F$1,1,100000000)-[1]!s_stm07_bs(A173,"W17642530",$F$1,1,100000000)-[1]!s_stm07_bs(A173,"W15910877",$F$1,1,100000000)-[1]!s_stm07_bs_39(A173,$F$1,1,100000000)-[1]!s_stm07_bs(A173,"W17700468",$F$1,1,100000000)-[1]!s_stm07_bs(A173,"W16504296",$F$1,1,100000000)-[1]!s_stm07_bs(A173,"W13769069",$F$1,1,100000000)</f>
        <v>0</v>
      </c>
      <c r="BX173" s="52">
        <f xml:space="preserve"> [1]!s_stm07_bs(A173,"W15273164",$G$1,1,100000000)-[1]!s_stm07_bs(A173,"W17642530",$G$1,1,100000000)-[1]!s_stm07_bs(A173,"W15910877",$G$1,1,100000000)-[1]!s_stm07_bs_39(A173,$G$1,1,100000000)-[1]!s_stm07_bs(A173,"W17700468",$G$1,1,100000000)-[1]!s_stm07_bs(A173,"W16504296",$G$1,1,100000000)-[1]!s_stm07_bs(A173,"W13769069",$G$1,1,100000000)</f>
        <v>0</v>
      </c>
      <c r="BY173" s="52">
        <f>IFERROR([1]!b_stm07_is(A173,20,$A$1,1,100000000)/AVERAGEIF(CA173:CE173,"&gt;0")*100,0)</f>
        <v>0</v>
      </c>
      <c r="BZ173" s="52">
        <f>[1]!b_stm07_is(A173,20,$A$1,1,100000000)</f>
        <v>0</v>
      </c>
      <c r="CA173" s="52">
        <f>[1]!s_stmnote_bank_38(A173,$A$1,1,100000000)</f>
        <v>0</v>
      </c>
      <c r="CB173" s="52">
        <f>[1]!s_stmnote_bank_38(A173,$B$1,1,100000000)</f>
        <v>0</v>
      </c>
      <c r="CC173" s="52">
        <f>[1]!s_stmnote_bank_38(A173,$E$1,1,100000000)</f>
        <v>0</v>
      </c>
      <c r="CD173" s="52">
        <f>[1]!s_stmnote_bank_38(A173,$F$1,1,100000000)</f>
        <v>0</v>
      </c>
      <c r="CE173" s="52">
        <f>[1]!s_stmnote_bank_38(A173,$G$1,1,100000000)</f>
        <v>0</v>
      </c>
      <c r="CF173" s="52" t="str">
        <f>IF(BP173&lt;&gt;0,BP173,IFERROR(IF(([1]!b_stm07_is(A173,19,$A$1,1,100000000)-[1]!b_stm07_is(A173,20,$A$1,1,100000000))/AVERAGE([1]!s_stmnote_bank_35(A173,$A$1,1,100000000),[1]!s_stmnote_bank_35(A173,$B$1,1,100000000))*100=0,"",([1]!b_stm07_is(A173,19,$A$1,1,100000000)-[1]!b_stm07_is(A173,20,$A$1,1,100000000))/AVERAGE([1]!s_stmnote_bank_35(A173,$A$1,1,100000000),[1]!s_stmnote_bank_35(A173,$B$1,1,100000000))*100),""))</f>
        <v/>
      </c>
      <c r="CG173" s="27" t="e">
        <f t="shared" si="46"/>
        <v>#VALUE!</v>
      </c>
      <c r="CH173" s="80" t="str">
        <f t="shared" si="53"/>
        <v/>
      </c>
      <c r="CI173" s="27" t="e">
        <f t="shared" si="47"/>
        <v>#VALUE!</v>
      </c>
      <c r="CJ173" s="55">
        <f>[1]!s_stmnote_bank_30(A173,$A$1,1)</f>
        <v>0</v>
      </c>
      <c r="CP173" s="69">
        <f>[1]!b_stm07_bs($A173,141,$A$1,1,100000000)</f>
        <v>0</v>
      </c>
      <c r="CQ173" s="69">
        <f>[1]!b_stm07_bs($A173,141,$D$1,1,100000000)</f>
        <v>0</v>
      </c>
      <c r="CR173" s="68" t="str">
        <f>IF([1]!s_fa_roic_yearly($A173,$A$1)=0,"",[1]!s_fa_roic_yearly($A173,$A$1))</f>
        <v/>
      </c>
      <c r="CS173" s="27" t="e">
        <f t="shared" si="48"/>
        <v>#VALUE!</v>
      </c>
      <c r="CT173" s="68" t="str">
        <f>IF([1]!s_fa_roic_yearly($A173,$D$1)=0,"",[1]!s_fa_roic_yearly($A173,$D$1))</f>
        <v/>
      </c>
      <c r="CU173" s="27" t="e">
        <f t="shared" si="49"/>
        <v>#VALUE!</v>
      </c>
      <c r="CV173" s="78">
        <f>[1]!s_stm07_bs(A173,"W14578191",$A$1,1,100000000)</f>
        <v>0</v>
      </c>
      <c r="CW173" s="78">
        <f>[1]!s_stmnote_bank_682($A173,$A$1,1,2,100000000)</f>
        <v>0</v>
      </c>
      <c r="CX173" s="79" t="str">
        <f t="shared" si="50"/>
        <v/>
      </c>
    </row>
    <row r="174" spans="1:102" s="46" customFormat="1" ht="13.5">
      <c r="A174" s="8" t="s">
        <v>990</v>
      </c>
      <c r="B174" s="8" t="s">
        <v>991</v>
      </c>
      <c r="C174" s="9" t="s">
        <v>992</v>
      </c>
      <c r="D174" s="9" t="s">
        <v>1061</v>
      </c>
      <c r="E174" s="10"/>
      <c r="F174" s="11" t="s">
        <v>66</v>
      </c>
      <c r="G174" s="11" t="s">
        <v>67</v>
      </c>
      <c r="H174" s="11" t="s">
        <v>67</v>
      </c>
      <c r="I174" s="11"/>
      <c r="J174" s="11" t="e">
        <f>VLOOKUP(B174,[3]额度信息!$B:$T,19,0)</f>
        <v>#N/A</v>
      </c>
      <c r="K174" s="11"/>
      <c r="L174" s="27" t="str">
        <f>IFERROR(([1]!b_stm07_bs($A174,47,$A$1,1,100000000))/[1]!b_stm07_bs($A174,109,$A$1,1,100000000),"")</f>
        <v/>
      </c>
      <c r="M174" s="20"/>
      <c r="N174" s="18"/>
      <c r="O174" s="27" t="e">
        <f t="shared" si="39"/>
        <v>#N/A</v>
      </c>
      <c r="P174" s="21" t="str">
        <f t="shared" si="51"/>
        <v/>
      </c>
      <c r="Q174" s="27" t="e">
        <f t="shared" si="40"/>
        <v>#VALUE!</v>
      </c>
      <c r="R174" s="18" t="str">
        <f>IFERROR([1]!s_stmnote_bank($A174,"34",$A$1,100000000)/[1]!s_stmnote_bank_1n(A174,$A$1,1,100000000),"")</f>
        <v/>
      </c>
      <c r="S174" s="22"/>
      <c r="T174" s="22"/>
      <c r="U174" s="22"/>
      <c r="V174" s="22"/>
      <c r="W174" s="22"/>
      <c r="X174" s="22"/>
      <c r="Y174" s="22"/>
      <c r="Z174" s="25">
        <f>[1]!b_stm07_bs(A174,74,$A$1,1,100000000)</f>
        <v>0</v>
      </c>
      <c r="AA174" s="25">
        <f>[1]!b_stm07_bs(A174,109,$A$1,1,100000000)</f>
        <v>0</v>
      </c>
      <c r="AB174" s="10">
        <f>[1]!s_stmnote_bank_5n(A174,$A$1,1)</f>
        <v>0</v>
      </c>
      <c r="AC174" s="25" t="str">
        <f>IF([1]!s_stmnote_bank_23n(A174,$A$1,1)=0,"",IFERROR([1]!s_stmnote_bank_23n(A174,$A$1,1),""))</f>
        <v/>
      </c>
      <c r="AD174" s="27" t="e">
        <f t="shared" si="41"/>
        <v>#VALUE!</v>
      </c>
      <c r="AE174" s="25">
        <f>[1]!s_stmnote_bank_capadequacyratio(A174,$A$1,1)</f>
        <v>0</v>
      </c>
      <c r="AF174" s="25" t="str">
        <f>IF([1]!s_stmnote_bank_capadequacyratio_ct1(A174,$A$1,1)=0,"",IFERROR([1]!s_stmnote_bank_capadequacyratio_ct1(A174,$A$1,1),""))</f>
        <v/>
      </c>
      <c r="AG174" s="27" t="e">
        <f t="shared" si="42"/>
        <v>#VALUE!</v>
      </c>
      <c r="AH174" s="6" t="str">
        <f>IF(OR([1]!s_fa_roe(A174,20201231)=0,[1]!s_fa_roe(A174,20211231)="0",[1]!s_fa_roe(A174,20221231)="0"),"",IFERROR(([1]!s_fa_roe(A174,20221231)+[1]!s_fa_roe(A174,20201231)+[1]!s_fa_roe(A174,20211231))/3,""))</f>
        <v/>
      </c>
      <c r="AI174" s="27" t="e">
        <f t="shared" si="43"/>
        <v>#VALUE!</v>
      </c>
      <c r="AJ174" s="28" t="str">
        <f>IFERROR(([1]!s_stmnote_bank_65(A174,$A$1,1,2,4,100000000)+[1]!s_stmnote_bank_65(A174,$A$1,1,2,6,100000000))/[1]!s_stmnote_bank_1n(A174,$A$1,1,100000000),"")</f>
        <v/>
      </c>
      <c r="AK174" s="28" t="str">
        <f>IFERROR([1]!s_stmnote_bank_614(A174,$A$1,1,2,100000000)/[1]!s_stmnote_bank_647(A174,$A$1,1,2,100000000),"")</f>
        <v/>
      </c>
      <c r="AL174" s="28" t="str">
        <f>IFERROR(([1]!b_stm07_bs(A174,104,$A$1,1,100000000)+[1]!b_stm07_bs(A174,106,$A$1,1,100000000)+[1]!b_stm07_bs(A174,76,$A$1,1,100000000)+[1]!b_stm07_bs(A174,108,$A$1,1,100000000)+[1]!b_stm07_bs(A174,95,$A$1,1,100000000))/[1]!b_stm07_bs(A174,128,$A$1,1,100000000),"")</f>
        <v/>
      </c>
      <c r="AM174" s="28" t="str">
        <f>IFERROR(([1]!s_stmnote_bank_614(A174,$A$1,1,2,100000000)+[1]!b_stm07_bs(A174,104,$A$1,1,100000000)+[1]!b_stm07_bs(A174,106,$A$1,1,100000000)+[1]!b_stm07_bs(A174,76,$A$1,1,100000000)+[1]!b_stm07_bs(A174,108,$A$1,1,100000000)+[1]!b_stm07_bs(A174,95,$A$1,1,100000000))/[1]!b_stm07_bs(A174,128,$A$1,1,100000000),"")</f>
        <v/>
      </c>
      <c r="AN174" s="31" t="e">
        <f>IF(Z174&gt;#REF!,#REF!,IF(Z174&gt;#REF!,#REF!,IF(Z174&gt;#REF!,#REF!,IF(Z174&gt;#REF!,#REF!,IF(Z174&gt;#REF!,#REF!,IF(Z174&gt;#REF!,#REF!,IF(Z174&gt;#REF!,#REF!,#REF!)))))))</f>
        <v>#REF!</v>
      </c>
      <c r="AO174" s="31" t="e">
        <f>IF(AA174&gt;#REF!,#REF!,IF(AA174&gt;#REF!,#REF!,IF(AA174&gt;#REF!,#REF!,IF(AA174&gt;#REF!,#REF!,IF(AA174&gt;#REF!,#REF!,IF(AA174&gt;#REF!,#REF!,IF(AA174&gt;#REF!,#REF!,#REF!)))))))</f>
        <v>#REF!</v>
      </c>
      <c r="AP174" s="31" t="e">
        <f>IF(AB174&lt;#REF!,#REF!,IF(AB174&lt;#REF!,#REF!,IF(AB174&lt;#REF!,#REF!,IF(AB174&lt;#REF!,#REF!,IF(AB174&lt;#REF!,#REF!,IF(AB174&lt;#REF!,#REF!,#REF!))))))</f>
        <v>#REF!</v>
      </c>
      <c r="AQ174" s="31" t="e">
        <f>IF(AC174&gt;#REF!,#REF!,IF(AC174&gt;#REF!,#REF!,IF(AC174&gt;#REF!,#REF!,IF(AC174&gt;#REF!,#REF!,#REF!))))</f>
        <v>#REF!</v>
      </c>
      <c r="AR174" s="31" t="e">
        <f>IF(AE174&gt;#REF!,#REF!,IF(AE174&gt;#REF!,#REF!,IF(AE174&gt;#REF!,#REF!,IF(AE174&gt;#REF!,#REF!,#REF!))))</f>
        <v>#REF!</v>
      </c>
      <c r="AS174" s="31" t="e">
        <f>IF(AF174&gt;#REF!,#REF!,IF(AF174&gt;#REF!,#REF!,IF(AF174&gt;#REF!,#REF!,IF(AF174&gt;#REF!,#REF!,#REF!))))</f>
        <v>#REF!</v>
      </c>
      <c r="AT174" s="31" t="e">
        <f>IF(AH174&gt;#REF!,#REF!,IF(AH174&gt;#REF!,#REF!,IF(AH174&gt;#REF!,#REF!,IF(AH174&gt;#REF!,#REF!,IF(AH174&gt;#REF!,#REF!,#REF!)))))</f>
        <v>#REF!</v>
      </c>
      <c r="AU174" s="10" t="e">
        <f t="shared" si="44"/>
        <v>#REF!</v>
      </c>
      <c r="AV174" s="10"/>
      <c r="AW174" s="10"/>
      <c r="AX174" s="10"/>
      <c r="AY174" s="31" t="str">
        <f>IFERROR(VLOOKUP(AV174,#REF!,3,0),"")</f>
        <v/>
      </c>
      <c r="AZ174" s="31" t="str">
        <f>IFERROR(VLOOKUP(AW174,#REF!,3,0),"")</f>
        <v/>
      </c>
      <c r="BA174" s="31" t="str">
        <f>IFERROR(VLOOKUP(AX174,#REF!,3,0),"")</f>
        <v/>
      </c>
      <c r="BB174" s="31" t="str">
        <f>IFERROR(AY174*#REF!+AZ174*#REF!+BA174*#REF!,"")</f>
        <v/>
      </c>
      <c r="BC174" s="32" t="str">
        <f t="shared" si="45"/>
        <v/>
      </c>
      <c r="BD174" s="32" t="str">
        <f>IFERROR(VLOOKUP(BC174*10,#REF!,2,1),"")</f>
        <v/>
      </c>
      <c r="BE174" s="10"/>
      <c r="BF174" s="10"/>
      <c r="BG174" s="10"/>
      <c r="BH174" s="11" t="s">
        <v>993</v>
      </c>
      <c r="BI174" s="10">
        <v>15.1599998474121</v>
      </c>
      <c r="BJ174" s="33" t="s">
        <v>78</v>
      </c>
      <c r="BK174" s="33">
        <v>0</v>
      </c>
      <c r="BL174" s="10">
        <f>IF([1]!s_stmnote_bank_17n(A174,$A$1,1)="0","",[1]!s_stmnote_bank_17n(A174,$A$1,1))</f>
        <v>0</v>
      </c>
      <c r="BM174" s="10">
        <f>IF([1]!s_stmnote_bank_18n(A174,$A$1,1)="0","",[1]!s_stmnote_bank_18n(A174,$A$1,1))</f>
        <v>0</v>
      </c>
      <c r="BN174" s="41"/>
      <c r="BO174" s="52"/>
      <c r="BP174" s="52">
        <f>[1]!s_stmnote_bank_5444(A174,$A$1,1)</f>
        <v>0</v>
      </c>
      <c r="BQ174" s="52">
        <f>[1]!s_stmnote_bank_129n($A174,$A$1,1)</f>
        <v>0</v>
      </c>
      <c r="BR174" s="52">
        <f t="shared" si="52"/>
        <v>0</v>
      </c>
      <c r="BS174" s="52">
        <f>[1]!b_stm07_is(A174,19,$A$1,1,100000000)</f>
        <v>0</v>
      </c>
      <c r="BT174" s="52">
        <f xml:space="preserve"> [1]!s_stm07_bs(A174,"W15273164",$A$1,1,100000000)-[1]!s_stm07_bs(A174,"W17642530",$A$1,1,100000000)-[1]!s_stm07_bs(A174,"W15910877",$A$1,1,100000000)-[1]!s_stm07_bs_39(A174,$A$1,1,100000000)-[1]!s_stm07_bs(A174,"W17700468",$A$1,1,100000000)-[1]!s_stm07_bs(A174,"W16504296",$A$1,1,100000000)-[1]!s_stm07_bs(A174,"W13769069",$A$1,1,100000000)</f>
        <v>0</v>
      </c>
      <c r="BU174" s="52">
        <f xml:space="preserve"> [1]!s_stm07_bs(A174,"W15273164",$B$1,1,100000000)-[1]!s_stm07_bs(A174,"W17642530",$B$1,1,100000000)-[1]!s_stm07_bs(A174,"W15910877",$B$1,1,100000000)-[1]!s_stm07_bs_39(A174,$B$1,1,100000000)-[1]!s_stm07_bs(A174,"W17700468",$B$1,1,100000000)-[1]!s_stm07_bs(A174,"W16504296",$B$1,1,100000000)-[1]!s_stm07_bs(A174,"W13769069",$B$1,1,100000000)</f>
        <v>0</v>
      </c>
      <c r="BV174" s="52">
        <f xml:space="preserve"> [1]!s_stm07_bs(A174,"W15273164",$E$1,1,100000000)-[1]!s_stm07_bs(A174,"W17642530",$E$1,1,100000000)-[1]!s_stm07_bs(A174,"W15910877",$E$1,1,100000000)-[1]!s_stm07_bs_39(A174,$E$1,1,100000000)-[1]!s_stm07_bs(A174,"W17700468",$E$1,1,100000000)-[1]!s_stm07_bs(A174,"W16504296",$E$1,1,100000000)-[1]!s_stm07_bs(A174,"W13769069",$E$1,1,100000000)</f>
        <v>0</v>
      </c>
      <c r="BW174" s="52">
        <f xml:space="preserve"> [1]!s_stm07_bs(A174,"W15273164",$F$1,1,100000000)-[1]!s_stm07_bs(A174,"W17642530",$F$1,1,100000000)-[1]!s_stm07_bs(A174,"W15910877",$F$1,1,100000000)-[1]!s_stm07_bs_39(A174,$F$1,1,100000000)-[1]!s_stm07_bs(A174,"W17700468",$F$1,1,100000000)-[1]!s_stm07_bs(A174,"W16504296",$F$1,1,100000000)-[1]!s_stm07_bs(A174,"W13769069",$F$1,1,100000000)</f>
        <v>0</v>
      </c>
      <c r="BX174" s="52">
        <f xml:space="preserve"> [1]!s_stm07_bs(A174,"W15273164",$G$1,1,100000000)-[1]!s_stm07_bs(A174,"W17642530",$G$1,1,100000000)-[1]!s_stm07_bs(A174,"W15910877",$G$1,1,100000000)-[1]!s_stm07_bs_39(A174,$G$1,1,100000000)-[1]!s_stm07_bs(A174,"W17700468",$G$1,1,100000000)-[1]!s_stm07_bs(A174,"W16504296",$G$1,1,100000000)-[1]!s_stm07_bs(A174,"W13769069",$G$1,1,100000000)</f>
        <v>0</v>
      </c>
      <c r="BY174" s="52">
        <f>IFERROR([1]!b_stm07_is(A174,20,$A$1,1,100000000)/AVERAGEIF(CA174:CE174,"&gt;0")*100,0)</f>
        <v>0</v>
      </c>
      <c r="BZ174" s="52">
        <f>[1]!b_stm07_is(A174,20,$A$1,1,100000000)</f>
        <v>0</v>
      </c>
      <c r="CA174" s="52">
        <f>[1]!s_stmnote_bank_38(A174,$A$1,1,100000000)</f>
        <v>0</v>
      </c>
      <c r="CB174" s="52">
        <f>[1]!s_stmnote_bank_38(A174,$B$1,1,100000000)</f>
        <v>0</v>
      </c>
      <c r="CC174" s="52">
        <f>[1]!s_stmnote_bank_38(A174,$E$1,1,100000000)</f>
        <v>0</v>
      </c>
      <c r="CD174" s="52">
        <f>[1]!s_stmnote_bank_38(A174,$F$1,1,100000000)</f>
        <v>0</v>
      </c>
      <c r="CE174" s="52">
        <f>[1]!s_stmnote_bank_38(A174,$G$1,1,100000000)</f>
        <v>0</v>
      </c>
      <c r="CF174" s="52" t="str">
        <f>IF(BP174&lt;&gt;0,BP174,IFERROR(IF(([1]!b_stm07_is(A174,19,$A$1,1,100000000)-[1]!b_stm07_is(A174,20,$A$1,1,100000000))/AVERAGE([1]!s_stmnote_bank_35(A174,$A$1,1,100000000),[1]!s_stmnote_bank_35(A174,$B$1,1,100000000))*100=0,"",([1]!b_stm07_is(A174,19,$A$1,1,100000000)-[1]!b_stm07_is(A174,20,$A$1,1,100000000))/AVERAGE([1]!s_stmnote_bank_35(A174,$A$1,1,100000000),[1]!s_stmnote_bank_35(A174,$B$1,1,100000000))*100),""))</f>
        <v/>
      </c>
      <c r="CG174" s="27" t="e">
        <f t="shared" si="46"/>
        <v>#VALUE!</v>
      </c>
      <c r="CH174" s="80" t="str">
        <f t="shared" si="53"/>
        <v/>
      </c>
      <c r="CI174" s="27" t="e">
        <f t="shared" si="47"/>
        <v>#VALUE!</v>
      </c>
      <c r="CJ174" s="55">
        <f>[1]!s_stmnote_bank_30(A174,$A$1,1)</f>
        <v>0</v>
      </c>
      <c r="CP174" s="69">
        <f>[1]!b_stm07_bs($A174,141,$A$1,1,100000000)</f>
        <v>0</v>
      </c>
      <c r="CQ174" s="69">
        <f>[1]!b_stm07_bs($A174,141,$D$1,1,100000000)</f>
        <v>0</v>
      </c>
      <c r="CR174" s="68" t="str">
        <f>IF([1]!s_fa_roic_yearly($A174,$A$1)=0,"",[1]!s_fa_roic_yearly($A174,$A$1))</f>
        <v/>
      </c>
      <c r="CS174" s="27" t="e">
        <f t="shared" si="48"/>
        <v>#VALUE!</v>
      </c>
      <c r="CT174" s="68" t="str">
        <f>IF([1]!s_fa_roic_yearly($A174,$D$1)=0,"",[1]!s_fa_roic_yearly($A174,$D$1))</f>
        <v/>
      </c>
      <c r="CU174" s="27" t="e">
        <f t="shared" si="49"/>
        <v>#VALUE!</v>
      </c>
      <c r="CV174" s="78">
        <f>[1]!s_stm07_bs(A174,"W14578191",$A$1,1,100000000)</f>
        <v>0</v>
      </c>
      <c r="CW174" s="78">
        <f>[1]!s_stmnote_bank_682($A174,$A$1,1,2,100000000)</f>
        <v>0</v>
      </c>
      <c r="CX174" s="79" t="str">
        <f t="shared" si="50"/>
        <v/>
      </c>
    </row>
    <row r="175" spans="1:102" s="46" customFormat="1" ht="13.5">
      <c r="A175" s="8" t="s">
        <v>994</v>
      </c>
      <c r="B175" s="8" t="s">
        <v>995</v>
      </c>
      <c r="C175" s="9" t="s">
        <v>996</v>
      </c>
      <c r="D175" s="9" t="s">
        <v>1061</v>
      </c>
      <c r="E175" s="10"/>
      <c r="F175" s="11" t="s">
        <v>90</v>
      </c>
      <c r="G175" s="11" t="s">
        <v>67</v>
      </c>
      <c r="H175" s="11" t="s">
        <v>67</v>
      </c>
      <c r="I175" s="11"/>
      <c r="J175" s="11" t="e">
        <f>VLOOKUP(B175,[3]额度信息!$B:$T,19,0)</f>
        <v>#N/A</v>
      </c>
      <c r="K175" s="11"/>
      <c r="L175" s="27" t="str">
        <f>IFERROR(([1]!b_stm07_bs($A175,47,$A$1,1,100000000))/[1]!b_stm07_bs($A175,109,$A$1,1,100000000),"")</f>
        <v/>
      </c>
      <c r="M175" s="20"/>
      <c r="N175" s="18"/>
      <c r="O175" s="27" t="e">
        <f t="shared" si="39"/>
        <v>#N/A</v>
      </c>
      <c r="P175" s="21" t="str">
        <f t="shared" si="51"/>
        <v/>
      </c>
      <c r="Q175" s="27" t="e">
        <f t="shared" si="40"/>
        <v>#VALUE!</v>
      </c>
      <c r="R175" s="18" t="str">
        <f>IFERROR([1]!s_stmnote_bank($A175,"34",$A$1,100000000)/[1]!s_stmnote_bank_1n(A175,$A$1,1,100000000),"")</f>
        <v/>
      </c>
      <c r="S175" s="22"/>
      <c r="T175" s="22"/>
      <c r="U175" s="22"/>
      <c r="V175" s="22"/>
      <c r="W175" s="22"/>
      <c r="X175" s="22"/>
      <c r="Y175" s="22"/>
      <c r="Z175" s="25">
        <f>[1]!b_stm07_bs(A175,74,$A$1,1,100000000)</f>
        <v>0</v>
      </c>
      <c r="AA175" s="25">
        <f>[1]!b_stm07_bs(A175,109,$A$1,1,100000000)</f>
        <v>0</v>
      </c>
      <c r="AB175" s="10">
        <f>[1]!s_stmnote_bank_5n(A175,$A$1,1)</f>
        <v>0</v>
      </c>
      <c r="AC175" s="25" t="str">
        <f>IF([1]!s_stmnote_bank_23n(A175,$A$1,1)=0,"",IFERROR([1]!s_stmnote_bank_23n(A175,$A$1,1),""))</f>
        <v/>
      </c>
      <c r="AD175" s="27" t="e">
        <f t="shared" si="41"/>
        <v>#VALUE!</v>
      </c>
      <c r="AE175" s="25">
        <f>[1]!s_stmnote_bank_capadequacyratio(A175,$A$1,1)</f>
        <v>0</v>
      </c>
      <c r="AF175" s="25" t="str">
        <f>IF([1]!s_stmnote_bank_capadequacyratio_ct1(A175,$A$1,1)=0,"",IFERROR([1]!s_stmnote_bank_capadequacyratio_ct1(A175,$A$1,1),""))</f>
        <v/>
      </c>
      <c r="AG175" s="27" t="e">
        <f t="shared" si="42"/>
        <v>#VALUE!</v>
      </c>
      <c r="AH175" s="6" t="str">
        <f>IF(OR([1]!s_fa_roe(A175,20201231)=0,[1]!s_fa_roe(A175,20211231)="0",[1]!s_fa_roe(A175,20221231)="0"),"",IFERROR(([1]!s_fa_roe(A175,20221231)+[1]!s_fa_roe(A175,20201231)+[1]!s_fa_roe(A175,20211231))/3,""))</f>
        <v/>
      </c>
      <c r="AI175" s="27" t="e">
        <f t="shared" si="43"/>
        <v>#VALUE!</v>
      </c>
      <c r="AJ175" s="28" t="str">
        <f>IFERROR(([1]!s_stmnote_bank_65(A175,$A$1,1,2,4,100000000)+[1]!s_stmnote_bank_65(A175,$A$1,1,2,6,100000000))/[1]!s_stmnote_bank_1n(A175,$A$1,1,100000000),"")</f>
        <v/>
      </c>
      <c r="AK175" s="28" t="str">
        <f>IFERROR([1]!s_stmnote_bank_614(A175,$A$1,1,2,100000000)/[1]!s_stmnote_bank_647(A175,$A$1,1,2,100000000),"")</f>
        <v/>
      </c>
      <c r="AL175" s="28" t="str">
        <f>IFERROR(([1]!b_stm07_bs(A175,104,$A$1,1,100000000)+[1]!b_stm07_bs(A175,106,$A$1,1,100000000)+[1]!b_stm07_bs(A175,76,$A$1,1,100000000)+[1]!b_stm07_bs(A175,108,$A$1,1,100000000)+[1]!b_stm07_bs(A175,95,$A$1,1,100000000))/[1]!b_stm07_bs(A175,128,$A$1,1,100000000),"")</f>
        <v/>
      </c>
      <c r="AM175" s="28" t="str">
        <f>IFERROR(([1]!s_stmnote_bank_614(A175,$A$1,1,2,100000000)+[1]!b_stm07_bs(A175,104,$A$1,1,100000000)+[1]!b_stm07_bs(A175,106,$A$1,1,100000000)+[1]!b_stm07_bs(A175,76,$A$1,1,100000000)+[1]!b_stm07_bs(A175,108,$A$1,1,100000000)+[1]!b_stm07_bs(A175,95,$A$1,1,100000000))/[1]!b_stm07_bs(A175,128,$A$1,1,100000000),"")</f>
        <v/>
      </c>
      <c r="AN175" s="31" t="e">
        <f>IF(Z175&gt;#REF!,#REF!,IF(Z175&gt;#REF!,#REF!,IF(Z175&gt;#REF!,#REF!,IF(Z175&gt;#REF!,#REF!,IF(Z175&gt;#REF!,#REF!,IF(Z175&gt;#REF!,#REF!,IF(Z175&gt;#REF!,#REF!,#REF!)))))))</f>
        <v>#REF!</v>
      </c>
      <c r="AO175" s="31" t="e">
        <f>IF(AA175&gt;#REF!,#REF!,IF(AA175&gt;#REF!,#REF!,IF(AA175&gt;#REF!,#REF!,IF(AA175&gt;#REF!,#REF!,IF(AA175&gt;#REF!,#REF!,IF(AA175&gt;#REF!,#REF!,IF(AA175&gt;#REF!,#REF!,#REF!)))))))</f>
        <v>#REF!</v>
      </c>
      <c r="AP175" s="31" t="e">
        <f>IF(AB175&lt;#REF!,#REF!,IF(AB175&lt;#REF!,#REF!,IF(AB175&lt;#REF!,#REF!,IF(AB175&lt;#REF!,#REF!,IF(AB175&lt;#REF!,#REF!,IF(AB175&lt;#REF!,#REF!,#REF!))))))</f>
        <v>#REF!</v>
      </c>
      <c r="AQ175" s="31" t="e">
        <f>IF(AC175&gt;#REF!,#REF!,IF(AC175&gt;#REF!,#REF!,IF(AC175&gt;#REF!,#REF!,IF(AC175&gt;#REF!,#REF!,#REF!))))</f>
        <v>#REF!</v>
      </c>
      <c r="AR175" s="31" t="e">
        <f>IF(AE175&gt;#REF!,#REF!,IF(AE175&gt;#REF!,#REF!,IF(AE175&gt;#REF!,#REF!,IF(AE175&gt;#REF!,#REF!,#REF!))))</f>
        <v>#REF!</v>
      </c>
      <c r="AS175" s="31" t="e">
        <f>IF(AF175&gt;#REF!,#REF!,IF(AF175&gt;#REF!,#REF!,IF(AF175&gt;#REF!,#REF!,IF(AF175&gt;#REF!,#REF!,#REF!))))</f>
        <v>#REF!</v>
      </c>
      <c r="AT175" s="31" t="e">
        <f>IF(AH175&gt;#REF!,#REF!,IF(AH175&gt;#REF!,#REF!,IF(AH175&gt;#REF!,#REF!,IF(AH175&gt;#REF!,#REF!,IF(AH175&gt;#REF!,#REF!,#REF!)))))</f>
        <v>#REF!</v>
      </c>
      <c r="AU175" s="10" t="e">
        <f t="shared" si="44"/>
        <v>#REF!</v>
      </c>
      <c r="AV175" s="10"/>
      <c r="AW175" s="10"/>
      <c r="AX175" s="10"/>
      <c r="AY175" s="31" t="str">
        <f>IFERROR(VLOOKUP(AV175,#REF!,3,0),"")</f>
        <v/>
      </c>
      <c r="AZ175" s="31" t="str">
        <f>IFERROR(VLOOKUP(AW175,#REF!,3,0),"")</f>
        <v/>
      </c>
      <c r="BA175" s="31" t="str">
        <f>IFERROR(VLOOKUP(AX175,#REF!,3,0),"")</f>
        <v/>
      </c>
      <c r="BB175" s="31" t="str">
        <f>IFERROR(AY175*#REF!+AZ175*#REF!+BA175*#REF!,"")</f>
        <v/>
      </c>
      <c r="BC175" s="32" t="str">
        <f t="shared" si="45"/>
        <v/>
      </c>
      <c r="BD175" s="32" t="str">
        <f>IFERROR(VLOOKUP(BC175*10,#REF!,2,1),"")</f>
        <v/>
      </c>
      <c r="BE175" s="10"/>
      <c r="BF175" s="10"/>
      <c r="BG175" s="10"/>
      <c r="BH175" s="11" t="s">
        <v>997</v>
      </c>
      <c r="BI175" s="10">
        <v>21.0200004577637</v>
      </c>
      <c r="BJ175" s="11" t="s">
        <v>78</v>
      </c>
      <c r="BK175" s="33" t="s">
        <v>998</v>
      </c>
      <c r="BL175" s="10">
        <f>IF([1]!s_stmnote_bank_17n(A175,$A$1,1)="0","",[1]!s_stmnote_bank_17n(A175,$A$1,1))</f>
        <v>0</v>
      </c>
      <c r="BM175" s="10">
        <f>IF([1]!s_stmnote_bank_18n(A175,$A$1,1)="0","",[1]!s_stmnote_bank_18n(A175,$A$1,1))</f>
        <v>0</v>
      </c>
      <c r="BN175" s="41"/>
      <c r="BO175" s="52"/>
      <c r="BP175" s="52">
        <f>[1]!s_stmnote_bank_5444(A175,$A$1,1)</f>
        <v>0</v>
      </c>
      <c r="BQ175" s="52">
        <f>[1]!s_stmnote_bank_129n($A175,$A$1,1)</f>
        <v>0</v>
      </c>
      <c r="BR175" s="52">
        <f t="shared" si="52"/>
        <v>0</v>
      </c>
      <c r="BS175" s="52">
        <f>[1]!b_stm07_is(A175,19,$A$1,1,100000000)</f>
        <v>0</v>
      </c>
      <c r="BT175" s="52">
        <f xml:space="preserve"> [1]!s_stm07_bs(A175,"W15273164",$A$1,1,100000000)-[1]!s_stm07_bs(A175,"W17642530",$A$1,1,100000000)-[1]!s_stm07_bs(A175,"W15910877",$A$1,1,100000000)-[1]!s_stm07_bs_39(A175,$A$1,1,100000000)-[1]!s_stm07_bs(A175,"W17700468",$A$1,1,100000000)-[1]!s_stm07_bs(A175,"W16504296",$A$1,1,100000000)-[1]!s_stm07_bs(A175,"W13769069",$A$1,1,100000000)</f>
        <v>0</v>
      </c>
      <c r="BU175" s="52">
        <f xml:space="preserve"> [1]!s_stm07_bs(A175,"W15273164",$B$1,1,100000000)-[1]!s_stm07_bs(A175,"W17642530",$B$1,1,100000000)-[1]!s_stm07_bs(A175,"W15910877",$B$1,1,100000000)-[1]!s_stm07_bs_39(A175,$B$1,1,100000000)-[1]!s_stm07_bs(A175,"W17700468",$B$1,1,100000000)-[1]!s_stm07_bs(A175,"W16504296",$B$1,1,100000000)-[1]!s_stm07_bs(A175,"W13769069",$B$1,1,100000000)</f>
        <v>0</v>
      </c>
      <c r="BV175" s="52">
        <f xml:space="preserve"> [1]!s_stm07_bs(A175,"W15273164",$E$1,1,100000000)-[1]!s_stm07_bs(A175,"W17642530",$E$1,1,100000000)-[1]!s_stm07_bs(A175,"W15910877",$E$1,1,100000000)-[1]!s_stm07_bs_39(A175,$E$1,1,100000000)-[1]!s_stm07_bs(A175,"W17700468",$E$1,1,100000000)-[1]!s_stm07_bs(A175,"W16504296",$E$1,1,100000000)-[1]!s_stm07_bs(A175,"W13769069",$E$1,1,100000000)</f>
        <v>0</v>
      </c>
      <c r="BW175" s="52">
        <f xml:space="preserve"> [1]!s_stm07_bs(A175,"W15273164",$F$1,1,100000000)-[1]!s_stm07_bs(A175,"W17642530",$F$1,1,100000000)-[1]!s_stm07_bs(A175,"W15910877",$F$1,1,100000000)-[1]!s_stm07_bs_39(A175,$F$1,1,100000000)-[1]!s_stm07_bs(A175,"W17700468",$F$1,1,100000000)-[1]!s_stm07_bs(A175,"W16504296",$F$1,1,100000000)-[1]!s_stm07_bs(A175,"W13769069",$F$1,1,100000000)</f>
        <v>0</v>
      </c>
      <c r="BX175" s="52">
        <f xml:space="preserve"> [1]!s_stm07_bs(A175,"W15273164",$G$1,1,100000000)-[1]!s_stm07_bs(A175,"W17642530",$G$1,1,100000000)-[1]!s_stm07_bs(A175,"W15910877",$G$1,1,100000000)-[1]!s_stm07_bs_39(A175,$G$1,1,100000000)-[1]!s_stm07_bs(A175,"W17700468",$G$1,1,100000000)-[1]!s_stm07_bs(A175,"W16504296",$G$1,1,100000000)-[1]!s_stm07_bs(A175,"W13769069",$G$1,1,100000000)</f>
        <v>0</v>
      </c>
      <c r="BY175" s="52">
        <f>IFERROR([1]!b_stm07_is(A175,20,$A$1,1,100000000)/AVERAGEIF(CA175:CE175,"&gt;0")*100,0)</f>
        <v>0</v>
      </c>
      <c r="BZ175" s="52">
        <f>[1]!b_stm07_is(A175,20,$A$1,1,100000000)</f>
        <v>0</v>
      </c>
      <c r="CA175" s="52">
        <f>[1]!s_stmnote_bank_38(A175,$A$1,1,100000000)</f>
        <v>0</v>
      </c>
      <c r="CB175" s="52">
        <f>[1]!s_stmnote_bank_38(A175,$B$1,1,100000000)</f>
        <v>0</v>
      </c>
      <c r="CC175" s="52">
        <f>[1]!s_stmnote_bank_38(A175,$E$1,1,100000000)</f>
        <v>0</v>
      </c>
      <c r="CD175" s="52">
        <f>[1]!s_stmnote_bank_38(A175,$F$1,1,100000000)</f>
        <v>0</v>
      </c>
      <c r="CE175" s="52">
        <f>[1]!s_stmnote_bank_38(A175,$G$1,1,100000000)</f>
        <v>0</v>
      </c>
      <c r="CF175" s="52" t="str">
        <f>IF(BP175&lt;&gt;0,BP175,IFERROR(IF(([1]!b_stm07_is(A175,19,$A$1,1,100000000)-[1]!b_stm07_is(A175,20,$A$1,1,100000000))/AVERAGE([1]!s_stmnote_bank_35(A175,$A$1,1,100000000),[1]!s_stmnote_bank_35(A175,$B$1,1,100000000))*100=0,"",([1]!b_stm07_is(A175,19,$A$1,1,100000000)-[1]!b_stm07_is(A175,20,$A$1,1,100000000))/AVERAGE([1]!s_stmnote_bank_35(A175,$A$1,1,100000000),[1]!s_stmnote_bank_35(A175,$B$1,1,100000000))*100),""))</f>
        <v/>
      </c>
      <c r="CG175" s="27" t="e">
        <f t="shared" si="46"/>
        <v>#VALUE!</v>
      </c>
      <c r="CH175" s="80" t="str">
        <f t="shared" si="53"/>
        <v/>
      </c>
      <c r="CI175" s="27" t="e">
        <f t="shared" si="47"/>
        <v>#VALUE!</v>
      </c>
      <c r="CJ175" s="55">
        <f>[1]!s_stmnote_bank_30(A175,$A$1,1)</f>
        <v>0</v>
      </c>
      <c r="CP175" s="69">
        <f>[1]!b_stm07_bs($A175,141,$A$1,1,100000000)</f>
        <v>0</v>
      </c>
      <c r="CQ175" s="69">
        <f>[1]!b_stm07_bs($A175,141,$D$1,1,100000000)</f>
        <v>0</v>
      </c>
      <c r="CR175" s="68" t="str">
        <f>IF([1]!s_fa_roic_yearly($A175,$A$1)=0,"",[1]!s_fa_roic_yearly($A175,$A$1))</f>
        <v/>
      </c>
      <c r="CS175" s="27" t="e">
        <f t="shared" si="48"/>
        <v>#VALUE!</v>
      </c>
      <c r="CT175" s="68" t="str">
        <f>IF([1]!s_fa_roic_yearly($A175,$D$1)=0,"",[1]!s_fa_roic_yearly($A175,$D$1))</f>
        <v/>
      </c>
      <c r="CU175" s="27" t="e">
        <f t="shared" si="49"/>
        <v>#VALUE!</v>
      </c>
      <c r="CV175" s="78">
        <f>[1]!s_stm07_bs(A175,"W14578191",$A$1,1,100000000)</f>
        <v>0</v>
      </c>
      <c r="CW175" s="78">
        <f>[1]!s_stmnote_bank_682($A175,$A$1,1,2,100000000)</f>
        <v>0</v>
      </c>
      <c r="CX175" s="79" t="str">
        <f t="shared" si="50"/>
        <v/>
      </c>
    </row>
    <row r="176" spans="1:102" s="46" customFormat="1" ht="13.5">
      <c r="A176" s="8" t="s">
        <v>999</v>
      </c>
      <c r="B176" s="8" t="s">
        <v>1000</v>
      </c>
      <c r="C176" s="9" t="s">
        <v>1001</v>
      </c>
      <c r="D176" s="9" t="s">
        <v>1066</v>
      </c>
      <c r="E176" s="10"/>
      <c r="F176" s="11" t="s">
        <v>90</v>
      </c>
      <c r="G176" s="11" t="s">
        <v>67</v>
      </c>
      <c r="H176" s="11" t="s">
        <v>67</v>
      </c>
      <c r="I176" s="11"/>
      <c r="J176" s="11" t="e">
        <f>VLOOKUP(B176,[3]额度信息!$B:$T,19,0)</f>
        <v>#N/A</v>
      </c>
      <c r="K176" s="11"/>
      <c r="L176" s="27" t="str">
        <f>IFERROR(([1]!b_stm07_bs($A176,47,$A$1,1,100000000))/[1]!b_stm07_bs($A176,109,$A$1,1,100000000),"")</f>
        <v/>
      </c>
      <c r="M176" s="20"/>
      <c r="N176" s="18"/>
      <c r="O176" s="27" t="e">
        <f t="shared" si="39"/>
        <v>#N/A</v>
      </c>
      <c r="P176" s="21" t="str">
        <f t="shared" si="51"/>
        <v/>
      </c>
      <c r="Q176" s="27" t="e">
        <f t="shared" si="40"/>
        <v>#VALUE!</v>
      </c>
      <c r="R176" s="18" t="str">
        <f>IFERROR([1]!s_stmnote_bank($A176,"34",$A$1,100000000)/[1]!s_stmnote_bank_1n(A176,$A$1,1,100000000),"")</f>
        <v/>
      </c>
      <c r="S176" s="22"/>
      <c r="T176" s="22"/>
      <c r="U176" s="22"/>
      <c r="V176" s="22"/>
      <c r="W176" s="22"/>
      <c r="X176" s="22"/>
      <c r="Y176" s="22"/>
      <c r="Z176" s="25">
        <f>[1]!b_stm07_bs(A176,74,$A$1,1,100000000)</f>
        <v>0</v>
      </c>
      <c r="AA176" s="25">
        <f>[1]!b_stm07_bs(A176,109,$A$1,1,100000000)</f>
        <v>0</v>
      </c>
      <c r="AB176" s="10">
        <f>[1]!s_stmnote_bank_5n(A176,$A$1,1)</f>
        <v>0</v>
      </c>
      <c r="AC176" s="25" t="str">
        <f>IF([1]!s_stmnote_bank_23n(A176,$A$1,1)=0,"",IFERROR([1]!s_stmnote_bank_23n(A176,$A$1,1),""))</f>
        <v/>
      </c>
      <c r="AD176" s="27" t="e">
        <f t="shared" si="41"/>
        <v>#VALUE!</v>
      </c>
      <c r="AE176" s="25">
        <f>[1]!s_stmnote_bank_capadequacyratio(A176,$A$1,1)</f>
        <v>0</v>
      </c>
      <c r="AF176" s="25" t="str">
        <f>IF([1]!s_stmnote_bank_capadequacyratio_ct1(A176,$A$1,1)=0,"",IFERROR([1]!s_stmnote_bank_capadequacyratio_ct1(A176,$A$1,1),""))</f>
        <v/>
      </c>
      <c r="AG176" s="27" t="e">
        <f t="shared" si="42"/>
        <v>#VALUE!</v>
      </c>
      <c r="AH176" s="6" t="str">
        <f>IF(OR([1]!s_fa_roe(A176,20201231)=0,[1]!s_fa_roe(A176,20211231)="0",[1]!s_fa_roe(A176,20221231)="0"),"",IFERROR(([1]!s_fa_roe(A176,20221231)+[1]!s_fa_roe(A176,20201231)+[1]!s_fa_roe(A176,20211231))/3,""))</f>
        <v/>
      </c>
      <c r="AI176" s="27" t="e">
        <f t="shared" si="43"/>
        <v>#VALUE!</v>
      </c>
      <c r="AJ176" s="28" t="str">
        <f>IFERROR(([1]!s_stmnote_bank_65(A176,$A$1,1,2,4,100000000)+[1]!s_stmnote_bank_65(A176,$A$1,1,2,6,100000000))/[1]!s_stmnote_bank_1n(A176,$A$1,1,100000000),"")</f>
        <v/>
      </c>
      <c r="AK176" s="28" t="str">
        <f>IFERROR([1]!s_stmnote_bank_614(A176,$A$1,1,2,100000000)/[1]!s_stmnote_bank_647(A176,$A$1,1,2,100000000),"")</f>
        <v/>
      </c>
      <c r="AL176" s="28" t="str">
        <f>IFERROR(([1]!b_stm07_bs(A176,104,$A$1,1,100000000)+[1]!b_stm07_bs(A176,106,$A$1,1,100000000)+[1]!b_stm07_bs(A176,76,$A$1,1,100000000)+[1]!b_stm07_bs(A176,108,$A$1,1,100000000)+[1]!b_stm07_bs(A176,95,$A$1,1,100000000))/[1]!b_stm07_bs(A176,128,$A$1,1,100000000),"")</f>
        <v/>
      </c>
      <c r="AM176" s="28" t="str">
        <f>IFERROR(([1]!s_stmnote_bank_614(A176,$A$1,1,2,100000000)+[1]!b_stm07_bs(A176,104,$A$1,1,100000000)+[1]!b_stm07_bs(A176,106,$A$1,1,100000000)+[1]!b_stm07_bs(A176,76,$A$1,1,100000000)+[1]!b_stm07_bs(A176,108,$A$1,1,100000000)+[1]!b_stm07_bs(A176,95,$A$1,1,100000000))/[1]!b_stm07_bs(A176,128,$A$1,1,100000000),"")</f>
        <v/>
      </c>
      <c r="AN176" s="31" t="e">
        <f>IF(Z176&gt;#REF!,#REF!,IF(Z176&gt;#REF!,#REF!,IF(Z176&gt;#REF!,#REF!,IF(Z176&gt;#REF!,#REF!,IF(Z176&gt;#REF!,#REF!,IF(Z176&gt;#REF!,#REF!,IF(Z176&gt;#REF!,#REF!,#REF!)))))))</f>
        <v>#REF!</v>
      </c>
      <c r="AO176" s="31" t="e">
        <f>IF(AA176&gt;#REF!,#REF!,IF(AA176&gt;#REF!,#REF!,IF(AA176&gt;#REF!,#REF!,IF(AA176&gt;#REF!,#REF!,IF(AA176&gt;#REF!,#REF!,IF(AA176&gt;#REF!,#REF!,IF(AA176&gt;#REF!,#REF!,#REF!)))))))</f>
        <v>#REF!</v>
      </c>
      <c r="AP176" s="31" t="e">
        <f>IF(AB176&lt;#REF!,#REF!,IF(AB176&lt;#REF!,#REF!,IF(AB176&lt;#REF!,#REF!,IF(AB176&lt;#REF!,#REF!,IF(AB176&lt;#REF!,#REF!,IF(AB176&lt;#REF!,#REF!,#REF!))))))</f>
        <v>#REF!</v>
      </c>
      <c r="AQ176" s="31" t="e">
        <f>IF(AC176&gt;#REF!,#REF!,IF(AC176&gt;#REF!,#REF!,IF(AC176&gt;#REF!,#REF!,IF(AC176&gt;#REF!,#REF!,#REF!))))</f>
        <v>#REF!</v>
      </c>
      <c r="AR176" s="31" t="e">
        <f>IF(AE176&gt;#REF!,#REF!,IF(AE176&gt;#REF!,#REF!,IF(AE176&gt;#REF!,#REF!,IF(AE176&gt;#REF!,#REF!,#REF!))))</f>
        <v>#REF!</v>
      </c>
      <c r="AS176" s="31" t="e">
        <f>IF(AF176&gt;#REF!,#REF!,IF(AF176&gt;#REF!,#REF!,IF(AF176&gt;#REF!,#REF!,IF(AF176&gt;#REF!,#REF!,#REF!))))</f>
        <v>#REF!</v>
      </c>
      <c r="AT176" s="31" t="e">
        <f>IF(AH176&gt;#REF!,#REF!,IF(AH176&gt;#REF!,#REF!,IF(AH176&gt;#REF!,#REF!,IF(AH176&gt;#REF!,#REF!,IF(AH176&gt;#REF!,#REF!,#REF!)))))</f>
        <v>#REF!</v>
      </c>
      <c r="AU176" s="10" t="e">
        <f t="shared" si="44"/>
        <v>#REF!</v>
      </c>
      <c r="AV176" s="10"/>
      <c r="AW176" s="10"/>
      <c r="AX176" s="10"/>
      <c r="AY176" s="31" t="str">
        <f>IFERROR(VLOOKUP(AV176,#REF!,3,0),"")</f>
        <v/>
      </c>
      <c r="AZ176" s="31" t="str">
        <f>IFERROR(VLOOKUP(AW176,#REF!,3,0),"")</f>
        <v/>
      </c>
      <c r="BA176" s="31" t="str">
        <f>IFERROR(VLOOKUP(AX176,#REF!,3,0),"")</f>
        <v/>
      </c>
      <c r="BB176" s="31" t="str">
        <f>IFERROR(AY176*#REF!+AZ176*#REF!+BA176*#REF!,"")</f>
        <v/>
      </c>
      <c r="BC176" s="32" t="str">
        <f t="shared" si="45"/>
        <v/>
      </c>
      <c r="BD176" s="32" t="str">
        <f>IFERROR(VLOOKUP(BC176*10,#REF!,2,1),"")</f>
        <v/>
      </c>
      <c r="BE176" s="10"/>
      <c r="BF176" s="10"/>
      <c r="BG176" s="10"/>
      <c r="BH176" s="11" t="s">
        <v>1002</v>
      </c>
      <c r="BI176" s="10">
        <v>10</v>
      </c>
      <c r="BJ176" s="11" t="s">
        <v>105</v>
      </c>
      <c r="BK176" s="33" t="s">
        <v>106</v>
      </c>
      <c r="BL176" s="10">
        <f>IF([1]!s_stmnote_bank_17n(A176,$A$1,1)="0","",[1]!s_stmnote_bank_17n(A176,$A$1,1))</f>
        <v>0</v>
      </c>
      <c r="BM176" s="10">
        <f>IF([1]!s_stmnote_bank_18n(A176,$A$1,1)="0","",[1]!s_stmnote_bank_18n(A176,$A$1,1))</f>
        <v>0</v>
      </c>
      <c r="BN176" s="41"/>
      <c r="BO176" s="52"/>
      <c r="BP176" s="52">
        <f>[1]!s_stmnote_bank_5444(A176,$A$1,1)</f>
        <v>0</v>
      </c>
      <c r="BQ176" s="52">
        <f>[1]!s_stmnote_bank_129n($A176,$A$1,1)</f>
        <v>0</v>
      </c>
      <c r="BR176" s="52">
        <f t="shared" si="52"/>
        <v>0</v>
      </c>
      <c r="BS176" s="52">
        <f>[1]!b_stm07_is(A176,19,$A$1,1,100000000)</f>
        <v>0</v>
      </c>
      <c r="BT176" s="52">
        <f xml:space="preserve"> [1]!s_stm07_bs(A176,"W15273164",$A$1,1,100000000)-[1]!s_stm07_bs(A176,"W17642530",$A$1,1,100000000)-[1]!s_stm07_bs(A176,"W15910877",$A$1,1,100000000)-[1]!s_stm07_bs_39(A176,$A$1,1,100000000)-[1]!s_stm07_bs(A176,"W17700468",$A$1,1,100000000)-[1]!s_stm07_bs(A176,"W16504296",$A$1,1,100000000)-[1]!s_stm07_bs(A176,"W13769069",$A$1,1,100000000)</f>
        <v>0</v>
      </c>
      <c r="BU176" s="52">
        <f xml:space="preserve"> [1]!s_stm07_bs(A176,"W15273164",$B$1,1,100000000)-[1]!s_stm07_bs(A176,"W17642530",$B$1,1,100000000)-[1]!s_stm07_bs(A176,"W15910877",$B$1,1,100000000)-[1]!s_stm07_bs_39(A176,$B$1,1,100000000)-[1]!s_stm07_bs(A176,"W17700468",$B$1,1,100000000)-[1]!s_stm07_bs(A176,"W16504296",$B$1,1,100000000)-[1]!s_stm07_bs(A176,"W13769069",$B$1,1,100000000)</f>
        <v>0</v>
      </c>
      <c r="BV176" s="52">
        <f xml:space="preserve"> [1]!s_stm07_bs(A176,"W15273164",$E$1,1,100000000)-[1]!s_stm07_bs(A176,"W17642530",$E$1,1,100000000)-[1]!s_stm07_bs(A176,"W15910877",$E$1,1,100000000)-[1]!s_stm07_bs_39(A176,$E$1,1,100000000)-[1]!s_stm07_bs(A176,"W17700468",$E$1,1,100000000)-[1]!s_stm07_bs(A176,"W16504296",$E$1,1,100000000)-[1]!s_stm07_bs(A176,"W13769069",$E$1,1,100000000)</f>
        <v>0</v>
      </c>
      <c r="BW176" s="52">
        <f xml:space="preserve"> [1]!s_stm07_bs(A176,"W15273164",$F$1,1,100000000)-[1]!s_stm07_bs(A176,"W17642530",$F$1,1,100000000)-[1]!s_stm07_bs(A176,"W15910877",$F$1,1,100000000)-[1]!s_stm07_bs_39(A176,$F$1,1,100000000)-[1]!s_stm07_bs(A176,"W17700468",$F$1,1,100000000)-[1]!s_stm07_bs(A176,"W16504296",$F$1,1,100000000)-[1]!s_stm07_bs(A176,"W13769069",$F$1,1,100000000)</f>
        <v>0</v>
      </c>
      <c r="BX176" s="52">
        <f xml:space="preserve"> [1]!s_stm07_bs(A176,"W15273164",$G$1,1,100000000)-[1]!s_stm07_bs(A176,"W17642530",$G$1,1,100000000)-[1]!s_stm07_bs(A176,"W15910877",$G$1,1,100000000)-[1]!s_stm07_bs_39(A176,$G$1,1,100000000)-[1]!s_stm07_bs(A176,"W17700468",$G$1,1,100000000)-[1]!s_stm07_bs(A176,"W16504296",$G$1,1,100000000)-[1]!s_stm07_bs(A176,"W13769069",$G$1,1,100000000)</f>
        <v>0</v>
      </c>
      <c r="BY176" s="52">
        <f>IFERROR([1]!b_stm07_is(A176,20,$A$1,1,100000000)/AVERAGEIF(CA176:CE176,"&gt;0")*100,0)</f>
        <v>0</v>
      </c>
      <c r="BZ176" s="52">
        <f>[1]!b_stm07_is(A176,20,$A$1,1,100000000)</f>
        <v>0</v>
      </c>
      <c r="CA176" s="52">
        <f>[1]!s_stmnote_bank_38(A176,$A$1,1,100000000)</f>
        <v>0</v>
      </c>
      <c r="CB176" s="52">
        <f>[1]!s_stmnote_bank_38(A176,$B$1,1,100000000)</f>
        <v>0</v>
      </c>
      <c r="CC176" s="52">
        <f>[1]!s_stmnote_bank_38(A176,$E$1,1,100000000)</f>
        <v>0</v>
      </c>
      <c r="CD176" s="52">
        <f>[1]!s_stmnote_bank_38(A176,$F$1,1,100000000)</f>
        <v>0</v>
      </c>
      <c r="CE176" s="52">
        <f>[1]!s_stmnote_bank_38(A176,$G$1,1,100000000)</f>
        <v>0</v>
      </c>
      <c r="CF176" s="52" t="str">
        <f>IF(BP176&lt;&gt;0,BP176,IFERROR(IF(([1]!b_stm07_is(A176,19,$A$1,1,100000000)-[1]!b_stm07_is(A176,20,$A$1,1,100000000))/AVERAGE([1]!s_stmnote_bank_35(A176,$A$1,1,100000000),[1]!s_stmnote_bank_35(A176,$B$1,1,100000000))*100=0,"",([1]!b_stm07_is(A176,19,$A$1,1,100000000)-[1]!b_stm07_is(A176,20,$A$1,1,100000000))/AVERAGE([1]!s_stmnote_bank_35(A176,$A$1,1,100000000),[1]!s_stmnote_bank_35(A176,$B$1,1,100000000))*100),""))</f>
        <v/>
      </c>
      <c r="CG176" s="27" t="e">
        <f t="shared" si="46"/>
        <v>#VALUE!</v>
      </c>
      <c r="CH176" s="80" t="str">
        <f t="shared" si="53"/>
        <v/>
      </c>
      <c r="CI176" s="27" t="e">
        <f t="shared" si="47"/>
        <v>#VALUE!</v>
      </c>
      <c r="CJ176" s="55">
        <f>[1]!s_stmnote_bank_30(A176,$A$1,1)</f>
        <v>0</v>
      </c>
      <c r="CP176" s="69">
        <f>[1]!b_stm07_bs($A176,141,$A$1,1,100000000)</f>
        <v>0</v>
      </c>
      <c r="CQ176" s="69">
        <f>[1]!b_stm07_bs($A176,141,$D$1,1,100000000)</f>
        <v>0</v>
      </c>
      <c r="CR176" s="68" t="str">
        <f>IF([1]!s_fa_roic_yearly($A176,$A$1)=0,"",[1]!s_fa_roic_yearly($A176,$A$1))</f>
        <v/>
      </c>
      <c r="CS176" s="27" t="e">
        <f t="shared" si="48"/>
        <v>#VALUE!</v>
      </c>
      <c r="CT176" s="68" t="str">
        <f>IF([1]!s_fa_roic_yearly($A176,$D$1)=0,"",[1]!s_fa_roic_yearly($A176,$D$1))</f>
        <v/>
      </c>
      <c r="CU176" s="27" t="e">
        <f t="shared" si="49"/>
        <v>#VALUE!</v>
      </c>
      <c r="CV176" s="78">
        <f>[1]!s_stm07_bs(A176,"W14578191",$A$1,1,100000000)</f>
        <v>0</v>
      </c>
      <c r="CW176" s="78">
        <f>[1]!s_stmnote_bank_682($A176,$A$1,1,2,100000000)</f>
        <v>0</v>
      </c>
      <c r="CX176" s="79" t="str">
        <f t="shared" si="50"/>
        <v/>
      </c>
    </row>
    <row r="177" spans="1:102" s="46" customFormat="1" ht="13.5">
      <c r="A177" s="8" t="s">
        <v>1003</v>
      </c>
      <c r="B177" s="8" t="s">
        <v>1004</v>
      </c>
      <c r="C177" s="9" t="s">
        <v>1005</v>
      </c>
      <c r="D177" s="9" t="s">
        <v>1061</v>
      </c>
      <c r="E177" s="10"/>
      <c r="F177" s="11" t="s">
        <v>580</v>
      </c>
      <c r="G177" s="11" t="s">
        <v>67</v>
      </c>
      <c r="H177" s="11" t="s">
        <v>67</v>
      </c>
      <c r="I177" s="11"/>
      <c r="J177" s="11" t="e">
        <f>VLOOKUP(B177,[3]额度信息!$B:$T,19,0)</f>
        <v>#N/A</v>
      </c>
      <c r="K177" s="11"/>
      <c r="L177" s="27" t="str">
        <f>IFERROR(([1]!b_stm07_bs($A177,47,$A$1,1,100000000))/[1]!b_stm07_bs($A177,109,$A$1,1,100000000),"")</f>
        <v/>
      </c>
      <c r="M177" s="20"/>
      <c r="N177" s="18"/>
      <c r="O177" s="27" t="e">
        <f t="shared" si="39"/>
        <v>#N/A</v>
      </c>
      <c r="P177" s="21" t="str">
        <f t="shared" si="51"/>
        <v/>
      </c>
      <c r="Q177" s="27" t="e">
        <f t="shared" si="40"/>
        <v>#VALUE!</v>
      </c>
      <c r="R177" s="18" t="str">
        <f>IFERROR([1]!s_stmnote_bank($A177,"34",$A$1,100000000)/[1]!s_stmnote_bank_1n(A177,$A$1,1,100000000),"")</f>
        <v/>
      </c>
      <c r="S177" s="22"/>
      <c r="T177" s="22"/>
      <c r="U177" s="22"/>
      <c r="V177" s="22"/>
      <c r="W177" s="22"/>
      <c r="X177" s="22"/>
      <c r="Y177" s="22"/>
      <c r="Z177" s="25">
        <f>[1]!b_stm07_bs(A177,74,$A$1,1,100000000)</f>
        <v>0</v>
      </c>
      <c r="AA177" s="25">
        <f>[1]!b_stm07_bs(A177,109,$A$1,1,100000000)</f>
        <v>0</v>
      </c>
      <c r="AB177" s="10">
        <f>[1]!s_stmnote_bank_5n(A177,$A$1,1)</f>
        <v>0</v>
      </c>
      <c r="AC177" s="25" t="str">
        <f>IF([1]!s_stmnote_bank_23n(A177,$A$1,1)=0,"",IFERROR([1]!s_stmnote_bank_23n(A177,$A$1,1),""))</f>
        <v/>
      </c>
      <c r="AD177" s="27" t="e">
        <f t="shared" si="41"/>
        <v>#VALUE!</v>
      </c>
      <c r="AE177" s="25">
        <f>[1]!s_stmnote_bank_capadequacyratio(A177,$A$1,1)</f>
        <v>0</v>
      </c>
      <c r="AF177" s="25" t="str">
        <f>IF([1]!s_stmnote_bank_capadequacyratio_ct1(A177,$A$1,1)=0,"",IFERROR([1]!s_stmnote_bank_capadequacyratio_ct1(A177,$A$1,1),""))</f>
        <v/>
      </c>
      <c r="AG177" s="27" t="e">
        <f t="shared" si="42"/>
        <v>#VALUE!</v>
      </c>
      <c r="AH177" s="6">
        <f>IF(OR([1]!s_fa_roe(A177,20201231)=0,[1]!s_fa_roe(A177,20211231)="0",[1]!s_fa_roe(A177,20221231)="0"),"",IFERROR(([1]!s_fa_roe(A177,20221231)+[1]!s_fa_roe(A177,20201231)+[1]!s_fa_roe(A177,20211231))/3,""))</f>
        <v>-0.62796666666666667</v>
      </c>
      <c r="AI177" s="27" t="str">
        <f t="shared" si="43"/>
        <v>2 173</v>
      </c>
      <c r="AJ177" s="28" t="str">
        <f>IFERROR(([1]!s_stmnote_bank_65(A177,$A$1,1,2,4,100000000)+[1]!s_stmnote_bank_65(A177,$A$1,1,2,6,100000000))/[1]!s_stmnote_bank_1n(A177,$A$1,1,100000000),"")</f>
        <v/>
      </c>
      <c r="AK177" s="28" t="str">
        <f>IFERROR([1]!s_stmnote_bank_614(A177,$A$1,1,2,100000000)/[1]!s_stmnote_bank_647(A177,$A$1,1,2,100000000),"")</f>
        <v/>
      </c>
      <c r="AL177" s="28" t="str">
        <f>IFERROR(([1]!b_stm07_bs(A177,104,$A$1,1,100000000)+[1]!b_stm07_bs(A177,106,$A$1,1,100000000)+[1]!b_stm07_bs(A177,76,$A$1,1,100000000)+[1]!b_stm07_bs(A177,108,$A$1,1,100000000)+[1]!b_stm07_bs(A177,95,$A$1,1,100000000))/[1]!b_stm07_bs(A177,128,$A$1,1,100000000),"")</f>
        <v/>
      </c>
      <c r="AM177" s="28" t="str">
        <f>IFERROR(([1]!s_stmnote_bank_614(A177,$A$1,1,2,100000000)+[1]!b_stm07_bs(A177,104,$A$1,1,100000000)+[1]!b_stm07_bs(A177,106,$A$1,1,100000000)+[1]!b_stm07_bs(A177,76,$A$1,1,100000000)+[1]!b_stm07_bs(A177,108,$A$1,1,100000000)+[1]!b_stm07_bs(A177,95,$A$1,1,100000000))/[1]!b_stm07_bs(A177,128,$A$1,1,100000000),"")</f>
        <v/>
      </c>
      <c r="AN177" s="31" t="e">
        <f>IF(Z177&gt;#REF!,#REF!,IF(Z177&gt;#REF!,#REF!,IF(Z177&gt;#REF!,#REF!,IF(Z177&gt;#REF!,#REF!,IF(Z177&gt;#REF!,#REF!,IF(Z177&gt;#REF!,#REF!,IF(Z177&gt;#REF!,#REF!,#REF!)))))))</f>
        <v>#REF!</v>
      </c>
      <c r="AO177" s="31" t="e">
        <f>IF(AA177&gt;#REF!,#REF!,IF(AA177&gt;#REF!,#REF!,IF(AA177&gt;#REF!,#REF!,IF(AA177&gt;#REF!,#REF!,IF(AA177&gt;#REF!,#REF!,IF(AA177&gt;#REF!,#REF!,IF(AA177&gt;#REF!,#REF!,#REF!)))))))</f>
        <v>#REF!</v>
      </c>
      <c r="AP177" s="31" t="e">
        <f>IF(AB177&lt;#REF!,#REF!,IF(AB177&lt;#REF!,#REF!,IF(AB177&lt;#REF!,#REF!,IF(AB177&lt;#REF!,#REF!,IF(AB177&lt;#REF!,#REF!,IF(AB177&lt;#REF!,#REF!,#REF!))))))</f>
        <v>#REF!</v>
      </c>
      <c r="AQ177" s="31" t="e">
        <f>IF(AC177&gt;#REF!,#REF!,IF(AC177&gt;#REF!,#REF!,IF(AC177&gt;#REF!,#REF!,IF(AC177&gt;#REF!,#REF!,#REF!))))</f>
        <v>#REF!</v>
      </c>
      <c r="AR177" s="31" t="e">
        <f>IF(AE177&gt;#REF!,#REF!,IF(AE177&gt;#REF!,#REF!,IF(AE177&gt;#REF!,#REF!,IF(AE177&gt;#REF!,#REF!,#REF!))))</f>
        <v>#REF!</v>
      </c>
      <c r="AS177" s="31" t="e">
        <f>IF(AF177&gt;#REF!,#REF!,IF(AF177&gt;#REF!,#REF!,IF(AF177&gt;#REF!,#REF!,IF(AF177&gt;#REF!,#REF!,#REF!))))</f>
        <v>#REF!</v>
      </c>
      <c r="AT177" s="31" t="e">
        <f>IF(AH177&gt;#REF!,#REF!,IF(AH177&gt;#REF!,#REF!,IF(AH177&gt;#REF!,#REF!,IF(AH177&gt;#REF!,#REF!,IF(AH177&gt;#REF!,#REF!,#REF!)))))</f>
        <v>#REF!</v>
      </c>
      <c r="AU177" s="10" t="e">
        <f t="shared" si="44"/>
        <v>#REF!</v>
      </c>
      <c r="AV177" s="10"/>
      <c r="AW177" s="10"/>
      <c r="AX177" s="10"/>
      <c r="AY177" s="31" t="str">
        <f>IFERROR(VLOOKUP(AV177,#REF!,3,0),"")</f>
        <v/>
      </c>
      <c r="AZ177" s="31" t="str">
        <f>IFERROR(VLOOKUP(AW177,#REF!,3,0),"")</f>
        <v/>
      </c>
      <c r="BA177" s="31" t="str">
        <f>IFERROR(VLOOKUP(AX177,#REF!,3,0),"")</f>
        <v/>
      </c>
      <c r="BB177" s="31" t="str">
        <f>IFERROR(AY177*#REF!+AZ177*#REF!+BA177*#REF!,"")</f>
        <v/>
      </c>
      <c r="BC177" s="32" t="str">
        <f t="shared" si="45"/>
        <v/>
      </c>
      <c r="BD177" s="32" t="str">
        <f>IFERROR(VLOOKUP(BC177*10,#REF!,2,1),"")</f>
        <v/>
      </c>
      <c r="BE177" s="10"/>
      <c r="BF177" s="10"/>
      <c r="BG177" s="10"/>
      <c r="BH177" s="11" t="s">
        <v>1006</v>
      </c>
      <c r="BI177" s="10">
        <v>18.399999618530298</v>
      </c>
      <c r="BJ177" s="11" t="s">
        <v>78</v>
      </c>
      <c r="BK177" s="33" t="s">
        <v>1007</v>
      </c>
      <c r="BL177" s="10">
        <f>IF([1]!s_stmnote_bank_17n(A177,$A$1,1)="0","",[1]!s_stmnote_bank_17n(A177,$A$1,1))</f>
        <v>0</v>
      </c>
      <c r="BM177" s="10">
        <f>IF([1]!s_stmnote_bank_18n(A177,$A$1,1)="0","",[1]!s_stmnote_bank_18n(A177,$A$1,1))</f>
        <v>0</v>
      </c>
      <c r="BN177" s="41"/>
      <c r="BO177" s="52"/>
      <c r="BP177" s="52">
        <f>[1]!s_stmnote_bank_5444(A177,$A$1,1)</f>
        <v>0</v>
      </c>
      <c r="BQ177" s="52">
        <f>[1]!s_stmnote_bank_129n($A177,$A$1,1)</f>
        <v>0</v>
      </c>
      <c r="BR177" s="52">
        <f t="shared" si="52"/>
        <v>0</v>
      </c>
      <c r="BS177" s="52">
        <f>[1]!b_stm07_is(A177,19,$A$1,1,100000000)</f>
        <v>0</v>
      </c>
      <c r="BT177" s="52">
        <f xml:space="preserve"> [1]!s_stm07_bs(A177,"W15273164",$A$1,1,100000000)-[1]!s_stm07_bs(A177,"W17642530",$A$1,1,100000000)-[1]!s_stm07_bs(A177,"W15910877",$A$1,1,100000000)-[1]!s_stm07_bs_39(A177,$A$1,1,100000000)-[1]!s_stm07_bs(A177,"W17700468",$A$1,1,100000000)-[1]!s_stm07_bs(A177,"W16504296",$A$1,1,100000000)-[1]!s_stm07_bs(A177,"W13769069",$A$1,1,100000000)</f>
        <v>0</v>
      </c>
      <c r="BU177" s="52">
        <f xml:space="preserve"> [1]!s_stm07_bs(A177,"W15273164",$B$1,1,100000000)-[1]!s_stm07_bs(A177,"W17642530",$B$1,1,100000000)-[1]!s_stm07_bs(A177,"W15910877",$B$1,1,100000000)-[1]!s_stm07_bs_39(A177,$B$1,1,100000000)-[1]!s_stm07_bs(A177,"W17700468",$B$1,1,100000000)-[1]!s_stm07_bs(A177,"W16504296",$B$1,1,100000000)-[1]!s_stm07_bs(A177,"W13769069",$B$1,1,100000000)</f>
        <v>980.93246026739985</v>
      </c>
      <c r="BV177" s="52">
        <f xml:space="preserve"> [1]!s_stm07_bs(A177,"W15273164",$E$1,1,100000000)-[1]!s_stm07_bs(A177,"W17642530",$E$1,1,100000000)-[1]!s_stm07_bs(A177,"W15910877",$E$1,1,100000000)-[1]!s_stm07_bs_39(A177,$E$1,1,100000000)-[1]!s_stm07_bs(A177,"W17700468",$E$1,1,100000000)-[1]!s_stm07_bs(A177,"W16504296",$E$1,1,100000000)-[1]!s_stm07_bs(A177,"W13769069",$E$1,1,100000000)</f>
        <v>0</v>
      </c>
      <c r="BW177" s="52">
        <f xml:space="preserve"> [1]!s_stm07_bs(A177,"W15273164",$F$1,1,100000000)-[1]!s_stm07_bs(A177,"W17642530",$F$1,1,100000000)-[1]!s_stm07_bs(A177,"W15910877",$F$1,1,100000000)-[1]!s_stm07_bs_39(A177,$F$1,1,100000000)-[1]!s_stm07_bs(A177,"W17700468",$F$1,1,100000000)-[1]!s_stm07_bs(A177,"W16504296",$F$1,1,100000000)-[1]!s_stm07_bs(A177,"W13769069",$F$1,1,100000000)</f>
        <v>0</v>
      </c>
      <c r="BX177" s="52">
        <f xml:space="preserve"> [1]!s_stm07_bs(A177,"W15273164",$G$1,1,100000000)-[1]!s_stm07_bs(A177,"W17642530",$G$1,1,100000000)-[1]!s_stm07_bs(A177,"W15910877",$G$1,1,100000000)-[1]!s_stm07_bs_39(A177,$G$1,1,100000000)-[1]!s_stm07_bs(A177,"W17700468",$G$1,1,100000000)-[1]!s_stm07_bs(A177,"W16504296",$G$1,1,100000000)-[1]!s_stm07_bs(A177,"W13769069",$G$1,1,100000000)</f>
        <v>0</v>
      </c>
      <c r="BY177" s="52">
        <f>IFERROR([1]!b_stm07_is(A177,20,$A$1,1,100000000)/AVERAGEIF(CA177:CE177,"&gt;0")*100,0)</f>
        <v>0</v>
      </c>
      <c r="BZ177" s="52">
        <f>[1]!b_stm07_is(A177,20,$A$1,1,100000000)</f>
        <v>0</v>
      </c>
      <c r="CA177" s="52">
        <f>[1]!s_stmnote_bank_38(A177,$A$1,1,100000000)</f>
        <v>0</v>
      </c>
      <c r="CB177" s="52">
        <f>[1]!s_stmnote_bank_38(A177,$B$1,1,100000000)</f>
        <v>913.67586523850002</v>
      </c>
      <c r="CC177" s="52">
        <f>[1]!s_stmnote_bank_38(A177,$E$1,1,100000000)</f>
        <v>0</v>
      </c>
      <c r="CD177" s="52">
        <f>[1]!s_stmnote_bank_38(A177,$F$1,1,100000000)</f>
        <v>0</v>
      </c>
      <c r="CE177" s="52">
        <f>[1]!s_stmnote_bank_38(A177,$G$1,1,100000000)</f>
        <v>0</v>
      </c>
      <c r="CF177" s="52" t="str">
        <f>IF(BP177&lt;&gt;0,BP177,IFERROR(IF(([1]!b_stm07_is(A177,19,$A$1,1,100000000)-[1]!b_stm07_is(A177,20,$A$1,1,100000000))/AVERAGE([1]!s_stmnote_bank_35(A177,$A$1,1,100000000),[1]!s_stmnote_bank_35(A177,$B$1,1,100000000))*100=0,"",([1]!b_stm07_is(A177,19,$A$1,1,100000000)-[1]!b_stm07_is(A177,20,$A$1,1,100000000))/AVERAGE([1]!s_stmnote_bank_35(A177,$A$1,1,100000000),[1]!s_stmnote_bank_35(A177,$B$1,1,100000000))*100),""))</f>
        <v/>
      </c>
      <c r="CG177" s="27" t="e">
        <f t="shared" si="46"/>
        <v>#VALUE!</v>
      </c>
      <c r="CH177" s="80" t="str">
        <f t="shared" si="53"/>
        <v/>
      </c>
      <c r="CI177" s="27" t="e">
        <f t="shared" si="47"/>
        <v>#VALUE!</v>
      </c>
      <c r="CJ177" s="55">
        <f>[1]!s_stmnote_bank_30(A177,$A$1,1)</f>
        <v>0</v>
      </c>
      <c r="CP177" s="69">
        <f>[1]!b_stm07_bs($A177,141,$A$1,1,100000000)</f>
        <v>0</v>
      </c>
      <c r="CQ177" s="69">
        <f>[1]!b_stm07_bs($A177,141,$D$1,1,100000000)</f>
        <v>0</v>
      </c>
      <c r="CR177" s="68" t="str">
        <f>IF([1]!s_fa_roic_yearly($A177,$A$1)=0,"",[1]!s_fa_roic_yearly($A177,$A$1))</f>
        <v/>
      </c>
      <c r="CS177" s="27" t="e">
        <f t="shared" si="48"/>
        <v>#VALUE!</v>
      </c>
      <c r="CT177" s="68" t="str">
        <f>IF([1]!s_fa_roic_yearly($A177,$D$1)=0,"",[1]!s_fa_roic_yearly($A177,$D$1))</f>
        <v/>
      </c>
      <c r="CU177" s="27" t="e">
        <f t="shared" si="49"/>
        <v>#VALUE!</v>
      </c>
      <c r="CV177" s="78">
        <f>[1]!s_stm07_bs(A177,"W14578191",$A$1,1,100000000)</f>
        <v>0</v>
      </c>
      <c r="CW177" s="78">
        <f>[1]!s_stmnote_bank_682($A177,$A$1,1,2,100000000)</f>
        <v>0</v>
      </c>
      <c r="CX177" s="79" t="str">
        <f t="shared" si="50"/>
        <v/>
      </c>
    </row>
    <row r="178" spans="1:102" s="46" customFormat="1" ht="13.5">
      <c r="A178" s="8" t="s">
        <v>1008</v>
      </c>
      <c r="B178" s="8" t="s">
        <v>1009</v>
      </c>
      <c r="C178" s="9" t="s">
        <v>1010</v>
      </c>
      <c r="D178" s="9" t="s">
        <v>1061</v>
      </c>
      <c r="E178" s="10"/>
      <c r="F178" s="11" t="s">
        <v>90</v>
      </c>
      <c r="G178" s="11" t="s">
        <v>67</v>
      </c>
      <c r="H178" s="11" t="s">
        <v>67</v>
      </c>
      <c r="I178" s="11"/>
      <c r="J178" s="11" t="e">
        <f>VLOOKUP(B178,[3]额度信息!$B:$T,19,0)</f>
        <v>#N/A</v>
      </c>
      <c r="K178" s="11"/>
      <c r="L178" s="27" t="str">
        <f>IFERROR(([1]!b_stm07_bs($A178,47,$A$1,1,100000000))/[1]!b_stm07_bs($A178,109,$A$1,1,100000000),"")</f>
        <v/>
      </c>
      <c r="M178" s="20"/>
      <c r="N178" s="18"/>
      <c r="O178" s="27" t="e">
        <f t="shared" si="39"/>
        <v>#N/A</v>
      </c>
      <c r="P178" s="21" t="str">
        <f t="shared" si="51"/>
        <v/>
      </c>
      <c r="Q178" s="27" t="e">
        <f t="shared" si="40"/>
        <v>#VALUE!</v>
      </c>
      <c r="R178" s="18" t="str">
        <f>IFERROR([1]!s_stmnote_bank($A178,"34",$A$1,100000000)/[1]!s_stmnote_bank_1n(A178,$A$1,1,100000000),"")</f>
        <v/>
      </c>
      <c r="S178" s="22"/>
      <c r="T178" s="22"/>
      <c r="U178" s="22"/>
      <c r="V178" s="22"/>
      <c r="W178" s="22"/>
      <c r="X178" s="22"/>
      <c r="Y178" s="22"/>
      <c r="Z178" s="25">
        <f>[1]!b_stm07_bs(A178,74,$A$1,1,100000000)</f>
        <v>0</v>
      </c>
      <c r="AA178" s="25">
        <f>[1]!b_stm07_bs(A178,109,$A$1,1,100000000)</f>
        <v>0</v>
      </c>
      <c r="AB178" s="10">
        <f>[1]!s_stmnote_bank_5n(A178,$A$1,1)</f>
        <v>0</v>
      </c>
      <c r="AC178" s="25" t="str">
        <f>IF([1]!s_stmnote_bank_23n(A178,$A$1,1)=0,"",IFERROR([1]!s_stmnote_bank_23n(A178,$A$1,1),""))</f>
        <v/>
      </c>
      <c r="AD178" s="27" t="e">
        <f t="shared" si="41"/>
        <v>#VALUE!</v>
      </c>
      <c r="AE178" s="25">
        <f>[1]!s_stmnote_bank_capadequacyratio(A178,$A$1,1)</f>
        <v>0</v>
      </c>
      <c r="AF178" s="25" t="str">
        <f>IF([1]!s_stmnote_bank_capadequacyratio_ct1(A178,$A$1,1)=0,"",IFERROR([1]!s_stmnote_bank_capadequacyratio_ct1(A178,$A$1,1),""))</f>
        <v/>
      </c>
      <c r="AG178" s="27" t="e">
        <f t="shared" si="42"/>
        <v>#VALUE!</v>
      </c>
      <c r="AH178" s="6" t="str">
        <f>IF(OR([1]!s_fa_roe(A178,20201231)=0,[1]!s_fa_roe(A178,20211231)="0",[1]!s_fa_roe(A178,20221231)="0"),"",IFERROR(([1]!s_fa_roe(A178,20221231)+[1]!s_fa_roe(A178,20201231)+[1]!s_fa_roe(A178,20211231))/3,""))</f>
        <v/>
      </c>
      <c r="AI178" s="27" t="e">
        <f t="shared" si="43"/>
        <v>#VALUE!</v>
      </c>
      <c r="AJ178" s="28" t="str">
        <f>IFERROR(([1]!s_stmnote_bank_65(A178,$A$1,1,2,4,100000000)+[1]!s_stmnote_bank_65(A178,$A$1,1,2,6,100000000))/[1]!s_stmnote_bank_1n(A178,$A$1,1,100000000),"")</f>
        <v/>
      </c>
      <c r="AK178" s="28" t="str">
        <f>IFERROR([1]!s_stmnote_bank_614(A178,$A$1,1,2,100000000)/[1]!s_stmnote_bank_647(A178,$A$1,1,2,100000000),"")</f>
        <v/>
      </c>
      <c r="AL178" s="28" t="str">
        <f>IFERROR(([1]!b_stm07_bs(A178,104,$A$1,1,100000000)+[1]!b_stm07_bs(A178,106,$A$1,1,100000000)+[1]!b_stm07_bs(A178,76,$A$1,1,100000000)+[1]!b_stm07_bs(A178,108,$A$1,1,100000000)+[1]!b_stm07_bs(A178,95,$A$1,1,100000000))/[1]!b_stm07_bs(A178,128,$A$1,1,100000000),"")</f>
        <v/>
      </c>
      <c r="AM178" s="28" t="str">
        <f>IFERROR(([1]!s_stmnote_bank_614(A178,$A$1,1,2,100000000)+[1]!b_stm07_bs(A178,104,$A$1,1,100000000)+[1]!b_stm07_bs(A178,106,$A$1,1,100000000)+[1]!b_stm07_bs(A178,76,$A$1,1,100000000)+[1]!b_stm07_bs(A178,108,$A$1,1,100000000)+[1]!b_stm07_bs(A178,95,$A$1,1,100000000))/[1]!b_stm07_bs(A178,128,$A$1,1,100000000),"")</f>
        <v/>
      </c>
      <c r="AN178" s="31" t="e">
        <f>IF(Z178&gt;#REF!,#REF!,IF(Z178&gt;#REF!,#REF!,IF(Z178&gt;#REF!,#REF!,IF(Z178&gt;#REF!,#REF!,IF(Z178&gt;#REF!,#REF!,IF(Z178&gt;#REF!,#REF!,IF(Z178&gt;#REF!,#REF!,#REF!)))))))</f>
        <v>#REF!</v>
      </c>
      <c r="AO178" s="31" t="e">
        <f>IF(AA178&gt;#REF!,#REF!,IF(AA178&gt;#REF!,#REF!,IF(AA178&gt;#REF!,#REF!,IF(AA178&gt;#REF!,#REF!,IF(AA178&gt;#REF!,#REF!,IF(AA178&gt;#REF!,#REF!,IF(AA178&gt;#REF!,#REF!,#REF!)))))))</f>
        <v>#REF!</v>
      </c>
      <c r="AP178" s="31" t="e">
        <f>IF(AB178&lt;#REF!,#REF!,IF(AB178&lt;#REF!,#REF!,IF(AB178&lt;#REF!,#REF!,IF(AB178&lt;#REF!,#REF!,IF(AB178&lt;#REF!,#REF!,IF(AB178&lt;#REF!,#REF!,#REF!))))))</f>
        <v>#REF!</v>
      </c>
      <c r="AQ178" s="31" t="e">
        <f>IF(AC178&gt;#REF!,#REF!,IF(AC178&gt;#REF!,#REF!,IF(AC178&gt;#REF!,#REF!,IF(AC178&gt;#REF!,#REF!,#REF!))))</f>
        <v>#REF!</v>
      </c>
      <c r="AR178" s="31" t="e">
        <f>IF(AE178&gt;#REF!,#REF!,IF(AE178&gt;#REF!,#REF!,IF(AE178&gt;#REF!,#REF!,IF(AE178&gt;#REF!,#REF!,#REF!))))</f>
        <v>#REF!</v>
      </c>
      <c r="AS178" s="31" t="e">
        <f>IF(AF178&gt;#REF!,#REF!,IF(AF178&gt;#REF!,#REF!,IF(AF178&gt;#REF!,#REF!,IF(AF178&gt;#REF!,#REF!,#REF!))))</f>
        <v>#REF!</v>
      </c>
      <c r="AT178" s="31" t="e">
        <f>IF(AH178&gt;#REF!,#REF!,IF(AH178&gt;#REF!,#REF!,IF(AH178&gt;#REF!,#REF!,IF(AH178&gt;#REF!,#REF!,IF(AH178&gt;#REF!,#REF!,#REF!)))))</f>
        <v>#REF!</v>
      </c>
      <c r="AU178" s="10" t="e">
        <f t="shared" si="44"/>
        <v>#REF!</v>
      </c>
      <c r="AV178" s="10" t="s">
        <v>68</v>
      </c>
      <c r="AW178" s="10"/>
      <c r="AX178" s="10"/>
      <c r="AY178" s="31" t="str">
        <f>IFERROR(VLOOKUP(AV178,#REF!,3,0),"")</f>
        <v/>
      </c>
      <c r="AZ178" s="31" t="str">
        <f>IFERROR(VLOOKUP(AW178,#REF!,3,0),"")</f>
        <v/>
      </c>
      <c r="BA178" s="31" t="str">
        <f>IFERROR(VLOOKUP(AX178,#REF!,3,0),"")</f>
        <v/>
      </c>
      <c r="BB178" s="31" t="str">
        <f>IFERROR(AY178*#REF!+AZ178*#REF!+BA178*#REF!,"")</f>
        <v/>
      </c>
      <c r="BC178" s="32" t="str">
        <f t="shared" si="45"/>
        <v/>
      </c>
      <c r="BD178" s="32" t="str">
        <f>IFERROR(VLOOKUP(BC178*10,#REF!,2,1),"")</f>
        <v/>
      </c>
      <c r="BE178" s="10"/>
      <c r="BF178" s="10"/>
      <c r="BG178" s="10"/>
      <c r="BH178" s="11" t="s">
        <v>1011</v>
      </c>
      <c r="BI178" s="10">
        <v>9.5799999237060494</v>
      </c>
      <c r="BJ178" s="11" t="s">
        <v>268</v>
      </c>
      <c r="BK178" s="33" t="s">
        <v>1012</v>
      </c>
      <c r="BL178" s="10">
        <f>IF([1]!s_stmnote_bank_17n(A178,$A$1,1)="0","",[1]!s_stmnote_bank_17n(A178,$A$1,1))</f>
        <v>0</v>
      </c>
      <c r="BM178" s="10">
        <f>IF([1]!s_stmnote_bank_18n(A178,$A$1,1)="0","",[1]!s_stmnote_bank_18n(A178,$A$1,1))</f>
        <v>0</v>
      </c>
      <c r="BN178" s="41"/>
      <c r="BO178" s="52"/>
      <c r="BP178" s="52">
        <f>[1]!s_stmnote_bank_5444(A178,$A$1,1)</f>
        <v>0</v>
      </c>
      <c r="BQ178" s="52">
        <f>[1]!s_stmnote_bank_129n($A178,$A$1,1)</f>
        <v>0</v>
      </c>
      <c r="BR178" s="52">
        <f t="shared" si="52"/>
        <v>0</v>
      </c>
      <c r="BS178" s="52">
        <f>[1]!b_stm07_is(A178,19,$A$1,1,100000000)</f>
        <v>0</v>
      </c>
      <c r="BT178" s="52">
        <f xml:space="preserve"> [1]!s_stm07_bs(A178,"W15273164",$A$1,1,100000000)-[1]!s_stm07_bs(A178,"W17642530",$A$1,1,100000000)-[1]!s_stm07_bs(A178,"W15910877",$A$1,1,100000000)-[1]!s_stm07_bs_39(A178,$A$1,1,100000000)-[1]!s_stm07_bs(A178,"W17700468",$A$1,1,100000000)-[1]!s_stm07_bs(A178,"W16504296",$A$1,1,100000000)-[1]!s_stm07_bs(A178,"W13769069",$A$1,1,100000000)</f>
        <v>0</v>
      </c>
      <c r="BU178" s="52">
        <f xml:space="preserve"> [1]!s_stm07_bs(A178,"W15273164",$B$1,1,100000000)-[1]!s_stm07_bs(A178,"W17642530",$B$1,1,100000000)-[1]!s_stm07_bs(A178,"W15910877",$B$1,1,100000000)-[1]!s_stm07_bs_39(A178,$B$1,1,100000000)-[1]!s_stm07_bs(A178,"W17700468",$B$1,1,100000000)-[1]!s_stm07_bs(A178,"W16504296",$B$1,1,100000000)-[1]!s_stm07_bs(A178,"W13769069",$B$1,1,100000000)</f>
        <v>0</v>
      </c>
      <c r="BV178" s="52">
        <f xml:space="preserve"> [1]!s_stm07_bs(A178,"W15273164",$E$1,1,100000000)-[1]!s_stm07_bs(A178,"W17642530",$E$1,1,100000000)-[1]!s_stm07_bs(A178,"W15910877",$E$1,1,100000000)-[1]!s_stm07_bs_39(A178,$E$1,1,100000000)-[1]!s_stm07_bs(A178,"W17700468",$E$1,1,100000000)-[1]!s_stm07_bs(A178,"W16504296",$E$1,1,100000000)-[1]!s_stm07_bs(A178,"W13769069",$E$1,1,100000000)</f>
        <v>0</v>
      </c>
      <c r="BW178" s="52">
        <f xml:space="preserve"> [1]!s_stm07_bs(A178,"W15273164",$F$1,1,100000000)-[1]!s_stm07_bs(A178,"W17642530",$F$1,1,100000000)-[1]!s_stm07_bs(A178,"W15910877",$F$1,1,100000000)-[1]!s_stm07_bs_39(A178,$F$1,1,100000000)-[1]!s_stm07_bs(A178,"W17700468",$F$1,1,100000000)-[1]!s_stm07_bs(A178,"W16504296",$F$1,1,100000000)-[1]!s_stm07_bs(A178,"W13769069",$F$1,1,100000000)</f>
        <v>0</v>
      </c>
      <c r="BX178" s="52">
        <f xml:space="preserve"> [1]!s_stm07_bs(A178,"W15273164",$G$1,1,100000000)-[1]!s_stm07_bs(A178,"W17642530",$G$1,1,100000000)-[1]!s_stm07_bs(A178,"W15910877",$G$1,1,100000000)-[1]!s_stm07_bs_39(A178,$G$1,1,100000000)-[1]!s_stm07_bs(A178,"W17700468",$G$1,1,100000000)-[1]!s_stm07_bs(A178,"W16504296",$G$1,1,100000000)-[1]!s_stm07_bs(A178,"W13769069",$G$1,1,100000000)</f>
        <v>0</v>
      </c>
      <c r="BY178" s="52">
        <f>IFERROR([1]!b_stm07_is(A178,20,$A$1,1,100000000)/AVERAGEIF(CA178:CE178,"&gt;0")*100,0)</f>
        <v>0</v>
      </c>
      <c r="BZ178" s="52">
        <f>[1]!b_stm07_is(A178,20,$A$1,1,100000000)</f>
        <v>0</v>
      </c>
      <c r="CA178" s="52">
        <f>[1]!s_stmnote_bank_38(A178,$A$1,1,100000000)</f>
        <v>0</v>
      </c>
      <c r="CB178" s="52">
        <f>[1]!s_stmnote_bank_38(A178,$B$1,1,100000000)</f>
        <v>0</v>
      </c>
      <c r="CC178" s="52">
        <f>[1]!s_stmnote_bank_38(A178,$E$1,1,100000000)</f>
        <v>0</v>
      </c>
      <c r="CD178" s="52">
        <f>[1]!s_stmnote_bank_38(A178,$F$1,1,100000000)</f>
        <v>0</v>
      </c>
      <c r="CE178" s="52">
        <f>[1]!s_stmnote_bank_38(A178,$G$1,1,100000000)</f>
        <v>0</v>
      </c>
      <c r="CF178" s="52" t="str">
        <f>IF(BP178&lt;&gt;0,BP178,IFERROR(IF(([1]!b_stm07_is(A178,19,$A$1,1,100000000)-[1]!b_stm07_is(A178,20,$A$1,1,100000000))/AVERAGE([1]!s_stmnote_bank_35(A178,$A$1,1,100000000),[1]!s_stmnote_bank_35(A178,$B$1,1,100000000))*100=0,"",([1]!b_stm07_is(A178,19,$A$1,1,100000000)-[1]!b_stm07_is(A178,20,$A$1,1,100000000))/AVERAGE([1]!s_stmnote_bank_35(A178,$A$1,1,100000000),[1]!s_stmnote_bank_35(A178,$B$1,1,100000000))*100),""))</f>
        <v/>
      </c>
      <c r="CG178" s="27" t="e">
        <f t="shared" si="46"/>
        <v>#VALUE!</v>
      </c>
      <c r="CH178" s="80" t="str">
        <f t="shared" si="53"/>
        <v/>
      </c>
      <c r="CI178" s="27" t="e">
        <f t="shared" si="47"/>
        <v>#VALUE!</v>
      </c>
      <c r="CJ178" s="55">
        <f>[1]!s_stmnote_bank_30(A178,$A$1,1)</f>
        <v>0</v>
      </c>
      <c r="CP178" s="69">
        <f>[1]!b_stm07_bs($A178,141,$A$1,1,100000000)</f>
        <v>0</v>
      </c>
      <c r="CQ178" s="69">
        <f>[1]!b_stm07_bs($A178,141,$D$1,1,100000000)</f>
        <v>0</v>
      </c>
      <c r="CR178" s="68" t="str">
        <f>IF([1]!s_fa_roic_yearly($A178,$A$1)=0,"",[1]!s_fa_roic_yearly($A178,$A$1))</f>
        <v/>
      </c>
      <c r="CS178" s="27" t="e">
        <f t="shared" si="48"/>
        <v>#VALUE!</v>
      </c>
      <c r="CT178" s="68" t="str">
        <f>IF([1]!s_fa_roic_yearly($A178,$D$1)=0,"",[1]!s_fa_roic_yearly($A178,$D$1))</f>
        <v/>
      </c>
      <c r="CU178" s="27" t="e">
        <f t="shared" si="49"/>
        <v>#VALUE!</v>
      </c>
      <c r="CV178" s="78">
        <f>[1]!s_stm07_bs(A178,"W14578191",$A$1,1,100000000)</f>
        <v>0</v>
      </c>
      <c r="CW178" s="78">
        <f>[1]!s_stmnote_bank_682($A178,$A$1,1,2,100000000)</f>
        <v>0</v>
      </c>
      <c r="CX178" s="79" t="str">
        <f t="shared" si="50"/>
        <v/>
      </c>
    </row>
    <row r="179" spans="1:102" s="46" customFormat="1" ht="13.5">
      <c r="A179" s="8" t="s">
        <v>1013</v>
      </c>
      <c r="B179" s="8" t="s">
        <v>1014</v>
      </c>
      <c r="C179" s="9" t="s">
        <v>1015</v>
      </c>
      <c r="D179" s="9" t="s">
        <v>1061</v>
      </c>
      <c r="E179" s="10"/>
      <c r="F179" s="11" t="s">
        <v>90</v>
      </c>
      <c r="G179" s="11" t="s">
        <v>67</v>
      </c>
      <c r="H179" s="11" t="s">
        <v>67</v>
      </c>
      <c r="I179" s="11"/>
      <c r="J179" s="11" t="e">
        <f>VLOOKUP(B179,[3]额度信息!$B:$T,19,0)</f>
        <v>#N/A</v>
      </c>
      <c r="K179" s="11"/>
      <c r="L179" s="27" t="str">
        <f>IFERROR(([1]!b_stm07_bs($A179,47,$A$1,1,100000000))/[1]!b_stm07_bs($A179,109,$A$1,1,100000000),"")</f>
        <v/>
      </c>
      <c r="M179" s="20"/>
      <c r="N179" s="18"/>
      <c r="O179" s="27" t="e">
        <f t="shared" si="39"/>
        <v>#N/A</v>
      </c>
      <c r="P179" s="21" t="str">
        <f t="shared" si="51"/>
        <v/>
      </c>
      <c r="Q179" s="27" t="e">
        <f t="shared" si="40"/>
        <v>#VALUE!</v>
      </c>
      <c r="R179" s="18" t="str">
        <f>IFERROR([1]!s_stmnote_bank($A179,"34",$A$1,100000000)/[1]!s_stmnote_bank_1n(A179,$A$1,1,100000000),"")</f>
        <v/>
      </c>
      <c r="S179" s="22"/>
      <c r="T179" s="22"/>
      <c r="U179" s="22"/>
      <c r="V179" s="22"/>
      <c r="W179" s="22"/>
      <c r="X179" s="22"/>
      <c r="Y179" s="22"/>
      <c r="Z179" s="25">
        <f>[1]!b_stm07_bs(A179,74,$A$1,1,100000000)</f>
        <v>0</v>
      </c>
      <c r="AA179" s="25">
        <f>[1]!b_stm07_bs(A179,109,$A$1,1,100000000)</f>
        <v>0</v>
      </c>
      <c r="AB179" s="10">
        <f>[1]!s_stmnote_bank_5n(A179,$A$1,1)</f>
        <v>0</v>
      </c>
      <c r="AC179" s="25" t="str">
        <f>IF([1]!s_stmnote_bank_23n(A179,$A$1,1)=0,"",IFERROR([1]!s_stmnote_bank_23n(A179,$A$1,1),""))</f>
        <v/>
      </c>
      <c r="AD179" s="27" t="e">
        <f t="shared" si="41"/>
        <v>#VALUE!</v>
      </c>
      <c r="AE179" s="25">
        <f>[1]!s_stmnote_bank_capadequacyratio(A179,$A$1,1)</f>
        <v>0</v>
      </c>
      <c r="AF179" s="25" t="str">
        <f>IF([1]!s_stmnote_bank_capadequacyratio_ct1(A179,$A$1,1)=0,"",IFERROR([1]!s_stmnote_bank_capadequacyratio_ct1(A179,$A$1,1),""))</f>
        <v/>
      </c>
      <c r="AG179" s="27" t="e">
        <f t="shared" si="42"/>
        <v>#VALUE!</v>
      </c>
      <c r="AH179" s="6">
        <f>IF(OR([1]!s_fa_roe(A179,20201231)=0,[1]!s_fa_roe(A179,20211231)="0",[1]!s_fa_roe(A179,20221231)="0"),"",IFERROR(([1]!s_fa_roe(A179,20221231)+[1]!s_fa_roe(A179,20201231)+[1]!s_fa_roe(A179,20211231))/3,""))</f>
        <v>0.77660000000000007</v>
      </c>
      <c r="AI179" s="27" t="str">
        <f t="shared" si="43"/>
        <v>6 173</v>
      </c>
      <c r="AJ179" s="28" t="str">
        <f>IFERROR(([1]!s_stmnote_bank_65(A179,$A$1,1,2,4,100000000)+[1]!s_stmnote_bank_65(A179,$A$1,1,2,6,100000000))/[1]!s_stmnote_bank_1n(A179,$A$1,1,100000000),"")</f>
        <v/>
      </c>
      <c r="AK179" s="28" t="str">
        <f>IFERROR([1]!s_stmnote_bank_614(A179,$A$1,1,2,100000000)/[1]!s_stmnote_bank_647(A179,$A$1,1,2,100000000),"")</f>
        <v/>
      </c>
      <c r="AL179" s="28" t="str">
        <f>IFERROR(([1]!b_stm07_bs(A179,104,$A$1,1,100000000)+[1]!b_stm07_bs(A179,106,$A$1,1,100000000)+[1]!b_stm07_bs(A179,76,$A$1,1,100000000)+[1]!b_stm07_bs(A179,108,$A$1,1,100000000)+[1]!b_stm07_bs(A179,95,$A$1,1,100000000))/[1]!b_stm07_bs(A179,128,$A$1,1,100000000),"")</f>
        <v/>
      </c>
      <c r="AM179" s="28" t="str">
        <f>IFERROR(([1]!s_stmnote_bank_614(A179,$A$1,1,2,100000000)+[1]!b_stm07_bs(A179,104,$A$1,1,100000000)+[1]!b_stm07_bs(A179,106,$A$1,1,100000000)+[1]!b_stm07_bs(A179,76,$A$1,1,100000000)+[1]!b_stm07_bs(A179,108,$A$1,1,100000000)+[1]!b_stm07_bs(A179,95,$A$1,1,100000000))/[1]!b_stm07_bs(A179,128,$A$1,1,100000000),"")</f>
        <v/>
      </c>
      <c r="AN179" s="31" t="e">
        <f>IF(Z179&gt;#REF!,#REF!,IF(Z179&gt;#REF!,#REF!,IF(Z179&gt;#REF!,#REF!,IF(Z179&gt;#REF!,#REF!,IF(Z179&gt;#REF!,#REF!,IF(Z179&gt;#REF!,#REF!,IF(Z179&gt;#REF!,#REF!,#REF!)))))))</f>
        <v>#REF!</v>
      </c>
      <c r="AO179" s="31" t="e">
        <f>IF(AA179&gt;#REF!,#REF!,IF(AA179&gt;#REF!,#REF!,IF(AA179&gt;#REF!,#REF!,IF(AA179&gt;#REF!,#REF!,IF(AA179&gt;#REF!,#REF!,IF(AA179&gt;#REF!,#REF!,IF(AA179&gt;#REF!,#REF!,#REF!)))))))</f>
        <v>#REF!</v>
      </c>
      <c r="AP179" s="31" t="e">
        <f>IF(AB179&lt;#REF!,#REF!,IF(AB179&lt;#REF!,#REF!,IF(AB179&lt;#REF!,#REF!,IF(AB179&lt;#REF!,#REF!,IF(AB179&lt;#REF!,#REF!,IF(AB179&lt;#REF!,#REF!,#REF!))))))</f>
        <v>#REF!</v>
      </c>
      <c r="AQ179" s="31" t="e">
        <f>IF(AC179&gt;#REF!,#REF!,IF(AC179&gt;#REF!,#REF!,IF(AC179&gt;#REF!,#REF!,IF(AC179&gt;#REF!,#REF!,#REF!))))</f>
        <v>#REF!</v>
      </c>
      <c r="AR179" s="31" t="e">
        <f>IF(AE179&gt;#REF!,#REF!,IF(AE179&gt;#REF!,#REF!,IF(AE179&gt;#REF!,#REF!,IF(AE179&gt;#REF!,#REF!,#REF!))))</f>
        <v>#REF!</v>
      </c>
      <c r="AS179" s="31" t="e">
        <f>IF(AF179&gt;#REF!,#REF!,IF(AF179&gt;#REF!,#REF!,IF(AF179&gt;#REF!,#REF!,IF(AF179&gt;#REF!,#REF!,#REF!))))</f>
        <v>#REF!</v>
      </c>
      <c r="AT179" s="31" t="e">
        <f>IF(AH179&gt;#REF!,#REF!,IF(AH179&gt;#REF!,#REF!,IF(AH179&gt;#REF!,#REF!,IF(AH179&gt;#REF!,#REF!,IF(AH179&gt;#REF!,#REF!,#REF!)))))</f>
        <v>#REF!</v>
      </c>
      <c r="AU179" s="10" t="e">
        <f t="shared" si="44"/>
        <v>#REF!</v>
      </c>
      <c r="AV179" s="10"/>
      <c r="AW179" s="10"/>
      <c r="AX179" s="10"/>
      <c r="AY179" s="31" t="str">
        <f>IFERROR(VLOOKUP(AV179,#REF!,3,0),"")</f>
        <v/>
      </c>
      <c r="AZ179" s="31" t="str">
        <f>IFERROR(VLOOKUP(AW179,#REF!,3,0),"")</f>
        <v/>
      </c>
      <c r="BA179" s="31" t="str">
        <f>IFERROR(VLOOKUP(AX179,#REF!,3,0),"")</f>
        <v/>
      </c>
      <c r="BB179" s="31" t="str">
        <f>IFERROR(AY179*#REF!+AZ179*#REF!+BA179*#REF!,"")</f>
        <v/>
      </c>
      <c r="BC179" s="32" t="str">
        <f t="shared" si="45"/>
        <v/>
      </c>
      <c r="BD179" s="32" t="str">
        <f>IFERROR(VLOOKUP(BC179*10,#REF!,2,1),"")</f>
        <v/>
      </c>
      <c r="BE179" s="10"/>
      <c r="BF179" s="10"/>
      <c r="BG179" s="10"/>
      <c r="BH179" s="11" t="s">
        <v>1016</v>
      </c>
      <c r="BI179" s="10">
        <v>36.680000305175803</v>
      </c>
      <c r="BJ179" s="11" t="s">
        <v>821</v>
      </c>
      <c r="BK179" s="33" t="s">
        <v>1017</v>
      </c>
      <c r="BL179" s="10">
        <f>IF([1]!s_stmnote_bank_17n(A179,$A$1,1)="0","",[1]!s_stmnote_bank_17n(A179,$A$1,1))</f>
        <v>0</v>
      </c>
      <c r="BM179" s="10">
        <f>IF([1]!s_stmnote_bank_18n(A179,$A$1,1)="0","",[1]!s_stmnote_bank_18n(A179,$A$1,1))</f>
        <v>0</v>
      </c>
      <c r="BN179" s="41"/>
      <c r="BO179" s="52"/>
      <c r="BP179" s="52">
        <f>[1]!s_stmnote_bank_5444(A179,$A$1,1)</f>
        <v>0</v>
      </c>
      <c r="BQ179" s="52">
        <f>[1]!s_stmnote_bank_129n($A179,$A$1,1)</f>
        <v>0</v>
      </c>
      <c r="BR179" s="52">
        <f t="shared" si="52"/>
        <v>0</v>
      </c>
      <c r="BS179" s="52">
        <f>[1]!b_stm07_is(A179,19,$A$1,1,100000000)</f>
        <v>0</v>
      </c>
      <c r="BT179" s="52">
        <f xml:space="preserve"> [1]!s_stm07_bs(A179,"W15273164",$A$1,1,100000000)-[1]!s_stm07_bs(A179,"W17642530",$A$1,1,100000000)-[1]!s_stm07_bs(A179,"W15910877",$A$1,1,100000000)-[1]!s_stm07_bs_39(A179,$A$1,1,100000000)-[1]!s_stm07_bs(A179,"W17700468",$A$1,1,100000000)-[1]!s_stm07_bs(A179,"W16504296",$A$1,1,100000000)-[1]!s_stm07_bs(A179,"W13769069",$A$1,1,100000000)</f>
        <v>0</v>
      </c>
      <c r="BU179" s="52">
        <f xml:space="preserve"> [1]!s_stm07_bs(A179,"W15273164",$B$1,1,100000000)-[1]!s_stm07_bs(A179,"W17642530",$B$1,1,100000000)-[1]!s_stm07_bs(A179,"W15910877",$B$1,1,100000000)-[1]!s_stm07_bs_39(A179,$B$1,1,100000000)-[1]!s_stm07_bs(A179,"W17700468",$B$1,1,100000000)-[1]!s_stm07_bs(A179,"W16504296",$B$1,1,100000000)-[1]!s_stm07_bs(A179,"W13769069",$B$1,1,100000000)</f>
        <v>993.57192078729986</v>
      </c>
      <c r="BV179" s="52">
        <f xml:space="preserve"> [1]!s_stm07_bs(A179,"W15273164",$E$1,1,100000000)-[1]!s_stm07_bs(A179,"W17642530",$E$1,1,100000000)-[1]!s_stm07_bs(A179,"W15910877",$E$1,1,100000000)-[1]!s_stm07_bs_39(A179,$E$1,1,100000000)-[1]!s_stm07_bs(A179,"W17700468",$E$1,1,100000000)-[1]!s_stm07_bs(A179,"W16504296",$E$1,1,100000000)-[1]!s_stm07_bs(A179,"W13769069",$E$1,1,100000000)</f>
        <v>921.2661734367</v>
      </c>
      <c r="BW179" s="52">
        <f xml:space="preserve"> [1]!s_stm07_bs(A179,"W15273164",$F$1,1,100000000)-[1]!s_stm07_bs(A179,"W17642530",$F$1,1,100000000)-[1]!s_stm07_bs(A179,"W15910877",$F$1,1,100000000)-[1]!s_stm07_bs_39(A179,$F$1,1,100000000)-[1]!s_stm07_bs(A179,"W17700468",$F$1,1,100000000)-[1]!s_stm07_bs(A179,"W16504296",$F$1,1,100000000)-[1]!s_stm07_bs(A179,"W13769069",$F$1,1,100000000)</f>
        <v>935.17248505569989</v>
      </c>
      <c r="BX179" s="52">
        <f xml:space="preserve"> [1]!s_stm07_bs(A179,"W15273164",$G$1,1,100000000)-[1]!s_stm07_bs(A179,"W17642530",$G$1,1,100000000)-[1]!s_stm07_bs(A179,"W15910877",$G$1,1,100000000)-[1]!s_stm07_bs_39(A179,$G$1,1,100000000)-[1]!s_stm07_bs(A179,"W17700468",$G$1,1,100000000)-[1]!s_stm07_bs(A179,"W16504296",$G$1,1,100000000)-[1]!s_stm07_bs(A179,"W13769069",$G$1,1,100000000)</f>
        <v>932.63839638110005</v>
      </c>
      <c r="BY179" s="52">
        <f>IFERROR([1]!b_stm07_is(A179,20,$A$1,1,100000000)/AVERAGEIF(CA179:CE179,"&gt;0")*100,0)</f>
        <v>0</v>
      </c>
      <c r="BZ179" s="52">
        <f>[1]!b_stm07_is(A179,20,$A$1,1,100000000)</f>
        <v>0</v>
      </c>
      <c r="CA179" s="52">
        <f>[1]!s_stmnote_bank_38(A179,$A$1,1,100000000)</f>
        <v>0</v>
      </c>
      <c r="CB179" s="52">
        <f>[1]!s_stmnote_bank_38(A179,$B$1,1,100000000)</f>
        <v>773.14499884600002</v>
      </c>
      <c r="CC179" s="52">
        <f>[1]!s_stmnote_bank_38(A179,$E$1,1,100000000)</f>
        <v>743.3084960512</v>
      </c>
      <c r="CD179" s="52">
        <f>[1]!s_stmnote_bank_38(A179,$F$1,1,100000000)</f>
        <v>761.47315193969996</v>
      </c>
      <c r="CE179" s="52">
        <f>[1]!s_stmnote_bank_38(A179,$G$1,1,100000000)</f>
        <v>0</v>
      </c>
      <c r="CF179" s="52" t="str">
        <f>IF(BP179&lt;&gt;0,BP179,IFERROR(IF(([1]!b_stm07_is(A179,19,$A$1,1,100000000)-[1]!b_stm07_is(A179,20,$A$1,1,100000000))/AVERAGE([1]!s_stmnote_bank_35(A179,$A$1,1,100000000),[1]!s_stmnote_bank_35(A179,$B$1,1,100000000))*100=0,"",([1]!b_stm07_is(A179,19,$A$1,1,100000000)-[1]!b_stm07_is(A179,20,$A$1,1,100000000))/AVERAGE([1]!s_stmnote_bank_35(A179,$A$1,1,100000000),[1]!s_stmnote_bank_35(A179,$B$1,1,100000000))*100),""))</f>
        <v/>
      </c>
      <c r="CG179" s="27" t="e">
        <f t="shared" si="46"/>
        <v>#VALUE!</v>
      </c>
      <c r="CH179" s="80" t="str">
        <f t="shared" si="53"/>
        <v/>
      </c>
      <c r="CI179" s="27" t="e">
        <f t="shared" si="47"/>
        <v>#VALUE!</v>
      </c>
      <c r="CJ179" s="55">
        <f>[1]!s_stmnote_bank_30(A179,$A$1,1)</f>
        <v>0</v>
      </c>
      <c r="CP179" s="69">
        <f>[1]!b_stm07_bs($A179,141,$A$1,1,100000000)</f>
        <v>0</v>
      </c>
      <c r="CQ179" s="69">
        <f>[1]!b_stm07_bs($A179,141,$D$1,1,100000000)</f>
        <v>0</v>
      </c>
      <c r="CR179" s="68" t="str">
        <f>IF([1]!s_fa_roic_yearly($A179,$A$1)=0,"",[1]!s_fa_roic_yearly($A179,$A$1))</f>
        <v/>
      </c>
      <c r="CS179" s="27" t="e">
        <f t="shared" si="48"/>
        <v>#VALUE!</v>
      </c>
      <c r="CT179" s="68" t="str">
        <f>IF([1]!s_fa_roic_yearly($A179,$D$1)=0,"",[1]!s_fa_roic_yearly($A179,$D$1))</f>
        <v/>
      </c>
      <c r="CU179" s="27" t="e">
        <f t="shared" si="49"/>
        <v>#VALUE!</v>
      </c>
      <c r="CV179" s="78">
        <f>[1]!s_stm07_bs(A179,"W14578191",$A$1,1,100000000)</f>
        <v>0</v>
      </c>
      <c r="CW179" s="78">
        <f>[1]!s_stmnote_bank_682($A179,$A$1,1,2,100000000)</f>
        <v>0</v>
      </c>
      <c r="CX179" s="79" t="str">
        <f t="shared" si="50"/>
        <v/>
      </c>
    </row>
    <row r="180" spans="1:102" s="46" customFormat="1" ht="13.5">
      <c r="A180" s="8" t="s">
        <v>1018</v>
      </c>
      <c r="B180" s="8" t="s">
        <v>1019</v>
      </c>
      <c r="C180" s="9" t="s">
        <v>1020</v>
      </c>
      <c r="D180" s="9" t="s">
        <v>1061</v>
      </c>
      <c r="E180" s="10"/>
      <c r="F180" s="11" t="s">
        <v>90</v>
      </c>
      <c r="G180" s="11" t="s">
        <v>67</v>
      </c>
      <c r="H180" s="11" t="s">
        <v>67</v>
      </c>
      <c r="I180" s="11"/>
      <c r="J180" s="11" t="e">
        <f>VLOOKUP(B180,[3]额度信息!$B:$T,19,0)</f>
        <v>#N/A</v>
      </c>
      <c r="K180" s="11"/>
      <c r="L180" s="27" t="str">
        <f>IFERROR(([1]!b_stm07_bs($A180,47,$A$1,1,100000000))/[1]!b_stm07_bs($A180,109,$A$1,1,100000000),"")</f>
        <v/>
      </c>
      <c r="M180" s="20"/>
      <c r="N180" s="18"/>
      <c r="O180" s="27" t="e">
        <f t="shared" si="39"/>
        <v>#N/A</v>
      </c>
      <c r="P180" s="21" t="str">
        <f t="shared" si="51"/>
        <v/>
      </c>
      <c r="Q180" s="27" t="e">
        <f t="shared" si="40"/>
        <v>#VALUE!</v>
      </c>
      <c r="R180" s="18" t="str">
        <f>IFERROR([1]!s_stmnote_bank($A180,"34",$A$1,100000000)/[1]!s_stmnote_bank_1n(A180,$A$1,1,100000000),"")</f>
        <v/>
      </c>
      <c r="S180" s="22"/>
      <c r="T180" s="22"/>
      <c r="U180" s="22"/>
      <c r="V180" s="22"/>
      <c r="W180" s="22"/>
      <c r="X180" s="22"/>
      <c r="Y180" s="22"/>
      <c r="Z180" s="25">
        <f>[1]!b_stm07_bs(A180,74,$A$1,1,100000000)</f>
        <v>0</v>
      </c>
      <c r="AA180" s="25">
        <f>[1]!b_stm07_bs(A180,109,$A$1,1,100000000)</f>
        <v>0</v>
      </c>
      <c r="AB180" s="10">
        <f>[1]!s_stmnote_bank_5n(A180,$A$1,1)</f>
        <v>0</v>
      </c>
      <c r="AC180" s="25" t="str">
        <f>IF([1]!s_stmnote_bank_23n(A180,$A$1,1)=0,"",IFERROR([1]!s_stmnote_bank_23n(A180,$A$1,1),""))</f>
        <v/>
      </c>
      <c r="AD180" s="27" t="e">
        <f t="shared" si="41"/>
        <v>#VALUE!</v>
      </c>
      <c r="AE180" s="25">
        <f>[1]!s_stmnote_bank_capadequacyratio(A180,$A$1,1)</f>
        <v>0</v>
      </c>
      <c r="AF180" s="25" t="str">
        <f>IF([1]!s_stmnote_bank_capadequacyratio_ct1(A180,$A$1,1)=0,"",IFERROR([1]!s_stmnote_bank_capadequacyratio_ct1(A180,$A$1,1),""))</f>
        <v/>
      </c>
      <c r="AG180" s="27" t="e">
        <f t="shared" si="42"/>
        <v>#VALUE!</v>
      </c>
      <c r="AH180" s="6" t="str">
        <f>IF(OR([1]!s_fa_roe(A180,20201231)=0,[1]!s_fa_roe(A180,20211231)="0",[1]!s_fa_roe(A180,20221231)="0"),"",IFERROR(([1]!s_fa_roe(A180,20221231)+[1]!s_fa_roe(A180,20201231)+[1]!s_fa_roe(A180,20211231))/3,""))</f>
        <v/>
      </c>
      <c r="AI180" s="27" t="e">
        <f t="shared" si="43"/>
        <v>#VALUE!</v>
      </c>
      <c r="AJ180" s="28" t="str">
        <f>IFERROR(([1]!s_stmnote_bank_65(A180,$A$1,1,2,4,100000000)+[1]!s_stmnote_bank_65(A180,$A$1,1,2,6,100000000))/[1]!s_stmnote_bank_1n(A180,$A$1,1,100000000),"")</f>
        <v/>
      </c>
      <c r="AK180" s="28" t="str">
        <f>IFERROR([1]!s_stmnote_bank_614(A180,$A$1,1,2,100000000)/[1]!s_stmnote_bank_647(A180,$A$1,1,2,100000000),"")</f>
        <v/>
      </c>
      <c r="AL180" s="28" t="str">
        <f>IFERROR(([1]!b_stm07_bs(A180,104,$A$1,1,100000000)+[1]!b_stm07_bs(A180,106,$A$1,1,100000000)+[1]!b_stm07_bs(A180,76,$A$1,1,100000000)+[1]!b_stm07_bs(A180,108,$A$1,1,100000000)+[1]!b_stm07_bs(A180,95,$A$1,1,100000000))/[1]!b_stm07_bs(A180,128,$A$1,1,100000000),"")</f>
        <v/>
      </c>
      <c r="AM180" s="28" t="str">
        <f>IFERROR(([1]!s_stmnote_bank_614(A180,$A$1,1,2,100000000)+[1]!b_stm07_bs(A180,104,$A$1,1,100000000)+[1]!b_stm07_bs(A180,106,$A$1,1,100000000)+[1]!b_stm07_bs(A180,76,$A$1,1,100000000)+[1]!b_stm07_bs(A180,108,$A$1,1,100000000)+[1]!b_stm07_bs(A180,95,$A$1,1,100000000))/[1]!b_stm07_bs(A180,128,$A$1,1,100000000),"")</f>
        <v/>
      </c>
      <c r="AN180" s="31" t="e">
        <f>IF(Z180&gt;#REF!,#REF!,IF(Z180&gt;#REF!,#REF!,IF(Z180&gt;#REF!,#REF!,IF(Z180&gt;#REF!,#REF!,IF(Z180&gt;#REF!,#REF!,IF(Z180&gt;#REF!,#REF!,IF(Z180&gt;#REF!,#REF!,#REF!)))))))</f>
        <v>#REF!</v>
      </c>
      <c r="AO180" s="31" t="e">
        <f>IF(AA180&gt;#REF!,#REF!,IF(AA180&gt;#REF!,#REF!,IF(AA180&gt;#REF!,#REF!,IF(AA180&gt;#REF!,#REF!,IF(AA180&gt;#REF!,#REF!,IF(AA180&gt;#REF!,#REF!,IF(AA180&gt;#REF!,#REF!,#REF!)))))))</f>
        <v>#REF!</v>
      </c>
      <c r="AP180" s="31" t="e">
        <f>IF(AB180&lt;#REF!,#REF!,IF(AB180&lt;#REF!,#REF!,IF(AB180&lt;#REF!,#REF!,IF(AB180&lt;#REF!,#REF!,IF(AB180&lt;#REF!,#REF!,IF(AB180&lt;#REF!,#REF!,#REF!))))))</f>
        <v>#REF!</v>
      </c>
      <c r="AQ180" s="31" t="e">
        <f>IF(AC180&gt;#REF!,#REF!,IF(AC180&gt;#REF!,#REF!,IF(AC180&gt;#REF!,#REF!,IF(AC180&gt;#REF!,#REF!,#REF!))))</f>
        <v>#REF!</v>
      </c>
      <c r="AR180" s="31" t="e">
        <f>IF(AE180&gt;#REF!,#REF!,IF(AE180&gt;#REF!,#REF!,IF(AE180&gt;#REF!,#REF!,IF(AE180&gt;#REF!,#REF!,#REF!))))</f>
        <v>#REF!</v>
      </c>
      <c r="AS180" s="31" t="e">
        <f>IF(AF180&gt;#REF!,#REF!,IF(AF180&gt;#REF!,#REF!,IF(AF180&gt;#REF!,#REF!,IF(AF180&gt;#REF!,#REF!,#REF!))))</f>
        <v>#REF!</v>
      </c>
      <c r="AT180" s="31" t="e">
        <f>IF(AH180&gt;#REF!,#REF!,IF(AH180&gt;#REF!,#REF!,IF(AH180&gt;#REF!,#REF!,IF(AH180&gt;#REF!,#REF!,IF(AH180&gt;#REF!,#REF!,#REF!)))))</f>
        <v>#REF!</v>
      </c>
      <c r="AU180" s="10" t="e">
        <f t="shared" si="44"/>
        <v>#REF!</v>
      </c>
      <c r="AV180" s="10"/>
      <c r="AW180" s="10"/>
      <c r="AX180" s="10"/>
      <c r="AY180" s="31" t="str">
        <f>IFERROR(VLOOKUP(AV180,#REF!,3,0),"")</f>
        <v/>
      </c>
      <c r="AZ180" s="31" t="str">
        <f>IFERROR(VLOOKUP(AW180,#REF!,3,0),"")</f>
        <v/>
      </c>
      <c r="BA180" s="31" t="str">
        <f>IFERROR(VLOOKUP(AX180,#REF!,3,0),"")</f>
        <v/>
      </c>
      <c r="BB180" s="31" t="str">
        <f>IFERROR(AY180*#REF!+AZ180*#REF!+BA180*#REF!,"")</f>
        <v/>
      </c>
      <c r="BC180" s="32" t="str">
        <f t="shared" si="45"/>
        <v/>
      </c>
      <c r="BD180" s="32" t="str">
        <f>IFERROR(VLOOKUP(BC180*10,#REF!,2,1),"")</f>
        <v/>
      </c>
      <c r="BE180" s="10"/>
      <c r="BF180" s="10"/>
      <c r="BG180" s="10"/>
      <c r="BH180" s="11" t="s">
        <v>1021</v>
      </c>
      <c r="BI180" s="10">
        <v>14.6340999603271</v>
      </c>
      <c r="BJ180" s="11" t="s">
        <v>78</v>
      </c>
      <c r="BK180" s="33" t="s">
        <v>989</v>
      </c>
      <c r="BL180" s="10">
        <f>IF([1]!s_stmnote_bank_17n(A180,$A$1,1)="0","",[1]!s_stmnote_bank_17n(A180,$A$1,1))</f>
        <v>0</v>
      </c>
      <c r="BM180" s="10">
        <f>IF([1]!s_stmnote_bank_18n(A180,$A$1,1)="0","",[1]!s_stmnote_bank_18n(A180,$A$1,1))</f>
        <v>0</v>
      </c>
      <c r="BN180" s="41"/>
      <c r="BO180" s="52"/>
      <c r="BP180" s="52">
        <f>[1]!s_stmnote_bank_5444(A180,$A$1,1)</f>
        <v>0</v>
      </c>
      <c r="BQ180" s="52">
        <f>[1]!s_stmnote_bank_129n($A180,$A$1,1)</f>
        <v>0</v>
      </c>
      <c r="BR180" s="52">
        <f t="shared" si="52"/>
        <v>0</v>
      </c>
      <c r="BS180" s="52">
        <f>[1]!b_stm07_is(A180,19,$A$1,1,100000000)</f>
        <v>0</v>
      </c>
      <c r="BT180" s="52">
        <f xml:space="preserve"> [1]!s_stm07_bs(A180,"W15273164",$A$1,1,100000000)-[1]!s_stm07_bs(A180,"W17642530",$A$1,1,100000000)-[1]!s_stm07_bs(A180,"W15910877",$A$1,1,100000000)-[1]!s_stm07_bs_39(A180,$A$1,1,100000000)-[1]!s_stm07_bs(A180,"W17700468",$A$1,1,100000000)-[1]!s_stm07_bs(A180,"W16504296",$A$1,1,100000000)-[1]!s_stm07_bs(A180,"W13769069",$A$1,1,100000000)</f>
        <v>0</v>
      </c>
      <c r="BU180" s="52">
        <f xml:space="preserve"> [1]!s_stm07_bs(A180,"W15273164",$B$1,1,100000000)-[1]!s_stm07_bs(A180,"W17642530",$B$1,1,100000000)-[1]!s_stm07_bs(A180,"W15910877",$B$1,1,100000000)-[1]!s_stm07_bs_39(A180,$B$1,1,100000000)-[1]!s_stm07_bs(A180,"W17700468",$B$1,1,100000000)-[1]!s_stm07_bs(A180,"W16504296",$B$1,1,100000000)-[1]!s_stm07_bs(A180,"W13769069",$B$1,1,100000000)</f>
        <v>0</v>
      </c>
      <c r="BV180" s="52">
        <f xml:space="preserve"> [1]!s_stm07_bs(A180,"W15273164",$E$1,1,100000000)-[1]!s_stm07_bs(A180,"W17642530",$E$1,1,100000000)-[1]!s_stm07_bs(A180,"W15910877",$E$1,1,100000000)-[1]!s_stm07_bs_39(A180,$E$1,1,100000000)-[1]!s_stm07_bs(A180,"W17700468",$E$1,1,100000000)-[1]!s_stm07_bs(A180,"W16504296",$E$1,1,100000000)-[1]!s_stm07_bs(A180,"W13769069",$E$1,1,100000000)</f>
        <v>0</v>
      </c>
      <c r="BW180" s="52">
        <f xml:space="preserve"> [1]!s_stm07_bs(A180,"W15273164",$F$1,1,100000000)-[1]!s_stm07_bs(A180,"W17642530",$F$1,1,100000000)-[1]!s_stm07_bs(A180,"W15910877",$F$1,1,100000000)-[1]!s_stm07_bs_39(A180,$F$1,1,100000000)-[1]!s_stm07_bs(A180,"W17700468",$F$1,1,100000000)-[1]!s_stm07_bs(A180,"W16504296",$F$1,1,100000000)-[1]!s_stm07_bs(A180,"W13769069",$F$1,1,100000000)</f>
        <v>0</v>
      </c>
      <c r="BX180" s="52">
        <f xml:space="preserve"> [1]!s_stm07_bs(A180,"W15273164",$G$1,1,100000000)-[1]!s_stm07_bs(A180,"W17642530",$G$1,1,100000000)-[1]!s_stm07_bs(A180,"W15910877",$G$1,1,100000000)-[1]!s_stm07_bs_39(A180,$G$1,1,100000000)-[1]!s_stm07_bs(A180,"W17700468",$G$1,1,100000000)-[1]!s_stm07_bs(A180,"W16504296",$G$1,1,100000000)-[1]!s_stm07_bs(A180,"W13769069",$G$1,1,100000000)</f>
        <v>0</v>
      </c>
      <c r="BY180" s="52">
        <f>IFERROR([1]!b_stm07_is(A180,20,$A$1,1,100000000)/AVERAGEIF(CA180:CE180,"&gt;0")*100,0)</f>
        <v>0</v>
      </c>
      <c r="BZ180" s="52">
        <f>[1]!b_stm07_is(A180,20,$A$1,1,100000000)</f>
        <v>0</v>
      </c>
      <c r="CA180" s="52">
        <f>[1]!s_stmnote_bank_38(A180,$A$1,1,100000000)</f>
        <v>0</v>
      </c>
      <c r="CB180" s="52">
        <f>[1]!s_stmnote_bank_38(A180,$B$1,1,100000000)</f>
        <v>0</v>
      </c>
      <c r="CC180" s="52">
        <f>[1]!s_stmnote_bank_38(A180,$E$1,1,100000000)</f>
        <v>0</v>
      </c>
      <c r="CD180" s="52">
        <f>[1]!s_stmnote_bank_38(A180,$F$1,1,100000000)</f>
        <v>0</v>
      </c>
      <c r="CE180" s="52">
        <f>[1]!s_stmnote_bank_38(A180,$G$1,1,100000000)</f>
        <v>0</v>
      </c>
      <c r="CF180" s="52" t="str">
        <f>IF(BP180&lt;&gt;0,BP180,IFERROR(IF(([1]!b_stm07_is(A180,19,$A$1,1,100000000)-[1]!b_stm07_is(A180,20,$A$1,1,100000000))/AVERAGE([1]!s_stmnote_bank_35(A180,$A$1,1,100000000),[1]!s_stmnote_bank_35(A180,$B$1,1,100000000))*100=0,"",([1]!b_stm07_is(A180,19,$A$1,1,100000000)-[1]!b_stm07_is(A180,20,$A$1,1,100000000))/AVERAGE([1]!s_stmnote_bank_35(A180,$A$1,1,100000000),[1]!s_stmnote_bank_35(A180,$B$1,1,100000000))*100),""))</f>
        <v/>
      </c>
      <c r="CG180" s="27" t="e">
        <f t="shared" si="46"/>
        <v>#VALUE!</v>
      </c>
      <c r="CH180" s="80" t="str">
        <f t="shared" si="53"/>
        <v/>
      </c>
      <c r="CI180" s="27" t="e">
        <f t="shared" si="47"/>
        <v>#VALUE!</v>
      </c>
      <c r="CJ180" s="55">
        <f>[1]!s_stmnote_bank_30(A180,$A$1,1)</f>
        <v>0</v>
      </c>
      <c r="CP180" s="69">
        <f>[1]!b_stm07_bs($A180,141,$A$1,1,100000000)</f>
        <v>0</v>
      </c>
      <c r="CQ180" s="69">
        <f>[1]!b_stm07_bs($A180,141,$D$1,1,100000000)</f>
        <v>0</v>
      </c>
      <c r="CR180" s="68" t="str">
        <f>IF([1]!s_fa_roic_yearly($A180,$A$1)=0,"",[1]!s_fa_roic_yearly($A180,$A$1))</f>
        <v/>
      </c>
      <c r="CS180" s="27" t="e">
        <f t="shared" si="48"/>
        <v>#VALUE!</v>
      </c>
      <c r="CT180" s="68" t="str">
        <f>IF([1]!s_fa_roic_yearly($A180,$D$1)=0,"",[1]!s_fa_roic_yearly($A180,$D$1))</f>
        <v/>
      </c>
      <c r="CU180" s="27" t="e">
        <f t="shared" si="49"/>
        <v>#VALUE!</v>
      </c>
      <c r="CV180" s="78">
        <f>[1]!s_stm07_bs(A180,"W14578191",$A$1,1,100000000)</f>
        <v>0</v>
      </c>
      <c r="CW180" s="78">
        <f>[1]!s_stmnote_bank_682($A180,$A$1,1,2,100000000)</f>
        <v>0</v>
      </c>
      <c r="CX180" s="79" t="str">
        <f t="shared" si="50"/>
        <v/>
      </c>
    </row>
    <row r="181" spans="1:102" s="46" customFormat="1" ht="13.5">
      <c r="A181" s="8" t="s">
        <v>1022</v>
      </c>
      <c r="B181" s="8" t="s">
        <v>1023</v>
      </c>
      <c r="C181" s="9" t="s">
        <v>1024</v>
      </c>
      <c r="D181" s="9" t="s">
        <v>1066</v>
      </c>
      <c r="E181" s="10"/>
      <c r="F181" s="11" t="s">
        <v>90</v>
      </c>
      <c r="G181" s="11" t="s">
        <v>67</v>
      </c>
      <c r="H181" s="11" t="s">
        <v>103</v>
      </c>
      <c r="I181" s="11"/>
      <c r="J181" s="11" t="e">
        <f>VLOOKUP(B181,[3]额度信息!$B:$T,19,0)</f>
        <v>#N/A</v>
      </c>
      <c r="K181" s="11"/>
      <c r="L181" s="27" t="str">
        <f>IFERROR(([1]!b_stm07_bs($A181,47,$A$1,1,100000000))/[1]!b_stm07_bs($A181,109,$A$1,1,100000000),"")</f>
        <v/>
      </c>
      <c r="M181" s="20"/>
      <c r="N181" s="18"/>
      <c r="O181" s="27" t="e">
        <f t="shared" si="39"/>
        <v>#N/A</v>
      </c>
      <c r="P181" s="21" t="str">
        <f t="shared" si="51"/>
        <v/>
      </c>
      <c r="Q181" s="27" t="e">
        <f t="shared" si="40"/>
        <v>#VALUE!</v>
      </c>
      <c r="R181" s="18" t="str">
        <f>IFERROR([1]!s_stmnote_bank($A181,"34",$A$1,100000000)/[1]!s_stmnote_bank_1n(A181,$A$1,1,100000000),"")</f>
        <v/>
      </c>
      <c r="S181" s="22"/>
      <c r="T181" s="22"/>
      <c r="U181" s="22"/>
      <c r="V181" s="22"/>
      <c r="W181" s="22"/>
      <c r="X181" s="22"/>
      <c r="Y181" s="22"/>
      <c r="Z181" s="25">
        <f>[1]!b_stm07_bs(A181,74,$A$1,1,100000000)</f>
        <v>0</v>
      </c>
      <c r="AA181" s="25">
        <f>[1]!b_stm07_bs(A181,109,$A$1,1,100000000)</f>
        <v>0</v>
      </c>
      <c r="AB181" s="10">
        <f>[1]!s_stmnote_bank_5n(A181,$A$1,1)</f>
        <v>0</v>
      </c>
      <c r="AC181" s="25" t="str">
        <f>IF([1]!s_stmnote_bank_23n(A181,$A$1,1)=0,"",IFERROR([1]!s_stmnote_bank_23n(A181,$A$1,1),""))</f>
        <v/>
      </c>
      <c r="AD181" s="27" t="e">
        <f t="shared" si="41"/>
        <v>#VALUE!</v>
      </c>
      <c r="AE181" s="25">
        <f>[1]!s_stmnote_bank_capadequacyratio(A181,$A$1,1)</f>
        <v>0</v>
      </c>
      <c r="AF181" s="25" t="str">
        <f>IF([1]!s_stmnote_bank_capadequacyratio_ct1(A181,$A$1,1)=0,"",IFERROR([1]!s_stmnote_bank_capadequacyratio_ct1(A181,$A$1,1),""))</f>
        <v/>
      </c>
      <c r="AG181" s="27" t="e">
        <f t="shared" si="42"/>
        <v>#VALUE!</v>
      </c>
      <c r="AH181" s="6">
        <f>IF(OR([1]!s_fa_roe(A181,20201231)=0,[1]!s_fa_roe(A181,20211231)="0",[1]!s_fa_roe(A181,20221231)="0"),"",IFERROR(([1]!s_fa_roe(A181,20221231)+[1]!s_fa_roe(A181,20201231)+[1]!s_fa_roe(A181,20211231))/3,""))</f>
        <v>5.5920666666666667</v>
      </c>
      <c r="AI181" s="27" t="str">
        <f t="shared" si="43"/>
        <v>52 173</v>
      </c>
      <c r="AJ181" s="28" t="str">
        <f>IFERROR(([1]!s_stmnote_bank_65(A181,$A$1,1,2,4,100000000)+[1]!s_stmnote_bank_65(A181,$A$1,1,2,6,100000000))/[1]!s_stmnote_bank_1n(A181,$A$1,1,100000000),"")</f>
        <v/>
      </c>
      <c r="AK181" s="28" t="str">
        <f>IFERROR([1]!s_stmnote_bank_614(A181,$A$1,1,2,100000000)/[1]!s_stmnote_bank_647(A181,$A$1,1,2,100000000),"")</f>
        <v/>
      </c>
      <c r="AL181" s="28" t="str">
        <f>IFERROR(([1]!b_stm07_bs(A181,104,$A$1,1,100000000)+[1]!b_stm07_bs(A181,106,$A$1,1,100000000)+[1]!b_stm07_bs(A181,76,$A$1,1,100000000)+[1]!b_stm07_bs(A181,108,$A$1,1,100000000)+[1]!b_stm07_bs(A181,95,$A$1,1,100000000))/[1]!b_stm07_bs(A181,128,$A$1,1,100000000),"")</f>
        <v/>
      </c>
      <c r="AM181" s="28" t="str">
        <f>IFERROR(([1]!s_stmnote_bank_614(A181,$A$1,1,2,100000000)+[1]!b_stm07_bs(A181,104,$A$1,1,100000000)+[1]!b_stm07_bs(A181,106,$A$1,1,100000000)+[1]!b_stm07_bs(A181,76,$A$1,1,100000000)+[1]!b_stm07_bs(A181,108,$A$1,1,100000000)+[1]!b_stm07_bs(A181,95,$A$1,1,100000000))/[1]!b_stm07_bs(A181,128,$A$1,1,100000000),"")</f>
        <v/>
      </c>
      <c r="AN181" s="31" t="e">
        <f>IF(Z181&gt;#REF!,#REF!,IF(Z181&gt;#REF!,#REF!,IF(Z181&gt;#REF!,#REF!,IF(Z181&gt;#REF!,#REF!,IF(Z181&gt;#REF!,#REF!,IF(Z181&gt;#REF!,#REF!,IF(Z181&gt;#REF!,#REF!,#REF!)))))))</f>
        <v>#REF!</v>
      </c>
      <c r="AO181" s="31" t="e">
        <f>IF(AA181&gt;#REF!,#REF!,IF(AA181&gt;#REF!,#REF!,IF(AA181&gt;#REF!,#REF!,IF(AA181&gt;#REF!,#REF!,IF(AA181&gt;#REF!,#REF!,IF(AA181&gt;#REF!,#REF!,IF(AA181&gt;#REF!,#REF!,#REF!)))))))</f>
        <v>#REF!</v>
      </c>
      <c r="AP181" s="31" t="e">
        <f>IF(AB181&lt;#REF!,#REF!,IF(AB181&lt;#REF!,#REF!,IF(AB181&lt;#REF!,#REF!,IF(AB181&lt;#REF!,#REF!,IF(AB181&lt;#REF!,#REF!,IF(AB181&lt;#REF!,#REF!,#REF!))))))</f>
        <v>#REF!</v>
      </c>
      <c r="AQ181" s="31" t="e">
        <f>IF(AC181&gt;#REF!,#REF!,IF(AC181&gt;#REF!,#REF!,IF(AC181&gt;#REF!,#REF!,IF(AC181&gt;#REF!,#REF!,#REF!))))</f>
        <v>#REF!</v>
      </c>
      <c r="AR181" s="31" t="e">
        <f>IF(AE181&gt;#REF!,#REF!,IF(AE181&gt;#REF!,#REF!,IF(AE181&gt;#REF!,#REF!,IF(AE181&gt;#REF!,#REF!,#REF!))))</f>
        <v>#REF!</v>
      </c>
      <c r="AS181" s="31" t="e">
        <f>IF(AF181&gt;#REF!,#REF!,IF(AF181&gt;#REF!,#REF!,IF(AF181&gt;#REF!,#REF!,IF(AF181&gt;#REF!,#REF!,#REF!))))</f>
        <v>#REF!</v>
      </c>
      <c r="AT181" s="31" t="e">
        <f>IF(AH181&gt;#REF!,#REF!,IF(AH181&gt;#REF!,#REF!,IF(AH181&gt;#REF!,#REF!,IF(AH181&gt;#REF!,#REF!,IF(AH181&gt;#REF!,#REF!,#REF!)))))</f>
        <v>#REF!</v>
      </c>
      <c r="AU181" s="10" t="e">
        <f t="shared" si="44"/>
        <v>#REF!</v>
      </c>
      <c r="AV181" s="10"/>
      <c r="AW181" s="10"/>
      <c r="AX181" s="10"/>
      <c r="AY181" s="31" t="str">
        <f>IFERROR(VLOOKUP(AV181,#REF!,3,0),"")</f>
        <v/>
      </c>
      <c r="AZ181" s="31" t="str">
        <f>IFERROR(VLOOKUP(AW181,#REF!,3,0),"")</f>
        <v/>
      </c>
      <c r="BA181" s="31" t="str">
        <f>IFERROR(VLOOKUP(AX181,#REF!,3,0),"")</f>
        <v/>
      </c>
      <c r="BB181" s="31" t="str">
        <f>IFERROR(AY181*#REF!+AZ181*#REF!+BA181*#REF!,"")</f>
        <v/>
      </c>
      <c r="BC181" s="32" t="str">
        <f t="shared" si="45"/>
        <v/>
      </c>
      <c r="BD181" s="32" t="str">
        <f>IFERROR(VLOOKUP(BC181*10,#REF!,2,1),"")</f>
        <v/>
      </c>
      <c r="BE181" s="10"/>
      <c r="BF181" s="10"/>
      <c r="BG181" s="10"/>
      <c r="BH181" s="11" t="s">
        <v>1025</v>
      </c>
      <c r="BI181" s="10">
        <v>5.0100002288818404</v>
      </c>
      <c r="BJ181" s="11" t="s">
        <v>111</v>
      </c>
      <c r="BK181" s="33" t="s">
        <v>163</v>
      </c>
      <c r="BL181" s="10">
        <f>IF([1]!s_stmnote_bank_17n(A181,$A$1,1)="0","",[1]!s_stmnote_bank_17n(A181,$A$1,1))</f>
        <v>0</v>
      </c>
      <c r="BM181" s="10">
        <f>IF([1]!s_stmnote_bank_18n(A181,$A$1,1)="0","",[1]!s_stmnote_bank_18n(A181,$A$1,1))</f>
        <v>0</v>
      </c>
      <c r="BN181" s="41"/>
      <c r="BO181" s="52"/>
      <c r="BP181" s="52">
        <f>[1]!s_stmnote_bank_5444(A181,$A$1,1)</f>
        <v>0</v>
      </c>
      <c r="BQ181" s="52">
        <f>[1]!s_stmnote_bank_129n($A181,$A$1,1)</f>
        <v>0</v>
      </c>
      <c r="BR181" s="52">
        <f t="shared" si="52"/>
        <v>0</v>
      </c>
      <c r="BS181" s="52">
        <f>[1]!b_stm07_is(A181,19,$A$1,1,100000000)</f>
        <v>0</v>
      </c>
      <c r="BT181" s="52">
        <f xml:space="preserve"> [1]!s_stm07_bs(A181,"W15273164",$A$1,1,100000000)-[1]!s_stm07_bs(A181,"W17642530",$A$1,1,100000000)-[1]!s_stm07_bs(A181,"W15910877",$A$1,1,100000000)-[1]!s_stm07_bs_39(A181,$A$1,1,100000000)-[1]!s_stm07_bs(A181,"W17700468",$A$1,1,100000000)-[1]!s_stm07_bs(A181,"W16504296",$A$1,1,100000000)-[1]!s_stm07_bs(A181,"W13769069",$A$1,1,100000000)</f>
        <v>0</v>
      </c>
      <c r="BU181" s="52">
        <f xml:space="preserve"> [1]!s_stm07_bs(A181,"W15273164",$B$1,1,100000000)-[1]!s_stm07_bs(A181,"W17642530",$B$1,1,100000000)-[1]!s_stm07_bs(A181,"W15910877",$B$1,1,100000000)-[1]!s_stm07_bs_39(A181,$B$1,1,100000000)-[1]!s_stm07_bs(A181,"W17700468",$B$1,1,100000000)-[1]!s_stm07_bs(A181,"W16504296",$B$1,1,100000000)-[1]!s_stm07_bs(A181,"W13769069",$B$1,1,100000000)</f>
        <v>850.48479564299998</v>
      </c>
      <c r="BV181" s="52">
        <f xml:space="preserve"> [1]!s_stm07_bs(A181,"W15273164",$E$1,1,100000000)-[1]!s_stm07_bs(A181,"W17642530",$E$1,1,100000000)-[1]!s_stm07_bs(A181,"W15910877",$E$1,1,100000000)-[1]!s_stm07_bs_39(A181,$E$1,1,100000000)-[1]!s_stm07_bs(A181,"W17700468",$E$1,1,100000000)-[1]!s_stm07_bs(A181,"W16504296",$E$1,1,100000000)-[1]!s_stm07_bs(A181,"W13769069",$E$1,1,100000000)</f>
        <v>0</v>
      </c>
      <c r="BW181" s="52">
        <f xml:space="preserve"> [1]!s_stm07_bs(A181,"W15273164",$F$1,1,100000000)-[1]!s_stm07_bs(A181,"W17642530",$F$1,1,100000000)-[1]!s_stm07_bs(A181,"W15910877",$F$1,1,100000000)-[1]!s_stm07_bs_39(A181,$F$1,1,100000000)-[1]!s_stm07_bs(A181,"W17700468",$F$1,1,100000000)-[1]!s_stm07_bs(A181,"W16504296",$F$1,1,100000000)-[1]!s_stm07_bs(A181,"W13769069",$F$1,1,100000000)</f>
        <v>0</v>
      </c>
      <c r="BX181" s="52">
        <f xml:space="preserve"> [1]!s_stm07_bs(A181,"W15273164",$G$1,1,100000000)-[1]!s_stm07_bs(A181,"W17642530",$G$1,1,100000000)-[1]!s_stm07_bs(A181,"W15910877",$G$1,1,100000000)-[1]!s_stm07_bs_39(A181,$G$1,1,100000000)-[1]!s_stm07_bs(A181,"W17700468",$G$1,1,100000000)-[1]!s_stm07_bs(A181,"W16504296",$G$1,1,100000000)-[1]!s_stm07_bs(A181,"W13769069",$G$1,1,100000000)</f>
        <v>0</v>
      </c>
      <c r="BY181" s="52">
        <f>IFERROR([1]!b_stm07_is(A181,20,$A$1,1,100000000)/AVERAGEIF(CA181:CE181,"&gt;0")*100,0)</f>
        <v>0</v>
      </c>
      <c r="BZ181" s="52">
        <f>[1]!b_stm07_is(A181,20,$A$1,1,100000000)</f>
        <v>0</v>
      </c>
      <c r="CA181" s="52">
        <f>[1]!s_stmnote_bank_38(A181,$A$1,1,100000000)</f>
        <v>0</v>
      </c>
      <c r="CB181" s="52">
        <f>[1]!s_stmnote_bank_38(A181,$B$1,1,100000000)</f>
        <v>767.05805099999998</v>
      </c>
      <c r="CC181" s="52">
        <f>[1]!s_stmnote_bank_38(A181,$E$1,1,100000000)</f>
        <v>0</v>
      </c>
      <c r="CD181" s="52">
        <f>[1]!s_stmnote_bank_38(A181,$F$1,1,100000000)</f>
        <v>0</v>
      </c>
      <c r="CE181" s="52">
        <f>[1]!s_stmnote_bank_38(A181,$G$1,1,100000000)</f>
        <v>0</v>
      </c>
      <c r="CF181" s="52" t="str">
        <f>IF(BP181&lt;&gt;0,BP181,IFERROR(IF(([1]!b_stm07_is(A181,19,$A$1,1,100000000)-[1]!b_stm07_is(A181,20,$A$1,1,100000000))/AVERAGE([1]!s_stmnote_bank_35(A181,$A$1,1,100000000),[1]!s_stmnote_bank_35(A181,$B$1,1,100000000))*100=0,"",([1]!b_stm07_is(A181,19,$A$1,1,100000000)-[1]!b_stm07_is(A181,20,$A$1,1,100000000))/AVERAGE([1]!s_stmnote_bank_35(A181,$A$1,1,100000000),[1]!s_stmnote_bank_35(A181,$B$1,1,100000000))*100),""))</f>
        <v/>
      </c>
      <c r="CG181" s="27" t="e">
        <f t="shared" si="46"/>
        <v>#VALUE!</v>
      </c>
      <c r="CH181" s="80" t="str">
        <f t="shared" si="53"/>
        <v/>
      </c>
      <c r="CI181" s="27" t="e">
        <f t="shared" si="47"/>
        <v>#VALUE!</v>
      </c>
      <c r="CJ181" s="55">
        <f>[1]!s_stmnote_bank_30(A181,$A$1,1)</f>
        <v>0</v>
      </c>
      <c r="CP181" s="69">
        <f>[1]!b_stm07_bs($A181,141,$A$1,1,100000000)</f>
        <v>0</v>
      </c>
      <c r="CQ181" s="69">
        <f>[1]!b_stm07_bs($A181,141,$D$1,1,100000000)</f>
        <v>0</v>
      </c>
      <c r="CR181" s="68" t="str">
        <f>IF([1]!s_fa_roic_yearly($A181,$A$1)=0,"",[1]!s_fa_roic_yearly($A181,$A$1))</f>
        <v/>
      </c>
      <c r="CS181" s="27" t="e">
        <f t="shared" si="48"/>
        <v>#VALUE!</v>
      </c>
      <c r="CT181" s="68" t="str">
        <f>IF([1]!s_fa_roic_yearly($A181,$D$1)=0,"",[1]!s_fa_roic_yearly($A181,$D$1))</f>
        <v/>
      </c>
      <c r="CU181" s="27" t="e">
        <f t="shared" si="49"/>
        <v>#VALUE!</v>
      </c>
      <c r="CV181" s="78">
        <f>[1]!s_stm07_bs(A181,"W14578191",$A$1,1,100000000)</f>
        <v>0</v>
      </c>
      <c r="CW181" s="78">
        <f>[1]!s_stmnote_bank_682($A181,$A$1,1,2,100000000)</f>
        <v>0</v>
      </c>
      <c r="CX181" s="79" t="str">
        <f t="shared" si="50"/>
        <v/>
      </c>
    </row>
    <row r="182" spans="1:102" s="46" customFormat="1" ht="13.5">
      <c r="A182" s="8" t="s">
        <v>1026</v>
      </c>
      <c r="B182" s="8" t="s">
        <v>1027</v>
      </c>
      <c r="C182" s="15" t="s">
        <v>1028</v>
      </c>
      <c r="D182" s="9" t="s">
        <v>1061</v>
      </c>
      <c r="E182" s="10"/>
      <c r="F182" s="11" t="s">
        <v>178</v>
      </c>
      <c r="G182" s="11" t="s">
        <v>67</v>
      </c>
      <c r="H182" s="11" t="s">
        <v>67</v>
      </c>
      <c r="I182" s="11"/>
      <c r="J182" s="11" t="e">
        <f>VLOOKUP(B182,[3]额度信息!$B:$T,19,0)</f>
        <v>#N/A</v>
      </c>
      <c r="K182" s="11"/>
      <c r="L182" s="27" t="str">
        <f>IFERROR(([1]!b_stm07_bs($A182,47,$A$1,1,100000000))/[1]!b_stm07_bs($A182,109,$A$1,1,100000000),"")</f>
        <v/>
      </c>
      <c r="M182" s="20"/>
      <c r="N182" s="18"/>
      <c r="O182" s="27" t="e">
        <f t="shared" si="39"/>
        <v>#N/A</v>
      </c>
      <c r="P182" s="21" t="str">
        <f t="shared" si="51"/>
        <v/>
      </c>
      <c r="Q182" s="27" t="e">
        <f t="shared" si="40"/>
        <v>#VALUE!</v>
      </c>
      <c r="R182" s="18" t="str">
        <f>IFERROR([1]!s_stmnote_bank($A182,"34",$A$1,100000000)/[1]!s_stmnote_bank_1n(A182,$A$1,1,100000000),"")</f>
        <v/>
      </c>
      <c r="S182" s="22"/>
      <c r="T182" s="22"/>
      <c r="U182" s="22"/>
      <c r="V182" s="22"/>
      <c r="W182" s="22"/>
      <c r="X182" s="22"/>
      <c r="Y182" s="22"/>
      <c r="Z182" s="25">
        <f>[1]!b_stm07_bs(A182,74,$A$1,1,100000000)</f>
        <v>0</v>
      </c>
      <c r="AA182" s="25">
        <f>[1]!b_stm07_bs(A182,109,$A$1,1,100000000)</f>
        <v>0</v>
      </c>
      <c r="AB182" s="10">
        <f>[1]!s_stmnote_bank_5n(A182,$A$1,1)</f>
        <v>0</v>
      </c>
      <c r="AC182" s="25" t="str">
        <f>IF([1]!s_stmnote_bank_23n(A182,$A$1,1)=0,"",IFERROR([1]!s_stmnote_bank_23n(A182,$A$1,1),""))</f>
        <v/>
      </c>
      <c r="AD182" s="27" t="e">
        <f t="shared" si="41"/>
        <v>#VALUE!</v>
      </c>
      <c r="AE182" s="25">
        <f>[1]!s_stmnote_bank_capadequacyratio(A182,$A$1,1)</f>
        <v>0</v>
      </c>
      <c r="AF182" s="25" t="str">
        <f>IF([1]!s_stmnote_bank_capadequacyratio_ct1(A182,$A$1,1)=0,"",IFERROR([1]!s_stmnote_bank_capadequacyratio_ct1(A182,$A$1,1),""))</f>
        <v/>
      </c>
      <c r="AG182" s="27" t="e">
        <f t="shared" si="42"/>
        <v>#VALUE!</v>
      </c>
      <c r="AH182" s="6" t="str">
        <f>IF(OR([1]!s_fa_roe(A182,20201231)=0,[1]!s_fa_roe(A182,20211231)="0",[1]!s_fa_roe(A182,20221231)="0"),"",IFERROR(([1]!s_fa_roe(A182,20221231)+[1]!s_fa_roe(A182,20201231)+[1]!s_fa_roe(A182,20211231))/3,""))</f>
        <v/>
      </c>
      <c r="AI182" s="27" t="e">
        <f t="shared" si="43"/>
        <v>#VALUE!</v>
      </c>
      <c r="AJ182" s="28" t="str">
        <f>IFERROR(([1]!s_stmnote_bank_65(A182,$A$1,1,2,4,100000000)+[1]!s_stmnote_bank_65(A182,$A$1,1,2,6,100000000))/[1]!s_stmnote_bank_1n(A182,$A$1,1,100000000),"")</f>
        <v/>
      </c>
      <c r="AK182" s="28" t="str">
        <f>IFERROR([1]!s_stmnote_bank_614(A182,$A$1,1,2,100000000)/[1]!s_stmnote_bank_647(A182,$A$1,1,2,100000000),"")</f>
        <v/>
      </c>
      <c r="AL182" s="28" t="str">
        <f>IFERROR(([1]!b_stm07_bs(A182,104,$A$1,1,100000000)+[1]!b_stm07_bs(A182,106,$A$1,1,100000000)+[1]!b_stm07_bs(A182,76,$A$1,1,100000000)+[1]!b_stm07_bs(A182,108,$A$1,1,100000000)+[1]!b_stm07_bs(A182,95,$A$1,1,100000000))/[1]!b_stm07_bs(A182,128,$A$1,1,100000000),"")</f>
        <v/>
      </c>
      <c r="AM182" s="28" t="str">
        <f>IFERROR(([1]!s_stmnote_bank_614(A182,$A$1,1,2,100000000)+[1]!b_stm07_bs(A182,104,$A$1,1,100000000)+[1]!b_stm07_bs(A182,106,$A$1,1,100000000)+[1]!b_stm07_bs(A182,76,$A$1,1,100000000)+[1]!b_stm07_bs(A182,108,$A$1,1,100000000)+[1]!b_stm07_bs(A182,95,$A$1,1,100000000))/[1]!b_stm07_bs(A182,128,$A$1,1,100000000),"")</f>
        <v/>
      </c>
      <c r="AN182" s="31" t="e">
        <f>IF(Z182&gt;#REF!,#REF!,IF(Z182&gt;#REF!,#REF!,IF(Z182&gt;#REF!,#REF!,IF(Z182&gt;#REF!,#REF!,IF(Z182&gt;#REF!,#REF!,IF(Z182&gt;#REF!,#REF!,IF(Z182&gt;#REF!,#REF!,#REF!)))))))</f>
        <v>#REF!</v>
      </c>
      <c r="AO182" s="31" t="e">
        <f>IF(AA182&gt;#REF!,#REF!,IF(AA182&gt;#REF!,#REF!,IF(AA182&gt;#REF!,#REF!,IF(AA182&gt;#REF!,#REF!,IF(AA182&gt;#REF!,#REF!,IF(AA182&gt;#REF!,#REF!,IF(AA182&gt;#REF!,#REF!,#REF!)))))))</f>
        <v>#REF!</v>
      </c>
      <c r="AP182" s="31" t="e">
        <f>IF(AB182&lt;#REF!,#REF!,IF(AB182&lt;#REF!,#REF!,IF(AB182&lt;#REF!,#REF!,IF(AB182&lt;#REF!,#REF!,IF(AB182&lt;#REF!,#REF!,IF(AB182&lt;#REF!,#REF!,#REF!))))))</f>
        <v>#REF!</v>
      </c>
      <c r="AQ182" s="31" t="e">
        <f>IF(AC182&gt;#REF!,#REF!,IF(AC182&gt;#REF!,#REF!,IF(AC182&gt;#REF!,#REF!,IF(AC182&gt;#REF!,#REF!,#REF!))))</f>
        <v>#REF!</v>
      </c>
      <c r="AR182" s="31" t="e">
        <f>IF(AE182&gt;#REF!,#REF!,IF(AE182&gt;#REF!,#REF!,IF(AE182&gt;#REF!,#REF!,IF(AE182&gt;#REF!,#REF!,#REF!))))</f>
        <v>#REF!</v>
      </c>
      <c r="AS182" s="31" t="e">
        <f>IF(AF182&gt;#REF!,#REF!,IF(AF182&gt;#REF!,#REF!,IF(AF182&gt;#REF!,#REF!,IF(AF182&gt;#REF!,#REF!,#REF!))))</f>
        <v>#REF!</v>
      </c>
      <c r="AT182" s="31" t="e">
        <f>IF(AH182&gt;#REF!,#REF!,IF(AH182&gt;#REF!,#REF!,IF(AH182&gt;#REF!,#REF!,IF(AH182&gt;#REF!,#REF!,IF(AH182&gt;#REF!,#REF!,#REF!)))))</f>
        <v>#REF!</v>
      </c>
      <c r="AU182" s="10" t="e">
        <f t="shared" si="44"/>
        <v>#REF!</v>
      </c>
      <c r="AV182" s="10"/>
      <c r="AW182" s="10"/>
      <c r="AX182" s="10"/>
      <c r="AY182" s="31" t="str">
        <f>IFERROR(VLOOKUP(AV182,#REF!,3,0),"")</f>
        <v/>
      </c>
      <c r="AZ182" s="31" t="str">
        <f>IFERROR(VLOOKUP(AW182,#REF!,3,0),"")</f>
        <v/>
      </c>
      <c r="BA182" s="31" t="str">
        <f>IFERROR(VLOOKUP(AX182,#REF!,3,0),"")</f>
        <v/>
      </c>
      <c r="BB182" s="31" t="str">
        <f>IFERROR(AY182*#REF!+AZ182*#REF!+BA182*#REF!,"")</f>
        <v/>
      </c>
      <c r="BC182" s="32" t="str">
        <f t="shared" si="45"/>
        <v/>
      </c>
      <c r="BD182" s="32" t="str">
        <f>IFERROR(VLOOKUP(BC182*10,#REF!,2,1),"")</f>
        <v/>
      </c>
      <c r="BE182" s="10"/>
      <c r="BF182" s="10"/>
      <c r="BG182" s="10"/>
      <c r="BH182" s="11" t="s">
        <v>1029</v>
      </c>
      <c r="BI182" s="10">
        <v>9.0699996948242205</v>
      </c>
      <c r="BJ182" s="11"/>
      <c r="BK182" s="33" t="s">
        <v>1030</v>
      </c>
      <c r="BL182" s="10">
        <f>IF([1]!s_stmnote_bank_17n(A182,$A$1,1)="0","",[1]!s_stmnote_bank_17n(A182,$A$1,1))</f>
        <v>0</v>
      </c>
      <c r="BM182" s="10">
        <f>IF([1]!s_stmnote_bank_18n(A182,$A$1,1)="0","",[1]!s_stmnote_bank_18n(A182,$A$1,1))</f>
        <v>0</v>
      </c>
      <c r="BN182" s="41"/>
      <c r="BO182" s="52"/>
      <c r="BP182" s="52">
        <f>[1]!s_stmnote_bank_5444(A182,$A$1,1)</f>
        <v>0</v>
      </c>
      <c r="BQ182" s="52">
        <f>[1]!s_stmnote_bank_129n($A182,$A$1,1)</f>
        <v>0</v>
      </c>
      <c r="BR182" s="52">
        <f t="shared" si="52"/>
        <v>0</v>
      </c>
      <c r="BS182" s="52">
        <f>[1]!b_stm07_is(A182,19,$A$1,1,100000000)</f>
        <v>0</v>
      </c>
      <c r="BT182" s="52">
        <f xml:space="preserve"> [1]!s_stm07_bs(A182,"W15273164",$A$1,1,100000000)-[1]!s_stm07_bs(A182,"W17642530",$A$1,1,100000000)-[1]!s_stm07_bs(A182,"W15910877",$A$1,1,100000000)-[1]!s_stm07_bs_39(A182,$A$1,1,100000000)-[1]!s_stm07_bs(A182,"W17700468",$A$1,1,100000000)-[1]!s_stm07_bs(A182,"W16504296",$A$1,1,100000000)-[1]!s_stm07_bs(A182,"W13769069",$A$1,1,100000000)</f>
        <v>0</v>
      </c>
      <c r="BU182" s="52">
        <f xml:space="preserve"> [1]!s_stm07_bs(A182,"W15273164",$B$1,1,100000000)-[1]!s_stm07_bs(A182,"W17642530",$B$1,1,100000000)-[1]!s_stm07_bs(A182,"W15910877",$B$1,1,100000000)-[1]!s_stm07_bs_39(A182,$B$1,1,100000000)-[1]!s_stm07_bs(A182,"W17700468",$B$1,1,100000000)-[1]!s_stm07_bs(A182,"W16504296",$B$1,1,100000000)-[1]!s_stm07_bs(A182,"W13769069",$B$1,1,100000000)</f>
        <v>0</v>
      </c>
      <c r="BV182" s="52">
        <f xml:space="preserve"> [1]!s_stm07_bs(A182,"W15273164",$E$1,1,100000000)-[1]!s_stm07_bs(A182,"W17642530",$E$1,1,100000000)-[1]!s_stm07_bs(A182,"W15910877",$E$1,1,100000000)-[1]!s_stm07_bs_39(A182,$E$1,1,100000000)-[1]!s_stm07_bs(A182,"W17700468",$E$1,1,100000000)-[1]!s_stm07_bs(A182,"W16504296",$E$1,1,100000000)-[1]!s_stm07_bs(A182,"W13769069",$E$1,1,100000000)</f>
        <v>0</v>
      </c>
      <c r="BW182" s="52">
        <f xml:space="preserve"> [1]!s_stm07_bs(A182,"W15273164",$F$1,1,100000000)-[1]!s_stm07_bs(A182,"W17642530",$F$1,1,100000000)-[1]!s_stm07_bs(A182,"W15910877",$F$1,1,100000000)-[1]!s_stm07_bs_39(A182,$F$1,1,100000000)-[1]!s_stm07_bs(A182,"W17700468",$F$1,1,100000000)-[1]!s_stm07_bs(A182,"W16504296",$F$1,1,100000000)-[1]!s_stm07_bs(A182,"W13769069",$F$1,1,100000000)</f>
        <v>0</v>
      </c>
      <c r="BX182" s="52">
        <f xml:space="preserve"> [1]!s_stm07_bs(A182,"W15273164",$G$1,1,100000000)-[1]!s_stm07_bs(A182,"W17642530",$G$1,1,100000000)-[1]!s_stm07_bs(A182,"W15910877",$G$1,1,100000000)-[1]!s_stm07_bs_39(A182,$G$1,1,100000000)-[1]!s_stm07_bs(A182,"W17700468",$G$1,1,100000000)-[1]!s_stm07_bs(A182,"W16504296",$G$1,1,100000000)-[1]!s_stm07_bs(A182,"W13769069",$G$1,1,100000000)</f>
        <v>0</v>
      </c>
      <c r="BY182" s="52">
        <f>IFERROR([1]!b_stm07_is(A182,20,$A$1,1,100000000)/AVERAGEIF(CA182:CE182,"&gt;0")*100,0)</f>
        <v>0</v>
      </c>
      <c r="BZ182" s="52">
        <f>[1]!b_stm07_is(A182,20,$A$1,1,100000000)</f>
        <v>0</v>
      </c>
      <c r="CA182" s="52">
        <f>[1]!s_stmnote_bank_38(A182,$A$1,1,100000000)</f>
        <v>0</v>
      </c>
      <c r="CB182" s="52">
        <f>[1]!s_stmnote_bank_38(A182,$B$1,1,100000000)</f>
        <v>0</v>
      </c>
      <c r="CC182" s="52">
        <f>[1]!s_stmnote_bank_38(A182,$E$1,1,100000000)</f>
        <v>0</v>
      </c>
      <c r="CD182" s="52">
        <f>[1]!s_stmnote_bank_38(A182,$F$1,1,100000000)</f>
        <v>0</v>
      </c>
      <c r="CE182" s="52">
        <f>[1]!s_stmnote_bank_38(A182,$G$1,1,100000000)</f>
        <v>0</v>
      </c>
      <c r="CF182" s="52" t="str">
        <f>IF(BP182&lt;&gt;0,BP182,IFERROR(IF(([1]!b_stm07_is(A182,19,$A$1,1,100000000)-[1]!b_stm07_is(A182,20,$A$1,1,100000000))/AVERAGE([1]!s_stmnote_bank_35(A182,$A$1,1,100000000),[1]!s_stmnote_bank_35(A182,$B$1,1,100000000))*100=0,"",([1]!b_stm07_is(A182,19,$A$1,1,100000000)-[1]!b_stm07_is(A182,20,$A$1,1,100000000))/AVERAGE([1]!s_stmnote_bank_35(A182,$A$1,1,100000000),[1]!s_stmnote_bank_35(A182,$B$1,1,100000000))*100),""))</f>
        <v/>
      </c>
      <c r="CG182" s="27" t="e">
        <f t="shared" si="46"/>
        <v>#VALUE!</v>
      </c>
      <c r="CH182" s="80" t="str">
        <f t="shared" si="53"/>
        <v/>
      </c>
      <c r="CI182" s="27" t="e">
        <f t="shared" si="47"/>
        <v>#VALUE!</v>
      </c>
      <c r="CJ182" s="55">
        <f>[1]!s_stmnote_bank_30(A182,$A$1,1)</f>
        <v>0</v>
      </c>
      <c r="CP182" s="69">
        <f>[1]!b_stm07_bs($A182,141,$A$1,1,100000000)</f>
        <v>0</v>
      </c>
      <c r="CQ182" s="69">
        <f>[1]!b_stm07_bs($A182,141,$D$1,1,100000000)</f>
        <v>0</v>
      </c>
      <c r="CR182" s="68" t="str">
        <f>IF([1]!s_fa_roic_yearly($A182,$A$1)=0,"",[1]!s_fa_roic_yearly($A182,$A$1))</f>
        <v/>
      </c>
      <c r="CS182" s="27" t="e">
        <f t="shared" si="48"/>
        <v>#VALUE!</v>
      </c>
      <c r="CT182" s="68" t="str">
        <f>IF([1]!s_fa_roic_yearly($A182,$D$1)=0,"",[1]!s_fa_roic_yearly($A182,$D$1))</f>
        <v/>
      </c>
      <c r="CU182" s="27" t="e">
        <f t="shared" si="49"/>
        <v>#VALUE!</v>
      </c>
      <c r="CV182" s="78">
        <f>[1]!s_stm07_bs(A182,"W14578191",$A$1,1,100000000)</f>
        <v>0</v>
      </c>
      <c r="CW182" s="78">
        <f>[1]!s_stmnote_bank_682($A182,$A$1,1,2,100000000)</f>
        <v>0</v>
      </c>
      <c r="CX182" s="79" t="str">
        <f t="shared" si="50"/>
        <v/>
      </c>
    </row>
    <row r="183" spans="1:102" s="46" customFormat="1" ht="13.5">
      <c r="A183" s="8" t="s">
        <v>1031</v>
      </c>
      <c r="B183" s="8" t="s">
        <v>1032</v>
      </c>
      <c r="C183" s="15" t="s">
        <v>1033</v>
      </c>
      <c r="D183" s="9" t="s">
        <v>1061</v>
      </c>
      <c r="E183" s="10"/>
      <c r="F183" s="11" t="s">
        <v>90</v>
      </c>
      <c r="G183" s="11" t="s">
        <v>67</v>
      </c>
      <c r="H183" s="11" t="s">
        <v>67</v>
      </c>
      <c r="I183" s="11"/>
      <c r="J183" s="11" t="e">
        <f>VLOOKUP(B183,[3]额度信息!$B:$T,19,0)</f>
        <v>#N/A</v>
      </c>
      <c r="K183" s="11"/>
      <c r="L183" s="27" t="str">
        <f>IFERROR(([1]!b_stm07_bs($A183,47,$A$1,1,100000000))/[1]!b_stm07_bs($A183,109,$A$1,1,100000000),"")</f>
        <v/>
      </c>
      <c r="M183" s="20"/>
      <c r="N183" s="18"/>
      <c r="O183" s="27" t="e">
        <f t="shared" si="39"/>
        <v>#N/A</v>
      </c>
      <c r="P183" s="21" t="str">
        <f t="shared" si="51"/>
        <v/>
      </c>
      <c r="Q183" s="27" t="e">
        <f t="shared" si="40"/>
        <v>#VALUE!</v>
      </c>
      <c r="R183" s="18" t="str">
        <f>IFERROR([1]!s_stmnote_bank($A183,"34",$A$1,100000000)/[1]!s_stmnote_bank_1n(A183,$A$1,1,100000000),"")</f>
        <v/>
      </c>
      <c r="S183" s="22"/>
      <c r="T183" s="22"/>
      <c r="U183" s="22"/>
      <c r="V183" s="22"/>
      <c r="W183" s="22"/>
      <c r="X183" s="22"/>
      <c r="Y183" s="22"/>
      <c r="Z183" s="25">
        <f>[1]!b_stm07_bs(A183,74,$A$1,1,100000000)</f>
        <v>0</v>
      </c>
      <c r="AA183" s="25">
        <f>[1]!b_stm07_bs(A183,109,$A$1,1,100000000)</f>
        <v>0</v>
      </c>
      <c r="AB183" s="10">
        <f>[1]!s_stmnote_bank_5n(A183,$A$1,1)</f>
        <v>0</v>
      </c>
      <c r="AC183" s="25" t="str">
        <f>IF([1]!s_stmnote_bank_23n(A183,$A$1,1)=0,"",IFERROR([1]!s_stmnote_bank_23n(A183,$A$1,1),""))</f>
        <v/>
      </c>
      <c r="AD183" s="27" t="e">
        <f t="shared" si="41"/>
        <v>#VALUE!</v>
      </c>
      <c r="AE183" s="25">
        <f>[1]!s_stmnote_bank_capadequacyratio(A183,$A$1,1)</f>
        <v>0</v>
      </c>
      <c r="AF183" s="25" t="str">
        <f>IF([1]!s_stmnote_bank_capadequacyratio_ct1(A183,$A$1,1)=0,"",IFERROR([1]!s_stmnote_bank_capadequacyratio_ct1(A183,$A$1,1),""))</f>
        <v/>
      </c>
      <c r="AG183" s="27" t="e">
        <f t="shared" si="42"/>
        <v>#VALUE!</v>
      </c>
      <c r="AH183" s="6">
        <f>IF(OR([1]!s_fa_roe(A183,20201231)=0,[1]!s_fa_roe(A183,20211231)="0",[1]!s_fa_roe(A183,20221231)="0"),"",IFERROR(([1]!s_fa_roe(A183,20221231)+[1]!s_fa_roe(A183,20201231)+[1]!s_fa_roe(A183,20211231))/3,""))</f>
        <v>0.74936666666666663</v>
      </c>
      <c r="AI183" s="27" t="str">
        <f t="shared" si="43"/>
        <v>5 173</v>
      </c>
      <c r="AJ183" s="28" t="str">
        <f>IFERROR(([1]!s_stmnote_bank_65(A183,$A$1,1,2,4,100000000)+[1]!s_stmnote_bank_65(A183,$A$1,1,2,6,100000000))/[1]!s_stmnote_bank_1n(A183,$A$1,1,100000000),"")</f>
        <v/>
      </c>
      <c r="AK183" s="28" t="str">
        <f>IFERROR([1]!s_stmnote_bank_614(A183,$A$1,1,2,100000000)/[1]!s_stmnote_bank_647(A183,$A$1,1,2,100000000),"")</f>
        <v/>
      </c>
      <c r="AL183" s="28" t="str">
        <f>IFERROR(([1]!b_stm07_bs(A183,104,$A$1,1,100000000)+[1]!b_stm07_bs(A183,106,$A$1,1,100000000)+[1]!b_stm07_bs(A183,76,$A$1,1,100000000)+[1]!b_stm07_bs(A183,108,$A$1,1,100000000)+[1]!b_stm07_bs(A183,95,$A$1,1,100000000))/[1]!b_stm07_bs(A183,128,$A$1,1,100000000),"")</f>
        <v/>
      </c>
      <c r="AM183" s="28" t="str">
        <f>IFERROR(([1]!s_stmnote_bank_614(A183,$A$1,1,2,100000000)+[1]!b_stm07_bs(A183,104,$A$1,1,100000000)+[1]!b_stm07_bs(A183,106,$A$1,1,100000000)+[1]!b_stm07_bs(A183,76,$A$1,1,100000000)+[1]!b_stm07_bs(A183,108,$A$1,1,100000000)+[1]!b_stm07_bs(A183,95,$A$1,1,100000000))/[1]!b_stm07_bs(A183,128,$A$1,1,100000000),"")</f>
        <v/>
      </c>
      <c r="AN183" s="31" t="e">
        <f>IF(Z183&gt;#REF!,#REF!,IF(Z183&gt;#REF!,#REF!,IF(Z183&gt;#REF!,#REF!,IF(Z183&gt;#REF!,#REF!,IF(Z183&gt;#REF!,#REF!,IF(Z183&gt;#REF!,#REF!,IF(Z183&gt;#REF!,#REF!,#REF!)))))))</f>
        <v>#REF!</v>
      </c>
      <c r="AO183" s="31" t="e">
        <f>IF(AA183&gt;#REF!,#REF!,IF(AA183&gt;#REF!,#REF!,IF(AA183&gt;#REF!,#REF!,IF(AA183&gt;#REF!,#REF!,IF(AA183&gt;#REF!,#REF!,IF(AA183&gt;#REF!,#REF!,IF(AA183&gt;#REF!,#REF!,#REF!)))))))</f>
        <v>#REF!</v>
      </c>
      <c r="AP183" s="31" t="e">
        <f>IF(AB183&lt;#REF!,#REF!,IF(AB183&lt;#REF!,#REF!,IF(AB183&lt;#REF!,#REF!,IF(AB183&lt;#REF!,#REF!,IF(AB183&lt;#REF!,#REF!,IF(AB183&lt;#REF!,#REF!,#REF!))))))</f>
        <v>#REF!</v>
      </c>
      <c r="AQ183" s="31" t="e">
        <f>IF(AC183&gt;#REF!,#REF!,IF(AC183&gt;#REF!,#REF!,IF(AC183&gt;#REF!,#REF!,IF(AC183&gt;#REF!,#REF!,#REF!))))</f>
        <v>#REF!</v>
      </c>
      <c r="AR183" s="31" t="e">
        <f>IF(AE183&gt;#REF!,#REF!,IF(AE183&gt;#REF!,#REF!,IF(AE183&gt;#REF!,#REF!,IF(AE183&gt;#REF!,#REF!,#REF!))))</f>
        <v>#REF!</v>
      </c>
      <c r="AS183" s="31" t="e">
        <f>IF(AF183&gt;#REF!,#REF!,IF(AF183&gt;#REF!,#REF!,IF(AF183&gt;#REF!,#REF!,IF(AF183&gt;#REF!,#REF!,#REF!))))</f>
        <v>#REF!</v>
      </c>
      <c r="AT183" s="31" t="e">
        <f>IF(AH183&gt;#REF!,#REF!,IF(AH183&gt;#REF!,#REF!,IF(AH183&gt;#REF!,#REF!,IF(AH183&gt;#REF!,#REF!,IF(AH183&gt;#REF!,#REF!,#REF!)))))</f>
        <v>#REF!</v>
      </c>
      <c r="AU183" s="10" t="e">
        <f t="shared" si="44"/>
        <v>#REF!</v>
      </c>
      <c r="AV183" s="10"/>
      <c r="AW183" s="10"/>
      <c r="AX183" s="10"/>
      <c r="AY183" s="31" t="str">
        <f>IFERROR(VLOOKUP(AV183,#REF!,3,0),"")</f>
        <v/>
      </c>
      <c r="AZ183" s="31" t="str">
        <f>IFERROR(VLOOKUP(AW183,#REF!,3,0),"")</f>
        <v/>
      </c>
      <c r="BA183" s="31" t="str">
        <f>IFERROR(VLOOKUP(AX183,#REF!,3,0),"")</f>
        <v/>
      </c>
      <c r="BB183" s="31" t="str">
        <f>IFERROR(AY183*#REF!+AZ183*#REF!+BA183*#REF!,"")</f>
        <v/>
      </c>
      <c r="BC183" s="32" t="str">
        <f t="shared" si="45"/>
        <v/>
      </c>
      <c r="BD183" s="32" t="str">
        <f>IFERROR(VLOOKUP(BC183*10,#REF!,2,1),"")</f>
        <v/>
      </c>
      <c r="BE183" s="10"/>
      <c r="BF183" s="10"/>
      <c r="BG183" s="10"/>
      <c r="BH183" s="11" t="s">
        <v>1034</v>
      </c>
      <c r="BI183" s="10">
        <v>9.7200002670288104</v>
      </c>
      <c r="BJ183" s="11"/>
      <c r="BK183" s="33" t="s">
        <v>1035</v>
      </c>
      <c r="BL183" s="10">
        <f>IF([1]!s_stmnote_bank_17n(A183,$A$1,1)="0","",[1]!s_stmnote_bank_17n(A183,$A$1,1))</f>
        <v>0</v>
      </c>
      <c r="BM183" s="10">
        <f>IF([1]!s_stmnote_bank_18n(A183,$A$1,1)="0","",[1]!s_stmnote_bank_18n(A183,$A$1,1))</f>
        <v>0</v>
      </c>
      <c r="BN183" s="41"/>
      <c r="BO183" s="52"/>
      <c r="BP183" s="52">
        <f>[1]!s_stmnote_bank_5444(A183,$A$1,1)</f>
        <v>0</v>
      </c>
      <c r="BQ183" s="52">
        <f>[1]!s_stmnote_bank_129n($A183,$A$1,1)</f>
        <v>0</v>
      </c>
      <c r="BR183" s="52">
        <f t="shared" si="52"/>
        <v>0</v>
      </c>
      <c r="BS183" s="52">
        <f>[1]!b_stm07_is(A183,19,$A$1,1,100000000)</f>
        <v>0</v>
      </c>
      <c r="BT183" s="52">
        <f xml:space="preserve"> [1]!s_stm07_bs(A183,"W15273164",$A$1,1,100000000)-[1]!s_stm07_bs(A183,"W17642530",$A$1,1,100000000)-[1]!s_stm07_bs(A183,"W15910877",$A$1,1,100000000)-[1]!s_stm07_bs_39(A183,$A$1,1,100000000)-[1]!s_stm07_bs(A183,"W17700468",$A$1,1,100000000)-[1]!s_stm07_bs(A183,"W16504296",$A$1,1,100000000)-[1]!s_stm07_bs(A183,"W13769069",$A$1,1,100000000)</f>
        <v>0</v>
      </c>
      <c r="BU183" s="52">
        <f xml:space="preserve"> [1]!s_stm07_bs(A183,"W15273164",$B$1,1,100000000)-[1]!s_stm07_bs(A183,"W17642530",$B$1,1,100000000)-[1]!s_stm07_bs(A183,"W15910877",$B$1,1,100000000)-[1]!s_stm07_bs_39(A183,$B$1,1,100000000)-[1]!s_stm07_bs(A183,"W17700468",$B$1,1,100000000)-[1]!s_stm07_bs(A183,"W16504296",$B$1,1,100000000)-[1]!s_stm07_bs(A183,"W13769069",$B$1,1,100000000)</f>
        <v>1097.65679</v>
      </c>
      <c r="BV183" s="52">
        <f xml:space="preserve"> [1]!s_stm07_bs(A183,"W15273164",$E$1,1,100000000)-[1]!s_stm07_bs(A183,"W17642530",$E$1,1,100000000)-[1]!s_stm07_bs(A183,"W15910877",$E$1,1,100000000)-[1]!s_stm07_bs_39(A183,$E$1,1,100000000)-[1]!s_stm07_bs(A183,"W17700468",$E$1,1,100000000)-[1]!s_stm07_bs(A183,"W16504296",$E$1,1,100000000)-[1]!s_stm07_bs(A183,"W13769069",$E$1,1,100000000)</f>
        <v>0</v>
      </c>
      <c r="BW183" s="52">
        <f xml:space="preserve"> [1]!s_stm07_bs(A183,"W15273164",$F$1,1,100000000)-[1]!s_stm07_bs(A183,"W17642530",$F$1,1,100000000)-[1]!s_stm07_bs(A183,"W15910877",$F$1,1,100000000)-[1]!s_stm07_bs_39(A183,$F$1,1,100000000)-[1]!s_stm07_bs(A183,"W17700468",$F$1,1,100000000)-[1]!s_stm07_bs(A183,"W16504296",$F$1,1,100000000)-[1]!s_stm07_bs(A183,"W13769069",$F$1,1,100000000)</f>
        <v>0</v>
      </c>
      <c r="BX183" s="52">
        <f xml:space="preserve"> [1]!s_stm07_bs(A183,"W15273164",$G$1,1,100000000)-[1]!s_stm07_bs(A183,"W17642530",$G$1,1,100000000)-[1]!s_stm07_bs(A183,"W15910877",$G$1,1,100000000)-[1]!s_stm07_bs_39(A183,$G$1,1,100000000)-[1]!s_stm07_bs(A183,"W17700468",$G$1,1,100000000)-[1]!s_stm07_bs(A183,"W16504296",$G$1,1,100000000)-[1]!s_stm07_bs(A183,"W13769069",$G$1,1,100000000)</f>
        <v>0</v>
      </c>
      <c r="BY183" s="52">
        <f>IFERROR([1]!b_stm07_is(A183,20,$A$1,1,100000000)/AVERAGEIF(CA183:CE183,"&gt;0")*100,0)</f>
        <v>0</v>
      </c>
      <c r="BZ183" s="52">
        <f>[1]!b_stm07_is(A183,20,$A$1,1,100000000)</f>
        <v>0</v>
      </c>
      <c r="CA183" s="52">
        <f>[1]!s_stmnote_bank_38(A183,$A$1,1,100000000)</f>
        <v>0</v>
      </c>
      <c r="CB183" s="52">
        <f>[1]!s_stmnote_bank_38(A183,$B$1,1,100000000)</f>
        <v>1026.4563599999999</v>
      </c>
      <c r="CC183" s="52">
        <f>[1]!s_stmnote_bank_38(A183,$E$1,1,100000000)</f>
        <v>0</v>
      </c>
      <c r="CD183" s="52">
        <f>[1]!s_stmnote_bank_38(A183,$F$1,1,100000000)</f>
        <v>0</v>
      </c>
      <c r="CE183" s="52">
        <f>[1]!s_stmnote_bank_38(A183,$G$1,1,100000000)</f>
        <v>0</v>
      </c>
      <c r="CF183" s="52" t="str">
        <f>IF(BP183&lt;&gt;0,BP183,IFERROR(IF(([1]!b_stm07_is(A183,19,$A$1,1,100000000)-[1]!b_stm07_is(A183,20,$A$1,1,100000000))/AVERAGE([1]!s_stmnote_bank_35(A183,$A$1,1,100000000),[1]!s_stmnote_bank_35(A183,$B$1,1,100000000))*100=0,"",([1]!b_stm07_is(A183,19,$A$1,1,100000000)-[1]!b_stm07_is(A183,20,$A$1,1,100000000))/AVERAGE([1]!s_stmnote_bank_35(A183,$A$1,1,100000000),[1]!s_stmnote_bank_35(A183,$B$1,1,100000000))*100),""))</f>
        <v/>
      </c>
      <c r="CG183" s="27" t="e">
        <f t="shared" si="46"/>
        <v>#VALUE!</v>
      </c>
      <c r="CH183" s="80" t="str">
        <f t="shared" si="53"/>
        <v/>
      </c>
      <c r="CI183" s="27" t="e">
        <f t="shared" si="47"/>
        <v>#VALUE!</v>
      </c>
      <c r="CJ183" s="55">
        <f>[1]!s_stmnote_bank_30(A183,$A$1,1)</f>
        <v>0</v>
      </c>
      <c r="CP183" s="69">
        <f>[1]!b_stm07_bs($A183,141,$A$1,1,100000000)</f>
        <v>0</v>
      </c>
      <c r="CQ183" s="69">
        <f>[1]!b_stm07_bs($A183,141,$D$1,1,100000000)</f>
        <v>0</v>
      </c>
      <c r="CR183" s="68" t="str">
        <f>IF([1]!s_fa_roic_yearly($A183,$A$1)=0,"",[1]!s_fa_roic_yearly($A183,$A$1))</f>
        <v/>
      </c>
      <c r="CS183" s="27" t="e">
        <f t="shared" si="48"/>
        <v>#VALUE!</v>
      </c>
      <c r="CT183" s="68" t="str">
        <f>IF([1]!s_fa_roic_yearly($A183,$D$1)=0,"",[1]!s_fa_roic_yearly($A183,$D$1))</f>
        <v/>
      </c>
      <c r="CU183" s="27" t="e">
        <f t="shared" si="49"/>
        <v>#VALUE!</v>
      </c>
      <c r="CV183" s="78">
        <f>[1]!s_stm07_bs(A183,"W14578191",$A$1,1,100000000)</f>
        <v>0</v>
      </c>
      <c r="CW183" s="78">
        <f>[1]!s_stmnote_bank_682($A183,$A$1,1,2,100000000)</f>
        <v>0</v>
      </c>
      <c r="CX183" s="79" t="str">
        <f t="shared" si="50"/>
        <v/>
      </c>
    </row>
    <row r="184" spans="1:102" s="46" customFormat="1" ht="13.5">
      <c r="A184" s="8" t="s">
        <v>1036</v>
      </c>
      <c r="B184" s="8" t="s">
        <v>1037</v>
      </c>
      <c r="C184" s="15" t="s">
        <v>1038</v>
      </c>
      <c r="D184" s="9" t="s">
        <v>1066</v>
      </c>
      <c r="E184" s="10"/>
      <c r="F184" s="11" t="s">
        <v>90</v>
      </c>
      <c r="G184" s="11" t="s">
        <v>67</v>
      </c>
      <c r="H184" s="11" t="s">
        <v>67</v>
      </c>
      <c r="I184" s="11"/>
      <c r="J184" s="11" t="e">
        <f>VLOOKUP(B184,[3]额度信息!$B:$T,19,0)</f>
        <v>#N/A</v>
      </c>
      <c r="K184" s="11"/>
      <c r="L184" s="27" t="str">
        <f>IFERROR(([1]!b_stm07_bs($A184,47,$A$1,1,100000000))/[1]!b_stm07_bs($A184,109,$A$1,1,100000000),"")</f>
        <v/>
      </c>
      <c r="M184" s="20"/>
      <c r="N184" s="18"/>
      <c r="O184" s="27" t="e">
        <f t="shared" si="39"/>
        <v>#N/A</v>
      </c>
      <c r="P184" s="21">
        <f t="shared" si="51"/>
        <v>3.8900000000000004E-2</v>
      </c>
      <c r="Q184" s="27" t="str">
        <f t="shared" si="40"/>
        <v>112 169</v>
      </c>
      <c r="R184" s="18">
        <f>IFERROR([1]!s_stmnote_bank($A184,"34",$A$1,100000000)/[1]!s_stmnote_bank_1n(A184,$A$1,1,100000000),"")</f>
        <v>0</v>
      </c>
      <c r="S184" s="22"/>
      <c r="T184" s="22"/>
      <c r="U184" s="22"/>
      <c r="V184" s="22"/>
      <c r="W184" s="22"/>
      <c r="X184" s="22"/>
      <c r="Y184" s="22"/>
      <c r="Z184" s="25">
        <f>[1]!b_stm07_bs(A184,74,$A$1,1,100000000)</f>
        <v>1026.03</v>
      </c>
      <c r="AA184" s="25">
        <f>[1]!b_stm07_bs(A184,109,$A$1,1,100000000)</f>
        <v>0</v>
      </c>
      <c r="AB184" s="10">
        <f>[1]!s_stmnote_bank_5n(A184,$A$1,1)</f>
        <v>3.89</v>
      </c>
      <c r="AC184" s="25">
        <f>IF([1]!s_stmnote_bank_23n(A184,$A$1,1)=0,"",IFERROR([1]!s_stmnote_bank_23n(A184,$A$1,1),""))</f>
        <v>166.57</v>
      </c>
      <c r="AD184" s="27" t="str">
        <f t="shared" si="41"/>
        <v>35 167</v>
      </c>
      <c r="AE184" s="25">
        <f>[1]!s_stmnote_bank_capadequacyratio(A184,$A$1,1)</f>
        <v>11.29</v>
      </c>
      <c r="AF184" s="25" t="str">
        <f>IF([1]!s_stmnote_bank_capadequacyratio_ct1(A184,$A$1,1)=0,"",IFERROR([1]!s_stmnote_bank_capadequacyratio_ct1(A184,$A$1,1),""))</f>
        <v/>
      </c>
      <c r="AG184" s="27" t="e">
        <f t="shared" si="42"/>
        <v>#VALUE!</v>
      </c>
      <c r="AH184" s="6" t="str">
        <f>IF(OR([1]!s_fa_roe(A184,20201231)=0,[1]!s_fa_roe(A184,20211231)="0",[1]!s_fa_roe(A184,20221231)="0"),"",IFERROR(([1]!s_fa_roe(A184,20221231)+[1]!s_fa_roe(A184,20201231)+[1]!s_fa_roe(A184,20211231))/3,""))</f>
        <v/>
      </c>
      <c r="AI184" s="27" t="e">
        <f t="shared" si="43"/>
        <v>#VALUE!</v>
      </c>
      <c r="AJ184" s="28">
        <f>IFERROR(([1]!s_stmnote_bank_65(A184,$A$1,1,2,4,100000000)+[1]!s_stmnote_bank_65(A184,$A$1,1,2,6,100000000))/[1]!s_stmnote_bank_1n(A184,$A$1,1,100000000),"")</f>
        <v>0</v>
      </c>
      <c r="AK184" s="28">
        <f>IFERROR([1]!s_stmnote_bank_614(A184,$A$1,1,2,100000000)/[1]!s_stmnote_bank_647(A184,$A$1,1,2,100000000),"")</f>
        <v>0</v>
      </c>
      <c r="AL184" s="28">
        <f>IFERROR(([1]!b_stm07_bs(A184,104,$A$1,1,100000000)+[1]!b_stm07_bs(A184,106,$A$1,1,100000000)+[1]!b_stm07_bs(A184,76,$A$1,1,100000000)+[1]!b_stm07_bs(A184,108,$A$1,1,100000000)+[1]!b_stm07_bs(A184,95,$A$1,1,100000000))/[1]!b_stm07_bs(A184,128,$A$1,1,100000000),"")</f>
        <v>0</v>
      </c>
      <c r="AM184" s="28">
        <f>IFERROR(([1]!s_stmnote_bank_614(A184,$A$1,1,2,100000000)+[1]!b_stm07_bs(A184,104,$A$1,1,100000000)+[1]!b_stm07_bs(A184,106,$A$1,1,100000000)+[1]!b_stm07_bs(A184,76,$A$1,1,100000000)+[1]!b_stm07_bs(A184,108,$A$1,1,100000000)+[1]!b_stm07_bs(A184,95,$A$1,1,100000000))/[1]!b_stm07_bs(A184,128,$A$1,1,100000000),"")</f>
        <v>0</v>
      </c>
      <c r="AN184" s="31" t="e">
        <f>IF(Z184&gt;#REF!,#REF!,IF(Z184&gt;#REF!,#REF!,IF(Z184&gt;#REF!,#REF!,IF(Z184&gt;#REF!,#REF!,IF(Z184&gt;#REF!,#REF!,IF(Z184&gt;#REF!,#REF!,IF(Z184&gt;#REF!,#REF!,#REF!)))))))</f>
        <v>#REF!</v>
      </c>
      <c r="AO184" s="31" t="e">
        <f>IF(AA184&gt;#REF!,#REF!,IF(AA184&gt;#REF!,#REF!,IF(AA184&gt;#REF!,#REF!,IF(AA184&gt;#REF!,#REF!,IF(AA184&gt;#REF!,#REF!,IF(AA184&gt;#REF!,#REF!,IF(AA184&gt;#REF!,#REF!,#REF!)))))))</f>
        <v>#REF!</v>
      </c>
      <c r="AP184" s="31" t="e">
        <f>IF(AB184&lt;#REF!,#REF!,IF(AB184&lt;#REF!,#REF!,IF(AB184&lt;#REF!,#REF!,IF(AB184&lt;#REF!,#REF!,IF(AB184&lt;#REF!,#REF!,IF(AB184&lt;#REF!,#REF!,#REF!))))))</f>
        <v>#REF!</v>
      </c>
      <c r="AQ184" s="31" t="e">
        <f>IF(AC184&gt;#REF!,#REF!,IF(AC184&gt;#REF!,#REF!,IF(AC184&gt;#REF!,#REF!,IF(AC184&gt;#REF!,#REF!,#REF!))))</f>
        <v>#REF!</v>
      </c>
      <c r="AR184" s="31" t="e">
        <f>IF(AE184&gt;#REF!,#REF!,IF(AE184&gt;#REF!,#REF!,IF(AE184&gt;#REF!,#REF!,IF(AE184&gt;#REF!,#REF!,#REF!))))</f>
        <v>#REF!</v>
      </c>
      <c r="AS184" s="31" t="e">
        <f>IF(AF184&gt;#REF!,#REF!,IF(AF184&gt;#REF!,#REF!,IF(AF184&gt;#REF!,#REF!,IF(AF184&gt;#REF!,#REF!,#REF!))))</f>
        <v>#REF!</v>
      </c>
      <c r="AT184" s="31" t="e">
        <f>IF(AH184&gt;#REF!,#REF!,IF(AH184&gt;#REF!,#REF!,IF(AH184&gt;#REF!,#REF!,IF(AH184&gt;#REF!,#REF!,IF(AH184&gt;#REF!,#REF!,#REF!)))))</f>
        <v>#REF!</v>
      </c>
      <c r="AU184" s="10" t="e">
        <f t="shared" si="44"/>
        <v>#REF!</v>
      </c>
      <c r="AV184" s="10"/>
      <c r="AW184" s="10"/>
      <c r="AX184" s="10"/>
      <c r="AY184" s="31" t="str">
        <f>IFERROR(VLOOKUP(AV184,#REF!,3,0),"")</f>
        <v/>
      </c>
      <c r="AZ184" s="31" t="str">
        <f>IFERROR(VLOOKUP(AW184,#REF!,3,0),"")</f>
        <v/>
      </c>
      <c r="BA184" s="31" t="str">
        <f>IFERROR(VLOOKUP(AX184,#REF!,3,0),"")</f>
        <v/>
      </c>
      <c r="BB184" s="31" t="str">
        <f>IFERROR(AY184*#REF!+AZ184*#REF!+BA184*#REF!,"")</f>
        <v/>
      </c>
      <c r="BC184" s="32" t="str">
        <f t="shared" si="45"/>
        <v/>
      </c>
      <c r="BD184" s="32" t="str">
        <f>IFERROR(VLOOKUP(BC184*10,#REF!,2,1),"")</f>
        <v/>
      </c>
      <c r="BE184" s="10"/>
      <c r="BF184" s="10"/>
      <c r="BG184" s="10"/>
      <c r="BH184" s="11" t="s">
        <v>1039</v>
      </c>
      <c r="BI184" s="10">
        <v>21.530000686645501</v>
      </c>
      <c r="BJ184" s="11"/>
      <c r="BK184" s="33" t="s">
        <v>427</v>
      </c>
      <c r="BL184" s="10">
        <f>IF([1]!s_stmnote_bank_17n(A184,$A$1,1)="0","",[1]!s_stmnote_bank_17n(A184,$A$1,1))</f>
        <v>0</v>
      </c>
      <c r="BM184" s="10">
        <f>IF([1]!s_stmnote_bank_18n(A184,$A$1,1)="0","",[1]!s_stmnote_bank_18n(A184,$A$1,1))</f>
        <v>0</v>
      </c>
      <c r="BN184" s="41"/>
      <c r="BO184" s="52"/>
      <c r="BP184" s="52">
        <f>[1]!s_stmnote_bank_5444(A184,$A$1,1)</f>
        <v>2.87</v>
      </c>
      <c r="BQ184" s="52">
        <f>[1]!s_stmnote_bank_129n($A184,$A$1,1)</f>
        <v>29.64</v>
      </c>
      <c r="BR184" s="52">
        <f t="shared" si="52"/>
        <v>0</v>
      </c>
      <c r="BS184" s="52">
        <f>[1]!b_stm07_is(A184,19,$A$1,1,100000000)</f>
        <v>0</v>
      </c>
      <c r="BT184" s="52">
        <f xml:space="preserve"> [1]!s_stm07_bs(A184,"W15273164",$A$1,1,100000000)-[1]!s_stm07_bs(A184,"W17642530",$A$1,1,100000000)-[1]!s_stm07_bs(A184,"W15910877",$A$1,1,100000000)-[1]!s_stm07_bs_39(A184,$A$1,1,100000000)-[1]!s_stm07_bs(A184,"W17700468",$A$1,1,100000000)-[1]!s_stm07_bs(A184,"W16504296",$A$1,1,100000000)-[1]!s_stm07_bs(A184,"W13769069",$A$1,1,100000000)</f>
        <v>1026.03</v>
      </c>
      <c r="BU184" s="52">
        <f xml:space="preserve"> [1]!s_stm07_bs(A184,"W15273164",$B$1,1,100000000)-[1]!s_stm07_bs(A184,"W17642530",$B$1,1,100000000)-[1]!s_stm07_bs(A184,"W15910877",$B$1,1,100000000)-[1]!s_stm07_bs_39(A184,$B$1,1,100000000)-[1]!s_stm07_bs(A184,"W17700468",$B$1,1,100000000)-[1]!s_stm07_bs(A184,"W16504296",$B$1,1,100000000)-[1]!s_stm07_bs(A184,"W13769069",$B$1,1,100000000)</f>
        <v>872.64</v>
      </c>
      <c r="BV184" s="52">
        <f xml:space="preserve"> [1]!s_stm07_bs(A184,"W15273164",$E$1,1,100000000)-[1]!s_stm07_bs(A184,"W17642530",$E$1,1,100000000)-[1]!s_stm07_bs(A184,"W15910877",$E$1,1,100000000)-[1]!s_stm07_bs_39(A184,$E$1,1,100000000)-[1]!s_stm07_bs(A184,"W17700468",$E$1,1,100000000)-[1]!s_stm07_bs(A184,"W16504296",$E$1,1,100000000)-[1]!s_stm07_bs(A184,"W13769069",$E$1,1,100000000)</f>
        <v>0</v>
      </c>
      <c r="BW184" s="52">
        <f xml:space="preserve"> [1]!s_stm07_bs(A184,"W15273164",$F$1,1,100000000)-[1]!s_stm07_bs(A184,"W17642530",$F$1,1,100000000)-[1]!s_stm07_bs(A184,"W15910877",$F$1,1,100000000)-[1]!s_stm07_bs_39(A184,$F$1,1,100000000)-[1]!s_stm07_bs(A184,"W17700468",$F$1,1,100000000)-[1]!s_stm07_bs(A184,"W16504296",$F$1,1,100000000)-[1]!s_stm07_bs(A184,"W13769069",$F$1,1,100000000)</f>
        <v>0</v>
      </c>
      <c r="BX184" s="52">
        <f xml:space="preserve"> [1]!s_stm07_bs(A184,"W15273164",$G$1,1,100000000)-[1]!s_stm07_bs(A184,"W17642530",$G$1,1,100000000)-[1]!s_stm07_bs(A184,"W15910877",$G$1,1,100000000)-[1]!s_stm07_bs_39(A184,$G$1,1,100000000)-[1]!s_stm07_bs(A184,"W17700468",$G$1,1,100000000)-[1]!s_stm07_bs(A184,"W16504296",$G$1,1,100000000)-[1]!s_stm07_bs(A184,"W13769069",$G$1,1,100000000)</f>
        <v>0</v>
      </c>
      <c r="BY184" s="52">
        <f>IFERROR([1]!b_stm07_is(A184,20,$A$1,1,100000000)/AVERAGEIF(CA184:CE184,"&gt;0")*100,0)</f>
        <v>0</v>
      </c>
      <c r="BZ184" s="52">
        <f>[1]!b_stm07_is(A184,20,$A$1,1,100000000)</f>
        <v>0</v>
      </c>
      <c r="CA184" s="52">
        <f>[1]!s_stmnote_bank_38(A184,$A$1,1,100000000)</f>
        <v>0</v>
      </c>
      <c r="CB184" s="52">
        <f>[1]!s_stmnote_bank_38(A184,$B$1,1,100000000)</f>
        <v>0</v>
      </c>
      <c r="CC184" s="52">
        <f>[1]!s_stmnote_bank_38(A184,$E$1,1,100000000)</f>
        <v>0</v>
      </c>
      <c r="CD184" s="52">
        <f>[1]!s_stmnote_bank_38(A184,$F$1,1,100000000)</f>
        <v>0</v>
      </c>
      <c r="CE184" s="52">
        <f>[1]!s_stmnote_bank_38(A184,$G$1,1,100000000)</f>
        <v>0</v>
      </c>
      <c r="CF184" s="52">
        <f>IF(BP184&lt;&gt;0,BP184,IFERROR(IF(([1]!b_stm07_is(A184,19,$A$1,1,100000000)-[1]!b_stm07_is(A184,20,$A$1,1,100000000))/AVERAGE([1]!s_stmnote_bank_35(A184,$A$1,1,100000000),[1]!s_stmnote_bank_35(A184,$B$1,1,100000000))*100=0,"",([1]!b_stm07_is(A184,19,$A$1,1,100000000)-[1]!b_stm07_is(A184,20,$A$1,1,100000000))/AVERAGE([1]!s_stmnote_bank_35(A184,$A$1,1,100000000),[1]!s_stmnote_bank_35(A184,$B$1,1,100000000))*100),""))</f>
        <v>2.87</v>
      </c>
      <c r="CG184" s="27" t="str">
        <f t="shared" si="46"/>
        <v>16 171</v>
      </c>
      <c r="CH184" s="80">
        <f t="shared" si="53"/>
        <v>0.73778920308483287</v>
      </c>
      <c r="CI184" s="27" t="str">
        <f t="shared" si="47"/>
        <v>73 169</v>
      </c>
      <c r="CJ184" s="55">
        <f>[1]!s_stmnote_bank_30(A184,$A$1,1)</f>
        <v>0</v>
      </c>
      <c r="CP184" s="69">
        <f>[1]!b_stm07_bs($A184,141,$A$1,1,100000000)</f>
        <v>85.89</v>
      </c>
      <c r="CQ184" s="69">
        <f>[1]!b_stm07_bs($A184,141,$D$1,1,100000000)</f>
        <v>0</v>
      </c>
      <c r="CR184" s="68" t="str">
        <f>IF([1]!s_fa_roic_yearly($A184,$A$1)=0,"",[1]!s_fa_roic_yearly($A184,$A$1))</f>
        <v/>
      </c>
      <c r="CS184" s="27" t="e">
        <f t="shared" si="48"/>
        <v>#VALUE!</v>
      </c>
      <c r="CT184" s="68" t="str">
        <f>IF([1]!s_fa_roic_yearly($A184,$D$1)=0,"",[1]!s_fa_roic_yearly($A184,$D$1))</f>
        <v/>
      </c>
      <c r="CU184" s="27" t="e">
        <f t="shared" si="49"/>
        <v>#VALUE!</v>
      </c>
      <c r="CV184" s="78">
        <f>[1]!s_stm07_bs(A184,"W14578191",$A$1,1,100000000)</f>
        <v>0</v>
      </c>
      <c r="CW184" s="78">
        <f>[1]!s_stmnote_bank_682($A184,$A$1,1,2,100000000)</f>
        <v>0</v>
      </c>
      <c r="CX184" s="79" t="str">
        <f t="shared" si="50"/>
        <v/>
      </c>
    </row>
    <row r="185" spans="1:102" s="46" customFormat="1" ht="13.5">
      <c r="A185" s="8" t="s">
        <v>1040</v>
      </c>
      <c r="B185" s="8" t="s">
        <v>1041</v>
      </c>
      <c r="C185" s="15" t="s">
        <v>1042</v>
      </c>
      <c r="D185" s="9" t="s">
        <v>1066</v>
      </c>
      <c r="E185" s="10"/>
      <c r="F185" s="11" t="s">
        <v>90</v>
      </c>
      <c r="G185" s="11" t="s">
        <v>67</v>
      </c>
      <c r="H185" s="11" t="s">
        <v>83</v>
      </c>
      <c r="I185" s="11"/>
      <c r="J185" s="11" t="e">
        <f>VLOOKUP(B185,[3]额度信息!$B:$T,19,0)</f>
        <v>#N/A</v>
      </c>
      <c r="K185" s="11"/>
      <c r="L185" s="27" t="str">
        <f>IFERROR(([1]!b_stm07_bs($A185,47,$A$1,1,100000000))/[1]!b_stm07_bs($A185,109,$A$1,1,100000000),"")</f>
        <v/>
      </c>
      <c r="M185" s="20"/>
      <c r="N185" s="18"/>
      <c r="O185" s="27" t="e">
        <f t="shared" si="39"/>
        <v>#N/A</v>
      </c>
      <c r="P185" s="21" t="str">
        <f t="shared" si="51"/>
        <v/>
      </c>
      <c r="Q185" s="27" t="e">
        <f t="shared" si="40"/>
        <v>#VALUE!</v>
      </c>
      <c r="R185" s="18" t="str">
        <f>IFERROR([1]!s_stmnote_bank($A185,"34",$A$1,100000000)/[1]!s_stmnote_bank_1n(A185,$A$1,1,100000000),"")</f>
        <v/>
      </c>
      <c r="S185" s="22"/>
      <c r="T185" s="22"/>
      <c r="U185" s="22"/>
      <c r="V185" s="22"/>
      <c r="W185" s="22"/>
      <c r="X185" s="22"/>
      <c r="Y185" s="22"/>
      <c r="Z185" s="25">
        <f>[1]!b_stm07_bs(A185,74,$A$1,1,100000000)</f>
        <v>0</v>
      </c>
      <c r="AA185" s="25">
        <f>[1]!b_stm07_bs(A185,109,$A$1,1,100000000)</f>
        <v>0</v>
      </c>
      <c r="AB185" s="10">
        <f>[1]!s_stmnote_bank_5n(A185,$A$1,1)</f>
        <v>0</v>
      </c>
      <c r="AC185" s="25" t="str">
        <f>IF([1]!s_stmnote_bank_23n(A185,$A$1,1)=0,"",IFERROR([1]!s_stmnote_bank_23n(A185,$A$1,1),""))</f>
        <v/>
      </c>
      <c r="AD185" s="27" t="e">
        <f t="shared" si="41"/>
        <v>#VALUE!</v>
      </c>
      <c r="AE185" s="25">
        <f>[1]!s_stmnote_bank_capadequacyratio(A185,$A$1,1)</f>
        <v>0</v>
      </c>
      <c r="AF185" s="25" t="str">
        <f>IF([1]!s_stmnote_bank_capadequacyratio_ct1(A185,$A$1,1)=0,"",IFERROR([1]!s_stmnote_bank_capadequacyratio_ct1(A185,$A$1,1),""))</f>
        <v/>
      </c>
      <c r="AG185" s="27" t="e">
        <f t="shared" si="42"/>
        <v>#VALUE!</v>
      </c>
      <c r="AH185" s="6">
        <f>IF(OR([1]!s_fa_roe(A185,20201231)=0,[1]!s_fa_roe(A185,20211231)="0",[1]!s_fa_roe(A185,20221231)="0"),"",IFERROR(([1]!s_fa_roe(A185,20221231)+[1]!s_fa_roe(A185,20201231)+[1]!s_fa_roe(A185,20211231))/3,""))</f>
        <v>2.6446333333333336</v>
      </c>
      <c r="AI185" s="27" t="str">
        <f t="shared" si="43"/>
        <v>13 173</v>
      </c>
      <c r="AJ185" s="28" t="str">
        <f>IFERROR(([1]!s_stmnote_bank_65(A185,$A$1,1,2,4,100000000)+[1]!s_stmnote_bank_65(A185,$A$1,1,2,6,100000000))/[1]!s_stmnote_bank_1n(A185,$A$1,1,100000000),"")</f>
        <v/>
      </c>
      <c r="AK185" s="28" t="str">
        <f>IFERROR([1]!s_stmnote_bank_614(A185,$A$1,1,2,100000000)/[1]!s_stmnote_bank_647(A185,$A$1,1,2,100000000),"")</f>
        <v/>
      </c>
      <c r="AL185" s="28" t="str">
        <f>IFERROR(([1]!b_stm07_bs(A185,104,$A$1,1,100000000)+[1]!b_stm07_bs(A185,106,$A$1,1,100000000)+[1]!b_stm07_bs(A185,76,$A$1,1,100000000)+[1]!b_stm07_bs(A185,108,$A$1,1,100000000)+[1]!b_stm07_bs(A185,95,$A$1,1,100000000))/[1]!b_stm07_bs(A185,128,$A$1,1,100000000),"")</f>
        <v/>
      </c>
      <c r="AM185" s="28" t="str">
        <f>IFERROR(([1]!s_stmnote_bank_614(A185,$A$1,1,2,100000000)+[1]!b_stm07_bs(A185,104,$A$1,1,100000000)+[1]!b_stm07_bs(A185,106,$A$1,1,100000000)+[1]!b_stm07_bs(A185,76,$A$1,1,100000000)+[1]!b_stm07_bs(A185,108,$A$1,1,100000000)+[1]!b_stm07_bs(A185,95,$A$1,1,100000000))/[1]!b_stm07_bs(A185,128,$A$1,1,100000000),"")</f>
        <v/>
      </c>
      <c r="AN185" s="31" t="e">
        <f>IF(Z185&gt;#REF!,#REF!,IF(Z185&gt;#REF!,#REF!,IF(Z185&gt;#REF!,#REF!,IF(Z185&gt;#REF!,#REF!,IF(Z185&gt;#REF!,#REF!,IF(Z185&gt;#REF!,#REF!,IF(Z185&gt;#REF!,#REF!,#REF!)))))))</f>
        <v>#REF!</v>
      </c>
      <c r="AO185" s="31" t="e">
        <f>IF(AA185&gt;#REF!,#REF!,IF(AA185&gt;#REF!,#REF!,IF(AA185&gt;#REF!,#REF!,IF(AA185&gt;#REF!,#REF!,IF(AA185&gt;#REF!,#REF!,IF(AA185&gt;#REF!,#REF!,IF(AA185&gt;#REF!,#REF!,#REF!)))))))</f>
        <v>#REF!</v>
      </c>
      <c r="AP185" s="31" t="e">
        <f>IF(AB185&lt;#REF!,#REF!,IF(AB185&lt;#REF!,#REF!,IF(AB185&lt;#REF!,#REF!,IF(AB185&lt;#REF!,#REF!,IF(AB185&lt;#REF!,#REF!,IF(AB185&lt;#REF!,#REF!,#REF!))))))</f>
        <v>#REF!</v>
      </c>
      <c r="AQ185" s="31" t="e">
        <f>IF(AC185&gt;#REF!,#REF!,IF(AC185&gt;#REF!,#REF!,IF(AC185&gt;#REF!,#REF!,IF(AC185&gt;#REF!,#REF!,#REF!))))</f>
        <v>#REF!</v>
      </c>
      <c r="AR185" s="31" t="e">
        <f>IF(AE185&gt;#REF!,#REF!,IF(AE185&gt;#REF!,#REF!,IF(AE185&gt;#REF!,#REF!,IF(AE185&gt;#REF!,#REF!,#REF!))))</f>
        <v>#REF!</v>
      </c>
      <c r="AS185" s="31" t="e">
        <f>IF(AF185&gt;#REF!,#REF!,IF(AF185&gt;#REF!,#REF!,IF(AF185&gt;#REF!,#REF!,IF(AF185&gt;#REF!,#REF!,#REF!))))</f>
        <v>#REF!</v>
      </c>
      <c r="AT185" s="31" t="e">
        <f>IF(AH185&gt;#REF!,#REF!,IF(AH185&gt;#REF!,#REF!,IF(AH185&gt;#REF!,#REF!,IF(AH185&gt;#REF!,#REF!,IF(AH185&gt;#REF!,#REF!,#REF!)))))</f>
        <v>#REF!</v>
      </c>
      <c r="AU185" s="10" t="e">
        <f t="shared" si="44"/>
        <v>#REF!</v>
      </c>
      <c r="AV185" s="10"/>
      <c r="AW185" s="10"/>
      <c r="AX185" s="10"/>
      <c r="AY185" s="31" t="str">
        <f>IFERROR(VLOOKUP(AV185,#REF!,3,0),"")</f>
        <v/>
      </c>
      <c r="AZ185" s="31" t="str">
        <f>IFERROR(VLOOKUP(AW185,#REF!,3,0),"")</f>
        <v/>
      </c>
      <c r="BA185" s="31" t="str">
        <f>IFERROR(VLOOKUP(AX185,#REF!,3,0),"")</f>
        <v/>
      </c>
      <c r="BB185" s="31" t="str">
        <f>IFERROR(AY185*#REF!+AZ185*#REF!+BA185*#REF!,"")</f>
        <v/>
      </c>
      <c r="BC185" s="32" t="str">
        <f t="shared" si="45"/>
        <v/>
      </c>
      <c r="BD185" s="32" t="str">
        <f>IFERROR(VLOOKUP(BC185*10,#REF!,2,1),"")</f>
        <v/>
      </c>
      <c r="BE185" s="10"/>
      <c r="BF185" s="10"/>
      <c r="BG185" s="10"/>
      <c r="BH185" s="11" t="s">
        <v>1043</v>
      </c>
      <c r="BI185" s="10">
        <v>9.8500003814697301</v>
      </c>
      <c r="BJ185" s="11"/>
      <c r="BK185" s="33" t="s">
        <v>1044</v>
      </c>
      <c r="BL185" s="10">
        <f>IF([1]!s_stmnote_bank_17n(A185,$A$1,1)="0","",[1]!s_stmnote_bank_17n(A185,$A$1,1))</f>
        <v>0</v>
      </c>
      <c r="BM185" s="10">
        <f>IF([1]!s_stmnote_bank_18n(A185,$A$1,1)="0","",[1]!s_stmnote_bank_18n(A185,$A$1,1))</f>
        <v>0</v>
      </c>
      <c r="BN185" s="41"/>
      <c r="BO185" s="52"/>
      <c r="BP185" s="52">
        <f>[1]!s_stmnote_bank_5444(A185,$A$1,1)</f>
        <v>0</v>
      </c>
      <c r="BQ185" s="52">
        <f>[1]!s_stmnote_bank_129n($A185,$A$1,1)</f>
        <v>0</v>
      </c>
      <c r="BR185" s="52">
        <f t="shared" si="52"/>
        <v>0</v>
      </c>
      <c r="BS185" s="52">
        <f>[1]!b_stm07_is(A185,19,$A$1,1,100000000)</f>
        <v>0</v>
      </c>
      <c r="BT185" s="52">
        <f xml:space="preserve"> [1]!s_stm07_bs(A185,"W15273164",$A$1,1,100000000)-[1]!s_stm07_bs(A185,"W17642530",$A$1,1,100000000)-[1]!s_stm07_bs(A185,"W15910877",$A$1,1,100000000)-[1]!s_stm07_bs_39(A185,$A$1,1,100000000)-[1]!s_stm07_bs(A185,"W17700468",$A$1,1,100000000)-[1]!s_stm07_bs(A185,"W16504296",$A$1,1,100000000)-[1]!s_stm07_bs(A185,"W13769069",$A$1,1,100000000)</f>
        <v>0</v>
      </c>
      <c r="BU185" s="52">
        <f xml:space="preserve"> [1]!s_stm07_bs(A185,"W15273164",$B$1,1,100000000)-[1]!s_stm07_bs(A185,"W17642530",$B$1,1,100000000)-[1]!s_stm07_bs(A185,"W15910877",$B$1,1,100000000)-[1]!s_stm07_bs_39(A185,$B$1,1,100000000)-[1]!s_stm07_bs(A185,"W17700468",$B$1,1,100000000)-[1]!s_stm07_bs(A185,"W16504296",$B$1,1,100000000)-[1]!s_stm07_bs(A185,"W13769069",$B$1,1,100000000)</f>
        <v>882.91958522230004</v>
      </c>
      <c r="BV185" s="52">
        <f xml:space="preserve"> [1]!s_stm07_bs(A185,"W15273164",$E$1,1,100000000)-[1]!s_stm07_bs(A185,"W17642530",$E$1,1,100000000)-[1]!s_stm07_bs(A185,"W15910877",$E$1,1,100000000)-[1]!s_stm07_bs_39(A185,$E$1,1,100000000)-[1]!s_stm07_bs(A185,"W17700468",$E$1,1,100000000)-[1]!s_stm07_bs(A185,"W16504296",$E$1,1,100000000)-[1]!s_stm07_bs(A185,"W13769069",$E$1,1,100000000)</f>
        <v>0</v>
      </c>
      <c r="BW185" s="52">
        <f xml:space="preserve"> [1]!s_stm07_bs(A185,"W15273164",$F$1,1,100000000)-[1]!s_stm07_bs(A185,"W17642530",$F$1,1,100000000)-[1]!s_stm07_bs(A185,"W15910877",$F$1,1,100000000)-[1]!s_stm07_bs_39(A185,$F$1,1,100000000)-[1]!s_stm07_bs(A185,"W17700468",$F$1,1,100000000)-[1]!s_stm07_bs(A185,"W16504296",$F$1,1,100000000)-[1]!s_stm07_bs(A185,"W13769069",$F$1,1,100000000)</f>
        <v>0</v>
      </c>
      <c r="BX185" s="52">
        <f xml:space="preserve"> [1]!s_stm07_bs(A185,"W15273164",$G$1,1,100000000)-[1]!s_stm07_bs(A185,"W17642530",$G$1,1,100000000)-[1]!s_stm07_bs(A185,"W15910877",$G$1,1,100000000)-[1]!s_stm07_bs_39(A185,$G$1,1,100000000)-[1]!s_stm07_bs(A185,"W17700468",$G$1,1,100000000)-[1]!s_stm07_bs(A185,"W16504296",$G$1,1,100000000)-[1]!s_stm07_bs(A185,"W13769069",$G$1,1,100000000)</f>
        <v>0</v>
      </c>
      <c r="BY185" s="52">
        <f>IFERROR([1]!b_stm07_is(A185,20,$A$1,1,100000000)/AVERAGEIF(CA185:CE185,"&gt;0")*100,0)</f>
        <v>0</v>
      </c>
      <c r="BZ185" s="52">
        <f>[1]!b_stm07_is(A185,20,$A$1,1,100000000)</f>
        <v>0</v>
      </c>
      <c r="CA185" s="52">
        <f>[1]!s_stmnote_bank_38(A185,$A$1,1,100000000)</f>
        <v>0</v>
      </c>
      <c r="CB185" s="52">
        <f>[1]!s_stmnote_bank_38(A185,$B$1,1,100000000)</f>
        <v>839.32126030630002</v>
      </c>
      <c r="CC185" s="52">
        <f>[1]!s_stmnote_bank_38(A185,$E$1,1,100000000)</f>
        <v>0</v>
      </c>
      <c r="CD185" s="52">
        <f>[1]!s_stmnote_bank_38(A185,$F$1,1,100000000)</f>
        <v>0</v>
      </c>
      <c r="CE185" s="52">
        <f>[1]!s_stmnote_bank_38(A185,$G$1,1,100000000)</f>
        <v>0</v>
      </c>
      <c r="CF185" s="52" t="str">
        <f>IF(BP185&lt;&gt;0,BP185,IFERROR(IF(([1]!b_stm07_is(A185,19,$A$1,1,100000000)-[1]!b_stm07_is(A185,20,$A$1,1,100000000))/AVERAGE([1]!s_stmnote_bank_35(A185,$A$1,1,100000000),[1]!s_stmnote_bank_35(A185,$B$1,1,100000000))*100=0,"",([1]!b_stm07_is(A185,19,$A$1,1,100000000)-[1]!b_stm07_is(A185,20,$A$1,1,100000000))/AVERAGE([1]!s_stmnote_bank_35(A185,$A$1,1,100000000),[1]!s_stmnote_bank_35(A185,$B$1,1,100000000))*100),""))</f>
        <v/>
      </c>
      <c r="CG185" s="27" t="e">
        <f t="shared" si="46"/>
        <v>#VALUE!</v>
      </c>
      <c r="CH185" s="80" t="str">
        <f t="shared" si="53"/>
        <v/>
      </c>
      <c r="CI185" s="27" t="e">
        <f t="shared" si="47"/>
        <v>#VALUE!</v>
      </c>
      <c r="CJ185" s="55">
        <f>[1]!s_stmnote_bank_30(A185,$A$1,1)</f>
        <v>0</v>
      </c>
      <c r="CP185" s="69">
        <f>[1]!b_stm07_bs($A185,141,$A$1,1,100000000)</f>
        <v>0</v>
      </c>
      <c r="CQ185" s="69">
        <f>[1]!b_stm07_bs($A185,141,$D$1,1,100000000)</f>
        <v>0</v>
      </c>
      <c r="CR185" s="68" t="str">
        <f>IF([1]!s_fa_roic_yearly($A185,$A$1)=0,"",[1]!s_fa_roic_yearly($A185,$A$1))</f>
        <v/>
      </c>
      <c r="CS185" s="27" t="e">
        <f t="shared" si="48"/>
        <v>#VALUE!</v>
      </c>
      <c r="CT185" s="68" t="str">
        <f>IF([1]!s_fa_roic_yearly($A185,$D$1)=0,"",[1]!s_fa_roic_yearly($A185,$D$1))</f>
        <v/>
      </c>
      <c r="CU185" s="27" t="e">
        <f t="shared" si="49"/>
        <v>#VALUE!</v>
      </c>
      <c r="CV185" s="78">
        <f>[1]!s_stm07_bs(A185,"W14578191",$A$1,1,100000000)</f>
        <v>0</v>
      </c>
      <c r="CW185" s="78">
        <f>[1]!s_stmnote_bank_682($A185,$A$1,1,2,100000000)</f>
        <v>0</v>
      </c>
      <c r="CX185" s="79" t="str">
        <f t="shared" si="50"/>
        <v/>
      </c>
    </row>
    <row r="186" spans="1:102" s="46" customFormat="1" ht="13.5">
      <c r="A186" s="8" t="s">
        <v>1045</v>
      </c>
      <c r="B186" s="8" t="s">
        <v>1046</v>
      </c>
      <c r="C186" s="15" t="s">
        <v>1047</v>
      </c>
      <c r="D186" s="9" t="s">
        <v>1061</v>
      </c>
      <c r="E186" s="10"/>
      <c r="F186" s="11" t="s">
        <v>90</v>
      </c>
      <c r="G186" s="11" t="s">
        <v>67</v>
      </c>
      <c r="H186" s="11" t="s">
        <v>67</v>
      </c>
      <c r="I186" s="11"/>
      <c r="J186" s="11" t="e">
        <f>VLOOKUP(B186,[3]额度信息!$B:$T,19,0)</f>
        <v>#N/A</v>
      </c>
      <c r="K186" s="11"/>
      <c r="L186" s="27" t="str">
        <f>IFERROR(([1]!b_stm07_bs($A186,47,$A$1,1,100000000))/[1]!b_stm07_bs($A186,109,$A$1,1,100000000),"")</f>
        <v/>
      </c>
      <c r="M186" s="20"/>
      <c r="N186" s="18"/>
      <c r="O186" s="27" t="e">
        <f t="shared" si="39"/>
        <v>#N/A</v>
      </c>
      <c r="P186" s="21" t="str">
        <f t="shared" si="51"/>
        <v/>
      </c>
      <c r="Q186" s="27" t="e">
        <f t="shared" si="40"/>
        <v>#VALUE!</v>
      </c>
      <c r="R186" s="18" t="str">
        <f>IFERROR([1]!s_stmnote_bank($A186,"34",$A$1,100000000)/[1]!s_stmnote_bank_1n(A186,$A$1,1,100000000),"")</f>
        <v/>
      </c>
      <c r="S186" s="22"/>
      <c r="T186" s="22"/>
      <c r="U186" s="22"/>
      <c r="V186" s="22"/>
      <c r="W186" s="22"/>
      <c r="X186" s="22"/>
      <c r="Y186" s="22"/>
      <c r="Z186" s="25">
        <f>[1]!b_stm07_bs(A186,74,$A$1,1,100000000)</f>
        <v>0</v>
      </c>
      <c r="AA186" s="25">
        <f>[1]!b_stm07_bs(A186,109,$A$1,1,100000000)</f>
        <v>0</v>
      </c>
      <c r="AB186" s="10">
        <f>[1]!s_stmnote_bank_5n(A186,$A$1,1)</f>
        <v>0</v>
      </c>
      <c r="AC186" s="25" t="str">
        <f>IF([1]!s_stmnote_bank_23n(A186,$A$1,1)=0,"",IFERROR([1]!s_stmnote_bank_23n(A186,$A$1,1),""))</f>
        <v/>
      </c>
      <c r="AD186" s="27" t="e">
        <f t="shared" si="41"/>
        <v>#VALUE!</v>
      </c>
      <c r="AE186" s="25">
        <f>[1]!s_stmnote_bank_capadequacyratio(A186,$A$1,1)</f>
        <v>0</v>
      </c>
      <c r="AF186" s="25" t="str">
        <f>IF([1]!s_stmnote_bank_capadequacyratio_ct1(A186,$A$1,1)=0,"",IFERROR([1]!s_stmnote_bank_capadequacyratio_ct1(A186,$A$1,1),""))</f>
        <v/>
      </c>
      <c r="AG186" s="27" t="e">
        <f t="shared" si="42"/>
        <v>#VALUE!</v>
      </c>
      <c r="AH186" s="6" t="str">
        <f>IF(OR([1]!s_fa_roe(A186,20201231)=0,[1]!s_fa_roe(A186,20211231)="0",[1]!s_fa_roe(A186,20221231)="0"),"",IFERROR(([1]!s_fa_roe(A186,20221231)+[1]!s_fa_roe(A186,20201231)+[1]!s_fa_roe(A186,20211231))/3,""))</f>
        <v/>
      </c>
      <c r="AI186" s="27" t="e">
        <f t="shared" si="43"/>
        <v>#VALUE!</v>
      </c>
      <c r="AJ186" s="28" t="str">
        <f>IFERROR(([1]!s_stmnote_bank_65(A186,$A$1,1,2,4,100000000)+[1]!s_stmnote_bank_65(A186,$A$1,1,2,6,100000000))/[1]!s_stmnote_bank_1n(A186,$A$1,1,100000000),"")</f>
        <v/>
      </c>
      <c r="AK186" s="28" t="str">
        <f>IFERROR([1]!s_stmnote_bank_614(A186,$A$1,1,2,100000000)/[1]!s_stmnote_bank_647(A186,$A$1,1,2,100000000),"")</f>
        <v/>
      </c>
      <c r="AL186" s="28" t="str">
        <f>IFERROR(([1]!b_stm07_bs(A186,104,$A$1,1,100000000)+[1]!b_stm07_bs(A186,106,$A$1,1,100000000)+[1]!b_stm07_bs(A186,76,$A$1,1,100000000)+[1]!b_stm07_bs(A186,108,$A$1,1,100000000)+[1]!b_stm07_bs(A186,95,$A$1,1,100000000))/[1]!b_stm07_bs(A186,128,$A$1,1,100000000),"")</f>
        <v/>
      </c>
      <c r="AM186" s="28" t="str">
        <f>IFERROR(([1]!s_stmnote_bank_614(A186,$A$1,1,2,100000000)+[1]!b_stm07_bs(A186,104,$A$1,1,100000000)+[1]!b_stm07_bs(A186,106,$A$1,1,100000000)+[1]!b_stm07_bs(A186,76,$A$1,1,100000000)+[1]!b_stm07_bs(A186,108,$A$1,1,100000000)+[1]!b_stm07_bs(A186,95,$A$1,1,100000000))/[1]!b_stm07_bs(A186,128,$A$1,1,100000000),"")</f>
        <v/>
      </c>
      <c r="AN186" s="31" t="e">
        <f>IF(Z186&gt;#REF!,#REF!,IF(Z186&gt;#REF!,#REF!,IF(Z186&gt;#REF!,#REF!,IF(Z186&gt;#REF!,#REF!,IF(Z186&gt;#REF!,#REF!,IF(Z186&gt;#REF!,#REF!,IF(Z186&gt;#REF!,#REF!,#REF!)))))))</f>
        <v>#REF!</v>
      </c>
      <c r="AO186" s="31" t="e">
        <f>IF(AA186&gt;#REF!,#REF!,IF(AA186&gt;#REF!,#REF!,IF(AA186&gt;#REF!,#REF!,IF(AA186&gt;#REF!,#REF!,IF(AA186&gt;#REF!,#REF!,IF(AA186&gt;#REF!,#REF!,IF(AA186&gt;#REF!,#REF!,#REF!)))))))</f>
        <v>#REF!</v>
      </c>
      <c r="AP186" s="31" t="e">
        <f>IF(AB186&lt;#REF!,#REF!,IF(AB186&lt;#REF!,#REF!,IF(AB186&lt;#REF!,#REF!,IF(AB186&lt;#REF!,#REF!,IF(AB186&lt;#REF!,#REF!,IF(AB186&lt;#REF!,#REF!,#REF!))))))</f>
        <v>#REF!</v>
      </c>
      <c r="AQ186" s="31" t="e">
        <f>IF(AC186&gt;#REF!,#REF!,IF(AC186&gt;#REF!,#REF!,IF(AC186&gt;#REF!,#REF!,IF(AC186&gt;#REF!,#REF!,#REF!))))</f>
        <v>#REF!</v>
      </c>
      <c r="AR186" s="31" t="e">
        <f>IF(AE186&gt;#REF!,#REF!,IF(AE186&gt;#REF!,#REF!,IF(AE186&gt;#REF!,#REF!,IF(AE186&gt;#REF!,#REF!,#REF!))))</f>
        <v>#REF!</v>
      </c>
      <c r="AS186" s="31" t="e">
        <f>IF(AF186&gt;#REF!,#REF!,IF(AF186&gt;#REF!,#REF!,IF(AF186&gt;#REF!,#REF!,IF(AF186&gt;#REF!,#REF!,#REF!))))</f>
        <v>#REF!</v>
      </c>
      <c r="AT186" s="31" t="e">
        <f>IF(AH186&gt;#REF!,#REF!,IF(AH186&gt;#REF!,#REF!,IF(AH186&gt;#REF!,#REF!,IF(AH186&gt;#REF!,#REF!,IF(AH186&gt;#REF!,#REF!,#REF!)))))</f>
        <v>#REF!</v>
      </c>
      <c r="AU186" s="10" t="e">
        <f t="shared" si="44"/>
        <v>#REF!</v>
      </c>
      <c r="AV186" s="10"/>
      <c r="AW186" s="10"/>
      <c r="AX186" s="10"/>
      <c r="AY186" s="31" t="str">
        <f>IFERROR(VLOOKUP(AV186,#REF!,3,0),"")</f>
        <v/>
      </c>
      <c r="AZ186" s="31" t="str">
        <f>IFERROR(VLOOKUP(AW186,#REF!,3,0),"")</f>
        <v/>
      </c>
      <c r="BA186" s="31" t="str">
        <f>IFERROR(VLOOKUP(AX186,#REF!,3,0),"")</f>
        <v/>
      </c>
      <c r="BB186" s="31" t="str">
        <f>IFERROR(AY186*#REF!+AZ186*#REF!+BA186*#REF!,"")</f>
        <v/>
      </c>
      <c r="BC186" s="32" t="str">
        <f t="shared" si="45"/>
        <v/>
      </c>
      <c r="BD186" s="32" t="str">
        <f>IFERROR(VLOOKUP(BC186*10,#REF!,2,1),"")</f>
        <v/>
      </c>
      <c r="BE186" s="10"/>
      <c r="BF186" s="10"/>
      <c r="BG186" s="10"/>
      <c r="BH186" s="11" t="s">
        <v>1048</v>
      </c>
      <c r="BI186" s="10">
        <v>19.2399997711182</v>
      </c>
      <c r="BJ186" s="11"/>
      <c r="BK186" s="33" t="s">
        <v>1049</v>
      </c>
      <c r="BL186" s="10">
        <f>IF([1]!s_stmnote_bank_17n(A186,$A$1,1)="0","",[1]!s_stmnote_bank_17n(A186,$A$1,1))</f>
        <v>0</v>
      </c>
      <c r="BM186" s="10">
        <f>IF([1]!s_stmnote_bank_18n(A186,$A$1,1)="0","",[1]!s_stmnote_bank_18n(A186,$A$1,1))</f>
        <v>0</v>
      </c>
      <c r="BN186" s="41"/>
      <c r="BO186" s="52"/>
      <c r="BP186" s="52">
        <f>[1]!s_stmnote_bank_5444(A186,$A$1,1)</f>
        <v>0</v>
      </c>
      <c r="BQ186" s="52">
        <f>[1]!s_stmnote_bank_129n($A186,$A$1,1)</f>
        <v>0</v>
      </c>
      <c r="BR186" s="52">
        <f t="shared" si="52"/>
        <v>0</v>
      </c>
      <c r="BS186" s="52">
        <f>[1]!b_stm07_is(A186,19,$A$1,1,100000000)</f>
        <v>0</v>
      </c>
      <c r="BT186" s="52">
        <f xml:space="preserve"> [1]!s_stm07_bs(A186,"W15273164",$A$1,1,100000000)-[1]!s_stm07_bs(A186,"W17642530",$A$1,1,100000000)-[1]!s_stm07_bs(A186,"W15910877",$A$1,1,100000000)-[1]!s_stm07_bs_39(A186,$A$1,1,100000000)-[1]!s_stm07_bs(A186,"W17700468",$A$1,1,100000000)-[1]!s_stm07_bs(A186,"W16504296",$A$1,1,100000000)-[1]!s_stm07_bs(A186,"W13769069",$A$1,1,100000000)</f>
        <v>0</v>
      </c>
      <c r="BU186" s="52">
        <f xml:space="preserve"> [1]!s_stm07_bs(A186,"W15273164",$B$1,1,100000000)-[1]!s_stm07_bs(A186,"W17642530",$B$1,1,100000000)-[1]!s_stm07_bs(A186,"W15910877",$B$1,1,100000000)-[1]!s_stm07_bs_39(A186,$B$1,1,100000000)-[1]!s_stm07_bs(A186,"W17700468",$B$1,1,100000000)-[1]!s_stm07_bs(A186,"W16504296",$B$1,1,100000000)-[1]!s_stm07_bs(A186,"W13769069",$B$1,1,100000000)</f>
        <v>0</v>
      </c>
      <c r="BV186" s="52">
        <f xml:space="preserve"> [1]!s_stm07_bs(A186,"W15273164",$E$1,1,100000000)-[1]!s_stm07_bs(A186,"W17642530",$E$1,1,100000000)-[1]!s_stm07_bs(A186,"W15910877",$E$1,1,100000000)-[1]!s_stm07_bs_39(A186,$E$1,1,100000000)-[1]!s_stm07_bs(A186,"W17700468",$E$1,1,100000000)-[1]!s_stm07_bs(A186,"W16504296",$E$1,1,100000000)-[1]!s_stm07_bs(A186,"W13769069",$E$1,1,100000000)</f>
        <v>0</v>
      </c>
      <c r="BW186" s="52">
        <f xml:space="preserve"> [1]!s_stm07_bs(A186,"W15273164",$F$1,1,100000000)-[1]!s_stm07_bs(A186,"W17642530",$F$1,1,100000000)-[1]!s_stm07_bs(A186,"W15910877",$F$1,1,100000000)-[1]!s_stm07_bs_39(A186,$F$1,1,100000000)-[1]!s_stm07_bs(A186,"W17700468",$F$1,1,100000000)-[1]!s_stm07_bs(A186,"W16504296",$F$1,1,100000000)-[1]!s_stm07_bs(A186,"W13769069",$F$1,1,100000000)</f>
        <v>0</v>
      </c>
      <c r="BX186" s="52">
        <f xml:space="preserve"> [1]!s_stm07_bs(A186,"W15273164",$G$1,1,100000000)-[1]!s_stm07_bs(A186,"W17642530",$G$1,1,100000000)-[1]!s_stm07_bs(A186,"W15910877",$G$1,1,100000000)-[1]!s_stm07_bs_39(A186,$G$1,1,100000000)-[1]!s_stm07_bs(A186,"W17700468",$G$1,1,100000000)-[1]!s_stm07_bs(A186,"W16504296",$G$1,1,100000000)-[1]!s_stm07_bs(A186,"W13769069",$G$1,1,100000000)</f>
        <v>0</v>
      </c>
      <c r="BY186" s="52">
        <f>IFERROR([1]!b_stm07_is(A186,20,$A$1,1,100000000)/AVERAGEIF(CA186:CE186,"&gt;0")*100,0)</f>
        <v>0</v>
      </c>
      <c r="BZ186" s="52">
        <f>[1]!b_stm07_is(A186,20,$A$1,1,100000000)</f>
        <v>0</v>
      </c>
      <c r="CA186" s="52">
        <f>[1]!s_stmnote_bank_38(A186,$A$1,1,100000000)</f>
        <v>0</v>
      </c>
      <c r="CB186" s="52">
        <f>[1]!s_stmnote_bank_38(A186,$B$1,1,100000000)</f>
        <v>0</v>
      </c>
      <c r="CC186" s="52">
        <f>[1]!s_stmnote_bank_38(A186,$E$1,1,100000000)</f>
        <v>0</v>
      </c>
      <c r="CD186" s="52">
        <f>[1]!s_stmnote_bank_38(A186,$F$1,1,100000000)</f>
        <v>0</v>
      </c>
      <c r="CE186" s="52">
        <f>[1]!s_stmnote_bank_38(A186,$G$1,1,100000000)</f>
        <v>0</v>
      </c>
      <c r="CF186" s="52" t="str">
        <f>IF(BP186&lt;&gt;0,BP186,IFERROR(IF(([1]!b_stm07_is(A186,19,$A$1,1,100000000)-[1]!b_stm07_is(A186,20,$A$1,1,100000000))/AVERAGE([1]!s_stmnote_bank_35(A186,$A$1,1,100000000),[1]!s_stmnote_bank_35(A186,$B$1,1,100000000))*100=0,"",([1]!b_stm07_is(A186,19,$A$1,1,100000000)-[1]!b_stm07_is(A186,20,$A$1,1,100000000))/AVERAGE([1]!s_stmnote_bank_35(A186,$A$1,1,100000000),[1]!s_stmnote_bank_35(A186,$B$1,1,100000000))*100),""))</f>
        <v/>
      </c>
      <c r="CG186" s="27" t="e">
        <f t="shared" si="46"/>
        <v>#VALUE!</v>
      </c>
      <c r="CH186" s="80" t="str">
        <f t="shared" si="53"/>
        <v/>
      </c>
      <c r="CI186" s="27" t="e">
        <f t="shared" si="47"/>
        <v>#VALUE!</v>
      </c>
      <c r="CJ186" s="55">
        <f>[1]!s_stmnote_bank_30(A186,$A$1,1)</f>
        <v>0</v>
      </c>
      <c r="CP186" s="69">
        <f>[1]!b_stm07_bs($A186,141,$A$1,1,100000000)</f>
        <v>0</v>
      </c>
      <c r="CQ186" s="69">
        <f>[1]!b_stm07_bs($A186,141,$D$1,1,100000000)</f>
        <v>0</v>
      </c>
      <c r="CR186" s="68" t="str">
        <f>IF([1]!s_fa_roic_yearly($A186,$A$1)=0,"",[1]!s_fa_roic_yearly($A186,$A$1))</f>
        <v/>
      </c>
      <c r="CS186" s="27" t="e">
        <f t="shared" si="48"/>
        <v>#VALUE!</v>
      </c>
      <c r="CT186" s="68" t="str">
        <f>IF([1]!s_fa_roic_yearly($A186,$D$1)=0,"",[1]!s_fa_roic_yearly($A186,$D$1))</f>
        <v/>
      </c>
      <c r="CU186" s="27" t="e">
        <f t="shared" si="49"/>
        <v>#VALUE!</v>
      </c>
      <c r="CV186" s="78">
        <f>[1]!s_stm07_bs(A186,"W14578191",$A$1,1,100000000)</f>
        <v>0</v>
      </c>
      <c r="CW186" s="78">
        <f>[1]!s_stmnote_bank_682($A186,$A$1,1,2,100000000)</f>
        <v>0</v>
      </c>
      <c r="CX186" s="79" t="str">
        <f t="shared" si="50"/>
        <v/>
      </c>
    </row>
    <row r="187" spans="1:102" s="46" customFormat="1" ht="13.5">
      <c r="A187" s="8" t="s">
        <v>1050</v>
      </c>
      <c r="B187" s="8" t="s">
        <v>1051</v>
      </c>
      <c r="C187" s="15" t="s">
        <v>1052</v>
      </c>
      <c r="D187" s="9" t="s">
        <v>1066</v>
      </c>
      <c r="E187" s="10"/>
      <c r="F187" s="11" t="s">
        <v>66</v>
      </c>
      <c r="G187" s="11" t="s">
        <v>67</v>
      </c>
      <c r="H187" s="11" t="s">
        <v>103</v>
      </c>
      <c r="I187" s="11"/>
      <c r="J187" s="11" t="e">
        <f>VLOOKUP(B187,[3]额度信息!$B:$T,19,0)</f>
        <v>#N/A</v>
      </c>
      <c r="K187" s="11"/>
      <c r="L187" s="27" t="str">
        <f>IFERROR(([1]!b_stm07_bs($A187,47,$A$1,1,100000000))/[1]!b_stm07_bs($A187,109,$A$1,1,100000000),"")</f>
        <v/>
      </c>
      <c r="M187" s="20"/>
      <c r="N187" s="18"/>
      <c r="O187" s="27" t="e">
        <f t="shared" si="39"/>
        <v>#N/A</v>
      </c>
      <c r="P187" s="21" t="str">
        <f t="shared" si="51"/>
        <v/>
      </c>
      <c r="Q187" s="27" t="e">
        <f t="shared" si="40"/>
        <v>#VALUE!</v>
      </c>
      <c r="R187" s="18" t="str">
        <f>IFERROR([1]!s_stmnote_bank($A187,"34",$A$1,100000000)/[1]!s_stmnote_bank_1n(A187,$A$1,1,100000000),"")</f>
        <v/>
      </c>
      <c r="S187" s="22"/>
      <c r="T187" s="22"/>
      <c r="U187" s="22"/>
      <c r="V187" s="22"/>
      <c r="W187" s="22"/>
      <c r="X187" s="22"/>
      <c r="Y187" s="22"/>
      <c r="Z187" s="25">
        <f>[1]!b_stm07_bs(A187,74,$A$1,1,100000000)</f>
        <v>790.74382700000001</v>
      </c>
      <c r="AA187" s="25">
        <f>[1]!b_stm07_bs(A187,109,$A$1,1,100000000)</f>
        <v>0</v>
      </c>
      <c r="AB187" s="10">
        <f>[1]!s_stmnote_bank_5n(A187,$A$1,1)</f>
        <v>0.66</v>
      </c>
      <c r="AC187" s="25">
        <f>IF([1]!s_stmnote_bank_23n(A187,$A$1,1)=0,"",IFERROR([1]!s_stmnote_bank_23n(A187,$A$1,1),""))</f>
        <v>554.54999999999995</v>
      </c>
      <c r="AD187" s="27" t="str">
        <f t="shared" si="41"/>
        <v>151 167</v>
      </c>
      <c r="AE187" s="25">
        <f>[1]!s_stmnote_bank_capadequacyratio(A187,$A$1,1)</f>
        <v>14.23</v>
      </c>
      <c r="AF187" s="25" t="str">
        <f>IF([1]!s_stmnote_bank_capadequacyratio_ct1(A187,$A$1,1)=0,"",IFERROR([1]!s_stmnote_bank_capadequacyratio_ct1(A187,$A$1,1),""))</f>
        <v/>
      </c>
      <c r="AG187" s="27" t="e">
        <f t="shared" si="42"/>
        <v>#VALUE!</v>
      </c>
      <c r="AH187" s="6" t="str">
        <f>IF(OR([1]!s_fa_roe(A187,20201231)=0,[1]!s_fa_roe(A187,20211231)="0",[1]!s_fa_roe(A187,20221231)="0"),"",IFERROR(([1]!s_fa_roe(A187,20221231)+[1]!s_fa_roe(A187,20201231)+[1]!s_fa_roe(A187,20211231))/3,""))</f>
        <v/>
      </c>
      <c r="AI187" s="27" t="e">
        <f t="shared" si="43"/>
        <v>#VALUE!</v>
      </c>
      <c r="AJ187" s="28" t="str">
        <f>IFERROR(([1]!s_stmnote_bank_65(A187,$A$1,1,2,4,100000000)+[1]!s_stmnote_bank_65(A187,$A$1,1,2,6,100000000))/[1]!s_stmnote_bank_1n(A187,$A$1,1,100000000),"")</f>
        <v/>
      </c>
      <c r="AK187" s="28" t="str">
        <f>IFERROR([1]!s_stmnote_bank_614(A187,$A$1,1,2,100000000)/[1]!s_stmnote_bank_647(A187,$A$1,1,2,100000000),"")</f>
        <v/>
      </c>
      <c r="AL187" s="28">
        <f>IFERROR(([1]!b_stm07_bs(A187,104,$A$1,1,100000000)+[1]!b_stm07_bs(A187,106,$A$1,1,100000000)+[1]!b_stm07_bs(A187,76,$A$1,1,100000000)+[1]!b_stm07_bs(A187,108,$A$1,1,100000000)+[1]!b_stm07_bs(A187,95,$A$1,1,100000000))/[1]!b_stm07_bs(A187,128,$A$1,1,100000000),"")</f>
        <v>0</v>
      </c>
      <c r="AM187" s="28">
        <f>IFERROR(([1]!s_stmnote_bank_614(A187,$A$1,1,2,100000000)+[1]!b_stm07_bs(A187,104,$A$1,1,100000000)+[1]!b_stm07_bs(A187,106,$A$1,1,100000000)+[1]!b_stm07_bs(A187,76,$A$1,1,100000000)+[1]!b_stm07_bs(A187,108,$A$1,1,100000000)+[1]!b_stm07_bs(A187,95,$A$1,1,100000000))/[1]!b_stm07_bs(A187,128,$A$1,1,100000000),"")</f>
        <v>0</v>
      </c>
      <c r="AN187" s="31" t="e">
        <f>IF(Z187&gt;#REF!,#REF!,IF(Z187&gt;#REF!,#REF!,IF(Z187&gt;#REF!,#REF!,IF(Z187&gt;#REF!,#REF!,IF(Z187&gt;#REF!,#REF!,IF(Z187&gt;#REF!,#REF!,IF(Z187&gt;#REF!,#REF!,#REF!)))))))</f>
        <v>#REF!</v>
      </c>
      <c r="AO187" s="31" t="e">
        <f>IF(AA187&gt;#REF!,#REF!,IF(AA187&gt;#REF!,#REF!,IF(AA187&gt;#REF!,#REF!,IF(AA187&gt;#REF!,#REF!,IF(AA187&gt;#REF!,#REF!,IF(AA187&gt;#REF!,#REF!,IF(AA187&gt;#REF!,#REF!,#REF!)))))))</f>
        <v>#REF!</v>
      </c>
      <c r="AP187" s="31" t="e">
        <f>IF(AB187&lt;#REF!,#REF!,IF(AB187&lt;#REF!,#REF!,IF(AB187&lt;#REF!,#REF!,IF(AB187&lt;#REF!,#REF!,IF(AB187&lt;#REF!,#REF!,IF(AB187&lt;#REF!,#REF!,#REF!))))))</f>
        <v>#REF!</v>
      </c>
      <c r="AQ187" s="31" t="e">
        <f>IF(AC187&gt;#REF!,#REF!,IF(AC187&gt;#REF!,#REF!,IF(AC187&gt;#REF!,#REF!,IF(AC187&gt;#REF!,#REF!,#REF!))))</f>
        <v>#REF!</v>
      </c>
      <c r="AR187" s="31" t="e">
        <f>IF(AE187&gt;#REF!,#REF!,IF(AE187&gt;#REF!,#REF!,IF(AE187&gt;#REF!,#REF!,IF(AE187&gt;#REF!,#REF!,#REF!))))</f>
        <v>#REF!</v>
      </c>
      <c r="AS187" s="31" t="e">
        <f>IF(AF187&gt;#REF!,#REF!,IF(AF187&gt;#REF!,#REF!,IF(AF187&gt;#REF!,#REF!,IF(AF187&gt;#REF!,#REF!,#REF!))))</f>
        <v>#REF!</v>
      </c>
      <c r="AT187" s="31" t="e">
        <f>IF(AH187&gt;#REF!,#REF!,IF(AH187&gt;#REF!,#REF!,IF(AH187&gt;#REF!,#REF!,IF(AH187&gt;#REF!,#REF!,IF(AH187&gt;#REF!,#REF!,#REF!)))))</f>
        <v>#REF!</v>
      </c>
      <c r="AU187" s="10" t="e">
        <f t="shared" si="44"/>
        <v>#REF!</v>
      </c>
      <c r="AV187" s="10"/>
      <c r="AW187" s="10"/>
      <c r="AX187" s="10"/>
      <c r="AY187" s="31" t="str">
        <f>IFERROR(VLOOKUP(AV187,#REF!,3,0),"")</f>
        <v/>
      </c>
      <c r="AZ187" s="31" t="str">
        <f>IFERROR(VLOOKUP(AW187,#REF!,3,0),"")</f>
        <v/>
      </c>
      <c r="BA187" s="31" t="str">
        <f>IFERROR(VLOOKUP(AX187,#REF!,3,0),"")</f>
        <v/>
      </c>
      <c r="BB187" s="31" t="str">
        <f>IFERROR(AY187*#REF!+AZ187*#REF!+BA187*#REF!,"")</f>
        <v/>
      </c>
      <c r="BC187" s="32" t="str">
        <f t="shared" si="45"/>
        <v/>
      </c>
      <c r="BD187" s="32" t="str">
        <f>IFERROR(VLOOKUP(BC187*10,#REF!,2,1),"")</f>
        <v/>
      </c>
      <c r="BE187" s="10"/>
      <c r="BF187" s="10"/>
      <c r="BG187" s="10"/>
      <c r="BH187" s="11">
        <v>0</v>
      </c>
      <c r="BI187" s="10">
        <v>0</v>
      </c>
      <c r="BJ187" s="11"/>
      <c r="BK187" s="33" t="s">
        <v>222</v>
      </c>
      <c r="BL187" s="10">
        <f>IF([1]!s_stmnote_bank_17n(A187,$A$1,1)="0","",[1]!s_stmnote_bank_17n(A187,$A$1,1))</f>
        <v>0</v>
      </c>
      <c r="BM187" s="10">
        <f>IF([1]!s_stmnote_bank_18n(A187,$A$1,1)="0","",[1]!s_stmnote_bank_18n(A187,$A$1,1))</f>
        <v>0</v>
      </c>
      <c r="BN187" s="41"/>
      <c r="BO187" s="52"/>
      <c r="BP187" s="52">
        <f>[1]!s_stmnote_bank_5444(A187,$A$1,1)</f>
        <v>2.35</v>
      </c>
      <c r="BQ187" s="52">
        <f>[1]!s_stmnote_bank_129n($A187,$A$1,1)</f>
        <v>26.65</v>
      </c>
      <c r="BR187" s="52">
        <f t="shared" si="52"/>
        <v>0</v>
      </c>
      <c r="BS187" s="52">
        <f>[1]!b_stm07_is(A187,19,$A$1,1,100000000)</f>
        <v>0</v>
      </c>
      <c r="BT187" s="52">
        <f xml:space="preserve"> [1]!s_stm07_bs(A187,"W15273164",$A$1,1,100000000)-[1]!s_stm07_bs(A187,"W17642530",$A$1,1,100000000)-[1]!s_stm07_bs(A187,"W15910877",$A$1,1,100000000)-[1]!s_stm07_bs_39(A187,$A$1,1,100000000)-[1]!s_stm07_bs(A187,"W17700468",$A$1,1,100000000)-[1]!s_stm07_bs(A187,"W16504296",$A$1,1,100000000)-[1]!s_stm07_bs(A187,"W13769069",$A$1,1,100000000)</f>
        <v>790.74382700000001</v>
      </c>
      <c r="BU187" s="52">
        <f xml:space="preserve"> [1]!s_stm07_bs(A187,"W15273164",$B$1,1,100000000)-[1]!s_stm07_bs(A187,"W17642530",$B$1,1,100000000)-[1]!s_stm07_bs(A187,"W15910877",$B$1,1,100000000)-[1]!s_stm07_bs_39(A187,$B$1,1,100000000)-[1]!s_stm07_bs(A187,"W17700468",$B$1,1,100000000)-[1]!s_stm07_bs(A187,"W16504296",$B$1,1,100000000)-[1]!s_stm07_bs(A187,"W13769069",$B$1,1,100000000)</f>
        <v>701.76455899999996</v>
      </c>
      <c r="BV187" s="52">
        <f xml:space="preserve"> [1]!s_stm07_bs(A187,"W15273164",$E$1,1,100000000)-[1]!s_stm07_bs(A187,"W17642530",$E$1,1,100000000)-[1]!s_stm07_bs(A187,"W15910877",$E$1,1,100000000)-[1]!s_stm07_bs_39(A187,$E$1,1,100000000)-[1]!s_stm07_bs(A187,"W17700468",$E$1,1,100000000)-[1]!s_stm07_bs(A187,"W16504296",$E$1,1,100000000)-[1]!s_stm07_bs(A187,"W13769069",$E$1,1,100000000)</f>
        <v>0</v>
      </c>
      <c r="BW187" s="52">
        <f xml:space="preserve"> [1]!s_stm07_bs(A187,"W15273164",$F$1,1,100000000)-[1]!s_stm07_bs(A187,"W17642530",$F$1,1,100000000)-[1]!s_stm07_bs(A187,"W15910877",$F$1,1,100000000)-[1]!s_stm07_bs_39(A187,$F$1,1,100000000)-[1]!s_stm07_bs(A187,"W17700468",$F$1,1,100000000)-[1]!s_stm07_bs(A187,"W16504296",$F$1,1,100000000)-[1]!s_stm07_bs(A187,"W13769069",$F$1,1,100000000)</f>
        <v>0</v>
      </c>
      <c r="BX187" s="52">
        <f xml:space="preserve"> [1]!s_stm07_bs(A187,"W15273164",$G$1,1,100000000)-[1]!s_stm07_bs(A187,"W17642530",$G$1,1,100000000)-[1]!s_stm07_bs(A187,"W15910877",$G$1,1,100000000)-[1]!s_stm07_bs_39(A187,$G$1,1,100000000)-[1]!s_stm07_bs(A187,"W17700468",$G$1,1,100000000)-[1]!s_stm07_bs(A187,"W16504296",$G$1,1,100000000)-[1]!s_stm07_bs(A187,"W13769069",$G$1,1,100000000)</f>
        <v>0</v>
      </c>
      <c r="BY187" s="52">
        <f>IFERROR([1]!b_stm07_is(A187,20,$A$1,1,100000000)/AVERAGEIF(CA187:CE187,"&gt;0")*100,0)</f>
        <v>0</v>
      </c>
      <c r="BZ187" s="52">
        <f>[1]!b_stm07_is(A187,20,$A$1,1,100000000)</f>
        <v>0</v>
      </c>
      <c r="CA187" s="52">
        <f>[1]!s_stmnote_bank_38(A187,$A$1,1,100000000)</f>
        <v>0</v>
      </c>
      <c r="CB187" s="52">
        <f>[1]!s_stmnote_bank_38(A187,$B$1,1,100000000)</f>
        <v>0</v>
      </c>
      <c r="CC187" s="52">
        <f>[1]!s_stmnote_bank_38(A187,$E$1,1,100000000)</f>
        <v>0</v>
      </c>
      <c r="CD187" s="52">
        <f>[1]!s_stmnote_bank_38(A187,$F$1,1,100000000)</f>
        <v>0</v>
      </c>
      <c r="CE187" s="52">
        <f>[1]!s_stmnote_bank_38(A187,$G$1,1,100000000)</f>
        <v>0</v>
      </c>
      <c r="CF187" s="52">
        <f>IF(BP187&lt;&gt;0,BP187,IFERROR(IF(([1]!b_stm07_is(A187,19,$A$1,1,100000000)-[1]!b_stm07_is(A187,20,$A$1,1,100000000))/AVERAGE([1]!s_stmnote_bank_35(A187,$A$1,1,100000000),[1]!s_stmnote_bank_35(A187,$B$1,1,100000000))*100=0,"",([1]!b_stm07_is(A187,19,$A$1,1,100000000)-[1]!b_stm07_is(A187,20,$A$1,1,100000000))/AVERAGE([1]!s_stmnote_bank_35(A187,$A$1,1,100000000),[1]!s_stmnote_bank_35(A187,$B$1,1,100000000))*100),""))</f>
        <v>2.35</v>
      </c>
      <c r="CG187" s="27" t="str">
        <f t="shared" si="46"/>
        <v>44 171</v>
      </c>
      <c r="CH187" s="80" t="str">
        <f t="shared" si="53"/>
        <v/>
      </c>
      <c r="CI187" s="27" t="e">
        <f t="shared" si="47"/>
        <v>#VALUE!</v>
      </c>
      <c r="CJ187" s="55">
        <f>[1]!s_stmnote_bank_30(A187,$A$1,1)</f>
        <v>0</v>
      </c>
      <c r="CP187" s="69">
        <f>[1]!b_stm07_bs($A187,141,$A$1,1,100000000)</f>
        <v>67.854901999999996</v>
      </c>
      <c r="CQ187" s="69">
        <f>[1]!b_stm07_bs($A187,141,$D$1,1,100000000)</f>
        <v>0</v>
      </c>
      <c r="CR187" s="68" t="str">
        <f>IF([1]!s_fa_roic_yearly($A187,$A$1)=0,"",[1]!s_fa_roic_yearly($A187,$A$1))</f>
        <v/>
      </c>
      <c r="CS187" s="27" t="e">
        <f t="shared" si="48"/>
        <v>#VALUE!</v>
      </c>
      <c r="CT187" s="68" t="str">
        <f>IF([1]!s_fa_roic_yearly($A187,$D$1)=0,"",[1]!s_fa_roic_yearly($A187,$D$1))</f>
        <v/>
      </c>
      <c r="CU187" s="27" t="e">
        <f t="shared" si="49"/>
        <v>#VALUE!</v>
      </c>
      <c r="CV187" s="78">
        <f>[1]!s_stm07_bs(A187,"W14578191",$A$1,1,100000000)</f>
        <v>0</v>
      </c>
      <c r="CW187" s="78">
        <f>[1]!s_stmnote_bank_682($A187,$A$1,1,2,100000000)</f>
        <v>0</v>
      </c>
      <c r="CX187" s="79" t="str">
        <f t="shared" si="50"/>
        <v/>
      </c>
    </row>
    <row r="188" spans="1:102" s="46" customFormat="1" ht="13.5">
      <c r="A188" s="8" t="s">
        <v>1053</v>
      </c>
      <c r="B188" s="8">
        <f>[1]!b_info_issuer(A188)</f>
        <v>0</v>
      </c>
      <c r="C188" s="9">
        <f>[1]!b_issuer_issuershortened(A188)</f>
        <v>0</v>
      </c>
      <c r="D188" s="9" t="s">
        <v>1061</v>
      </c>
      <c r="E188" s="10"/>
      <c r="F188" s="11"/>
      <c r="G188" s="11" t="s">
        <v>67</v>
      </c>
      <c r="H188" s="11" t="s">
        <v>67</v>
      </c>
      <c r="I188" s="11"/>
      <c r="J188" s="11" t="e">
        <f>VLOOKUP(B188,[3]额度信息!$B:$T,19,0)</f>
        <v>#N/A</v>
      </c>
      <c r="K188" s="11"/>
      <c r="L188" s="27" t="str">
        <f>IFERROR(([1]!b_stm07_bs($A188,47,$A$1,1,100000000))/[1]!b_stm07_bs($A188,109,$A$1,1,100000000),"")</f>
        <v/>
      </c>
      <c r="M188" s="20"/>
      <c r="N188" s="18"/>
      <c r="O188" s="27" t="e">
        <f t="shared" si="39"/>
        <v>#N/A</v>
      </c>
      <c r="P188" s="21" t="str">
        <f t="shared" si="51"/>
        <v/>
      </c>
      <c r="Q188" s="27" t="e">
        <f t="shared" si="40"/>
        <v>#VALUE!</v>
      </c>
      <c r="R188" s="18" t="str">
        <f>IFERROR([1]!s_stmnote_bank($A188,"34",$A$1,100000000)/[1]!s_stmnote_bank_1n(A188,$A$1,1,100000000),"")</f>
        <v/>
      </c>
      <c r="S188" s="22"/>
      <c r="T188" s="22"/>
      <c r="U188" s="22"/>
      <c r="V188" s="22"/>
      <c r="W188" s="22"/>
      <c r="X188" s="22"/>
      <c r="Y188" s="22"/>
      <c r="Z188" s="10">
        <f>[1]!b_stm07_bs(A188,74,$A$1,1,100000000)</f>
        <v>0</v>
      </c>
      <c r="AA188" s="10">
        <f>[1]!b_stm07_bs(A188,109,$A$1,1,100000000)</f>
        <v>0</v>
      </c>
      <c r="AB188" s="10">
        <f>[1]!s_stmnote_bank_5n(A188,$A$1,1)</f>
        <v>0</v>
      </c>
      <c r="AC188" s="25" t="str">
        <f>IF([1]!s_stmnote_bank_23n(A188,$A$1,1)=0,"",IFERROR([1]!s_stmnote_bank_23n(A188,$A$1,1),""))</f>
        <v/>
      </c>
      <c r="AD188" s="27" t="e">
        <f t="shared" si="41"/>
        <v>#VALUE!</v>
      </c>
      <c r="AE188" s="10">
        <f>[1]!s_stmnote_bank_capadequacyratio(A188,$A$1,1)</f>
        <v>0</v>
      </c>
      <c r="AF188" s="25" t="str">
        <f>IF([1]!s_stmnote_bank_capadequacyratio_ct1(A188,$A$1,1)=0,"",IFERROR([1]!s_stmnote_bank_capadequacyratio_ct1(A188,$A$1,1),""))</f>
        <v/>
      </c>
      <c r="AG188" s="27" t="e">
        <f t="shared" si="42"/>
        <v>#VALUE!</v>
      </c>
      <c r="AH188" s="6" t="str">
        <f>IF(OR([1]!s_fa_roe(A188,20201231)=0,[1]!s_fa_roe(A188,20211231)="0",[1]!s_fa_roe(A188,20221231)="0"),"",IFERROR(([1]!s_fa_roe(A188,20221231)+[1]!s_fa_roe(A188,20201231)+[1]!s_fa_roe(A188,20211231))/3,""))</f>
        <v/>
      </c>
      <c r="AI188" s="27" t="e">
        <f t="shared" si="43"/>
        <v>#VALUE!</v>
      </c>
      <c r="AJ188" s="28" t="str">
        <f>IFERROR(([1]!s_stmnote_bank_65(A188,$A$1,1,2,4,100000000)+[1]!s_stmnote_bank_65(A188,$A$1,1,2,6,100000000))/[1]!s_stmnote_bank_1n(A188,$A$1,1,100000000),"")</f>
        <v/>
      </c>
      <c r="AK188" s="28" t="str">
        <f>IFERROR([1]!s_stmnote_bank_614(A188,$A$1,1,2,100000000)/[1]!s_stmnote_bank_647(A188,$A$1,1,2,100000000),"")</f>
        <v/>
      </c>
      <c r="AL188" s="28" t="str">
        <f>IFERROR(([1]!b_stm07_bs(A188,104,$A$1,1,100000000)+[1]!b_stm07_bs(A188,106,$A$1,1,100000000)+[1]!b_stm07_bs(A188,76,$A$1,1,100000000)+[1]!b_stm07_bs(A188,108,$A$1,1,100000000)+[1]!b_stm07_bs(A188,95,$A$1,1,100000000))/[1]!b_stm07_bs(A188,128,$A$1,1,100000000),"")</f>
        <v/>
      </c>
      <c r="AM188" s="28" t="str">
        <f>IFERROR(([1]!s_stmnote_bank_614(A188,$A$1,1,2,100000000)+[1]!b_stm07_bs(A188,104,$A$1,1,100000000)+[1]!b_stm07_bs(A188,106,$A$1,1,100000000)+[1]!b_stm07_bs(A188,76,$A$1,1,100000000)+[1]!b_stm07_bs(A188,108,$A$1,1,100000000)+[1]!b_stm07_bs(A188,95,$A$1,1,100000000))/[1]!b_stm07_bs(A188,128,$A$1,1,100000000),"")</f>
        <v/>
      </c>
      <c r="AN188" s="31" t="e">
        <f>IF(Z188&gt;#REF!,#REF!,IF(Z188&gt;#REF!,#REF!,IF(Z188&gt;#REF!,#REF!,IF(Z188&gt;#REF!,#REF!,IF(Z188&gt;#REF!,#REF!,IF(Z188&gt;#REF!,#REF!,IF(Z188&gt;#REF!,#REF!,#REF!)))))))</f>
        <v>#REF!</v>
      </c>
      <c r="AO188" s="31" t="e">
        <f>IF(AA188&gt;#REF!,#REF!,IF(AA188&gt;#REF!,#REF!,IF(AA188&gt;#REF!,#REF!,IF(AA188&gt;#REF!,#REF!,IF(AA188&gt;#REF!,#REF!,IF(AA188&gt;#REF!,#REF!,IF(AA188&gt;#REF!,#REF!,#REF!)))))))</f>
        <v>#REF!</v>
      </c>
      <c r="AP188" s="31" t="e">
        <f>IF(AB188&lt;#REF!,#REF!,IF(AB188&lt;#REF!,#REF!,IF(AB188&lt;#REF!,#REF!,IF(AB188&lt;#REF!,#REF!,IF(AB188&lt;#REF!,#REF!,IF(AB188&lt;#REF!,#REF!,#REF!))))))</f>
        <v>#REF!</v>
      </c>
      <c r="AQ188" s="31" t="e">
        <f>IF(AC188&gt;#REF!,#REF!,IF(AC188&gt;#REF!,#REF!,IF(AC188&gt;#REF!,#REF!,IF(AC188&gt;#REF!,#REF!,#REF!))))</f>
        <v>#REF!</v>
      </c>
      <c r="AR188" s="31" t="e">
        <f>IF(AE188&gt;#REF!,#REF!,IF(AE188&gt;#REF!,#REF!,IF(AE188&gt;#REF!,#REF!,IF(AE188&gt;#REF!,#REF!,#REF!))))</f>
        <v>#REF!</v>
      </c>
      <c r="AS188" s="31" t="e">
        <f>IF(AF188&gt;#REF!,#REF!,IF(AF188&gt;#REF!,#REF!,IF(AF188&gt;#REF!,#REF!,IF(AF188&gt;#REF!,#REF!,#REF!))))</f>
        <v>#REF!</v>
      </c>
      <c r="AT188" s="31" t="e">
        <f>IF(AH188&gt;#REF!,#REF!,IF(AH188&gt;#REF!,#REF!,IF(AH188&gt;#REF!,#REF!,IF(AH188&gt;#REF!,#REF!,IF(AH188&gt;#REF!,#REF!,#REF!)))))</f>
        <v>#REF!</v>
      </c>
      <c r="AU188" s="10" t="e">
        <f t="shared" si="44"/>
        <v>#REF!</v>
      </c>
      <c r="AV188" s="10" t="s">
        <v>141</v>
      </c>
      <c r="AW188" s="10" t="s">
        <v>141</v>
      </c>
      <c r="AX188" s="10" t="s">
        <v>62</v>
      </c>
      <c r="AY188" s="31" t="str">
        <f>IFERROR(VLOOKUP(AV188,#REF!,3,0),"")</f>
        <v/>
      </c>
      <c r="AZ188" s="31" t="str">
        <f>IFERROR(VLOOKUP(AW188,#REF!,3,0),"")</f>
        <v/>
      </c>
      <c r="BA188" s="31" t="str">
        <f>IFERROR(VLOOKUP(AX188,#REF!,3,0),"")</f>
        <v/>
      </c>
      <c r="BB188" s="31" t="str">
        <f>IFERROR(AY188*#REF!+AZ188*#REF!+BA188*#REF!,"")</f>
        <v/>
      </c>
      <c r="BC188" s="32" t="e">
        <f>AU188*0.6+BB188*0.4</f>
        <v>#REF!</v>
      </c>
      <c r="BD188" s="32" t="str">
        <f>IFERROR(VLOOKUP(BC188*10,#REF!,2,1),"")</f>
        <v/>
      </c>
      <c r="BE188" s="10"/>
      <c r="BF188" s="10"/>
      <c r="BG188" s="10"/>
      <c r="BH188" s="11">
        <f>[1]!b_issuer_shareholder(A188,"",1)</f>
        <v>0</v>
      </c>
      <c r="BI188" s="10">
        <f>[1]!b_issuer_propofshareholder(A188,"",1)</f>
        <v>0</v>
      </c>
      <c r="BJ188" s="11" t="str">
        <f>LEFT(B188,2)</f>
        <v>0</v>
      </c>
      <c r="BK188" s="33">
        <f>[1]!s_info_city(A188)</f>
        <v>0</v>
      </c>
      <c r="BL188" s="10">
        <f>IF([1]!s_stmnote_bank_17n(A188,$A$1,1)="0","",[1]!s_stmnote_bank_17n(A188,$A$1,1))</f>
        <v>0</v>
      </c>
      <c r="BM188" s="10">
        <f>IF([1]!s_stmnote_bank_18n(A188,$A$1,1)="0","",[1]!s_stmnote_bank_18n(A188,$A$1,1))</f>
        <v>0</v>
      </c>
      <c r="BN188" s="41"/>
      <c r="BO188" s="52"/>
      <c r="BP188" s="52">
        <f>[1]!s_stmnote_bank_5444(A188,$A$1,1)</f>
        <v>0</v>
      </c>
      <c r="BQ188" s="52">
        <f>[1]!s_stmnote_bank_129n($A188,$A$1,1)</f>
        <v>0</v>
      </c>
      <c r="BR188" s="52">
        <f t="shared" si="52"/>
        <v>0</v>
      </c>
      <c r="BS188" s="52">
        <f>[1]!b_stm07_is(A188,19,$A$1,1,100000000)</f>
        <v>0</v>
      </c>
      <c r="BT188" s="52">
        <f xml:space="preserve"> [1]!s_stm07_bs(A188,"W15273164",$A$1,1,100000000)-[1]!s_stm07_bs(A188,"W17642530",$A$1,1,100000000)-[1]!s_stm07_bs(A188,"W15910877",$A$1,1,100000000)-[1]!s_stm07_bs_39(A188,$A$1,1,100000000)-[1]!s_stm07_bs(A188,"W17700468",$A$1,1,100000000)-[1]!s_stm07_bs(A188,"W16504296",$A$1,1,100000000)-[1]!s_stm07_bs(A188,"W13769069",$A$1,1,100000000)</f>
        <v>0</v>
      </c>
      <c r="BU188" s="52">
        <f xml:space="preserve"> [1]!s_stm07_bs(A188,"W15273164",$B$1,1,100000000)-[1]!s_stm07_bs(A188,"W17642530",$B$1,1,100000000)-[1]!s_stm07_bs(A188,"W15910877",$B$1,1,100000000)-[1]!s_stm07_bs_39(A188,$B$1,1,100000000)-[1]!s_stm07_bs(A188,"W17700468",$B$1,1,100000000)-[1]!s_stm07_bs(A188,"W16504296",$B$1,1,100000000)-[1]!s_stm07_bs(A188,"W13769069",$B$1,1,100000000)</f>
        <v>0</v>
      </c>
      <c r="BV188" s="52">
        <f xml:space="preserve"> [1]!s_stm07_bs(A188,"W15273164",$E$1,1,100000000)-[1]!s_stm07_bs(A188,"W17642530",$E$1,1,100000000)-[1]!s_stm07_bs(A188,"W15910877",$E$1,1,100000000)-[1]!s_stm07_bs_39(A188,$E$1,1,100000000)-[1]!s_stm07_bs(A188,"W17700468",$E$1,1,100000000)-[1]!s_stm07_bs(A188,"W16504296",$E$1,1,100000000)-[1]!s_stm07_bs(A188,"W13769069",$E$1,1,100000000)</f>
        <v>0</v>
      </c>
      <c r="BW188" s="52">
        <f xml:space="preserve"> [1]!s_stm07_bs(A188,"W15273164",$F$1,1,100000000)-[1]!s_stm07_bs(A188,"W17642530",$F$1,1,100000000)-[1]!s_stm07_bs(A188,"W15910877",$F$1,1,100000000)-[1]!s_stm07_bs_39(A188,$F$1,1,100000000)-[1]!s_stm07_bs(A188,"W17700468",$F$1,1,100000000)-[1]!s_stm07_bs(A188,"W16504296",$F$1,1,100000000)-[1]!s_stm07_bs(A188,"W13769069",$F$1,1,100000000)</f>
        <v>0</v>
      </c>
      <c r="BX188" s="52">
        <f xml:space="preserve"> [1]!s_stm07_bs(A188,"W15273164",$G$1,1,100000000)-[1]!s_stm07_bs(A188,"W17642530",$G$1,1,100000000)-[1]!s_stm07_bs(A188,"W15910877",$G$1,1,100000000)-[1]!s_stm07_bs_39(A188,$G$1,1,100000000)-[1]!s_stm07_bs(A188,"W17700468",$G$1,1,100000000)-[1]!s_stm07_bs(A188,"W16504296",$G$1,1,100000000)-[1]!s_stm07_bs(A188,"W13769069",$G$1,1,100000000)</f>
        <v>0</v>
      </c>
      <c r="BY188" s="52">
        <f>IFERROR([1]!b_stm07_is(A188,20,$A$1,1,100000000)/AVERAGEIF(CA188:CE188,"&gt;0")*100,0)</f>
        <v>0</v>
      </c>
      <c r="BZ188" s="52">
        <f>[1]!b_stm07_is(A188,20,$A$1,1,100000000)</f>
        <v>0</v>
      </c>
      <c r="CA188" s="52">
        <f>[1]!s_stmnote_bank_38(A188,$A$1,1,100000000)</f>
        <v>0</v>
      </c>
      <c r="CB188" s="52">
        <f>[1]!s_stmnote_bank_38(A188,$B$1,1,100000000)</f>
        <v>0</v>
      </c>
      <c r="CC188" s="52">
        <f>[1]!s_stmnote_bank_38(A188,$E$1,1,100000000)</f>
        <v>0</v>
      </c>
      <c r="CD188" s="52">
        <f>[1]!s_stmnote_bank_38(A188,$F$1,1,100000000)</f>
        <v>0</v>
      </c>
      <c r="CE188" s="52">
        <f>[1]!s_stmnote_bank_38(A188,$G$1,1,100000000)</f>
        <v>0</v>
      </c>
      <c r="CF188" s="52" t="str">
        <f>IF(BP188&lt;&gt;0,BP188,IFERROR(IF(([1]!b_stm07_is(A188,19,$A$1,1,100000000)-[1]!b_stm07_is(A188,20,$A$1,1,100000000))/AVERAGE([1]!s_stmnote_bank_35(A188,$A$1,1,100000000),[1]!s_stmnote_bank_35(A188,$B$1,1,100000000))*100=0,"",([1]!b_stm07_is(A188,19,$A$1,1,100000000)-[1]!b_stm07_is(A188,20,$A$1,1,100000000))/AVERAGE([1]!s_stmnote_bank_35(A188,$A$1,1,100000000),[1]!s_stmnote_bank_35(A188,$B$1,1,100000000))*100),""))</f>
        <v/>
      </c>
      <c r="CG188" s="27" t="e">
        <f t="shared" si="46"/>
        <v>#VALUE!</v>
      </c>
      <c r="CH188" s="80" t="str">
        <f t="shared" si="53"/>
        <v/>
      </c>
      <c r="CI188" s="27" t="e">
        <f t="shared" si="47"/>
        <v>#VALUE!</v>
      </c>
      <c r="CJ188" s="55">
        <f>[1]!s_stmnote_bank_30(A188,$A$1,1)</f>
        <v>0</v>
      </c>
      <c r="CP188" s="69">
        <f>[1]!b_stm07_bs($A188,141,$A$1,1,100000000)</f>
        <v>0</v>
      </c>
      <c r="CQ188" s="69">
        <f>[1]!b_stm07_bs($A188,141,$D$1,1,100000000)</f>
        <v>0</v>
      </c>
      <c r="CR188" s="68" t="str">
        <f>IF([1]!s_fa_roic_yearly($A188,$A$1)=0,"",[1]!s_fa_roic_yearly($A188,$A$1))</f>
        <v/>
      </c>
      <c r="CS188" s="27" t="e">
        <f t="shared" si="48"/>
        <v>#VALUE!</v>
      </c>
      <c r="CT188" s="68" t="str">
        <f>IF([1]!s_fa_roic_yearly($A188,$D$1)=0,"",[1]!s_fa_roic_yearly($A188,$D$1))</f>
        <v/>
      </c>
      <c r="CU188" s="27" t="e">
        <f t="shared" si="49"/>
        <v>#VALUE!</v>
      </c>
      <c r="CV188" s="78">
        <f>[1]!s_stm07_bs(A188,"W14578191",$A$1,1,100000000)</f>
        <v>0</v>
      </c>
      <c r="CW188" s="78">
        <f>[1]!s_stmnote_bank_682($A188,$A$1,1,2,100000000)</f>
        <v>0</v>
      </c>
      <c r="CX188" s="79" t="str">
        <f t="shared" si="50"/>
        <v/>
      </c>
    </row>
    <row r="189" spans="1:102" s="46" customFormat="1" ht="13.5">
      <c r="A189" s="8" t="s">
        <v>152</v>
      </c>
      <c r="B189" s="8" t="s">
        <v>153</v>
      </c>
      <c r="C189" s="9" t="s">
        <v>154</v>
      </c>
      <c r="D189" s="9" t="s">
        <v>1061</v>
      </c>
      <c r="E189" s="10"/>
      <c r="F189" s="11" t="s">
        <v>66</v>
      </c>
      <c r="G189" s="11" t="s">
        <v>67</v>
      </c>
      <c r="H189" s="11" t="s">
        <v>103</v>
      </c>
      <c r="I189" s="11"/>
      <c r="J189" s="11" t="e">
        <f>VLOOKUP(B189,[3]额度信息!$B:$T,19,0)</f>
        <v>#N/A</v>
      </c>
      <c r="K189" s="11"/>
      <c r="L189" s="27">
        <f>IFERROR(([1]!b_stm07_bs($A189,47,$A$1,1,100000000))/[1]!b_stm07_bs($A189,109,$A$1,1,100000000),"")</f>
        <v>7.159382203838921E-2</v>
      </c>
      <c r="M189" s="20"/>
      <c r="N189" s="18"/>
      <c r="O189" s="27" t="e">
        <f t="shared" si="39"/>
        <v>#N/A</v>
      </c>
      <c r="P189" s="21">
        <f t="shared" si="51"/>
        <v>6.4531245097930082E-2</v>
      </c>
      <c r="Q189" s="27" t="str">
        <f t="shared" si="40"/>
        <v>146 169</v>
      </c>
      <c r="R189" s="18">
        <f>IFERROR([1]!s_stmnote_bank($A189,"34",$A$1,100000000)/[1]!s_stmnote_bank_1n(A189,$A$1,1,100000000),"")</f>
        <v>4.5031245097930085E-2</v>
      </c>
      <c r="S189" s="22"/>
      <c r="T189" s="22"/>
      <c r="U189" s="22"/>
      <c r="V189" s="22"/>
      <c r="W189" s="22"/>
      <c r="X189" s="22"/>
      <c r="Y189" s="22"/>
      <c r="Z189" s="25">
        <f>[1]!b_stm07_bs(A189,74,$A$1,1,100000000)</f>
        <v>2054.9236546753</v>
      </c>
      <c r="AA189" s="25">
        <f>[1]!b_stm07_bs(A189,109,$A$1,1,100000000)</f>
        <v>1703.5759735064998</v>
      </c>
      <c r="AB189" s="10">
        <f>[1]!s_stmnote_bank_5n(A189,$A$1,1)</f>
        <v>1.95</v>
      </c>
      <c r="AC189" s="25">
        <f>IF([1]!s_stmnote_bank_23n(A189,$A$1,1)=0,"",IFERROR([1]!s_stmnote_bank_23n(A189,$A$1,1),""))</f>
        <v>182.29</v>
      </c>
      <c r="AD189" s="27" t="str">
        <f t="shared" si="41"/>
        <v>49 167</v>
      </c>
      <c r="AE189" s="25">
        <f>[1]!s_stmnote_bank_capadequacyratio(A189,$A$1,1)</f>
        <v>13.13</v>
      </c>
      <c r="AF189" s="25">
        <f>IF([1]!s_stmnote_bank_capadequacyratio_ct1(A189,$A$1,1)=0,"",IFERROR([1]!s_stmnote_bank_capadequacyratio_ct1(A189,$A$1,1),""))</f>
        <v>9.27</v>
      </c>
      <c r="AG189" s="27" t="str">
        <f t="shared" si="42"/>
        <v>51 167</v>
      </c>
      <c r="AH189" s="6">
        <f>IF(OR([1]!s_fa_roe(A189,20201231)=0,[1]!s_fa_roe(A189,20211231)="0",[1]!s_fa_roe(A189,20221231)="0"),"",IFERROR(([1]!s_fa_roe(A189,20221231)+[1]!s_fa_roe(A189,20201231)+[1]!s_fa_roe(A189,20211231))/3,""))</f>
        <v>9.4518333333333331</v>
      </c>
      <c r="AI189" s="27" t="str">
        <f t="shared" si="43"/>
        <v>108 173</v>
      </c>
      <c r="AJ189" s="28">
        <f>IFERROR(([1]!s_stmnote_bank_65(A189,$A$1,1,2,4,100000000)+[1]!s_stmnote_bank_65(A189,$A$1,1,2,6,100000000))/[1]!s_stmnote_bank_1n(A189,$A$1,1,100000000),"")</f>
        <v>0.11484098732081442</v>
      </c>
      <c r="AK189" s="28">
        <f>IFERROR([1]!s_stmnote_bank_614(A189,$A$1,1,2,100000000)/[1]!s_stmnote_bank_647(A189,$A$1,1,2,100000000),"")</f>
        <v>0.20248216874624989</v>
      </c>
      <c r="AL189" s="28">
        <f>IFERROR(([1]!b_stm07_bs(A189,104,$A$1,1,100000000)+[1]!b_stm07_bs(A189,106,$A$1,1,100000000)+[1]!b_stm07_bs(A189,76,$A$1,1,100000000)+[1]!b_stm07_bs(A189,108,$A$1,1,100000000)+[1]!b_stm07_bs(A189,95,$A$1,1,100000000))/[1]!b_stm07_bs(A189,128,$A$1,1,100000000),"")</f>
        <v>0.10536936577884437</v>
      </c>
      <c r="AM189" s="28">
        <f>IFERROR(([1]!s_stmnote_bank_614(A189,$A$1,1,2,100000000)+[1]!b_stm07_bs(A189,104,$A$1,1,100000000)+[1]!b_stm07_bs(A189,106,$A$1,1,100000000)+[1]!b_stm07_bs(A189,76,$A$1,1,100000000)+[1]!b_stm07_bs(A189,108,$A$1,1,100000000)+[1]!b_stm07_bs(A189,95,$A$1,1,100000000))/[1]!b_stm07_bs(A189,128,$A$1,1,100000000),"")</f>
        <v>0.28432242449456119</v>
      </c>
      <c r="AN189" s="31" t="e">
        <f>IF(Z189&gt;#REF!,#REF!,IF(Z189&gt;#REF!,#REF!,IF(Z189&gt;#REF!,#REF!,IF(Z189&gt;#REF!,#REF!,IF(Z189&gt;#REF!,#REF!,IF(Z189&gt;#REF!,#REF!,IF(Z189&gt;#REF!,#REF!,#REF!)))))))</f>
        <v>#REF!</v>
      </c>
      <c r="AO189" s="31" t="e">
        <f>IF(AA189&gt;#REF!,#REF!,IF(AA189&gt;#REF!,#REF!,IF(AA189&gt;#REF!,#REF!,IF(AA189&gt;#REF!,#REF!,IF(AA189&gt;#REF!,#REF!,IF(AA189&gt;#REF!,#REF!,IF(AA189&gt;#REF!,#REF!,#REF!)))))))</f>
        <v>#REF!</v>
      </c>
      <c r="AP189" s="31" t="e">
        <f>IF(AB189&lt;#REF!,#REF!,IF(AB189&lt;#REF!,#REF!,IF(AB189&lt;#REF!,#REF!,IF(AB189&lt;#REF!,#REF!,IF(AB189&lt;#REF!,#REF!,IF(AB189&lt;#REF!,#REF!,#REF!))))))</f>
        <v>#REF!</v>
      </c>
      <c r="AQ189" s="31" t="e">
        <f>IF(AC189&gt;#REF!,#REF!,IF(AC189&gt;#REF!,#REF!,IF(AC189&gt;#REF!,#REF!,IF(AC189&gt;#REF!,#REF!,#REF!))))</f>
        <v>#REF!</v>
      </c>
      <c r="AR189" s="31" t="e">
        <f>IF(AE189&gt;#REF!,#REF!,IF(AE189&gt;#REF!,#REF!,IF(AE189&gt;#REF!,#REF!,IF(AE189&gt;#REF!,#REF!,#REF!))))</f>
        <v>#REF!</v>
      </c>
      <c r="AS189" s="31" t="e">
        <f>IF(AF189&gt;#REF!,#REF!,IF(AF189&gt;#REF!,#REF!,IF(AF189&gt;#REF!,#REF!,IF(AF189&gt;#REF!,#REF!,#REF!))))</f>
        <v>#REF!</v>
      </c>
      <c r="AT189" s="31" t="e">
        <f>IF(AH189&gt;#REF!,#REF!,IF(AH189&gt;#REF!,#REF!,IF(AH189&gt;#REF!,#REF!,IF(AH189&gt;#REF!,#REF!,IF(AH189&gt;#REF!,#REF!,#REF!)))))</f>
        <v>#REF!</v>
      </c>
      <c r="AU189" s="10" t="e">
        <f t="shared" si="44"/>
        <v>#REF!</v>
      </c>
      <c r="AV189" s="10"/>
      <c r="AW189" s="10"/>
      <c r="AX189" s="10"/>
      <c r="AY189" s="31" t="str">
        <f>IFERROR(VLOOKUP(AV189,#REF!,3,0),"")</f>
        <v/>
      </c>
      <c r="AZ189" s="31" t="str">
        <f>IFERROR(VLOOKUP(AW189,#REF!,3,0),"")</f>
        <v/>
      </c>
      <c r="BA189" s="31" t="str">
        <f>IFERROR(VLOOKUP(AX189,#REF!,3,0),"")</f>
        <v/>
      </c>
      <c r="BB189" s="31" t="str">
        <f>IFERROR(AY189*#REF!+AZ189*#REF!+BA189*#REF!,"")</f>
        <v/>
      </c>
      <c r="BC189" s="32" t="str">
        <f>IFERROR(AU189*0.6+BB189*0.4,"")</f>
        <v/>
      </c>
      <c r="BD189" s="32" t="str">
        <f>IFERROR(VLOOKUP(BC189*10,#REF!,2,1),"")</f>
        <v/>
      </c>
      <c r="BE189" s="10"/>
      <c r="BF189" s="10"/>
      <c r="BG189" s="10"/>
      <c r="BH189" s="11" t="s">
        <v>155</v>
      </c>
      <c r="BI189" s="10">
        <v>9.3100004196166992</v>
      </c>
      <c r="BJ189" s="11" t="s">
        <v>156</v>
      </c>
      <c r="BK189" s="33" t="s">
        <v>157</v>
      </c>
      <c r="BL189" s="10">
        <f>IF([1]!s_stmnote_bank_17n(A189,$A$1,1)="0","",[1]!s_stmnote_bank_17n(A189,$A$1,1))</f>
        <v>6.56</v>
      </c>
      <c r="BM189" s="10">
        <f>IF([1]!s_stmnote_bank_18n(A189,$A$1,1)="0","",[1]!s_stmnote_bank_18n(A189,$A$1,1))</f>
        <v>0</v>
      </c>
      <c r="BN189" s="41" t="s">
        <v>67</v>
      </c>
      <c r="BO189" s="42" t="s">
        <v>67</v>
      </c>
      <c r="BP189" s="52">
        <f>[1]!s_stmnote_bank_5444(A189,$A$1,1)</f>
        <v>0</v>
      </c>
      <c r="BQ189" s="52">
        <f>[1]!s_stmnote_bank_129n($A189,$A$1,1)</f>
        <v>34.0471</v>
      </c>
      <c r="BR189" s="52">
        <f t="shared" si="52"/>
        <v>3.6657543696015726</v>
      </c>
      <c r="BS189" s="52">
        <f>[1]!b_stm07_is(A189,19,$A$1,1,100000000)</f>
        <v>66.662211120400002</v>
      </c>
      <c r="BT189" s="52">
        <f xml:space="preserve"> [1]!s_stm07_bs(A189,"W15273164",$A$1,1,100000000)-[1]!s_stm07_bs(A189,"W17642530",$A$1,1,100000000)-[1]!s_stm07_bs(A189,"W15910877",$A$1,1,100000000)-[1]!s_stm07_bs_39(A189,$A$1,1,100000000)-[1]!s_stm07_bs(A189,"W17700468",$A$1,1,100000000)-[1]!s_stm07_bs(A189,"W16504296",$A$1,1,100000000)-[1]!s_stm07_bs(A189,"W13769069",$A$1,1,100000000)</f>
        <v>1992.3759505866999</v>
      </c>
      <c r="BU189" s="52">
        <f xml:space="preserve"> [1]!s_stm07_bs(A189,"W15273164",$B$1,1,100000000)-[1]!s_stm07_bs(A189,"W17642530",$B$1,1,100000000)-[1]!s_stm07_bs(A189,"W15910877",$B$1,1,100000000)-[1]!s_stm07_bs_39(A189,$B$1,1,100000000)-[1]!s_stm07_bs(A189,"W17700468",$B$1,1,100000000)-[1]!s_stm07_bs(A189,"W16504296",$B$1,1,100000000)-[1]!s_stm07_bs(A189,"W13769069",$B$1,1,100000000)</f>
        <v>1781.7951298241999</v>
      </c>
      <c r="BV189" s="52">
        <f xml:space="preserve"> [1]!s_stm07_bs(A189,"W15273164",$E$1,1,100000000)-[1]!s_stm07_bs(A189,"W17642530",$E$1,1,100000000)-[1]!s_stm07_bs(A189,"W15910877",$E$1,1,100000000)-[1]!s_stm07_bs_39(A189,$E$1,1,100000000)-[1]!s_stm07_bs(A189,"W17700468",$E$1,1,100000000)-[1]!s_stm07_bs(A189,"W16504296",$E$1,1,100000000)-[1]!s_stm07_bs(A189,"W13769069",$E$1,1,100000000)</f>
        <v>0</v>
      </c>
      <c r="BW189" s="52">
        <f xml:space="preserve"> [1]!s_stm07_bs(A189,"W15273164",$F$1,1,100000000)-[1]!s_stm07_bs(A189,"W17642530",$F$1,1,100000000)-[1]!s_stm07_bs(A189,"W15910877",$F$1,1,100000000)-[1]!s_stm07_bs_39(A189,$F$1,1,100000000)-[1]!s_stm07_bs(A189,"W17700468",$F$1,1,100000000)-[1]!s_stm07_bs(A189,"W16504296",$F$1,1,100000000)-[1]!s_stm07_bs(A189,"W13769069",$F$1,1,100000000)</f>
        <v>1887.4044018334998</v>
      </c>
      <c r="BX189" s="52">
        <f xml:space="preserve"> [1]!s_stm07_bs(A189,"W15273164",$G$1,1,100000000)-[1]!s_stm07_bs(A189,"W17642530",$G$1,1,100000000)-[1]!s_stm07_bs(A189,"W15910877",$G$1,1,100000000)-[1]!s_stm07_bs_39(A189,$G$1,1,100000000)-[1]!s_stm07_bs(A189,"W17700468",$G$1,1,100000000)-[1]!s_stm07_bs(A189,"W16504296",$G$1,1,100000000)-[1]!s_stm07_bs(A189,"W13769069",$G$1,1,100000000)</f>
        <v>1847.05</v>
      </c>
      <c r="BY189" s="52">
        <f>IFERROR([1]!b_stm07_is(A189,20,$A$1,1,100000000)/AVERAGEIF(CA189:CE189,"&gt;0")*100,0)</f>
        <v>2.571736154415972</v>
      </c>
      <c r="BZ189" s="52">
        <f>[1]!b_stm07_is(A189,20,$A$1,1,100000000)</f>
        <v>46.454815510900005</v>
      </c>
      <c r="CA189" s="52">
        <f>[1]!s_stmnote_bank_38(A189,$A$1,1,100000000)</f>
        <v>1915.3990021534</v>
      </c>
      <c r="CB189" s="52">
        <f>[1]!s_stmnote_bank_38(A189,$B$1,1,100000000)</f>
        <v>1702.2805931301</v>
      </c>
      <c r="CC189" s="52">
        <f>[1]!s_stmnote_bank_38(A189,$E$1,1,100000000)</f>
        <v>0</v>
      </c>
      <c r="CD189" s="52">
        <f>[1]!s_stmnote_bank_38(A189,$F$1,1,100000000)</f>
        <v>1801.4006744165999</v>
      </c>
      <c r="CE189" s="52">
        <f>[1]!s_stmnote_bank_38(A189,$G$1,1,100000000)</f>
        <v>0</v>
      </c>
      <c r="CF189" s="52">
        <f>IF(BP189&lt;&gt;0,BP189,IFERROR(IF(([1]!b_stm07_is(A189,19,$A$1,1,100000000)-[1]!b_stm07_is(A189,20,$A$1,1,100000000))/AVERAGE([1]!s_stmnote_bank_35(A189,$A$1,1,100000000),[1]!s_stmnote_bank_35(A189,$B$1,1,100000000))*100=0,"",([1]!b_stm07_is(A189,19,$A$1,1,100000000)-[1]!b_stm07_is(A189,20,$A$1,1,100000000))/AVERAGE([1]!s_stmnote_bank_35(A189,$A$1,1,100000000),[1]!s_stmnote_bank_35(A189,$B$1,1,100000000))*100),""))</f>
        <v>1.1734689415179225</v>
      </c>
      <c r="CG189" s="27" t="str">
        <f t="shared" si="46"/>
        <v>165 171</v>
      </c>
      <c r="CH189" s="80">
        <f t="shared" si="53"/>
        <v>0.1818450798116652</v>
      </c>
      <c r="CI189" s="27" t="str">
        <f t="shared" si="47"/>
        <v>161 169</v>
      </c>
      <c r="CJ189" s="55">
        <f>[1]!s_stmnote_bank_30(A189,$A$1,1)</f>
        <v>43.726999999999997</v>
      </c>
      <c r="CP189" s="69">
        <f>[1]!b_stm07_bs($A189,141,$A$1,1,100000000)</f>
        <v>127.35806727969999</v>
      </c>
      <c r="CQ189" s="69">
        <f>[1]!b_stm07_bs($A189,141,$D$1,1,100000000)</f>
        <v>140.09811994239999</v>
      </c>
      <c r="CR189" s="68">
        <f>IF([1]!s_fa_roic_yearly($A189,$A$1)=0,"",[1]!s_fa_roic_yearly($A189,$A$1))</f>
        <v>9.0770999999999997</v>
      </c>
      <c r="CS189" s="27">
        <f t="shared" si="48"/>
        <v>0.47337278106508873</v>
      </c>
      <c r="CT189" s="68">
        <f>IF([1]!s_fa_roic_yearly($A189,$D$1)=0,"",[1]!s_fa_roic_yearly($A189,$D$1))</f>
        <v>14.075799999999999</v>
      </c>
      <c r="CU189" s="27">
        <f t="shared" si="49"/>
        <v>0.14084507042253522</v>
      </c>
      <c r="CV189" s="78">
        <f>[1]!s_stm07_bs(A189,"W14578191",$A$1,1,100000000)</f>
        <v>956.36170958939999</v>
      </c>
      <c r="CW189" s="78">
        <f>[1]!s_stmnote_bank_682($A189,$A$1,1,2,100000000)</f>
        <v>82.162669829899997</v>
      </c>
      <c r="CX189" s="79">
        <f t="shared" si="50"/>
        <v>8.5911709979663811E-2</v>
      </c>
    </row>
    <row r="190" spans="1:102" s="46" customFormat="1" ht="13.5">
      <c r="A190" s="8" t="s">
        <v>198</v>
      </c>
      <c r="B190" s="8" t="s">
        <v>199</v>
      </c>
      <c r="C190" s="9" t="s">
        <v>200</v>
      </c>
      <c r="D190" s="9" t="s">
        <v>1061</v>
      </c>
      <c r="E190" s="10"/>
      <c r="F190" s="11" t="s">
        <v>90</v>
      </c>
      <c r="G190" s="11" t="s">
        <v>67</v>
      </c>
      <c r="H190" s="11" t="s">
        <v>103</v>
      </c>
      <c r="I190" s="11"/>
      <c r="J190" s="11" t="e">
        <f>VLOOKUP(B190,[3]额度信息!$B:$T,19,0)</f>
        <v>#N/A</v>
      </c>
      <c r="K190" s="11"/>
      <c r="L190" s="27">
        <f>IFERROR(([1]!b_stm07_bs($A190,47,$A$1,1,100000000))/[1]!b_stm07_bs($A190,109,$A$1,1,100000000),"")</f>
        <v>0.10126649565830445</v>
      </c>
      <c r="M190" s="20"/>
      <c r="N190" s="18"/>
      <c r="O190" s="27" t="e">
        <f t="shared" si="39"/>
        <v>#N/A</v>
      </c>
      <c r="P190" s="21">
        <f t="shared" si="51"/>
        <v>4.3158539655992478E-2</v>
      </c>
      <c r="Q190" s="27" t="str">
        <f t="shared" si="40"/>
        <v>123 169</v>
      </c>
      <c r="R190" s="18">
        <f>IFERROR([1]!s_stmnote_bank($A190,"34",$A$1,100000000)/[1]!s_stmnote_bank_1n(A190,$A$1,1,100000000),"")</f>
        <v>2.8258539655992475E-2</v>
      </c>
      <c r="S190" s="22"/>
      <c r="T190" s="22"/>
      <c r="U190" s="22"/>
      <c r="V190" s="22"/>
      <c r="W190" s="22"/>
      <c r="X190" s="22"/>
      <c r="Y190" s="22"/>
      <c r="Z190" s="25">
        <f>[1]!b_stm07_bs(A190,74,$A$1,1,100000000)</f>
        <v>1512.060258662</v>
      </c>
      <c r="AA190" s="25">
        <f>[1]!b_stm07_bs(A190,109,$A$1,1,100000000)</f>
        <v>1193.7292845314998</v>
      </c>
      <c r="AB190" s="10">
        <f>[1]!s_stmnote_bank_5n(A190,$A$1,1)</f>
        <v>1.49</v>
      </c>
      <c r="AC190" s="25">
        <f>IF([1]!s_stmnote_bank_23n(A190,$A$1,1)=0,"",IFERROR([1]!s_stmnote_bank_23n(A190,$A$1,1),""))</f>
        <v>136.88</v>
      </c>
      <c r="AD190" s="27" t="str">
        <f t="shared" si="41"/>
        <v>10 167</v>
      </c>
      <c r="AE190" s="25">
        <f>[1]!s_stmnote_bank_capadequacyratio(A190,$A$1,1)</f>
        <v>12.23</v>
      </c>
      <c r="AF190" s="25">
        <f>IF([1]!s_stmnote_bank_capadequacyratio_ct1(A190,$A$1,1)=0,"",IFERROR([1]!s_stmnote_bank_capadequacyratio_ct1(A190,$A$1,1),""))</f>
        <v>7.96</v>
      </c>
      <c r="AG190" s="27" t="str">
        <f t="shared" si="42"/>
        <v>8 167</v>
      </c>
      <c r="AH190" s="6">
        <f>IF(OR([1]!s_fa_roe(A190,20201231)=0,[1]!s_fa_roe(A190,20211231)="0",[1]!s_fa_roe(A190,20221231)="0"),"",IFERROR(([1]!s_fa_roe(A190,20221231)+[1]!s_fa_roe(A190,20201231)+[1]!s_fa_roe(A190,20211231))/3,""))</f>
        <v>4.4149333333333338</v>
      </c>
      <c r="AI190" s="27" t="str">
        <f t="shared" si="43"/>
        <v>28 173</v>
      </c>
      <c r="AJ190" s="28">
        <f>IFERROR(([1]!s_stmnote_bank_65(A190,$A$1,1,2,4,100000000)+[1]!s_stmnote_bank_65(A190,$A$1,1,2,6,100000000))/[1]!s_stmnote_bank_1n(A190,$A$1,1,100000000),"")</f>
        <v>0.15145997043949141</v>
      </c>
      <c r="AK190" s="28">
        <f>IFERROR([1]!s_stmnote_bank_614(A190,$A$1,1,2,100000000)/[1]!s_stmnote_bank_647(A190,$A$1,1,2,100000000),"")</f>
        <v>0.32043028585532407</v>
      </c>
      <c r="AL190" s="28">
        <f>IFERROR(([1]!b_stm07_bs(A190,104,$A$1,1,100000000)+[1]!b_stm07_bs(A190,106,$A$1,1,100000000)+[1]!b_stm07_bs(A190,76,$A$1,1,100000000)+[1]!b_stm07_bs(A190,108,$A$1,1,100000000)+[1]!b_stm07_bs(A190,95,$A$1,1,100000000))/[1]!b_stm07_bs(A190,128,$A$1,1,100000000),"")</f>
        <v>0.11975002389405061</v>
      </c>
      <c r="AM190" s="28">
        <f>IFERROR(([1]!s_stmnote_bank_614(A190,$A$1,1,2,100000000)+[1]!b_stm07_bs(A190,104,$A$1,1,100000000)+[1]!b_stm07_bs(A190,106,$A$1,1,100000000)+[1]!b_stm07_bs(A190,76,$A$1,1,100000000)+[1]!b_stm07_bs(A190,108,$A$1,1,100000000)+[1]!b_stm07_bs(A190,95,$A$1,1,100000000))/[1]!b_stm07_bs(A190,128,$A$1,1,100000000),"")</f>
        <v>0.39269963236197492</v>
      </c>
      <c r="AN190" s="31" t="e">
        <f>IF(Z190&gt;#REF!,#REF!,IF(Z190&gt;#REF!,#REF!,IF(Z190&gt;#REF!,#REF!,IF(Z190&gt;#REF!,#REF!,IF(Z190&gt;#REF!,#REF!,IF(Z190&gt;#REF!,#REF!,IF(Z190&gt;#REF!,#REF!,#REF!)))))))</f>
        <v>#REF!</v>
      </c>
      <c r="AO190" s="31" t="e">
        <f>IF(AA190&gt;#REF!,#REF!,IF(AA190&gt;#REF!,#REF!,IF(AA190&gt;#REF!,#REF!,IF(AA190&gt;#REF!,#REF!,IF(AA190&gt;#REF!,#REF!,IF(AA190&gt;#REF!,#REF!,IF(AA190&gt;#REF!,#REF!,#REF!)))))))</f>
        <v>#REF!</v>
      </c>
      <c r="AP190" s="31" t="e">
        <f>IF(AB190&lt;#REF!,#REF!,IF(AB190&lt;#REF!,#REF!,IF(AB190&lt;#REF!,#REF!,IF(AB190&lt;#REF!,#REF!,IF(AB190&lt;#REF!,#REF!,IF(AB190&lt;#REF!,#REF!,#REF!))))))</f>
        <v>#REF!</v>
      </c>
      <c r="AQ190" s="31" t="e">
        <f>IF(AC190&gt;#REF!,#REF!,IF(AC190&gt;#REF!,#REF!,IF(AC190&gt;#REF!,#REF!,IF(AC190&gt;#REF!,#REF!,#REF!))))</f>
        <v>#REF!</v>
      </c>
      <c r="AR190" s="31" t="e">
        <f>IF(AE190&gt;#REF!,#REF!,IF(AE190&gt;#REF!,#REF!,IF(AE190&gt;#REF!,#REF!,IF(AE190&gt;#REF!,#REF!,#REF!))))</f>
        <v>#REF!</v>
      </c>
      <c r="AS190" s="31" t="e">
        <f>IF(AF190&gt;#REF!,#REF!,IF(AF190&gt;#REF!,#REF!,IF(AF190&gt;#REF!,#REF!,IF(AF190&gt;#REF!,#REF!,#REF!))))</f>
        <v>#REF!</v>
      </c>
      <c r="AT190" s="31" t="e">
        <f>IF(AH190&gt;#REF!,#REF!,IF(AH190&gt;#REF!,#REF!,IF(AH190&gt;#REF!,#REF!,IF(AH190&gt;#REF!,#REF!,IF(AH190&gt;#REF!,#REF!,#REF!)))))</f>
        <v>#REF!</v>
      </c>
      <c r="AU190" s="10" t="e">
        <f t="shared" si="44"/>
        <v>#REF!</v>
      </c>
      <c r="AV190" s="10"/>
      <c r="AW190" s="10"/>
      <c r="AX190" s="10"/>
      <c r="AY190" s="31" t="str">
        <f>IFERROR(VLOOKUP(AV190,#REF!,3,0),"")</f>
        <v/>
      </c>
      <c r="AZ190" s="31" t="str">
        <f>IFERROR(VLOOKUP(AW190,#REF!,3,0),"")</f>
        <v/>
      </c>
      <c r="BA190" s="31" t="str">
        <f>IFERROR(VLOOKUP(AX190,#REF!,3,0),"")</f>
        <v/>
      </c>
      <c r="BB190" s="31" t="str">
        <f>IFERROR(AY190*#REF!+AZ190*#REF!+BA190*#REF!,"")</f>
        <v/>
      </c>
      <c r="BC190" s="32" t="str">
        <f>IFERROR(AU190*0.6+BB190*0.4,"")</f>
        <v/>
      </c>
      <c r="BD190" s="32" t="str">
        <f>IFERROR(VLOOKUP(BC190*10,#REF!,2,1),"")</f>
        <v/>
      </c>
      <c r="BE190" s="10"/>
      <c r="BF190" s="10"/>
      <c r="BG190" s="10"/>
      <c r="BH190" s="11" t="s">
        <v>201</v>
      </c>
      <c r="BI190" s="10">
        <v>15.4272003173828</v>
      </c>
      <c r="BJ190" s="11" t="s">
        <v>105</v>
      </c>
      <c r="BK190" s="33" t="s">
        <v>202</v>
      </c>
      <c r="BL190" s="10">
        <f>IF([1]!s_stmnote_bank_17n(A190,$A$1,1)="0","",[1]!s_stmnote_bank_17n(A190,$A$1,1))</f>
        <v>7.52</v>
      </c>
      <c r="BM190" s="10">
        <f>IF([1]!s_stmnote_bank_18n(A190,$A$1,1)="0","",[1]!s_stmnote_bank_18n(A190,$A$1,1))</f>
        <v>0</v>
      </c>
      <c r="BN190" s="41" t="s">
        <v>67</v>
      </c>
      <c r="BO190" s="42" t="s">
        <v>67</v>
      </c>
      <c r="BP190" s="52">
        <f>[1]!s_stmnote_bank_5444(A190,$A$1,1)</f>
        <v>1.95</v>
      </c>
      <c r="BQ190" s="52">
        <f>[1]!s_stmnote_bank_129n($A190,$A$1,1)</f>
        <v>34.729999999999997</v>
      </c>
      <c r="BR190" s="52">
        <f t="shared" si="52"/>
        <v>4.969138053001422</v>
      </c>
      <c r="BS190" s="52">
        <f>[1]!b_stm07_is(A190,19,$A$1,1,100000000)</f>
        <v>64.033281849600002</v>
      </c>
      <c r="BT190" s="52">
        <f xml:space="preserve"> [1]!s_stm07_bs(A190,"W15273164",$A$1,1,100000000)-[1]!s_stm07_bs(A190,"W17642530",$A$1,1,100000000)-[1]!s_stm07_bs(A190,"W15910877",$A$1,1,100000000)-[1]!s_stm07_bs_39(A190,$A$1,1,100000000)-[1]!s_stm07_bs(A190,"W17700468",$A$1,1,100000000)-[1]!s_stm07_bs(A190,"W16504296",$A$1,1,100000000)-[1]!s_stm07_bs(A190,"W13769069",$A$1,1,100000000)</f>
        <v>1472.2633513440001</v>
      </c>
      <c r="BU190" s="52">
        <f xml:space="preserve"> [1]!s_stm07_bs(A190,"W15273164",$B$1,1,100000000)-[1]!s_stm07_bs(A190,"W17642530",$B$1,1,100000000)-[1]!s_stm07_bs(A190,"W15910877",$B$1,1,100000000)-[1]!s_stm07_bs_39(A190,$B$1,1,100000000)-[1]!s_stm07_bs(A190,"W17700468",$B$1,1,100000000)-[1]!s_stm07_bs(A190,"W16504296",$B$1,1,100000000)-[1]!s_stm07_bs(A190,"W13769069",$B$1,1,100000000)</f>
        <v>1236.4424811269</v>
      </c>
      <c r="BV190" s="52">
        <f xml:space="preserve"> [1]!s_stm07_bs(A190,"W15273164",$E$1,1,100000000)-[1]!s_stm07_bs(A190,"W17642530",$E$1,1,100000000)-[1]!s_stm07_bs(A190,"W15910877",$E$1,1,100000000)-[1]!s_stm07_bs_39(A190,$E$1,1,100000000)-[1]!s_stm07_bs(A190,"W17700468",$E$1,1,100000000)-[1]!s_stm07_bs(A190,"W16504296",$E$1,1,100000000)-[1]!s_stm07_bs(A190,"W13769069",$E$1,1,100000000)</f>
        <v>1433.4250138643999</v>
      </c>
      <c r="BW190" s="52">
        <f xml:space="preserve"> [1]!s_stm07_bs(A190,"W15273164",$F$1,1,100000000)-[1]!s_stm07_bs(A190,"W17642530",$F$1,1,100000000)-[1]!s_stm07_bs(A190,"W15910877",$F$1,1,100000000)-[1]!s_stm07_bs_39(A190,$F$1,1,100000000)-[1]!s_stm07_bs(A190,"W17700468",$F$1,1,100000000)-[1]!s_stm07_bs(A190,"W16504296",$F$1,1,100000000)-[1]!s_stm07_bs(A190,"W13769069",$F$1,1,100000000)</f>
        <v>1394.6814646104999</v>
      </c>
      <c r="BX190" s="52">
        <f xml:space="preserve"> [1]!s_stm07_bs(A190,"W15273164",$G$1,1,100000000)-[1]!s_stm07_bs(A190,"W17642530",$G$1,1,100000000)-[1]!s_stm07_bs(A190,"W15910877",$G$1,1,100000000)-[1]!s_stm07_bs_39(A190,$G$1,1,100000000)-[1]!s_stm07_bs(A190,"W17700468",$G$1,1,100000000)-[1]!s_stm07_bs(A190,"W16504296",$G$1,1,100000000)-[1]!s_stm07_bs(A190,"W13769069",$G$1,1,100000000)</f>
        <v>1294.8805849244002</v>
      </c>
      <c r="BY190" s="52">
        <f>IFERROR([1]!b_stm07_is(A190,20,$A$1,1,100000000)/AVERAGEIF(CA190:CE190,"&gt;0")*100,0)</f>
        <v>2.9534496846920173</v>
      </c>
      <c r="BZ190" s="52">
        <f>[1]!b_stm07_is(A190,20,$A$1,1,100000000)</f>
        <v>37.6695226768</v>
      </c>
      <c r="CA190" s="52">
        <f>[1]!s_stmnote_bank_38(A190,$A$1,1,100000000)</f>
        <v>1387.26534356</v>
      </c>
      <c r="CB190" s="52">
        <f>[1]!s_stmnote_bank_38(A190,$B$1,1,100000000)</f>
        <v>1121.4476719265999</v>
      </c>
      <c r="CC190" s="52">
        <f>[1]!s_stmnote_bank_38(A190,$E$1,1,100000000)</f>
        <v>1346.1588396872999</v>
      </c>
      <c r="CD190" s="52">
        <f>[1]!s_stmnote_bank_38(A190,$F$1,1,100000000)</f>
        <v>1311.2410353123</v>
      </c>
      <c r="CE190" s="52">
        <f>[1]!s_stmnote_bank_38(A190,$G$1,1,100000000)</f>
        <v>1211.0945615392</v>
      </c>
      <c r="CF190" s="52">
        <f>IF(BP190&lt;&gt;0,BP190,IFERROR(IF(([1]!b_stm07_is(A190,19,$A$1,1,100000000)-[1]!b_stm07_is(A190,20,$A$1,1,100000000))/AVERAGE([1]!s_stmnote_bank_35(A190,$A$1,1,100000000),[1]!s_stmnote_bank_35(A190,$B$1,1,100000000))*100=0,"",([1]!b_stm07_is(A190,19,$A$1,1,100000000)-[1]!b_stm07_is(A190,20,$A$1,1,100000000))/AVERAGE([1]!s_stmnote_bank_35(A190,$A$1,1,100000000),[1]!s_stmnote_bank_35(A190,$B$1,1,100000000))*100),""))</f>
        <v>1.95</v>
      </c>
      <c r="CG190" s="27" t="str">
        <f t="shared" si="46"/>
        <v>101 171</v>
      </c>
      <c r="CH190" s="80">
        <f t="shared" si="53"/>
        <v>0.45182251659649153</v>
      </c>
      <c r="CI190" s="27" t="str">
        <f t="shared" si="47"/>
        <v>124 169</v>
      </c>
      <c r="CJ190" s="55">
        <f>[1]!s_stmnote_bank_30(A190,$A$1,1)</f>
        <v>7.8651999999999997</v>
      </c>
      <c r="CP190" s="69">
        <f>[1]!b_stm07_bs($A190,141,$A$1,1,100000000)</f>
        <v>110.6769849386</v>
      </c>
      <c r="CQ190" s="69">
        <f>[1]!b_stm07_bs($A190,141,$D$1,1,100000000)</f>
        <v>115.4072142389</v>
      </c>
      <c r="CR190" s="68">
        <f>IF([1]!s_fa_roic_yearly($A190,$A$1)=0,"",[1]!s_fa_roic_yearly($A190,$A$1))</f>
        <v>4.3036000000000003</v>
      </c>
      <c r="CS190" s="27">
        <f t="shared" si="48"/>
        <v>0.87573964497041423</v>
      </c>
      <c r="CT190" s="68">
        <f>IF([1]!s_fa_roic_yearly($A190,$D$1)=0,"",[1]!s_fa_roic_yearly($A190,$D$1))</f>
        <v>6.3468</v>
      </c>
      <c r="CU190" s="27">
        <f t="shared" si="49"/>
        <v>0.81690140845070425</v>
      </c>
      <c r="CV190" s="78">
        <f>[1]!s_stm07_bs(A190,"W14578191",$A$1,1,100000000)</f>
        <v>812.69073226369994</v>
      </c>
      <c r="CW190" s="78">
        <f>[1]!s_stmnote_bank_682($A190,$A$1,1,2,100000000)</f>
        <v>120.0775120024</v>
      </c>
      <c r="CX190" s="79">
        <f t="shared" si="50"/>
        <v>0.14775302244179836</v>
      </c>
    </row>
    <row r="191" spans="1:102" s="46" customFormat="1" ht="13.5">
      <c r="A191" s="8"/>
      <c r="B191" s="13" t="s">
        <v>1054</v>
      </c>
      <c r="C191" s="9" t="s">
        <v>1068</v>
      </c>
      <c r="D191" s="9" t="s">
        <v>1061</v>
      </c>
      <c r="E191" s="10"/>
      <c r="F191" s="11"/>
      <c r="G191" s="11" t="s">
        <v>67</v>
      </c>
      <c r="H191" s="11" t="s">
        <v>83</v>
      </c>
      <c r="I191" s="11"/>
      <c r="J191" s="11" t="e">
        <f>VLOOKUP(B191,[3]额度信息!$B:$T,19,0)</f>
        <v>#N/A</v>
      </c>
      <c r="K191" s="11">
        <v>0</v>
      </c>
      <c r="L191" s="27" t="str">
        <f>IFERROR(([1]!b_stm07_bs($A191,47,$A$1,1,100000000))/[1]!b_stm07_bs($A191,109,$A$1,1,100000000),"")</f>
        <v/>
      </c>
      <c r="M191" s="20"/>
      <c r="N191" s="18"/>
      <c r="O191" s="27" t="e">
        <f t="shared" si="39"/>
        <v>#N/A</v>
      </c>
      <c r="P191" s="21" t="str">
        <f t="shared" si="51"/>
        <v/>
      </c>
      <c r="Q191" s="27" t="e">
        <f t="shared" si="40"/>
        <v>#VALUE!</v>
      </c>
      <c r="R191" s="18" t="str">
        <f>IFERROR([1]!s_stmnote_bank($A191,"34",$A$1,100000000)/[1]!s_stmnote_bank_1n(A191,$A$1,1,100000000),"")</f>
        <v/>
      </c>
      <c r="S191" s="22"/>
      <c r="T191" s="22"/>
      <c r="U191" s="22"/>
      <c r="V191" s="22"/>
      <c r="W191" s="22"/>
      <c r="X191" s="22"/>
      <c r="Y191" s="22"/>
      <c r="Z191" s="11"/>
      <c r="AA191" s="11"/>
      <c r="AB191" s="11"/>
      <c r="AC191" s="11"/>
      <c r="AD191" s="27" t="e">
        <f t="shared" si="41"/>
        <v>#N/A</v>
      </c>
      <c r="AE191" s="11"/>
      <c r="AF191" s="11"/>
      <c r="AG191" s="27" t="e">
        <f t="shared" si="42"/>
        <v>#N/A</v>
      </c>
      <c r="AH191" s="6" t="str">
        <f>IF(OR([1]!s_fa_roe(A191,20201231)=0,[1]!s_fa_roe(A191,20211231)="0",[1]!s_fa_roe(A191,20221231)="0"),"",IFERROR(([1]!s_fa_roe(A191,20221231)+[1]!s_fa_roe(A191,20201231)+[1]!s_fa_roe(A191,20211231))/3,""))</f>
        <v/>
      </c>
      <c r="AI191" s="27" t="e">
        <f t="shared" si="43"/>
        <v>#VALUE!</v>
      </c>
      <c r="AJ191" s="28" t="str">
        <f>IFERROR(([1]!s_stmnote_bank_65(A191,$A$1,1,2,4,100000000)+[1]!s_stmnote_bank_65(A191,$A$1,1,2,6,100000000))/[1]!s_stmnote_bank_1n(A191,$A$1,1,100000000),"")</f>
        <v/>
      </c>
      <c r="AK191" s="28" t="str">
        <f>IFERROR([1]!s_stmnote_bank_614(A191,$A$1,1,2,100000000)/[1]!s_stmnote_bank_647(A191,$A$1,1,2,100000000),"")</f>
        <v/>
      </c>
      <c r="AL191" s="28" t="str">
        <f>IFERROR(([1]!b_stm07_bs(A191,104,$A$1,1,100000000)+[1]!b_stm07_bs(A191,106,$A$1,1,100000000)+[1]!b_stm07_bs(A191,76,$A$1,1,100000000)+[1]!b_stm07_bs(A191,108,$A$1,1,100000000)+[1]!b_stm07_bs(A191,95,$A$1,1,100000000))/[1]!b_stm07_bs(A191,128,$A$1,1,100000000),"")</f>
        <v/>
      </c>
      <c r="AM191" s="28" t="str">
        <f>IFERROR(([1]!s_stmnote_bank_614(A191,$A$1,1,2,100000000)+[1]!b_stm07_bs(A191,104,$A$1,1,100000000)+[1]!b_stm07_bs(A191,106,$A$1,1,100000000)+[1]!b_stm07_bs(A191,76,$A$1,1,100000000)+[1]!b_stm07_bs(A191,108,$A$1,1,100000000)+[1]!b_stm07_bs(A191,95,$A$1,1,100000000))/[1]!b_stm07_bs(A191,128,$A$1,1,100000000),"")</f>
        <v/>
      </c>
      <c r="AN191" s="31" t="e">
        <f>IF(Z191&gt;#REF!,#REF!,IF(Z191&gt;#REF!,#REF!,IF(Z191&gt;#REF!,#REF!,IF(Z191&gt;#REF!,#REF!,IF(Z191&gt;#REF!,#REF!,IF(Z191&gt;#REF!,#REF!,IF(Z191&gt;#REF!,#REF!,#REF!)))))))</f>
        <v>#REF!</v>
      </c>
      <c r="AO191" s="31" t="e">
        <f>IF(AA191&gt;#REF!,#REF!,IF(AA191&gt;#REF!,#REF!,IF(AA191&gt;#REF!,#REF!,IF(AA191&gt;#REF!,#REF!,IF(AA191&gt;#REF!,#REF!,IF(AA191&gt;#REF!,#REF!,IF(AA191&gt;#REF!,#REF!,#REF!)))))))</f>
        <v>#REF!</v>
      </c>
      <c r="AP191" s="31" t="e">
        <f>IF(AB191&lt;#REF!,#REF!,IF(AB191&lt;#REF!,#REF!,IF(AB191&lt;#REF!,#REF!,IF(AB191&lt;#REF!,#REF!,IF(AB191&lt;#REF!,#REF!,IF(AB191&lt;#REF!,#REF!,#REF!))))))</f>
        <v>#REF!</v>
      </c>
      <c r="AQ191" s="31" t="e">
        <f>IF(AC191&gt;#REF!,#REF!,IF(AC191&gt;#REF!,#REF!,IF(AC191&gt;#REF!,#REF!,IF(AC191&gt;#REF!,#REF!,#REF!))))</f>
        <v>#REF!</v>
      </c>
      <c r="AR191" s="31" t="e">
        <f>IF(AE191&gt;#REF!,#REF!,IF(AE191&gt;#REF!,#REF!,IF(AE191&gt;#REF!,#REF!,IF(AE191&gt;#REF!,#REF!,#REF!))))</f>
        <v>#REF!</v>
      </c>
      <c r="AS191" s="31" t="e">
        <f>IF(AF191&gt;#REF!,#REF!,IF(AF191&gt;#REF!,#REF!,IF(AF191&gt;#REF!,#REF!,IF(AF191&gt;#REF!,#REF!,#REF!))))</f>
        <v>#REF!</v>
      </c>
      <c r="AT191" s="31" t="e">
        <f>IF(AH191&gt;#REF!,#REF!,IF(AH191&gt;#REF!,#REF!,IF(AH191&gt;#REF!,#REF!,IF(AH191&gt;#REF!,#REF!,IF(AH191&gt;#REF!,#REF!,#REF!)))))</f>
        <v>#REF!</v>
      </c>
      <c r="AU191" s="10" t="e">
        <f t="shared" si="44"/>
        <v>#REF!</v>
      </c>
      <c r="AV191" s="10"/>
      <c r="AW191" s="10"/>
      <c r="AX191" s="10"/>
      <c r="AY191" s="31" t="str">
        <f>IFERROR(VLOOKUP(AV191,#REF!,3,0),"")</f>
        <v/>
      </c>
      <c r="AZ191" s="31" t="str">
        <f>IFERROR(VLOOKUP(AW191,#REF!,3,0),"")</f>
        <v/>
      </c>
      <c r="BA191" s="31" t="str">
        <f>IFERROR(VLOOKUP(AX191,#REF!,3,0),"")</f>
        <v/>
      </c>
      <c r="BB191" s="31" t="str">
        <f>IFERROR(AY191*#REF!+AZ191*#REF!+BA191*#REF!,"")</f>
        <v/>
      </c>
      <c r="BC191" s="32"/>
      <c r="BD191" s="32" t="str">
        <f>IFERROR(VLOOKUP(BC191*10,#REF!,2,1),"")</f>
        <v/>
      </c>
      <c r="BE191" s="11"/>
      <c r="BF191" s="11"/>
      <c r="BG191" s="11"/>
      <c r="BH191" s="11"/>
      <c r="BI191" s="11"/>
      <c r="BJ191" s="11"/>
      <c r="BK191" s="11"/>
      <c r="BL191" s="10">
        <f>IF([1]!s_stmnote_bank_17n(A191,$A$1,1)="0","",[1]!s_stmnote_bank_17n(A191,$A$1,1))</f>
        <v>0</v>
      </c>
      <c r="BM191" s="10">
        <f>IF([1]!s_stmnote_bank_18n(A191,$A$1,1)="0","",[1]!s_stmnote_bank_18n(A191,$A$1,1))</f>
        <v>0</v>
      </c>
      <c r="BN191" s="41" t="s">
        <v>67</v>
      </c>
      <c r="BO191" s="42" t="s">
        <v>67</v>
      </c>
      <c r="BP191" s="52">
        <f>[1]!s_stmnote_bank_5444(A191,$A$1,1)</f>
        <v>0</v>
      </c>
      <c r="BQ191" s="52">
        <f>[1]!s_stmnote_bank_129n($A191,$A$1,1)</f>
        <v>0</v>
      </c>
      <c r="BR191" s="52">
        <f t="shared" si="52"/>
        <v>0</v>
      </c>
      <c r="BS191" s="52">
        <f>[1]!b_stm07_is(A191,19,$A$1,1,100000000)</f>
        <v>0</v>
      </c>
      <c r="BT191" s="52">
        <f xml:space="preserve"> [1]!s_stm07_bs(A191,"W15273164",$A$1,1,100000000)-[1]!s_stm07_bs(A191,"W17642530",$A$1,1,100000000)-[1]!s_stm07_bs(A191,"W15910877",$A$1,1,100000000)-[1]!s_stm07_bs_39(A191,$A$1,1,100000000)-[1]!s_stm07_bs(A191,"W17700468",$A$1,1,100000000)-[1]!s_stm07_bs(A191,"W16504296",$A$1,1,100000000)-[1]!s_stm07_bs(A191,"W13769069",$A$1,1,100000000)</f>
        <v>0</v>
      </c>
      <c r="BU191" s="52">
        <f xml:space="preserve"> [1]!s_stm07_bs(A191,"W15273164",$B$1,1,100000000)-[1]!s_stm07_bs(A191,"W17642530",$B$1,1,100000000)-[1]!s_stm07_bs(A191,"W15910877",$B$1,1,100000000)-[1]!s_stm07_bs_39(A191,$B$1,1,100000000)-[1]!s_stm07_bs(A191,"W17700468",$B$1,1,100000000)-[1]!s_stm07_bs(A191,"W16504296",$B$1,1,100000000)-[1]!s_stm07_bs(A191,"W13769069",$B$1,1,100000000)</f>
        <v>0</v>
      </c>
      <c r="BV191" s="52">
        <f xml:space="preserve"> [1]!s_stm07_bs(A191,"W15273164",$E$1,1,100000000)-[1]!s_stm07_bs(A191,"W17642530",$E$1,1,100000000)-[1]!s_stm07_bs(A191,"W15910877",$E$1,1,100000000)-[1]!s_stm07_bs_39(A191,$E$1,1,100000000)-[1]!s_stm07_bs(A191,"W17700468",$E$1,1,100000000)-[1]!s_stm07_bs(A191,"W16504296",$E$1,1,100000000)-[1]!s_stm07_bs(A191,"W13769069",$E$1,1,100000000)</f>
        <v>0</v>
      </c>
      <c r="BW191" s="52">
        <f xml:space="preserve"> [1]!s_stm07_bs(A191,"W15273164",$F$1,1,100000000)-[1]!s_stm07_bs(A191,"W17642530",$F$1,1,100000000)-[1]!s_stm07_bs(A191,"W15910877",$F$1,1,100000000)-[1]!s_stm07_bs_39(A191,$F$1,1,100000000)-[1]!s_stm07_bs(A191,"W17700468",$F$1,1,100000000)-[1]!s_stm07_bs(A191,"W16504296",$F$1,1,100000000)-[1]!s_stm07_bs(A191,"W13769069",$F$1,1,100000000)</f>
        <v>0</v>
      </c>
      <c r="BX191" s="52">
        <f xml:space="preserve"> [1]!s_stm07_bs(A191,"W15273164",$G$1,1,100000000)-[1]!s_stm07_bs(A191,"W17642530",$G$1,1,100000000)-[1]!s_stm07_bs(A191,"W15910877",$G$1,1,100000000)-[1]!s_stm07_bs_39(A191,$G$1,1,100000000)-[1]!s_stm07_bs(A191,"W17700468",$G$1,1,100000000)-[1]!s_stm07_bs(A191,"W16504296",$G$1,1,100000000)-[1]!s_stm07_bs(A191,"W13769069",$G$1,1,100000000)</f>
        <v>0</v>
      </c>
      <c r="BY191" s="52">
        <f>IFERROR([1]!b_stm07_is(A191,20,$A$1,1,100000000)/AVERAGEIF(CA191:CE191,"&gt;0")*100,0)</f>
        <v>0</v>
      </c>
      <c r="BZ191" s="52">
        <f>[1]!b_stm07_is(A191,20,$A$1,1,100000000)</f>
        <v>0</v>
      </c>
      <c r="CA191" s="52">
        <f>[1]!s_stmnote_bank_38(A191,$A$1,1,100000000)</f>
        <v>0</v>
      </c>
      <c r="CB191" s="52">
        <f>[1]!s_stmnote_bank_38(A191,$B$1,1,100000000)</f>
        <v>0</v>
      </c>
      <c r="CC191" s="52">
        <f>[1]!s_stmnote_bank_38(A191,$E$1,1,100000000)</f>
        <v>0</v>
      </c>
      <c r="CD191" s="52">
        <f>[1]!s_stmnote_bank_38(A191,$F$1,1,100000000)</f>
        <v>0</v>
      </c>
      <c r="CE191" s="52">
        <f>[1]!s_stmnote_bank_38(A191,$G$1,1,100000000)</f>
        <v>0</v>
      </c>
      <c r="CF191" s="52" t="str">
        <f>IF(BP191&lt;&gt;0,BP191,IFERROR(IF(([1]!b_stm07_is(A191,19,$A$1,1,100000000)-[1]!b_stm07_is(A191,20,$A$1,1,100000000))/AVERAGE([1]!s_stmnote_bank_35(A191,$A$1,1,100000000),[1]!s_stmnote_bank_35(A191,$B$1,1,100000000))*100=0,"",([1]!b_stm07_is(A191,19,$A$1,1,100000000)-[1]!b_stm07_is(A191,20,$A$1,1,100000000))/AVERAGE([1]!s_stmnote_bank_35(A191,$A$1,1,100000000),[1]!s_stmnote_bank_35(A191,$B$1,1,100000000))*100),""))</f>
        <v/>
      </c>
      <c r="CG191" s="27" t="e">
        <f t="shared" si="46"/>
        <v>#VALUE!</v>
      </c>
      <c r="CH191" s="80" t="str">
        <f t="shared" si="53"/>
        <v/>
      </c>
      <c r="CI191" s="27" t="e">
        <f t="shared" si="47"/>
        <v>#VALUE!</v>
      </c>
      <c r="CJ191" s="55">
        <f>[1]!s_stmnote_bank_30(A191,$A$1,1)</f>
        <v>0</v>
      </c>
      <c r="CP191" s="69">
        <f>[1]!b_stm07_bs($A191,141,$A$1,1,100000000)</f>
        <v>0</v>
      </c>
      <c r="CQ191" s="69">
        <f>[1]!b_stm07_bs($A191,141,$D$1,1,100000000)</f>
        <v>0</v>
      </c>
      <c r="CR191" s="68" t="str">
        <f>IF([1]!s_fa_roic_yearly($A191,$A$1)=0,"",[1]!s_fa_roic_yearly($A191,$A$1))</f>
        <v/>
      </c>
      <c r="CS191" s="27" t="e">
        <f t="shared" si="48"/>
        <v>#VALUE!</v>
      </c>
      <c r="CT191" s="68" t="str">
        <f>IF([1]!s_fa_roic_yearly($A191,$D$1)=0,"",[1]!s_fa_roic_yearly($A191,$D$1))</f>
        <v/>
      </c>
      <c r="CU191" s="27" t="e">
        <f t="shared" si="49"/>
        <v>#VALUE!</v>
      </c>
      <c r="CV191" s="78">
        <f>[1]!s_stm07_bs(A191,"W14578191",$A$1,1,100000000)</f>
        <v>0</v>
      </c>
      <c r="CW191" s="78">
        <f>[1]!s_stmnote_bank_682($A191,$A$1,1,2,100000000)</f>
        <v>0</v>
      </c>
      <c r="CX191" s="79" t="str">
        <f t="shared" si="50"/>
        <v/>
      </c>
    </row>
    <row r="192" spans="1:102" s="46" customFormat="1" ht="13.5">
      <c r="A192" s="8"/>
      <c r="B192" s="13" t="s">
        <v>1055</v>
      </c>
      <c r="C192" s="15" t="s">
        <v>1069</v>
      </c>
      <c r="D192" s="9" t="s">
        <v>1066</v>
      </c>
      <c r="E192" s="13"/>
      <c r="F192" s="11"/>
      <c r="G192" s="11" t="s">
        <v>67</v>
      </c>
      <c r="H192" s="11" t="s">
        <v>116</v>
      </c>
      <c r="I192" s="13"/>
      <c r="J192" s="11" t="e">
        <f>VLOOKUP(B192,[3]额度信息!$B:$T,19,0)</f>
        <v>#N/A</v>
      </c>
      <c r="K192" s="13"/>
      <c r="L192" s="27" t="str">
        <f>IFERROR(([1]!b_stm07_bs($A192,47,$A$1,1,100000000))/[1]!b_stm07_bs($A192,109,$A$1,1,100000000),"")</f>
        <v/>
      </c>
      <c r="M192" s="20"/>
      <c r="N192" s="18"/>
      <c r="O192" s="27" t="e">
        <f t="shared" si="39"/>
        <v>#N/A</v>
      </c>
      <c r="P192" s="21" t="str">
        <f t="shared" si="51"/>
        <v/>
      </c>
      <c r="Q192" s="27" t="e">
        <f t="shared" si="40"/>
        <v>#VALUE!</v>
      </c>
      <c r="R192" s="18" t="str">
        <f>IFERROR([1]!s_stmnote_bank($A192,"34",$A$1,100000000)/[1]!s_stmnote_bank_1n(A192,$A$1,1,100000000),"")</f>
        <v/>
      </c>
      <c r="S192" s="22"/>
      <c r="T192" s="22"/>
      <c r="U192" s="22"/>
      <c r="V192" s="22"/>
      <c r="W192" s="22"/>
      <c r="X192" s="22"/>
      <c r="Y192" s="22"/>
      <c r="Z192" s="11"/>
      <c r="AA192" s="11"/>
      <c r="AB192" s="11"/>
      <c r="AC192" s="11"/>
      <c r="AD192" s="27" t="e">
        <f t="shared" si="41"/>
        <v>#N/A</v>
      </c>
      <c r="AE192" s="11"/>
      <c r="AF192" s="11"/>
      <c r="AG192" s="27" t="e">
        <f t="shared" si="42"/>
        <v>#N/A</v>
      </c>
      <c r="AH192" s="6" t="str">
        <f>IF(OR([1]!s_fa_roe(A192,20201231)=0,[1]!s_fa_roe(A192,20211231)="0",[1]!s_fa_roe(A192,20221231)="0"),"",IFERROR(([1]!s_fa_roe(A192,20221231)+[1]!s_fa_roe(A192,20201231)+[1]!s_fa_roe(A192,20211231))/3,""))</f>
        <v/>
      </c>
      <c r="AI192" s="27" t="e">
        <f t="shared" si="43"/>
        <v>#VALUE!</v>
      </c>
      <c r="AJ192" s="28" t="str">
        <f>IFERROR(([1]!s_stmnote_bank_65(A192,$A$1,1,2,4,100000000)+[1]!s_stmnote_bank_65(A192,$A$1,1,2,6,100000000))/[1]!s_stmnote_bank_1n(A192,$A$1,1,100000000),"")</f>
        <v/>
      </c>
      <c r="AK192" s="28" t="str">
        <f>IFERROR([1]!s_stmnote_bank_614(A192,$A$1,1,2,100000000)/[1]!s_stmnote_bank_647(A192,$A$1,1,2,100000000),"")</f>
        <v/>
      </c>
      <c r="AL192" s="28" t="str">
        <f>IFERROR(([1]!b_stm07_bs(A192,104,$A$1,1,100000000)+[1]!b_stm07_bs(A192,106,$A$1,1,100000000)+[1]!b_stm07_bs(A192,76,$A$1,1,100000000)+[1]!b_stm07_bs(A192,108,$A$1,1,100000000)+[1]!b_stm07_bs(A192,95,$A$1,1,100000000))/[1]!b_stm07_bs(A192,128,$A$1,1,100000000),"")</f>
        <v/>
      </c>
      <c r="AM192" s="28" t="str">
        <f>IFERROR(([1]!s_stmnote_bank_614(A192,$A$1,1,2,100000000)+[1]!b_stm07_bs(A192,104,$A$1,1,100000000)+[1]!b_stm07_bs(A192,106,$A$1,1,100000000)+[1]!b_stm07_bs(A192,76,$A$1,1,100000000)+[1]!b_stm07_bs(A192,108,$A$1,1,100000000)+[1]!b_stm07_bs(A192,95,$A$1,1,100000000))/[1]!b_stm07_bs(A192,128,$A$1,1,100000000),"")</f>
        <v/>
      </c>
      <c r="AN192" s="31"/>
      <c r="AO192" s="31"/>
      <c r="AP192" s="31"/>
      <c r="AQ192" s="31"/>
      <c r="AR192" s="31"/>
      <c r="AS192" s="31"/>
      <c r="AT192" s="31"/>
      <c r="AU192" s="10"/>
      <c r="AV192" s="10"/>
      <c r="AW192" s="10"/>
      <c r="AX192" s="10"/>
      <c r="AY192" s="31"/>
      <c r="AZ192" s="31"/>
      <c r="BA192" s="31"/>
      <c r="BB192" s="31"/>
      <c r="BC192" s="32"/>
      <c r="BD192" s="32" t="str">
        <f>IFERROR(VLOOKUP(BC192*10,#REF!,2,1),"")</f>
        <v/>
      </c>
      <c r="BE192" s="11"/>
      <c r="BF192" s="11"/>
      <c r="BG192" s="11"/>
      <c r="BH192" s="11"/>
      <c r="BI192" s="11"/>
      <c r="BJ192" s="11"/>
      <c r="BK192" s="11"/>
      <c r="BL192" s="10">
        <f>IF([1]!s_stmnote_bank_17n(A192,$A$1,1)="0","",[1]!s_stmnote_bank_17n(A192,$A$1,1))</f>
        <v>0</v>
      </c>
      <c r="BM192" s="10">
        <f>IF([1]!s_stmnote_bank_18n(A192,$A$1,1)="0","",[1]!s_stmnote_bank_18n(A192,$A$1,1))</f>
        <v>0</v>
      </c>
      <c r="BN192" s="41" t="s">
        <v>67</v>
      </c>
      <c r="BO192" s="42" t="s">
        <v>67</v>
      </c>
      <c r="BP192" s="52">
        <f>[1]!s_stmnote_bank_5444(A192,$A$1,1)</f>
        <v>0</v>
      </c>
      <c r="BQ192" s="52">
        <f>[1]!s_stmnote_bank_129n($A192,$A$1,1)</f>
        <v>0</v>
      </c>
      <c r="BR192" s="52">
        <f t="shared" si="52"/>
        <v>0</v>
      </c>
      <c r="BS192" s="52">
        <f>[1]!b_stm07_is(A192,19,$A$1,1,100000000)</f>
        <v>0</v>
      </c>
      <c r="BT192" s="52">
        <f xml:space="preserve"> [1]!s_stm07_bs(A192,"W15273164",$A$1,1,100000000)-[1]!s_stm07_bs(A192,"W17642530",$A$1,1,100000000)-[1]!s_stm07_bs(A192,"W15910877",$A$1,1,100000000)-[1]!s_stm07_bs_39(A192,$A$1,1,100000000)-[1]!s_stm07_bs(A192,"W17700468",$A$1,1,100000000)-[1]!s_stm07_bs(A192,"W16504296",$A$1,1,100000000)-[1]!s_stm07_bs(A192,"W13769069",$A$1,1,100000000)</f>
        <v>0</v>
      </c>
      <c r="BU192" s="52">
        <f xml:space="preserve"> [1]!s_stm07_bs(A192,"W15273164",$B$1,1,100000000)-[1]!s_stm07_bs(A192,"W17642530",$B$1,1,100000000)-[1]!s_stm07_bs(A192,"W15910877",$B$1,1,100000000)-[1]!s_stm07_bs_39(A192,$B$1,1,100000000)-[1]!s_stm07_bs(A192,"W17700468",$B$1,1,100000000)-[1]!s_stm07_bs(A192,"W16504296",$B$1,1,100000000)-[1]!s_stm07_bs(A192,"W13769069",$B$1,1,100000000)</f>
        <v>0</v>
      </c>
      <c r="BV192" s="52">
        <f xml:space="preserve"> [1]!s_stm07_bs(A192,"W15273164",$E$1,1,100000000)-[1]!s_stm07_bs(A192,"W17642530",$E$1,1,100000000)-[1]!s_stm07_bs(A192,"W15910877",$E$1,1,100000000)-[1]!s_stm07_bs_39(A192,$E$1,1,100000000)-[1]!s_stm07_bs(A192,"W17700468",$E$1,1,100000000)-[1]!s_stm07_bs(A192,"W16504296",$E$1,1,100000000)-[1]!s_stm07_bs(A192,"W13769069",$E$1,1,100000000)</f>
        <v>0</v>
      </c>
      <c r="BW192" s="52">
        <f xml:space="preserve"> [1]!s_stm07_bs(A192,"W15273164",$F$1,1,100000000)-[1]!s_stm07_bs(A192,"W17642530",$F$1,1,100000000)-[1]!s_stm07_bs(A192,"W15910877",$F$1,1,100000000)-[1]!s_stm07_bs_39(A192,$F$1,1,100000000)-[1]!s_stm07_bs(A192,"W17700468",$F$1,1,100000000)-[1]!s_stm07_bs(A192,"W16504296",$F$1,1,100000000)-[1]!s_stm07_bs(A192,"W13769069",$F$1,1,100000000)</f>
        <v>0</v>
      </c>
      <c r="BX192" s="52">
        <f xml:space="preserve"> [1]!s_stm07_bs(A192,"W15273164",$G$1,1,100000000)-[1]!s_stm07_bs(A192,"W17642530",$G$1,1,100000000)-[1]!s_stm07_bs(A192,"W15910877",$G$1,1,100000000)-[1]!s_stm07_bs_39(A192,$G$1,1,100000000)-[1]!s_stm07_bs(A192,"W17700468",$G$1,1,100000000)-[1]!s_stm07_bs(A192,"W16504296",$G$1,1,100000000)-[1]!s_stm07_bs(A192,"W13769069",$G$1,1,100000000)</f>
        <v>0</v>
      </c>
      <c r="BY192" s="52">
        <f>IFERROR([1]!b_stm07_is(A192,20,$A$1,1,100000000)/AVERAGEIF(CA192:CE192,"&gt;0")*100,0)</f>
        <v>0</v>
      </c>
      <c r="BZ192" s="52">
        <f>[1]!b_stm07_is(A192,20,$A$1,1,100000000)</f>
        <v>0</v>
      </c>
      <c r="CA192" s="52">
        <f>[1]!s_stmnote_bank_38(A192,$A$1,1,100000000)</f>
        <v>0</v>
      </c>
      <c r="CB192" s="52">
        <f>[1]!s_stmnote_bank_38(A192,$B$1,1,100000000)</f>
        <v>0</v>
      </c>
      <c r="CC192" s="52">
        <f>[1]!s_stmnote_bank_38(A192,$E$1,1,100000000)</f>
        <v>0</v>
      </c>
      <c r="CD192" s="52">
        <f>[1]!s_stmnote_bank_38(A192,$F$1,1,100000000)</f>
        <v>0</v>
      </c>
      <c r="CE192" s="52">
        <f>[1]!s_stmnote_bank_38(A192,$G$1,1,100000000)</f>
        <v>0</v>
      </c>
      <c r="CF192" s="52" t="str">
        <f>IF(BP192&lt;&gt;0,BP192,IFERROR(IF(([1]!b_stm07_is(A192,19,$A$1,1,100000000)-[1]!b_stm07_is(A192,20,$A$1,1,100000000))/AVERAGE([1]!s_stmnote_bank_35(A192,$A$1,1,100000000),[1]!s_stmnote_bank_35(A192,$B$1,1,100000000))*100=0,"",([1]!b_stm07_is(A192,19,$A$1,1,100000000)-[1]!b_stm07_is(A192,20,$A$1,1,100000000))/AVERAGE([1]!s_stmnote_bank_35(A192,$A$1,1,100000000),[1]!s_stmnote_bank_35(A192,$B$1,1,100000000))*100),""))</f>
        <v/>
      </c>
      <c r="CG192" s="27" t="e">
        <f t="shared" si="46"/>
        <v>#VALUE!</v>
      </c>
      <c r="CH192" s="80" t="str">
        <f t="shared" si="53"/>
        <v/>
      </c>
      <c r="CI192" s="27" t="e">
        <f t="shared" si="47"/>
        <v>#VALUE!</v>
      </c>
      <c r="CJ192" s="55">
        <f>[1]!s_stmnote_bank_30(A192,$A$1,1)</f>
        <v>0</v>
      </c>
      <c r="CP192" s="69">
        <f>[1]!b_stm07_bs($A192,141,$A$1,1,100000000)</f>
        <v>0</v>
      </c>
      <c r="CQ192" s="69">
        <f>[1]!b_stm07_bs($A192,141,$D$1,1,100000000)</f>
        <v>0</v>
      </c>
      <c r="CR192" s="68" t="str">
        <f>IF([1]!s_fa_roic_yearly($A192,$A$1)=0,"",[1]!s_fa_roic_yearly($A192,$A$1))</f>
        <v/>
      </c>
      <c r="CS192" s="27" t="e">
        <f t="shared" si="48"/>
        <v>#VALUE!</v>
      </c>
      <c r="CT192" s="68" t="str">
        <f>IF([1]!s_fa_roic_yearly($A192,$D$1)=0,"",[1]!s_fa_roic_yearly($A192,$D$1))</f>
        <v/>
      </c>
      <c r="CU192" s="27" t="e">
        <f t="shared" si="49"/>
        <v>#VALUE!</v>
      </c>
      <c r="CV192" s="78">
        <f>[1]!s_stm07_bs(A192,"W14578191",$A$1,1,100000000)</f>
        <v>0</v>
      </c>
      <c r="CW192" s="78">
        <f>[1]!s_stmnote_bank_682($A192,$A$1,1,2,100000000)</f>
        <v>0</v>
      </c>
      <c r="CX192" s="79" t="str">
        <f t="shared" si="50"/>
        <v/>
      </c>
    </row>
    <row r="193" spans="1:102" s="46" customFormat="1" ht="13.5">
      <c r="A193" s="8"/>
      <c r="B193" s="13"/>
      <c r="C193" s="13"/>
      <c r="D193" s="8"/>
      <c r="E193" s="13"/>
      <c r="F193" s="13"/>
      <c r="G193" s="13"/>
      <c r="H193" s="13"/>
      <c r="I193" s="13"/>
      <c r="J193" s="13"/>
      <c r="K193" s="13"/>
      <c r="L193" s="80"/>
      <c r="M193" s="44"/>
      <c r="N193" s="43"/>
      <c r="O193" s="18"/>
      <c r="P193" s="21"/>
      <c r="Q193" s="80"/>
      <c r="R193" s="43"/>
      <c r="S193" s="81"/>
      <c r="T193" s="81"/>
      <c r="U193" s="81"/>
      <c r="V193" s="81"/>
      <c r="W193" s="81"/>
      <c r="X193" s="81"/>
      <c r="Y193" s="81"/>
      <c r="Z193" s="13"/>
      <c r="AA193" s="13"/>
      <c r="AB193" s="13"/>
      <c r="AC193" s="13"/>
      <c r="AD193" s="27"/>
      <c r="AE193" s="13"/>
      <c r="AF193" s="13"/>
      <c r="AG193" s="27"/>
      <c r="AH193" s="5"/>
      <c r="AI193" s="27"/>
      <c r="AJ193" s="82"/>
      <c r="AK193" s="82"/>
      <c r="AL193" s="82"/>
      <c r="AM193" s="82"/>
      <c r="AN193" s="83"/>
      <c r="AO193" s="83"/>
      <c r="AP193" s="83"/>
      <c r="AQ193" s="83"/>
      <c r="AR193" s="83"/>
      <c r="AS193" s="83"/>
      <c r="AT193" s="83"/>
      <c r="AU193" s="8"/>
      <c r="AV193" s="8"/>
      <c r="AW193" s="8"/>
      <c r="AX193" s="8"/>
      <c r="AY193" s="83"/>
      <c r="AZ193" s="83"/>
      <c r="BA193" s="83"/>
      <c r="BB193" s="83"/>
      <c r="BC193" s="84"/>
      <c r="BD193" s="84"/>
      <c r="BE193" s="13"/>
      <c r="BF193" s="13"/>
      <c r="BG193" s="13"/>
      <c r="BH193" s="13"/>
      <c r="BI193" s="13"/>
      <c r="BJ193" s="13"/>
      <c r="BK193" s="13"/>
      <c r="BL193" s="8"/>
      <c r="BM193" s="8"/>
      <c r="BN193" s="52"/>
      <c r="BO193" s="42"/>
      <c r="BP193" s="52"/>
      <c r="BQ193" s="52"/>
      <c r="BR193" s="52"/>
      <c r="BS193" s="52"/>
      <c r="BT193" s="52"/>
      <c r="BU193" s="52"/>
      <c r="BV193" s="52"/>
      <c r="BW193" s="52"/>
      <c r="BX193" s="52"/>
      <c r="BY193" s="52"/>
      <c r="BZ193" s="52"/>
      <c r="CA193" s="52"/>
      <c r="CB193" s="52"/>
      <c r="CC193" s="52"/>
      <c r="CD193" s="52"/>
      <c r="CE193" s="52"/>
      <c r="CF193" s="52"/>
      <c r="CG193" s="27"/>
      <c r="CH193" s="80"/>
      <c r="CI193" s="80"/>
      <c r="CJ193" s="55"/>
      <c r="CP193" s="69"/>
      <c r="CQ193" s="69"/>
      <c r="CR193" s="68"/>
      <c r="CS193" s="27"/>
      <c r="CT193" s="68"/>
      <c r="CU193" s="27"/>
    </row>
    <row r="194" spans="1:102" ht="13.5">
      <c r="O194" s="27"/>
      <c r="P194" s="60">
        <f>SUMPRODUCT(((P$5:P$192)&lt;&gt;"")*1, P$5:P$192,IF(ISBLANK(CV$5:CV$192),0,CV$5:CV$192))/SUMPRODUCT(((P$5:P$192)&lt;&gt;"")*1,IF(ISBLANK(CV$5:CV$192),0,CV$5:CV$192))</f>
        <v>3.3252037734543376E-2</v>
      </c>
      <c r="AC194" s="85">
        <f>SUMPRODUCT((AC$5:AC$193&lt;&gt;"")*1,AC$5:AC$193,AB$5:AB$193,CV$5:CV$193)/SUMPRODUCT((AC$5:AC$193&lt;&gt;"")*1,AB$5:AB$193,CV$5:CV$193)</f>
        <v>231.01440052935874</v>
      </c>
      <c r="AD194" s="27"/>
      <c r="AG194" s="27"/>
      <c r="AI194" s="27"/>
      <c r="BR194" s="70">
        <f>SUMPRODUCT(((BR$5:BR$193)&lt;&gt;"")*1, BR$5:BR$193,IF(ISBLANK(CV$5:CV$193),0,CV$5:CV$193))/SUMPRODUCT(IF(ISBLANK(CV$5:CV$193),0,CV$5:CV$193))</f>
        <v>3.8826182863885403</v>
      </c>
      <c r="BS194" s="40"/>
      <c r="BT194" s="40"/>
      <c r="BU194" s="40"/>
      <c r="BV194" s="40"/>
      <c r="BW194" s="40"/>
      <c r="BX194" s="40"/>
      <c r="BY194" s="70">
        <f>SUMPRODUCT(((BY$5:BY$193)&lt;&gt;"")*1, BY$5:BY$193,IF(ISBLANK(CA$5:CA$193),0,CA$5:CA$193))/SUMPRODUCT(IF(ISBLANK(CA$5:CA$193),0,CA$5:CA$193))</f>
        <v>1.9928681847879579</v>
      </c>
      <c r="BZ194" s="40"/>
      <c r="CA194" s="40"/>
      <c r="CB194" s="40"/>
      <c r="CC194" s="40"/>
      <c r="CD194" s="40"/>
      <c r="CE194" s="40"/>
      <c r="CF194" s="70">
        <f>SUMPRODUCT(((CF$5:CF$193)&lt;&gt;"")*1, CF$5:CF$193,IF(ISBLANK(CV$5:CV$193),0,CV$5:CV$193))/SUMPRODUCT(((P$5:P$193)&gt;0)*1,IF(ISBLANK(CV$5:CV$193),0,CV$5:CV$193))</f>
        <v>2.0672377755082896</v>
      </c>
      <c r="CG194" s="27"/>
      <c r="CH194" s="60">
        <f>SUMPRODUCT(((CF$5:CF$193)&lt;&gt;"")*1, CF$5:CF$193,IF(ISBLANK(CV$5:CV$193),0,CV$5:CV$193))/SUMPRODUCT(((P$5:P$193)&gt;0)*1,P$5:P$193,IF(ISBLANK(CV$5:CV$193),0,CV$5:CV$193))/100</f>
        <v>0.62242893705955904</v>
      </c>
      <c r="CI194" s="80"/>
      <c r="CS194" s="27"/>
      <c r="CU194" s="27"/>
      <c r="CV194" s="78"/>
      <c r="CW194" s="78"/>
      <c r="CX194" s="60">
        <f>SUMPRODUCT(IF(ISBLANK(CW$5:CW$192),0,CW$5:CW$192),((CW$5:CW$192)&gt;0)*1)/SUMPRODUCT(IF(ISBLANK(CV$5:CV$192),0,CV$5:CV$192),((CW$5:CW$192)&gt;0)*1)</f>
        <v>0.4133955998435988</v>
      </c>
    </row>
    <row r="195" spans="1:102">
      <c r="C195" s="48" t="s">
        <v>1063</v>
      </c>
      <c r="P195" s="60">
        <f>SUMPRODUCT((P$5:P$192&lt;&gt;"")*1,P$5:P$192,IF(ISBLANK(CV$5:CV$192),0,CV$5:CV$192),($D$5:$D$192=$C195)*1)/SUMPRODUCT(((P$5:P$192)&lt;&gt;"")*1,IF(ISBLANK(CV$5:CV$192),0,CV$5:CV$192)*($D$5:$D$192=$C195)*1)</f>
        <v>3.0836931173034144E-2</v>
      </c>
      <c r="AC195" s="85">
        <f>SUMPRODUCT((AC$5:AC$193&lt;&gt;"")*1,($D$5:$D$193=$C195)*1,AC$5:AC$193,AB$5:AB$193,CV$5:CV$193)/SUMPRODUCT((AC$5:AC$193&lt;&gt;"")*1,($D$5:$D$193=$C195)*1,AB$5:AB$193,CV$5:CV$193)</f>
        <v>236.15390819449055</v>
      </c>
      <c r="BR195" s="70">
        <f>SUMPRODUCT(((BR$5:BR$193)&lt;&gt;"")*1,BR$5:BR$193,IF(ISBLANK(CV$5:CV$193),0,CV$5:CV$193),($D$5:$D$193=$C195)*1)/SUMPRODUCT(((BR$5:BR$193)&lt;&gt;"")*1, IF(ISBLANK(CV$5:CV$193),0,CV$5:CV$193),($D$5:$D$193=$C195)*1)</f>
        <v>3.5889743239402141</v>
      </c>
      <c r="BY195" s="70">
        <f>SUMPRODUCT(((BY$5:BY$193)&lt;&gt;"")*1,BY$5:BY$193,IF(ISBLANK(CA$5:CA$193),0,CA$5:CA$193),($D$5:$D$193=$C195)*1)/SUMPRODUCT(((BY$5:BY$193)&lt;&gt;"")*1,IF(ISBLANK(CA$5:CA$193),0,CA$5:CA$193),($D$5:$D$193=$C195)*1)</f>
        <v>1.6835366196817176</v>
      </c>
      <c r="CF195" s="70">
        <f>SUMPRODUCT(((CF$5:CF$193)&lt;&gt;"")*1, ((P$5:P$193)&gt;0)*1,CF$5:CF$193,IF(ISBLANK(CV$5:CV$193),0,CV$5:CV$193),($D$5:$D$193=$C195)*1)/SUMPRODUCT(((CF$5:CF$193)&lt;&gt;"")*1, ((P$5:P$193)&gt;0)*1,IF(ISBLANK(CV$5:CV$193),0,CV$5:CV$193),($D$5:$D$193=$C195)*1)</f>
        <v>2.0259003757148251</v>
      </c>
      <c r="CH195" s="60">
        <f>SUMPRODUCT(((CF$5:CF$193)&lt;&gt;"")*1, ((P$5:P$193)&gt;0)*1,CF$5:CF$193,IF(ISBLANK(CV$5:CV$193),0,CV$5:CV$193),($D$5:$D$193=$C195)*1)/SUMPRODUCT(((CF$5:CF$193)&lt;&gt;"")*1, ((P$5:P$193)&gt;0)*1,P$5:P$193,IF(ISBLANK(CV$5:CV$193),0,CV$5:CV$193),($D$5:$D$193=$C195)*1)/100</f>
        <v>0.65697211059912686</v>
      </c>
      <c r="CX195" s="60">
        <f>SUMPRODUCT(IF(ISBLANK(CW$5:CW$192),0,CW$5:CW$192),($D$5:$D$192=$C195)*1,((CW$5:CW$192)&gt;0)*1)/SUMPRODUCT(IF(ISBLANK(CV$5:CV$192),0,CV$5:CV$192),($D$5:$D$192=$C195)*1,((CW$5:CW$192)&gt;0)*1)</f>
        <v>0.42553096973681942</v>
      </c>
    </row>
    <row r="196" spans="1:102">
      <c r="C196" s="48" t="s">
        <v>1064</v>
      </c>
      <c r="P196" s="60">
        <f t="shared" ref="P196:P199" si="54">SUMPRODUCT((P$5:P$192&lt;&gt;"")*1,P$5:P$192,IF(ISBLANK(CV$5:CV$192),0,CV$5:CV$192),($D$5:$D$192=$C196)*1)/SUMPRODUCT(((P$5:P$192)&lt;&gt;"")*1,IF(ISBLANK(CV$5:CV$192),0,CV$5:CV$192)*($D$5:$D$192=$C196)*1)</f>
        <v>3.2563732807233493E-2</v>
      </c>
      <c r="AC196" s="85">
        <f t="shared" ref="AC196:AC199" si="55">SUMPRODUCT((AC$5:AC$193&lt;&gt;"")*1,($D$5:$D$193=$C196)*1,AC$5:AC$193,AB$5:AB$193,CV$5:CV$193)/SUMPRODUCT((AC$5:AC$193&lt;&gt;"")*1,($D$5:$D$193=$C196)*1,AB$5:AB$193,CV$5:CV$193)</f>
        <v>210.69451510848049</v>
      </c>
      <c r="BR196" s="70">
        <f t="shared" ref="BR196:BR199" si="56">SUMPRODUCT(((BR$5:BR$193)&lt;&gt;"")*1,BR$5:BR$193,IF(ISBLANK(CV$5:CV$193),0,CV$5:CV$193),($D$5:$D$193=$C196)*1)/SUMPRODUCT(((BR$5:BR$193)&lt;&gt;"")*1, IF(ISBLANK(CV$5:CV$193),0,CV$5:CV$193),($D$5:$D$193=$C196)*1)</f>
        <v>4.1514471816823493</v>
      </c>
      <c r="BS196" s="40"/>
      <c r="BT196" s="40"/>
      <c r="BU196" s="40"/>
      <c r="BV196" s="40"/>
      <c r="BW196" s="40"/>
      <c r="BX196" s="40"/>
      <c r="BY196" s="70">
        <f t="shared" ref="BY196:BY199" si="57">SUMPRODUCT(((BY$5:BY$193)&lt;&gt;"")*1,BY$5:BY$193,IF(ISBLANK(CA$5:CA$193),0,CA$5:CA$193),($D$5:$D$193=$C196)*1)/SUMPRODUCT(((BY$5:BY$193)&lt;&gt;"")*1,IF(ISBLANK(CA$5:CA$193),0,CA$5:CA$193),($D$5:$D$193=$C196)*1)</f>
        <v>2.2256057061966295</v>
      </c>
      <c r="CF196" s="70">
        <f t="shared" ref="CF196:CF199" si="58">SUMPRODUCT(((CF$5:CF$193)&lt;&gt;"")*1, ((P$5:P$193)&gt;0)*1,CF$5:CF$193,IF(ISBLANK(CV$5:CV$193),0,CV$5:CV$193),($D$5:$D$193=$C196)*1)/SUMPRODUCT(((CF$5:CF$193)&lt;&gt;"")*1, ((P$5:P$193)&gt;0)*1,IF(ISBLANK(CV$5:CV$193),0,CV$5:CV$193),($D$5:$D$193=$C196)*1)</f>
        <v>2.1711917120578481</v>
      </c>
      <c r="CH196" s="60">
        <f t="shared" ref="CH196:CH199" si="59">SUMPRODUCT(((CF$5:CF$193)&lt;&gt;"")*1, ((P$5:P$193)&gt;0)*1,CF$5:CF$193,IF(ISBLANK(CV$5:CV$193),0,CV$5:CV$193),($D$5:$D$193=$C196)*1)/SUMPRODUCT(((CF$5:CF$193)&lt;&gt;"")*1, ((P$5:P$193)&gt;0)*1,P$5:P$193,IF(ISBLANK(CV$5:CV$193),0,CV$5:CV$193),($D$5:$D$193=$C196)*1)/100</f>
        <v>0.6667514823655456</v>
      </c>
      <c r="CP196" s="14"/>
      <c r="CQ196" s="14"/>
      <c r="CR196" s="70"/>
      <c r="CS196" s="70"/>
      <c r="CT196" s="70"/>
      <c r="CX196" s="60">
        <f>SUMPRODUCT(IF(ISBLANK(CW$5:CW$192),0,CW$5:CW$192),($D$5:$D$192=$C196)*1,((CW$5:CW$192)&gt;0)*1)/SUMPRODUCT(IF(ISBLANK(CV$5:CV$192),0,CV$5:CV$192),($D$5:$D$192=$C196)*1,((CW$5:CW$192)&gt;0)*1)</f>
        <v>0.4480849396045618</v>
      </c>
    </row>
    <row r="197" spans="1:102">
      <c r="C197" s="48" t="s">
        <v>1062</v>
      </c>
      <c r="P197" s="60">
        <f t="shared" si="54"/>
        <v>4.2794246346955403E-2</v>
      </c>
      <c r="AC197" s="85">
        <f t="shared" si="55"/>
        <v>227.38432000340333</v>
      </c>
      <c r="BR197" s="70">
        <f t="shared" si="56"/>
        <v>4.4513900180475829</v>
      </c>
      <c r="BS197" s="65"/>
      <c r="BT197" s="65"/>
      <c r="BU197" s="65"/>
      <c r="BV197" s="65"/>
      <c r="BW197" s="65"/>
      <c r="BX197" s="65"/>
      <c r="BY197" s="70">
        <f t="shared" si="57"/>
        <v>2.5818243002517587</v>
      </c>
      <c r="CF197" s="70">
        <f t="shared" si="58"/>
        <v>2.0531086313109701</v>
      </c>
      <c r="CH197" s="60">
        <f t="shared" si="59"/>
        <v>0.48369110635710677</v>
      </c>
      <c r="CX197" s="60">
        <f>SUMPRODUCT(IF(ISBLANK(CW$5:CW$192),0,CW$5:CW$192),($D$5:$D$192=$C197)*1,((CW$5:CW$192)&gt;0)*1)/SUMPRODUCT(IF(ISBLANK(CV$5:CV$192),0,CV$5:CV$192),($D$5:$D$192=$C197)*1,((CW$5:CW$192)&gt;0)*1)</f>
        <v>0.32957999249370395</v>
      </c>
    </row>
    <row r="198" spans="1:102">
      <c r="C198" s="48" t="s">
        <v>1098</v>
      </c>
      <c r="P198" s="60">
        <f t="shared" si="54"/>
        <v>3.7791662241710898E-2</v>
      </c>
      <c r="AC198" s="85">
        <f t="shared" si="55"/>
        <v>285.84541161163452</v>
      </c>
      <c r="BR198" s="70">
        <f t="shared" si="56"/>
        <v>4.2975410608898503</v>
      </c>
      <c r="BY198" s="70">
        <f t="shared" si="57"/>
        <v>2.3055156200096736</v>
      </c>
      <c r="CF198" s="70">
        <f t="shared" si="58"/>
        <v>2.1111215921632023</v>
      </c>
      <c r="CH198" s="60">
        <f t="shared" si="59"/>
        <v>0.55862099387444886</v>
      </c>
      <c r="CX198" s="60">
        <f>SUMPRODUCT(IF(ISBLANK(CW$5:CW$192),0,CW$5:CW$192),($D$5:$D$192=$C198)*1,((CW$5:CW$192)&gt;0)*1)/SUMPRODUCT(IF(ISBLANK(CV$5:CV$192),0,CV$5:CV$192),($D$5:$D$192=$C198)*1,((CW$5:CW$192)&gt;0)*1)</f>
        <v>0.36423189263033551</v>
      </c>
    </row>
    <row r="199" spans="1:102" ht="16.5">
      <c r="C199" s="48" t="s">
        <v>1065</v>
      </c>
      <c r="P199" s="60">
        <f t="shared" si="54"/>
        <v>1.54996685591714E-2</v>
      </c>
      <c r="AC199" s="85">
        <f t="shared" si="55"/>
        <v>330.18868017006253</v>
      </c>
      <c r="BL199" s="58"/>
      <c r="BR199" s="70">
        <f t="shared" si="56"/>
        <v>2.8604282761438258</v>
      </c>
      <c r="BY199" s="70">
        <f t="shared" si="57"/>
        <v>1.6022362824801977</v>
      </c>
      <c r="CF199" s="70">
        <f t="shared" si="58"/>
        <v>1.5912017287057643</v>
      </c>
      <c r="CH199" s="60">
        <f t="shared" si="59"/>
        <v>1.0266037126092125</v>
      </c>
      <c r="CX199" s="60">
        <f>SUMPRODUCT(IF(ISBLANK(CW$5:CW$192),0,CW$5:CW$192),($D$5:$D$192=$C199)*1,((CW$5:CW$192)&gt;0)*1)/SUMPRODUCT(IF(ISBLANK(CV$5:CV$192),0,CV$5:CV$192),($D$5:$D$192=$C199)*1,((CW$5:CW$192)&gt;0)*1)</f>
        <v>0.22302439764929124</v>
      </c>
    </row>
    <row r="200" spans="1:102">
      <c r="BQ200" s="60"/>
    </row>
    <row r="206" spans="1:102">
      <c r="CJ206" s="48">
        <f>188*102*5</f>
        <v>95880</v>
      </c>
    </row>
  </sheetData>
  <mergeCells count="38">
    <mergeCell ref="M1:T1"/>
    <mergeCell ref="H1:H2"/>
    <mergeCell ref="I1:I2"/>
    <mergeCell ref="J1:J2"/>
    <mergeCell ref="K1:K2"/>
    <mergeCell ref="L1:L2"/>
    <mergeCell ref="BE1:BE2"/>
    <mergeCell ref="U1:Y1"/>
    <mergeCell ref="Z1:AH1"/>
    <mergeCell ref="AJ1:AJ2"/>
    <mergeCell ref="AK1:AK2"/>
    <mergeCell ref="AL1:AL2"/>
    <mergeCell ref="AM1:AM2"/>
    <mergeCell ref="AN1:AU1"/>
    <mergeCell ref="AV1:AX1"/>
    <mergeCell ref="AY1:BB1"/>
    <mergeCell ref="BC1:BC2"/>
    <mergeCell ref="BD1:BD2"/>
    <mergeCell ref="CM1:CM2"/>
    <mergeCell ref="BF1:BF2"/>
    <mergeCell ref="BG1:BG2"/>
    <mergeCell ref="BH1:BI1"/>
    <mergeCell ref="BJ1:BK1"/>
    <mergeCell ref="BL1:BM1"/>
    <mergeCell ref="BN1:BP1"/>
    <mergeCell ref="BQ1:BQ2"/>
    <mergeCell ref="BR1:CF1"/>
    <mergeCell ref="CJ1:CJ2"/>
    <mergeCell ref="CK1:CK2"/>
    <mergeCell ref="CL1:CL2"/>
    <mergeCell ref="CW1:CW2"/>
    <mergeCell ref="CX1:CX2"/>
    <mergeCell ref="CN1:CN2"/>
    <mergeCell ref="CO1:CO2"/>
    <mergeCell ref="CR1:CR2"/>
    <mergeCell ref="CT1:CT2"/>
    <mergeCell ref="CU1:CU2"/>
    <mergeCell ref="CV1:CV2"/>
  </mergeCells>
  <phoneticPr fontId="13" type="noConversion"/>
  <dataValidations count="2">
    <dataValidation type="list" allowBlank="1" showInputMessage="1" showErrorMessage="1" sqref="AX4:AX193" xr:uid="{00000000-0002-0000-0200-000000000000}">
      <formula1>#REF!</formula1>
    </dataValidation>
    <dataValidation type="list" allowBlank="1" showInputMessage="1" showErrorMessage="1" sqref="AV4:AW193" xr:uid="{00000000-0002-0000-0200-000001000000}">
      <formula1>#REF!</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72"/>
  <sheetViews>
    <sheetView workbookViewId="0">
      <selection activeCell="C5" sqref="C5"/>
    </sheetView>
  </sheetViews>
  <sheetFormatPr defaultRowHeight="13.5"/>
  <cols>
    <col min="2" max="3" width="10.125" customWidth="1"/>
    <col min="4" max="6" width="11.625" bestFit="1" customWidth="1"/>
    <col min="12" max="13" width="11.625" bestFit="1" customWidth="1"/>
  </cols>
  <sheetData>
    <row r="1" spans="1:16">
      <c r="A1" s="72" t="s">
        <v>1086</v>
      </c>
      <c r="B1" s="72"/>
      <c r="C1" s="72" t="s">
        <v>1087</v>
      </c>
      <c r="D1" s="72"/>
      <c r="E1" s="72"/>
      <c r="F1" s="72"/>
      <c r="G1" s="72"/>
      <c r="H1" s="72"/>
      <c r="I1" s="72"/>
      <c r="J1" s="72"/>
      <c r="K1" s="72"/>
      <c r="L1" s="72"/>
      <c r="M1" s="72"/>
      <c r="N1" s="72"/>
      <c r="O1" s="72"/>
      <c r="P1" s="72"/>
    </row>
    <row r="2" spans="1:16">
      <c r="A2" s="72" t="s">
        <v>56</v>
      </c>
      <c r="B2" s="72" t="s">
        <v>57</v>
      </c>
      <c r="C2" s="72" t="s">
        <v>56</v>
      </c>
      <c r="D2" s="72"/>
      <c r="E2" s="72"/>
      <c r="F2" s="72"/>
      <c r="G2" s="72"/>
      <c r="H2" s="72"/>
      <c r="I2" s="72"/>
      <c r="J2" s="72" t="s">
        <v>57</v>
      </c>
      <c r="K2" s="72"/>
      <c r="L2" s="72"/>
      <c r="M2" s="72"/>
      <c r="N2" s="72"/>
      <c r="O2" s="72"/>
      <c r="P2" s="72"/>
    </row>
    <row r="3" spans="1:16">
      <c r="A3" s="73"/>
      <c r="B3" s="73"/>
      <c r="C3" s="76">
        <f>AVERAGE(B5:B72)</f>
        <v>0.20749807367407935</v>
      </c>
    </row>
    <row r="4" spans="1:16">
      <c r="A4" s="73">
        <v>0</v>
      </c>
      <c r="B4" s="73">
        <v>0</v>
      </c>
      <c r="C4" s="75">
        <f>CORREL(A5:A72,C5:C72)</f>
        <v>0.89789919064951818</v>
      </c>
      <c r="D4" s="73"/>
      <c r="E4" s="74">
        <v>10</v>
      </c>
      <c r="F4" s="74">
        <v>70</v>
      </c>
      <c r="G4" s="74">
        <v>5</v>
      </c>
      <c r="H4" s="74">
        <v>10</v>
      </c>
      <c r="I4" s="74">
        <f>100-SUM(E4:H4)</f>
        <v>5</v>
      </c>
      <c r="J4" s="75">
        <f>CORREL(B5:B68,J5:J68)</f>
        <v>0.21003809113796695</v>
      </c>
      <c r="K4" s="73"/>
      <c r="L4" s="74">
        <v>20</v>
      </c>
      <c r="M4" s="74">
        <v>20</v>
      </c>
      <c r="N4" s="74">
        <v>20</v>
      </c>
      <c r="O4" s="74">
        <v>20</v>
      </c>
      <c r="P4" s="74">
        <f>100-SUM(L4:O4)</f>
        <v>20</v>
      </c>
    </row>
    <row r="5" spans="1:16">
      <c r="A5" s="41">
        <v>2.5499999999999998</v>
      </c>
      <c r="B5" s="77">
        <f>ABS(A5-C5)</f>
        <v>1.6946209083736452E-2</v>
      </c>
      <c r="C5" s="73">
        <f>IFERROR(D5/SUMPRODUCT(E5:I5,$E$4:$I$4)*SUMIFS($E$4:$I$4,E5:I5,"&gt;0")*100,0)</f>
        <v>2.5330537909162634</v>
      </c>
      <c r="D5" s="73">
        <v>143.65987000000001</v>
      </c>
      <c r="E5" s="73">
        <v>5869.9622400000007</v>
      </c>
      <c r="F5" s="73">
        <v>5640.6368599999996</v>
      </c>
      <c r="G5" s="73">
        <v>0</v>
      </c>
      <c r="H5" s="73">
        <v>5688.2711599999993</v>
      </c>
      <c r="I5" s="73">
        <v>0</v>
      </c>
    </row>
    <row r="6" spans="1:16">
      <c r="A6" s="41">
        <v>3.36</v>
      </c>
      <c r="B6" s="77">
        <f t="shared" ref="B6:B69" si="0">ABS(A6-C6)</f>
        <v>3.5871089432891523E-2</v>
      </c>
      <c r="C6" s="73">
        <f t="shared" ref="C6:C13" si="1">IFERROR(D6/SUMPRODUCT(E6:I6,$E$4:$I$4)*SUMIFS($E$4:$I$4,E6:I6,"&gt;0")*100,0)</f>
        <v>3.3241289105671084</v>
      </c>
      <c r="D6" s="73">
        <v>8822.73</v>
      </c>
      <c r="E6" s="73">
        <v>282299</v>
      </c>
      <c r="F6" s="73">
        <v>260658.11000000002</v>
      </c>
      <c r="G6" s="73">
        <v>279502.07999999996</v>
      </c>
      <c r="H6" s="73">
        <v>273573.62</v>
      </c>
      <c r="I6" s="73">
        <v>267835.08</v>
      </c>
    </row>
    <row r="7" spans="1:16">
      <c r="A7" s="41">
        <v>3.55</v>
      </c>
      <c r="B7" s="77">
        <f t="shared" si="0"/>
        <v>5.7000035376250313E-2</v>
      </c>
      <c r="C7" s="73">
        <f t="shared" si="1"/>
        <v>3.6070000353762501</v>
      </c>
      <c r="D7" s="73">
        <v>12803.76</v>
      </c>
      <c r="E7" s="73">
        <v>388817.75</v>
      </c>
      <c r="F7" s="73">
        <v>343599.28</v>
      </c>
      <c r="G7" s="73">
        <v>387495.36</v>
      </c>
      <c r="H7" s="73">
        <v>379421.89</v>
      </c>
      <c r="I7" s="73">
        <v>365030.99000000005</v>
      </c>
    </row>
    <row r="8" spans="1:16">
      <c r="A8" s="41">
        <v>3.57</v>
      </c>
      <c r="B8" s="77">
        <f t="shared" si="0"/>
        <v>0.1534981160175457</v>
      </c>
      <c r="C8" s="73">
        <f t="shared" si="1"/>
        <v>3.7234981160175455</v>
      </c>
      <c r="D8" s="73">
        <v>11085.47</v>
      </c>
      <c r="E8" s="73">
        <v>334877.77000000008</v>
      </c>
      <c r="F8" s="73">
        <v>286358.12</v>
      </c>
      <c r="G8" s="73">
        <v>333086.31000000006</v>
      </c>
      <c r="H8" s="73">
        <v>319257.79000000004</v>
      </c>
      <c r="I8" s="73">
        <v>303959.82</v>
      </c>
    </row>
    <row r="9" spans="1:16">
      <c r="A9" s="41">
        <v>3.63</v>
      </c>
      <c r="B9" s="77">
        <f t="shared" si="0"/>
        <v>4.2673998517244627E-2</v>
      </c>
      <c r="C9" s="73">
        <f t="shared" si="1"/>
        <v>3.5873260014827553</v>
      </c>
      <c r="D9" s="73">
        <v>4181.22</v>
      </c>
      <c r="E9" s="73">
        <v>126732.30999999998</v>
      </c>
      <c r="F9" s="73">
        <v>113542.25</v>
      </c>
      <c r="G9" s="73">
        <v>123237.24999999999</v>
      </c>
      <c r="H9" s="73">
        <v>122325.84999999999</v>
      </c>
      <c r="I9" s="73">
        <v>120161.72</v>
      </c>
    </row>
    <row r="10" spans="1:16">
      <c r="A10" s="41">
        <v>3.67</v>
      </c>
      <c r="B10" s="77">
        <f t="shared" si="0"/>
        <v>0.1394091732549394</v>
      </c>
      <c r="C10" s="73">
        <f t="shared" si="1"/>
        <v>3.8094091732549393</v>
      </c>
      <c r="D10" s="73">
        <v>11699</v>
      </c>
      <c r="E10" s="73">
        <v>340550.2699999999</v>
      </c>
      <c r="F10" s="73">
        <v>296541.98</v>
      </c>
      <c r="G10" s="73">
        <v>336190.01999999996</v>
      </c>
      <c r="H10" s="73">
        <v>330012.96999999997</v>
      </c>
      <c r="I10" s="73">
        <v>313255.60999999993</v>
      </c>
    </row>
    <row r="11" spans="1:16">
      <c r="A11" s="41">
        <v>3.74</v>
      </c>
      <c r="B11" s="77">
        <f t="shared" si="0"/>
        <v>0.25535199038419298</v>
      </c>
      <c r="C11" s="73">
        <f t="shared" si="1"/>
        <v>3.4846480096158072</v>
      </c>
      <c r="D11" s="73">
        <v>923.95281999999997</v>
      </c>
      <c r="E11" s="73">
        <v>28299.949110000001</v>
      </c>
      <c r="F11" s="73">
        <v>25963.786249999994</v>
      </c>
      <c r="G11" s="73">
        <v>28133.694600000003</v>
      </c>
      <c r="H11" s="73">
        <v>27550.125099999997</v>
      </c>
      <c r="I11" s="73">
        <v>26972.231310000003</v>
      </c>
    </row>
    <row r="12" spans="1:16">
      <c r="A12" s="41">
        <v>3.81</v>
      </c>
      <c r="B12" s="77">
        <f t="shared" si="0"/>
        <v>8.7949125009797235E-2</v>
      </c>
      <c r="C12" s="73">
        <f t="shared" si="1"/>
        <v>3.7220508749902028</v>
      </c>
      <c r="D12" s="73">
        <v>4742.3999999999996</v>
      </c>
      <c r="E12" s="73">
        <v>139083.52000000002</v>
      </c>
      <c r="F12" s="73">
        <v>124280.98</v>
      </c>
      <c r="G12" s="73">
        <v>133652.21999999997</v>
      </c>
      <c r="H12" s="73">
        <v>132679.78999999995</v>
      </c>
      <c r="I12" s="73">
        <v>131159.97000000003</v>
      </c>
    </row>
    <row r="13" spans="1:16">
      <c r="A13" s="41">
        <v>3.84</v>
      </c>
      <c r="B13" s="77">
        <f t="shared" si="0"/>
        <v>0.11123622974027558</v>
      </c>
      <c r="C13" s="73">
        <f t="shared" si="1"/>
        <v>3.7287637702597243</v>
      </c>
      <c r="D13" s="73">
        <v>434.52865000000003</v>
      </c>
      <c r="E13" s="73">
        <v>12650.576800000001</v>
      </c>
      <c r="F13" s="73">
        <v>11446.065239999998</v>
      </c>
      <c r="G13" s="73">
        <v>12154.292299999997</v>
      </c>
      <c r="H13" s="73">
        <v>11855.816320000002</v>
      </c>
      <c r="I13" s="73">
        <v>11656.486969999998</v>
      </c>
    </row>
    <row r="14" spans="1:16">
      <c r="A14" s="41">
        <v>3.85</v>
      </c>
      <c r="B14" s="77">
        <f t="shared" si="0"/>
        <v>2.0510630783992401E-2</v>
      </c>
      <c r="C14" s="73">
        <f>IFERROR(D14/SUMPRODUCT(E14:I14,$E$4:$I$4)*SUMIFS($E$4:$I$4,E14:I14,"&gt;0")*100,0)</f>
        <v>3.8705106307839925</v>
      </c>
      <c r="D14" s="73">
        <v>137.88636</v>
      </c>
      <c r="E14" s="73">
        <v>3699.2656099999999</v>
      </c>
      <c r="F14" s="73">
        <v>3525.4824400000002</v>
      </c>
      <c r="G14" s="73">
        <v>0</v>
      </c>
      <c r="H14" s="73">
        <v>3684.7221599999998</v>
      </c>
      <c r="I14" s="73">
        <v>0</v>
      </c>
      <c r="J14" s="73">
        <f>K14/SUMPRODUCT(L14:P14,$L$4:$P$4)*SUMIFS($L$4:$P$4,L14:P14,"&gt;0")*100</f>
        <v>2.2801184474146323</v>
      </c>
      <c r="K14" s="73">
        <v>1276.54</v>
      </c>
      <c r="L14" s="73">
        <v>56788.01</v>
      </c>
      <c r="M14" s="73">
        <v>53270.07</v>
      </c>
      <c r="N14" s="73">
        <v>56530.06</v>
      </c>
      <c r="O14" s="73">
        <v>56719.8</v>
      </c>
      <c r="P14" s="73">
        <v>56620.5</v>
      </c>
    </row>
    <row r="15" spans="1:16">
      <c r="A15" s="41">
        <v>3.86</v>
      </c>
      <c r="B15" s="77">
        <f t="shared" si="0"/>
        <v>0.28046901959130421</v>
      </c>
      <c r="C15" s="73">
        <f t="shared" ref="C15:C72" si="2">IFERROR(D15/SUMPRODUCT(E15:I15,$E$4:$I$4)*SUMIFS($E$4:$I$4,E15:I15,"&gt;0")*100,0)</f>
        <v>4.1404690195913041</v>
      </c>
      <c r="D15" s="73">
        <v>86.58793</v>
      </c>
      <c r="E15" s="73">
        <v>2213.6588999999994</v>
      </c>
      <c r="F15" s="73">
        <v>2033.6447300000002</v>
      </c>
      <c r="G15" s="73">
        <v>2197.6576100000002</v>
      </c>
      <c r="H15" s="73">
        <v>2241.4355899999996</v>
      </c>
      <c r="I15" s="73">
        <v>2246.3067000000001</v>
      </c>
      <c r="J15" s="73">
        <f>K15/SUMPRODUCT(L15:P15,$L$4:$P$4)*SUMIFS($L$4:$P$4,L15:P15,"&gt;0")*100</f>
        <v>2.9886479104009869</v>
      </c>
      <c r="K15" s="73">
        <v>108.01805</v>
      </c>
      <c r="L15" s="73">
        <v>3862.4744700000001</v>
      </c>
      <c r="M15" s="73">
        <v>3336.9428499999999</v>
      </c>
      <c r="N15" s="73">
        <v>0</v>
      </c>
      <c r="O15" s="73">
        <v>3643.4172899999999</v>
      </c>
      <c r="P15" s="73">
        <v>0</v>
      </c>
    </row>
    <row r="16" spans="1:16">
      <c r="A16" s="41">
        <v>3.89</v>
      </c>
      <c r="B16" s="77">
        <f t="shared" si="0"/>
        <v>1.6462949982035457E-2</v>
      </c>
      <c r="C16" s="73">
        <f t="shared" si="2"/>
        <v>3.8735370500179647</v>
      </c>
      <c r="D16" s="73">
        <v>3533.8</v>
      </c>
      <c r="E16" s="73">
        <v>98742.000000000015</v>
      </c>
      <c r="F16" s="73">
        <v>89456.900000000009</v>
      </c>
      <c r="G16" s="73">
        <v>94464.049999999988</v>
      </c>
      <c r="H16" s="73">
        <v>94333.41</v>
      </c>
      <c r="I16" s="73">
        <v>91574.150000000009</v>
      </c>
    </row>
    <row r="17" spans="1:16">
      <c r="A17" s="41">
        <v>3.91</v>
      </c>
      <c r="B17" s="77">
        <f t="shared" si="0"/>
        <v>8.5750542062712487E-2</v>
      </c>
      <c r="C17" s="73">
        <f t="shared" si="2"/>
        <v>3.8242494579372877</v>
      </c>
      <c r="D17" s="73">
        <v>2629.37</v>
      </c>
      <c r="E17" s="73">
        <v>70919.47</v>
      </c>
      <c r="F17" s="73">
        <v>67901.94</v>
      </c>
      <c r="G17" s="73">
        <v>69689.440000000002</v>
      </c>
      <c r="H17" s="73">
        <v>71472.19</v>
      </c>
      <c r="I17" s="73">
        <v>70003.889999999985</v>
      </c>
    </row>
    <row r="18" spans="1:16">
      <c r="A18" s="41">
        <v>3.92</v>
      </c>
      <c r="B18" s="77">
        <f t="shared" si="0"/>
        <v>0.36635522726035052</v>
      </c>
      <c r="C18" s="73">
        <f t="shared" si="2"/>
        <v>3.5536447727396494</v>
      </c>
      <c r="D18" s="73">
        <v>89.148420000000002</v>
      </c>
      <c r="E18" s="73">
        <v>2733.10367</v>
      </c>
      <c r="F18" s="73">
        <v>2457.8783200000003</v>
      </c>
      <c r="G18" s="73">
        <v>0</v>
      </c>
      <c r="H18" s="73">
        <v>2639.5754000000002</v>
      </c>
      <c r="I18" s="73">
        <v>0</v>
      </c>
    </row>
    <row r="19" spans="1:16">
      <c r="A19" s="41">
        <v>3.94</v>
      </c>
      <c r="B19" s="77">
        <f t="shared" si="0"/>
        <v>0.25262984945586009</v>
      </c>
      <c r="C19" s="73">
        <f t="shared" si="2"/>
        <v>3.6873701505441399</v>
      </c>
      <c r="D19" s="73">
        <v>123.02570735729999</v>
      </c>
      <c r="E19" s="73">
        <v>3662.6533221348996</v>
      </c>
      <c r="F19" s="73">
        <v>3252.1208161430995</v>
      </c>
      <c r="G19" s="73">
        <v>3580.9986599999997</v>
      </c>
      <c r="H19" s="73">
        <v>3454.1040830146999</v>
      </c>
      <c r="I19" s="73">
        <v>3383.9522099999999</v>
      </c>
    </row>
    <row r="20" spans="1:16">
      <c r="A20" s="41">
        <v>3.96</v>
      </c>
      <c r="B20" s="77">
        <f t="shared" si="0"/>
        <v>0.44342922972257881</v>
      </c>
      <c r="C20" s="73">
        <f t="shared" si="2"/>
        <v>3.5165707702774212</v>
      </c>
      <c r="D20" s="73">
        <v>107.28849</v>
      </c>
      <c r="E20" s="73">
        <v>3319.6780999999996</v>
      </c>
      <c r="F20" s="73">
        <v>2989.0228000000002</v>
      </c>
      <c r="G20" s="73">
        <v>3202.94</v>
      </c>
      <c r="H20" s="73">
        <v>3113.7096199999996</v>
      </c>
      <c r="I20" s="73">
        <v>3102.78</v>
      </c>
      <c r="J20" s="73">
        <f>K20/SUMPRODUCT(L20:P20,$L$4:$P$4)*SUMIFS($L$4:$P$4,L20:P20,"&gt;0")*100</f>
        <v>2.5825126514906676</v>
      </c>
      <c r="K20" s="73">
        <v>178.03381543340001</v>
      </c>
      <c r="L20" s="73">
        <v>7353.2136073142001</v>
      </c>
      <c r="M20" s="73">
        <v>6628.9359640548</v>
      </c>
      <c r="N20" s="73">
        <v>0</v>
      </c>
      <c r="O20" s="73">
        <v>6699.3152799999998</v>
      </c>
      <c r="P20" s="73">
        <v>0</v>
      </c>
    </row>
    <row r="21" spans="1:16">
      <c r="A21" s="41">
        <v>3.96</v>
      </c>
      <c r="B21" s="77">
        <f t="shared" si="0"/>
        <v>0.23408816091824214</v>
      </c>
      <c r="C21" s="73">
        <f t="shared" si="2"/>
        <v>3.7259118390817578</v>
      </c>
      <c r="D21" s="73">
        <v>2995.2</v>
      </c>
      <c r="E21" s="73">
        <v>85114.099999999991</v>
      </c>
      <c r="F21" s="73">
        <v>79230.740000000005</v>
      </c>
      <c r="G21" s="73">
        <v>81271.490000000005</v>
      </c>
      <c r="H21" s="73">
        <v>82606.45</v>
      </c>
      <c r="I21" s="73">
        <v>81824.56</v>
      </c>
    </row>
    <row r="22" spans="1:16">
      <c r="A22" s="41">
        <v>3.97</v>
      </c>
      <c r="B22" s="77">
        <f t="shared" si="0"/>
        <v>7.0276315351641028E-2</v>
      </c>
      <c r="C22" s="73">
        <f t="shared" si="2"/>
        <v>4.0402763153516412</v>
      </c>
      <c r="D22" s="73">
        <v>512.57794999999999</v>
      </c>
      <c r="E22" s="73">
        <v>13347.150769999998</v>
      </c>
      <c r="F22" s="73">
        <v>12499.96299</v>
      </c>
      <c r="G22" s="73">
        <v>13135.72718</v>
      </c>
      <c r="H22" s="73">
        <v>12987.633380000001</v>
      </c>
      <c r="I22" s="73">
        <v>12929.328939999999</v>
      </c>
    </row>
    <row r="23" spans="1:16">
      <c r="A23" s="41">
        <v>3.98</v>
      </c>
      <c r="B23" s="77">
        <f t="shared" si="0"/>
        <v>0.27058883721130966</v>
      </c>
      <c r="C23" s="73">
        <f t="shared" si="2"/>
        <v>3.7094111627886903</v>
      </c>
      <c r="D23" s="73">
        <v>150.35494241979998</v>
      </c>
      <c r="E23" s="73">
        <v>4367.1863398351998</v>
      </c>
      <c r="F23" s="73">
        <v>3994.0469776832997</v>
      </c>
      <c r="G23" s="73">
        <v>0</v>
      </c>
      <c r="H23" s="73">
        <v>4154.5195818155998</v>
      </c>
      <c r="I23" s="73">
        <v>0</v>
      </c>
    </row>
    <row r="24" spans="1:16">
      <c r="A24" s="41">
        <v>3.99</v>
      </c>
      <c r="B24" s="77">
        <f t="shared" si="0"/>
        <v>0.23751289890526817</v>
      </c>
      <c r="C24" s="73">
        <f t="shared" si="2"/>
        <v>3.752487101094732</v>
      </c>
      <c r="D24" s="73">
        <v>438.18398999999999</v>
      </c>
      <c r="E24" s="73">
        <v>12152.64006</v>
      </c>
      <c r="F24" s="73">
        <v>11462.53457</v>
      </c>
      <c r="G24" s="73">
        <v>12451.405908999999</v>
      </c>
      <c r="H24" s="73">
        <v>12186.312739999999</v>
      </c>
      <c r="I24" s="73">
        <v>11938.440341</v>
      </c>
    </row>
    <row r="25" spans="1:16">
      <c r="A25" s="41">
        <v>4</v>
      </c>
      <c r="B25" s="77">
        <f t="shared" si="0"/>
        <v>0.20208279569639531</v>
      </c>
      <c r="C25" s="73">
        <f t="shared" si="2"/>
        <v>3.7979172043036047</v>
      </c>
      <c r="D25" s="73">
        <v>185.89903773770001</v>
      </c>
      <c r="E25" s="73">
        <v>5309.4697954567</v>
      </c>
      <c r="F25" s="73">
        <v>4765.5980299999992</v>
      </c>
      <c r="G25" s="73">
        <v>5212.2980793312017</v>
      </c>
      <c r="H25" s="73">
        <v>5145.0422182551001</v>
      </c>
      <c r="I25" s="73">
        <v>5055.5610765263</v>
      </c>
    </row>
    <row r="26" spans="1:16">
      <c r="A26" s="41">
        <v>4</v>
      </c>
      <c r="B26" s="77">
        <f t="shared" si="0"/>
        <v>0.18303678223235842</v>
      </c>
      <c r="C26" s="73">
        <f t="shared" si="2"/>
        <v>3.8169632177676416</v>
      </c>
      <c r="D26" s="73">
        <v>227.80190999999999</v>
      </c>
      <c r="E26" s="73">
        <v>6490.2598400000006</v>
      </c>
      <c r="F26" s="73">
        <v>5854.0382</v>
      </c>
      <c r="G26" s="73">
        <v>0</v>
      </c>
      <c r="H26" s="73">
        <v>6204.5054600000003</v>
      </c>
      <c r="I26" s="73">
        <v>6048.6948600000005</v>
      </c>
    </row>
    <row r="27" spans="1:16">
      <c r="A27" s="41">
        <v>4.0599999999999996</v>
      </c>
      <c r="B27" s="77">
        <f t="shared" si="0"/>
        <v>0.18368282990984497</v>
      </c>
      <c r="C27" s="73">
        <f t="shared" si="2"/>
        <v>3.8763171700901546</v>
      </c>
      <c r="D27" s="73">
        <v>550.24766999999997</v>
      </c>
      <c r="E27" s="73">
        <v>15950.47242</v>
      </c>
      <c r="F27" s="73">
        <v>13714.92697</v>
      </c>
      <c r="G27" s="73">
        <v>15407.335930000001</v>
      </c>
      <c r="H27" s="73">
        <v>15125.817289999999</v>
      </c>
      <c r="I27" s="73">
        <v>14333.401880000001</v>
      </c>
    </row>
    <row r="28" spans="1:16">
      <c r="A28" s="41">
        <v>4.07</v>
      </c>
      <c r="B28" s="77">
        <f t="shared" si="0"/>
        <v>8.8432405764850675E-2</v>
      </c>
      <c r="C28" s="73">
        <f t="shared" si="2"/>
        <v>3.9815675942351496</v>
      </c>
      <c r="D28" s="73">
        <v>474.14</v>
      </c>
      <c r="E28" s="73">
        <v>12905.77</v>
      </c>
      <c r="F28" s="73">
        <v>11765.89</v>
      </c>
      <c r="G28" s="73">
        <v>0</v>
      </c>
      <c r="H28" s="73">
        <v>0</v>
      </c>
      <c r="I28" s="73">
        <v>0</v>
      </c>
      <c r="J28" s="73">
        <f>K28/SUMPRODUCT(L28:P28,$L$4:$P$4)*SUMIFS($L$4:$P$4,L28:P28,"&gt;0")*100</f>
        <v>1.1587613587583443</v>
      </c>
      <c r="K28" s="73">
        <v>56.671550000000003</v>
      </c>
      <c r="L28" s="73">
        <v>5046.04025</v>
      </c>
      <c r="M28" s="73">
        <v>4868.9988499999999</v>
      </c>
      <c r="N28" s="73">
        <v>0</v>
      </c>
      <c r="O28" s="73">
        <v>4757.0630300000003</v>
      </c>
      <c r="P28" s="73">
        <v>0</v>
      </c>
    </row>
    <row r="29" spans="1:16">
      <c r="A29" s="41">
        <v>4.09</v>
      </c>
      <c r="B29" s="77">
        <f t="shared" si="0"/>
        <v>0.19929327561180576</v>
      </c>
      <c r="C29" s="73">
        <f t="shared" si="2"/>
        <v>3.8907067243881941</v>
      </c>
      <c r="D29" s="73">
        <v>616.02431000000001</v>
      </c>
      <c r="E29" s="73">
        <v>16352.964200000002</v>
      </c>
      <c r="F29" s="73">
        <v>15622.717719999999</v>
      </c>
      <c r="G29" s="73">
        <v>16469.240000000002</v>
      </c>
      <c r="H29" s="73">
        <v>16419.871540131098</v>
      </c>
      <c r="I29" s="73">
        <v>15931.52</v>
      </c>
    </row>
    <row r="30" spans="1:16">
      <c r="A30" s="41">
        <v>4.1100000000000003</v>
      </c>
      <c r="B30" s="77">
        <f t="shared" si="0"/>
        <v>5.0614177667137383E-2</v>
      </c>
      <c r="C30" s="73">
        <f t="shared" si="2"/>
        <v>4.0593858223328629</v>
      </c>
      <c r="D30" s="73">
        <v>179.80355</v>
      </c>
      <c r="E30" s="73">
        <v>5000.2612499999996</v>
      </c>
      <c r="F30" s="73">
        <v>4282.1325099999995</v>
      </c>
      <c r="G30" s="73">
        <v>4844.4352700000009</v>
      </c>
      <c r="H30" s="73">
        <v>4658.4884100000008</v>
      </c>
      <c r="I30" s="73">
        <v>4474.7885699999997</v>
      </c>
    </row>
    <row r="31" spans="1:16">
      <c r="A31" s="41">
        <v>4.1100000000000003</v>
      </c>
      <c r="B31" s="77">
        <f t="shared" si="0"/>
        <v>0.19109599202346006</v>
      </c>
      <c r="C31" s="73">
        <f t="shared" si="2"/>
        <v>3.9189040079765403</v>
      </c>
      <c r="D31" s="73">
        <v>3136.09</v>
      </c>
      <c r="E31" s="73">
        <v>83971.319999999992</v>
      </c>
      <c r="F31" s="73">
        <v>78977.22</v>
      </c>
      <c r="G31" s="73">
        <v>84469.26999999999</v>
      </c>
      <c r="H31" s="73">
        <v>80942.98</v>
      </c>
      <c r="I31" s="73">
        <v>80514.45</v>
      </c>
    </row>
    <row r="32" spans="1:16">
      <c r="A32" s="41">
        <v>4.12</v>
      </c>
      <c r="B32" s="77">
        <f t="shared" si="0"/>
        <v>2.5184951595946359E-2</v>
      </c>
      <c r="C32" s="73">
        <f t="shared" si="2"/>
        <v>4.0948150484040537</v>
      </c>
      <c r="D32" s="73">
        <v>62.839399999999998</v>
      </c>
      <c r="E32" s="73">
        <v>1659.2072100000003</v>
      </c>
      <c r="F32" s="73">
        <v>1505.0330700000002</v>
      </c>
      <c r="G32" s="73">
        <v>1604.2955199999999</v>
      </c>
      <c r="H32" s="73">
        <v>1573.5184200000001</v>
      </c>
      <c r="I32" s="73">
        <v>1551.97011</v>
      </c>
    </row>
    <row r="33" spans="1:16">
      <c r="A33" s="41">
        <v>4.1399999999999997</v>
      </c>
      <c r="B33" s="77">
        <f t="shared" si="0"/>
        <v>0.31779173593522358</v>
      </c>
      <c r="C33" s="73">
        <f t="shared" si="2"/>
        <v>3.8222082640647761</v>
      </c>
      <c r="D33" s="73">
        <v>3287.46</v>
      </c>
      <c r="E33" s="73">
        <v>91295.189999999988</v>
      </c>
      <c r="F33" s="73">
        <v>84674.37999999999</v>
      </c>
      <c r="G33" s="73">
        <v>89304.459999999977</v>
      </c>
      <c r="H33" s="73">
        <v>88195.53</v>
      </c>
      <c r="I33" s="73">
        <v>86461.619999999981</v>
      </c>
    </row>
    <row r="34" spans="1:16">
      <c r="A34" s="41">
        <v>4.1500000000000004</v>
      </c>
      <c r="B34" s="77">
        <f t="shared" si="0"/>
        <v>0.26298830313634269</v>
      </c>
      <c r="C34" s="73">
        <f t="shared" si="2"/>
        <v>4.412988303136343</v>
      </c>
      <c r="D34" s="73">
        <v>107.4585175668</v>
      </c>
      <c r="E34" s="73">
        <v>2623.5802052883996</v>
      </c>
      <c r="F34" s="73">
        <v>2399.6211938513998</v>
      </c>
      <c r="G34" s="73">
        <v>2554.0105540398004</v>
      </c>
      <c r="H34" s="73">
        <v>0</v>
      </c>
      <c r="I34" s="73">
        <v>0</v>
      </c>
      <c r="J34" s="73">
        <f>K34/SUMPRODUCT(L34:P34,$L$4:$P$4)*SUMIFS($L$4:$P$4,L34:P34,"&gt;0")*100</f>
        <v>1.9388836749474583</v>
      </c>
      <c r="K34" s="73">
        <v>46.282350000000001</v>
      </c>
      <c r="L34" s="73">
        <v>2501.8565100000001</v>
      </c>
      <c r="M34" s="73">
        <v>2241.3561300000001</v>
      </c>
      <c r="N34" s="73">
        <v>0</v>
      </c>
      <c r="O34" s="73">
        <v>2417.9725199999998</v>
      </c>
      <c r="P34" s="73">
        <v>0</v>
      </c>
    </row>
    <row r="35" spans="1:16">
      <c r="A35" s="41">
        <v>4.17</v>
      </c>
      <c r="B35" s="77">
        <f t="shared" si="0"/>
        <v>0.199582332483907</v>
      </c>
      <c r="C35" s="73">
        <f t="shared" si="2"/>
        <v>3.9704176675160929</v>
      </c>
      <c r="D35" s="73">
        <v>138.70321999999999</v>
      </c>
      <c r="E35" s="73">
        <v>4020.3585499999999</v>
      </c>
      <c r="F35" s="73">
        <v>3419.6856699999998</v>
      </c>
      <c r="G35" s="73">
        <v>3597.0755800000002</v>
      </c>
      <c r="H35" s="73">
        <v>3493.14885</v>
      </c>
      <c r="I35" s="73">
        <v>3368.6372600000004</v>
      </c>
    </row>
    <row r="36" spans="1:16">
      <c r="A36" s="41">
        <v>4.17</v>
      </c>
      <c r="B36" s="77">
        <f t="shared" si="0"/>
        <v>0.27633597268568444</v>
      </c>
      <c r="C36" s="73">
        <f t="shared" si="2"/>
        <v>3.8936640273143155</v>
      </c>
      <c r="D36" s="73">
        <v>232.64138</v>
      </c>
      <c r="E36" s="73">
        <v>6641.6919699999999</v>
      </c>
      <c r="F36" s="73">
        <v>5796.7820613595004</v>
      </c>
      <c r="G36" s="73">
        <v>6433.4043494559</v>
      </c>
      <c r="H36" s="73">
        <v>6291.8072616129002</v>
      </c>
      <c r="I36" s="73">
        <v>6042.0566141595</v>
      </c>
    </row>
    <row r="37" spans="1:16">
      <c r="A37" s="41">
        <v>4.1900000000000004</v>
      </c>
      <c r="B37" s="77">
        <f t="shared" si="0"/>
        <v>0.30510399709604119</v>
      </c>
      <c r="C37" s="73">
        <f t="shared" si="2"/>
        <v>3.8848960029039592</v>
      </c>
      <c r="D37" s="73">
        <v>1293.43905</v>
      </c>
      <c r="E37" s="73">
        <v>33707.122059999994</v>
      </c>
      <c r="F37" s="73">
        <v>33150.431299999989</v>
      </c>
      <c r="G37" s="73">
        <v>0</v>
      </c>
      <c r="H37" s="73">
        <v>33886.269999999997</v>
      </c>
      <c r="I37" s="73">
        <v>0</v>
      </c>
    </row>
    <row r="38" spans="1:16">
      <c r="A38" s="41">
        <v>4.2</v>
      </c>
      <c r="B38" s="77">
        <f t="shared" si="0"/>
        <v>3.4721839300075885E-2</v>
      </c>
      <c r="C38" s="73">
        <f t="shared" si="2"/>
        <v>4.1652781606999243</v>
      </c>
      <c r="D38" s="73">
        <v>32.397050565000001</v>
      </c>
      <c r="E38" s="73">
        <v>840.49837065339989</v>
      </c>
      <c r="F38" s="73">
        <v>763.09499742569994</v>
      </c>
      <c r="G38" s="73">
        <v>809.13864664869993</v>
      </c>
      <c r="H38" s="73">
        <v>800.11917476060012</v>
      </c>
      <c r="I38" s="73">
        <v>782.06439620050003</v>
      </c>
      <c r="J38" s="73">
        <f>K38/SUMPRODUCT(L38:P38,$L$4:$P$4)*SUMIFS($L$4:$P$4,L38:P38,"&gt;0")*100</f>
        <v>1.7573254949056256</v>
      </c>
      <c r="K38" s="73">
        <v>5866.89</v>
      </c>
      <c r="L38" s="73">
        <v>347466.93</v>
      </c>
      <c r="M38" s="73">
        <v>306470.24</v>
      </c>
      <c r="N38" s="73">
        <v>347675.08</v>
      </c>
      <c r="O38" s="73">
        <v>340719.35999999999</v>
      </c>
      <c r="P38" s="73">
        <v>326935.13</v>
      </c>
    </row>
    <row r="39" spans="1:16">
      <c r="A39" s="41">
        <v>4.22</v>
      </c>
      <c r="B39" s="77">
        <f t="shared" si="0"/>
        <v>0.7089525789362181</v>
      </c>
      <c r="C39" s="73">
        <f t="shared" si="2"/>
        <v>4.9289525789362179</v>
      </c>
      <c r="D39" s="73">
        <v>436.14017999999999</v>
      </c>
      <c r="E39" s="73">
        <v>12968.45652</v>
      </c>
      <c r="F39" s="73">
        <v>7487.944480000001</v>
      </c>
      <c r="G39" s="73">
        <v>12622.717140000001</v>
      </c>
      <c r="H39" s="73">
        <v>12365.672610000001</v>
      </c>
      <c r="I39" s="73">
        <v>0</v>
      </c>
      <c r="J39" s="73">
        <f>K39/SUMPRODUCT(L39:P39,$L$4:$P$4)*SUMIFS($L$4:$P$4,L39:P39,"&gt;0")*100</f>
        <v>2.1641828128352216</v>
      </c>
      <c r="K39" s="73">
        <v>71.259998820799993</v>
      </c>
      <c r="L39" s="73">
        <v>3445.6995496921995</v>
      </c>
      <c r="M39" s="73">
        <v>3148.4661807825</v>
      </c>
      <c r="N39" s="73">
        <v>0</v>
      </c>
      <c r="O39" s="73">
        <v>3283.9275246109996</v>
      </c>
      <c r="P39" s="73">
        <v>0</v>
      </c>
    </row>
    <row r="40" spans="1:16">
      <c r="A40" s="41">
        <v>4.22</v>
      </c>
      <c r="B40" s="77">
        <f t="shared" si="0"/>
        <v>0.38201505249231493</v>
      </c>
      <c r="C40" s="73">
        <f t="shared" si="2"/>
        <v>3.8379849475076848</v>
      </c>
      <c r="D40" s="73">
        <v>198.30162000000001</v>
      </c>
      <c r="E40" s="73">
        <v>5195.4712800000007</v>
      </c>
      <c r="F40" s="73">
        <v>5141.5079599999999</v>
      </c>
      <c r="G40" s="73">
        <v>5226.8965899999994</v>
      </c>
      <c r="H40" s="73">
        <v>5274.0234</v>
      </c>
      <c r="I40" s="73">
        <v>5189.3224299999993</v>
      </c>
    </row>
    <row r="41" spans="1:16">
      <c r="A41" s="41">
        <v>4.2300000000000004</v>
      </c>
      <c r="B41" s="77">
        <f t="shared" si="0"/>
        <v>0.33106173779174064</v>
      </c>
      <c r="C41" s="73">
        <f t="shared" si="2"/>
        <v>3.8989382622082598</v>
      </c>
      <c r="D41" s="73">
        <v>165.88556</v>
      </c>
      <c r="E41" s="73">
        <v>4264.5208599999996</v>
      </c>
      <c r="F41" s="73">
        <v>4229.1515499999996</v>
      </c>
      <c r="G41" s="73">
        <v>4280.6633899999988</v>
      </c>
      <c r="H41" s="73">
        <v>4362.7572099999998</v>
      </c>
      <c r="I41" s="73">
        <v>4349.3423899999989</v>
      </c>
      <c r="J41" s="73">
        <f>K41/SUMPRODUCT(L41:P41,$L$4:$P$4)*SUMIFS($L$4:$P$4,L41:P41,"&gt;0")*100</f>
        <v>3.2555652633718046</v>
      </c>
      <c r="K41" s="73">
        <v>127.0278351348</v>
      </c>
      <c r="L41" s="73">
        <v>4018.4667159356</v>
      </c>
      <c r="M41" s="73">
        <v>3688.8199926540997</v>
      </c>
      <c r="N41" s="73">
        <v>4020.6317292378003</v>
      </c>
      <c r="O41" s="73">
        <v>3990.7704124015004</v>
      </c>
      <c r="P41" s="73">
        <v>3790.6474490588002</v>
      </c>
    </row>
    <row r="42" spans="1:16">
      <c r="A42" s="41">
        <v>4.2300000000000004</v>
      </c>
      <c r="B42" s="77">
        <f t="shared" si="0"/>
        <v>0.14951250875055422</v>
      </c>
      <c r="C42" s="73">
        <f t="shared" si="2"/>
        <v>4.0804874912494462</v>
      </c>
      <c r="D42" s="73">
        <v>189.24607071</v>
      </c>
      <c r="E42" s="73">
        <v>5173.7792473199997</v>
      </c>
      <c r="F42" s="73">
        <v>4466.8002507199999</v>
      </c>
      <c r="G42" s="73">
        <v>5018.7713680400002</v>
      </c>
      <c r="H42" s="73">
        <v>4980.0643999100012</v>
      </c>
      <c r="I42" s="73">
        <v>4894.9366974499999</v>
      </c>
    </row>
    <row r="43" spans="1:16">
      <c r="A43" s="41">
        <v>4.24</v>
      </c>
      <c r="B43" s="77">
        <f t="shared" si="0"/>
        <v>1.0856670958301784E-2</v>
      </c>
      <c r="C43" s="73">
        <f t="shared" si="2"/>
        <v>4.250856670958302</v>
      </c>
      <c r="D43" s="73">
        <v>102.8675097129</v>
      </c>
      <c r="E43" s="73">
        <v>2582.3100410356001</v>
      </c>
      <c r="F43" s="73">
        <v>2370.3544821611999</v>
      </c>
      <c r="G43" s="73">
        <v>2580.1708520000002</v>
      </c>
      <c r="H43" s="73">
        <v>2505.1902868313</v>
      </c>
      <c r="I43" s="73">
        <v>2458.3499419999998</v>
      </c>
      <c r="J43" s="73">
        <f>K43/SUMPRODUCT(L43:P43,$L$4:$P$4)*SUMIFS($L$4:$P$4,L43:P43,"&gt;0")*100</f>
        <v>1.9335753025238152</v>
      </c>
      <c r="K43" s="73">
        <v>25.552881819899998</v>
      </c>
      <c r="L43" s="73">
        <v>1404.6881960997</v>
      </c>
      <c r="M43" s="73">
        <v>1217.3442322111</v>
      </c>
      <c r="N43" s="73">
        <v>1379.517146059</v>
      </c>
      <c r="O43" s="73">
        <v>1324.4828077082</v>
      </c>
      <c r="P43" s="73">
        <v>1281.644543291</v>
      </c>
    </row>
    <row r="44" spans="1:16">
      <c r="A44" s="41">
        <v>4.24</v>
      </c>
      <c r="B44" s="77">
        <f t="shared" si="0"/>
        <v>6.156528901283842E-2</v>
      </c>
      <c r="C44" s="73">
        <f t="shared" si="2"/>
        <v>4.3015652890128386</v>
      </c>
      <c r="D44" s="73">
        <v>343.3612</v>
      </c>
      <c r="E44" s="73">
        <v>9091.2449799999995</v>
      </c>
      <c r="F44" s="73">
        <v>7604.7881300000008</v>
      </c>
      <c r="G44" s="73">
        <v>8994.1793599999983</v>
      </c>
      <c r="H44" s="73">
        <v>8850.6134500000007</v>
      </c>
      <c r="I44" s="73">
        <v>8299.8396799999991</v>
      </c>
    </row>
    <row r="45" spans="1:16">
      <c r="A45" s="41">
        <v>4.25</v>
      </c>
      <c r="B45" s="77">
        <f t="shared" si="0"/>
        <v>5.7251058407103983E-4</v>
      </c>
      <c r="C45" s="73">
        <f t="shared" si="2"/>
        <v>4.249427489415929</v>
      </c>
      <c r="D45" s="73">
        <v>303.85696999999999</v>
      </c>
      <c r="E45" s="73">
        <v>7489.1637200000014</v>
      </c>
      <c r="F45" s="73">
        <v>7068.5002000000004</v>
      </c>
      <c r="G45" s="73">
        <v>0</v>
      </c>
      <c r="H45" s="73">
        <v>7386.1858996106012</v>
      </c>
      <c r="I45" s="73">
        <v>0</v>
      </c>
      <c r="J45" s="73">
        <f>K45/SUMPRODUCT(L45:P45,$L$4:$P$4)*SUMIFS($L$4:$P$4,L45:P45,"&gt;0")*100</f>
        <v>3.3568553298376815</v>
      </c>
      <c r="K45" s="73">
        <v>78.67756</v>
      </c>
      <c r="L45" s="73">
        <v>2468.9730300000001</v>
      </c>
      <c r="M45" s="73">
        <v>2144.94067</v>
      </c>
      <c r="N45" s="73">
        <v>2375.3586743743999</v>
      </c>
      <c r="O45" s="73">
        <v>2396.3809799999999</v>
      </c>
      <c r="P45" s="73">
        <v>2333.2847989424999</v>
      </c>
    </row>
    <row r="46" spans="1:16">
      <c r="A46" s="41">
        <v>4.25</v>
      </c>
      <c r="B46" s="77">
        <f t="shared" si="0"/>
        <v>0.45704711866306935</v>
      </c>
      <c r="C46" s="73">
        <f t="shared" si="2"/>
        <v>3.7929528813369306</v>
      </c>
      <c r="D46" s="73">
        <v>787.31</v>
      </c>
      <c r="E46" s="73">
        <v>23438.190000000002</v>
      </c>
      <c r="F46" s="73">
        <v>19938.79</v>
      </c>
      <c r="G46" s="73">
        <v>22890.1</v>
      </c>
      <c r="H46" s="73">
        <v>22149.75</v>
      </c>
      <c r="I46" s="73">
        <v>21934.53</v>
      </c>
    </row>
    <row r="47" spans="1:16">
      <c r="A47" s="41">
        <v>4.26</v>
      </c>
      <c r="B47" s="77">
        <f t="shared" si="0"/>
        <v>0.18167849475223896</v>
      </c>
      <c r="C47" s="73">
        <f t="shared" si="2"/>
        <v>4.0783215052477608</v>
      </c>
      <c r="D47" s="73">
        <v>2413.09</v>
      </c>
      <c r="E47" s="73">
        <v>62058.44000000001</v>
      </c>
      <c r="F47" s="73">
        <v>58147.700000000004</v>
      </c>
      <c r="G47" s="73">
        <v>61358.490000000005</v>
      </c>
      <c r="H47" s="73">
        <v>61239.19</v>
      </c>
      <c r="I47" s="73">
        <v>61352.54</v>
      </c>
    </row>
    <row r="48" spans="1:16">
      <c r="A48" s="41">
        <v>4.28</v>
      </c>
      <c r="B48" s="77">
        <f t="shared" si="0"/>
        <v>0.17725121661014231</v>
      </c>
      <c r="C48" s="73">
        <f t="shared" si="2"/>
        <v>4.1027487833898579</v>
      </c>
      <c r="D48" s="73">
        <v>1513.15</v>
      </c>
      <c r="E48" s="73">
        <v>38355.58</v>
      </c>
      <c r="F48" s="73">
        <v>36392.659999999996</v>
      </c>
      <c r="G48" s="73">
        <v>37790.879999999997</v>
      </c>
      <c r="H48" s="73">
        <v>37933.060000000005</v>
      </c>
      <c r="I48" s="73">
        <v>37762.020000000004</v>
      </c>
    </row>
    <row r="49" spans="1:16">
      <c r="A49" s="41">
        <v>4.32</v>
      </c>
      <c r="B49" s="77">
        <f t="shared" si="0"/>
        <v>0.12887304861824678</v>
      </c>
      <c r="C49" s="73">
        <f t="shared" si="2"/>
        <v>4.1911269513817535</v>
      </c>
      <c r="D49" s="73">
        <v>209.90725</v>
      </c>
      <c r="E49" s="73">
        <v>5055.5183500000003</v>
      </c>
      <c r="F49" s="73">
        <v>4985.1125399999992</v>
      </c>
      <c r="G49" s="73">
        <v>5188.99</v>
      </c>
      <c r="H49" s="73">
        <v>5055.9018200000019</v>
      </c>
      <c r="I49" s="73">
        <v>4964.0442560000001</v>
      </c>
      <c r="J49" s="73">
        <f>K49/SUMPRODUCT(L49:P49,$L$4:$P$4)*SUMIFS($L$4:$P$4,L49:P49,"&gt;0")*100</f>
        <v>2.5782418570129586</v>
      </c>
      <c r="K49" s="73">
        <v>124.67240952749999</v>
      </c>
      <c r="L49" s="73">
        <v>5024.0355799999998</v>
      </c>
      <c r="M49" s="73">
        <v>4344.5657199999996</v>
      </c>
      <c r="N49" s="73">
        <v>5143.6967805275999</v>
      </c>
      <c r="O49" s="73">
        <v>4887.2462668177004</v>
      </c>
      <c r="P49" s="73">
        <v>4778.2513059958001</v>
      </c>
    </row>
    <row r="50" spans="1:16">
      <c r="A50" s="41">
        <v>4.32</v>
      </c>
      <c r="B50" s="77">
        <f t="shared" si="0"/>
        <v>0.4697702120474192</v>
      </c>
      <c r="C50" s="73">
        <f t="shared" si="2"/>
        <v>3.8502297879525811</v>
      </c>
      <c r="D50" s="73">
        <v>689.45147999999995</v>
      </c>
      <c r="E50" s="73">
        <v>20371.342170000004</v>
      </c>
      <c r="F50" s="73">
        <v>17273.504359999999</v>
      </c>
      <c r="G50" s="73">
        <v>19208.99785</v>
      </c>
      <c r="H50" s="73">
        <v>18901.15394</v>
      </c>
      <c r="I50" s="73">
        <v>18552.18651</v>
      </c>
    </row>
    <row r="51" spans="1:16">
      <c r="A51" s="41">
        <v>4.3600000000000003</v>
      </c>
      <c r="B51" s="77">
        <f t="shared" si="0"/>
        <v>0.32652730804465424</v>
      </c>
      <c r="C51" s="73">
        <f t="shared" si="2"/>
        <v>4.0334726919553461</v>
      </c>
      <c r="D51" s="73">
        <v>55.079758397399999</v>
      </c>
      <c r="E51" s="73">
        <v>1524.4003694096</v>
      </c>
      <c r="F51" s="73">
        <v>1322.2682094928</v>
      </c>
      <c r="G51" s="73">
        <v>1492.4649954531999</v>
      </c>
      <c r="H51" s="73">
        <v>1435.7476775278997</v>
      </c>
      <c r="I51" s="73">
        <v>1386.8172153845001</v>
      </c>
    </row>
    <row r="52" spans="1:16">
      <c r="A52" s="41">
        <v>4.37</v>
      </c>
      <c r="B52" s="77">
        <f t="shared" si="0"/>
        <v>0.10474821999835537</v>
      </c>
      <c r="C52" s="73">
        <f t="shared" si="2"/>
        <v>4.4747482199983555</v>
      </c>
      <c r="D52" s="73">
        <v>1019.83</v>
      </c>
      <c r="E52" s="73">
        <v>25240.7</v>
      </c>
      <c r="F52" s="73">
        <v>22028.319999999996</v>
      </c>
      <c r="G52" s="73">
        <v>24472.579999999998</v>
      </c>
      <c r="H52" s="73">
        <v>24290.919999999995</v>
      </c>
      <c r="I52" s="73">
        <v>23883.289999999997</v>
      </c>
    </row>
    <row r="53" spans="1:16">
      <c r="A53" s="41">
        <v>4.4000000000000004</v>
      </c>
      <c r="B53" s="77">
        <f t="shared" si="0"/>
        <v>0.44059593744647252</v>
      </c>
      <c r="C53" s="73">
        <f t="shared" si="2"/>
        <v>3.9594040625535278</v>
      </c>
      <c r="D53" s="73">
        <v>142.03623673889999</v>
      </c>
      <c r="E53" s="73">
        <v>3859.1420127023998</v>
      </c>
      <c r="F53" s="73">
        <v>3536.5239539476997</v>
      </c>
      <c r="G53" s="73">
        <v>0</v>
      </c>
      <c r="H53" s="73">
        <v>3671.0118740754006</v>
      </c>
      <c r="I53" s="73">
        <v>0</v>
      </c>
    </row>
    <row r="54" spans="1:16">
      <c r="A54" s="41">
        <v>4.42</v>
      </c>
      <c r="B54" s="77">
        <f t="shared" si="0"/>
        <v>7.7314884304777287E-2</v>
      </c>
      <c r="C54" s="73">
        <f t="shared" si="2"/>
        <v>4.3426851156952226</v>
      </c>
      <c r="D54" s="73">
        <v>609.62225999999998</v>
      </c>
      <c r="E54" s="73">
        <v>15451.205050000002</v>
      </c>
      <c r="F54" s="73">
        <v>13459.81164</v>
      </c>
      <c r="G54" s="73">
        <v>15758.7</v>
      </c>
      <c r="H54" s="73">
        <v>15390.85081</v>
      </c>
      <c r="I54" s="73">
        <v>14878.04</v>
      </c>
    </row>
    <row r="55" spans="1:16">
      <c r="A55" s="41">
        <v>4.43</v>
      </c>
      <c r="B55" s="77">
        <f t="shared" si="0"/>
        <v>2.8921393131052575E-2</v>
      </c>
      <c r="C55" s="73">
        <f t="shared" si="2"/>
        <v>4.4010786068689471</v>
      </c>
      <c r="D55" s="73">
        <v>199.47683000000001</v>
      </c>
      <c r="E55" s="73">
        <v>4657.6706999999997</v>
      </c>
      <c r="F55" s="73">
        <v>4484.1623600000003</v>
      </c>
      <c r="G55" s="73">
        <v>4692.15762</v>
      </c>
      <c r="H55" s="73">
        <v>4650.2950899999996</v>
      </c>
      <c r="I55" s="73">
        <v>4562.7025999999996</v>
      </c>
      <c r="J55" s="73">
        <f>K55/SUMPRODUCT(L55:P55,$L$4:$P$4)*SUMIFS($L$4:$P$4,L55:P55,"&gt;0")*100</f>
        <v>2.1040176236482182</v>
      </c>
      <c r="K55" s="73">
        <v>223.37759</v>
      </c>
      <c r="L55" s="73">
        <v>12167.054319999999</v>
      </c>
      <c r="M55" s="73">
        <v>6948.3447200000001</v>
      </c>
      <c r="N55" s="73">
        <v>11752.254430000001</v>
      </c>
      <c r="O55" s="73">
        <v>11599.213250000001</v>
      </c>
      <c r="P55" s="73">
        <v>0</v>
      </c>
    </row>
    <row r="56" spans="1:16">
      <c r="A56" s="41">
        <v>4.4400000000000004</v>
      </c>
      <c r="B56" s="77">
        <f t="shared" si="0"/>
        <v>3.5136910113662267E-2</v>
      </c>
      <c r="C56" s="73">
        <f t="shared" si="2"/>
        <v>4.4048630898863381</v>
      </c>
      <c r="D56" s="73">
        <v>275.33983000000001</v>
      </c>
      <c r="E56" s="73">
        <v>6753.4838199999995</v>
      </c>
      <c r="F56" s="73">
        <v>6103.9755800000003</v>
      </c>
      <c r="G56" s="73">
        <v>6613.5766099999992</v>
      </c>
      <c r="H56" s="73">
        <v>6546.8999199999998</v>
      </c>
      <c r="I56" s="73">
        <v>6346.2920000000004</v>
      </c>
    </row>
    <row r="57" spans="1:16">
      <c r="A57" s="41">
        <v>4.47</v>
      </c>
      <c r="B57" s="77">
        <f t="shared" si="0"/>
        <v>0.19426537842119362</v>
      </c>
      <c r="C57" s="73">
        <f t="shared" si="2"/>
        <v>4.6642653784211934</v>
      </c>
      <c r="D57" s="73">
        <v>77.765900620099998</v>
      </c>
      <c r="E57" s="73">
        <v>1842.6918486720999</v>
      </c>
      <c r="F57" s="73">
        <v>1616.4228587398002</v>
      </c>
      <c r="G57" s="73">
        <v>1816.8009872332998</v>
      </c>
      <c r="H57" s="73">
        <v>1744.7614872609001</v>
      </c>
      <c r="I57" s="73">
        <v>1723.7737101010998</v>
      </c>
    </row>
    <row r="58" spans="1:16">
      <c r="A58" s="41">
        <v>4.51</v>
      </c>
      <c r="B58" s="77">
        <f t="shared" si="0"/>
        <v>0.16001339716977547</v>
      </c>
      <c r="C58" s="73">
        <f t="shared" si="2"/>
        <v>4.3499866028302243</v>
      </c>
      <c r="D58" s="73">
        <v>212.81180340650002</v>
      </c>
      <c r="E58" s="73">
        <v>5442.6248020471003</v>
      </c>
      <c r="F58" s="73">
        <v>4729.3092022289002</v>
      </c>
      <c r="G58" s="73">
        <v>5411.3404156606994</v>
      </c>
      <c r="H58" s="73">
        <v>5153.9577425828002</v>
      </c>
      <c r="I58" s="73">
        <v>5029.9743205446011</v>
      </c>
      <c r="J58" s="73">
        <f>K58/SUMPRODUCT(L58:P58,$L$4:$P$4)*SUMIFS($L$4:$P$4,L58:P58,"&gt;0")*100</f>
        <v>2.2676809342760524</v>
      </c>
      <c r="K58" s="73">
        <v>178.27316999999999</v>
      </c>
      <c r="L58" s="73">
        <v>8349.3354999999992</v>
      </c>
      <c r="M58" s="73">
        <v>7329.2194399999998</v>
      </c>
      <c r="N58" s="73">
        <v>8095.87147</v>
      </c>
      <c r="O58" s="73">
        <v>7919.0182800000002</v>
      </c>
      <c r="P58" s="73">
        <v>7613.93037</v>
      </c>
    </row>
    <row r="59" spans="1:16">
      <c r="A59" s="41">
        <v>4.53</v>
      </c>
      <c r="B59" s="77">
        <f t="shared" si="0"/>
        <v>0.17172979915506836</v>
      </c>
      <c r="C59" s="73">
        <f t="shared" si="2"/>
        <v>4.3582702008449319</v>
      </c>
      <c r="D59" s="73">
        <v>433.48174999999998</v>
      </c>
      <c r="E59" s="73">
        <v>10589.529070000002</v>
      </c>
      <c r="F59" s="73">
        <v>9807.0419099999981</v>
      </c>
      <c r="G59" s="73">
        <v>0</v>
      </c>
      <c r="H59" s="73">
        <v>10276.87003</v>
      </c>
      <c r="I59" s="73">
        <v>0</v>
      </c>
      <c r="J59" s="73">
        <f>K59/SUMPRODUCT(L59:P59,$L$4:$P$4)*SUMIFS($L$4:$P$4,L59:P59,"&gt;0")*100</f>
        <v>2.1212480695977738</v>
      </c>
      <c r="K59" s="73">
        <v>30.904540000000001</v>
      </c>
      <c r="L59" s="73">
        <v>1530.7395100000001</v>
      </c>
      <c r="M59" s="73">
        <v>1386.1172099999999</v>
      </c>
      <c r="N59" s="73">
        <v>1481.2511199999999</v>
      </c>
      <c r="O59" s="73">
        <v>1454.3776499999999</v>
      </c>
      <c r="P59" s="73">
        <v>1432.0326299999999</v>
      </c>
    </row>
    <row r="60" spans="1:16">
      <c r="A60" s="41">
        <v>4.53</v>
      </c>
      <c r="B60" s="77">
        <f t="shared" si="0"/>
        <v>0.1999763385007931</v>
      </c>
      <c r="C60" s="73">
        <f t="shared" si="2"/>
        <v>4.3300236614992071</v>
      </c>
      <c r="D60" s="73">
        <v>1157.06547</v>
      </c>
      <c r="E60" s="73">
        <v>29456.841060000002</v>
      </c>
      <c r="F60" s="73">
        <v>25892.324730000004</v>
      </c>
      <c r="G60" s="73">
        <v>28893.717970000002</v>
      </c>
      <c r="H60" s="73">
        <v>28402.3616</v>
      </c>
      <c r="I60" s="73">
        <v>27333.735659999998</v>
      </c>
    </row>
    <row r="61" spans="1:16">
      <c r="A61" s="41">
        <v>4.62</v>
      </c>
      <c r="B61" s="77">
        <f t="shared" si="0"/>
        <v>1.9331407942089207E-2</v>
      </c>
      <c r="C61" s="73">
        <f t="shared" si="2"/>
        <v>4.6006685920579109</v>
      </c>
      <c r="D61" s="73">
        <v>185.90641626619998</v>
      </c>
      <c r="E61" s="73">
        <v>4301.2027210321003</v>
      </c>
      <c r="F61" s="73">
        <v>3949.2137906359999</v>
      </c>
      <c r="G61" s="73">
        <v>4313.4639081107007</v>
      </c>
      <c r="H61" s="73">
        <v>4271.5970221508005</v>
      </c>
      <c r="I61" s="73">
        <v>4069.0737194492003</v>
      </c>
      <c r="J61" s="73">
        <f>K61/SUMPRODUCT(L61:P61,$L$4:$P$4)*SUMIFS($L$4:$P$4,L61:P61,"&gt;0")*100</f>
        <v>2.2228565871415302</v>
      </c>
      <c r="K61" s="73">
        <v>178.17553000000001</v>
      </c>
      <c r="L61" s="73">
        <v>8472.8619600000002</v>
      </c>
      <c r="M61" s="73">
        <v>7091.4172799999997</v>
      </c>
      <c r="N61" s="73">
        <v>8423.8667299999997</v>
      </c>
      <c r="O61" s="73">
        <v>8317.5398800000003</v>
      </c>
      <c r="P61" s="73">
        <v>7772.3675499999999</v>
      </c>
    </row>
    <row r="62" spans="1:16">
      <c r="A62" s="41">
        <v>4.6500000000000004</v>
      </c>
      <c r="B62" s="77">
        <f t="shared" si="0"/>
        <v>0.23275204355827928</v>
      </c>
      <c r="C62" s="73">
        <f t="shared" si="2"/>
        <v>4.4172479564417211</v>
      </c>
      <c r="D62" s="73">
        <v>250.57162</v>
      </c>
      <c r="E62" s="73">
        <v>5795.9197700000004</v>
      </c>
      <c r="F62" s="73">
        <v>5637.1757000000007</v>
      </c>
      <c r="G62" s="73">
        <v>5841.30753</v>
      </c>
      <c r="H62" s="73">
        <v>5730.4003500000008</v>
      </c>
      <c r="I62" s="73">
        <v>5637.0547299999998</v>
      </c>
      <c r="J62" s="73">
        <f>K62/SUMPRODUCT(L62:P62,$L$4:$P$4)*SUMIFS($L$4:$P$4,L62:P62,"&gt;0")*100</f>
        <v>2.2810851739130982</v>
      </c>
      <c r="K62" s="73">
        <v>56.21255</v>
      </c>
      <c r="L62" s="73">
        <v>2600.2242200000001</v>
      </c>
      <c r="M62" s="73">
        <v>2223.7141000000001</v>
      </c>
      <c r="N62" s="73">
        <v>2560.7380400000002</v>
      </c>
      <c r="O62" s="73">
        <v>2497.04468</v>
      </c>
      <c r="P62" s="73">
        <v>2439.7281200000002</v>
      </c>
    </row>
    <row r="63" spans="1:16">
      <c r="A63" s="41">
        <v>4.66</v>
      </c>
      <c r="B63" s="77">
        <f t="shared" si="0"/>
        <v>0.32803545298398706</v>
      </c>
      <c r="C63" s="73">
        <f t="shared" si="2"/>
        <v>4.9880354529839872</v>
      </c>
      <c r="D63" s="73">
        <v>145.0114384526</v>
      </c>
      <c r="E63" s="73">
        <v>3186.1831622555001</v>
      </c>
      <c r="F63" s="73">
        <v>2843.7738804586998</v>
      </c>
      <c r="G63" s="73">
        <v>0</v>
      </c>
      <c r="H63" s="73">
        <v>3072.0682775334008</v>
      </c>
      <c r="I63" s="73">
        <v>0</v>
      </c>
      <c r="J63" s="73">
        <f>K63/SUMPRODUCT(L63:P63,$L$4:$P$4)*SUMIFS($L$4:$P$4,L63:P63,"&gt;0")*100</f>
        <v>2.9155985399154711</v>
      </c>
      <c r="K63" s="73">
        <v>170.57830000000001</v>
      </c>
      <c r="L63" s="73">
        <v>6273.8217299999997</v>
      </c>
      <c r="M63" s="73">
        <v>5618.4162800000004</v>
      </c>
      <c r="N63" s="73">
        <v>0</v>
      </c>
      <c r="O63" s="73">
        <v>5771.0313999999998</v>
      </c>
      <c r="P63" s="73">
        <v>5738.89624</v>
      </c>
    </row>
    <row r="64" spans="1:16">
      <c r="A64" s="41">
        <v>4.8</v>
      </c>
      <c r="B64" s="77">
        <f t="shared" si="0"/>
        <v>0.38683831711082473</v>
      </c>
      <c r="C64" s="73">
        <f t="shared" si="2"/>
        <v>4.4131616828891751</v>
      </c>
      <c r="D64" s="73">
        <v>357.94626</v>
      </c>
      <c r="E64" s="73">
        <v>8958.8140200000016</v>
      </c>
      <c r="F64" s="73">
        <v>7885.2811099999999</v>
      </c>
      <c r="G64" s="73">
        <v>8704.3474799999985</v>
      </c>
      <c r="H64" s="73">
        <v>8508.3302899999999</v>
      </c>
      <c r="I64" s="73">
        <v>8185.0336599999991</v>
      </c>
    </row>
    <row r="65" spans="1:16">
      <c r="A65" s="41">
        <v>4.83</v>
      </c>
      <c r="B65" s="77">
        <f t="shared" si="0"/>
        <v>0.15530980126663962</v>
      </c>
      <c r="C65" s="73">
        <f t="shared" si="2"/>
        <v>4.6746901987333604</v>
      </c>
      <c r="D65" s="73">
        <v>2288.7800000000002</v>
      </c>
      <c r="E65" s="73">
        <v>52090.569999999992</v>
      </c>
      <c r="F65" s="73">
        <v>48141.380000000005</v>
      </c>
      <c r="G65" s="73">
        <v>50954.060000000005</v>
      </c>
      <c r="H65" s="73">
        <v>49982.86</v>
      </c>
      <c r="I65" s="73">
        <v>50141.869999999988</v>
      </c>
    </row>
    <row r="66" spans="1:16">
      <c r="A66" s="41">
        <v>4.91</v>
      </c>
      <c r="B66" s="77">
        <f t="shared" si="0"/>
        <v>0.5633950532674481</v>
      </c>
      <c r="C66" s="73">
        <f t="shared" si="2"/>
        <v>4.346604946732552</v>
      </c>
      <c r="D66" s="73">
        <v>311.8890153877</v>
      </c>
      <c r="E66" s="73">
        <v>7807.0234520731983</v>
      </c>
      <c r="F66" s="73">
        <v>7087.9702117989</v>
      </c>
      <c r="G66" s="73">
        <v>0</v>
      </c>
      <c r="H66" s="73">
        <v>7156.3491000000004</v>
      </c>
      <c r="I66" s="73">
        <v>0</v>
      </c>
    </row>
    <row r="67" spans="1:16">
      <c r="A67" s="41">
        <v>4.95</v>
      </c>
      <c r="B67" s="77">
        <f t="shared" si="0"/>
        <v>0.46662687022066063</v>
      </c>
      <c r="C67" s="73">
        <f t="shared" si="2"/>
        <v>4.4833731297793395</v>
      </c>
      <c r="D67" s="73">
        <v>224.67060000000001</v>
      </c>
      <c r="E67" s="73">
        <v>5240.8328300000003</v>
      </c>
      <c r="F67" s="73">
        <v>4952.5178700000006</v>
      </c>
      <c r="G67" s="73">
        <v>0</v>
      </c>
      <c r="H67" s="73">
        <v>5192.3030800000015</v>
      </c>
      <c r="I67" s="73">
        <v>0</v>
      </c>
    </row>
    <row r="68" spans="1:16">
      <c r="A68" s="41">
        <v>5.07</v>
      </c>
      <c r="B68" s="77">
        <f t="shared" si="0"/>
        <v>0.4204179025752488</v>
      </c>
      <c r="C68" s="73">
        <f t="shared" si="2"/>
        <v>4.6495820974247515</v>
      </c>
      <c r="D68" s="73">
        <v>171.31278</v>
      </c>
      <c r="E68" s="73">
        <v>4084.0746999999997</v>
      </c>
      <c r="F68" s="73">
        <v>3563.7191600000001</v>
      </c>
      <c r="G68" s="73">
        <v>4061.47</v>
      </c>
      <c r="H68" s="73">
        <v>3880.8205399999997</v>
      </c>
      <c r="I68" s="73">
        <v>3806.21</v>
      </c>
    </row>
    <row r="69" spans="1:16">
      <c r="A69" s="41">
        <v>5.07</v>
      </c>
      <c r="B69" s="77">
        <f t="shared" si="0"/>
        <v>0.4204179025752488</v>
      </c>
      <c r="C69" s="73">
        <f t="shared" si="2"/>
        <v>4.6495820974247515</v>
      </c>
      <c r="D69" s="73">
        <v>171.31278</v>
      </c>
      <c r="E69" s="73">
        <v>4084.0746999999997</v>
      </c>
      <c r="F69" s="73">
        <v>3563.7191600000001</v>
      </c>
      <c r="G69" s="73">
        <v>4061.47</v>
      </c>
      <c r="H69" s="73">
        <v>3880.8205399999997</v>
      </c>
      <c r="I69" s="73">
        <v>3806.21</v>
      </c>
    </row>
    <row r="70" spans="1:16">
      <c r="A70" s="41">
        <v>5.18</v>
      </c>
      <c r="B70" s="77">
        <f t="shared" ref="B70:B72" si="3">ABS(A70-C70)</f>
        <v>6.5644540953876174E-2</v>
      </c>
      <c r="C70" s="73">
        <f t="shared" si="2"/>
        <v>5.2456445409538759</v>
      </c>
      <c r="D70" s="73">
        <v>132.32722999999999</v>
      </c>
      <c r="E70" s="73">
        <v>2834.0015900000003</v>
      </c>
      <c r="F70" s="73">
        <v>2424.1560200000004</v>
      </c>
      <c r="G70" s="73">
        <v>2795.3700800000006</v>
      </c>
      <c r="H70" s="73">
        <v>2702.54081</v>
      </c>
      <c r="I70" s="73">
        <v>2645.5899100000001</v>
      </c>
    </row>
    <row r="71" spans="1:16">
      <c r="A71" s="41">
        <v>5.65</v>
      </c>
      <c r="B71" s="77">
        <f t="shared" si="3"/>
        <v>0.43062390953040808</v>
      </c>
      <c r="C71" s="73">
        <f t="shared" si="2"/>
        <v>6.0806239095304084</v>
      </c>
      <c r="D71" s="73">
        <v>143.82696000000001</v>
      </c>
      <c r="E71" s="73">
        <v>2618.44904</v>
      </c>
      <c r="F71" s="73">
        <v>2284.9582899999996</v>
      </c>
      <c r="G71" s="73">
        <v>2532.0623502502999</v>
      </c>
      <c r="H71" s="73">
        <v>2533.1353399999998</v>
      </c>
      <c r="I71" s="73">
        <v>2481.998377939</v>
      </c>
      <c r="J71" s="73">
        <f>K71/SUMPRODUCT(L71:P71,$L$4:$P$4)*SUMIFS($L$4:$P$4,L71:P71,"&gt;0")*100</f>
        <v>2.4392738452516247</v>
      </c>
      <c r="K71" s="73">
        <v>277.85000000000002</v>
      </c>
      <c r="L71" s="73">
        <v>11921.23</v>
      </c>
      <c r="M71" s="73">
        <v>10860.14</v>
      </c>
      <c r="N71" s="73">
        <v>0</v>
      </c>
      <c r="O71" s="73">
        <v>0</v>
      </c>
      <c r="P71" s="73">
        <v>0</v>
      </c>
    </row>
    <row r="72" spans="1:16">
      <c r="A72" s="41">
        <v>5.66</v>
      </c>
      <c r="B72" s="77">
        <f t="shared" si="3"/>
        <v>0.12413278314848153</v>
      </c>
      <c r="C72" s="73">
        <f t="shared" si="2"/>
        <v>5.5358672168515186</v>
      </c>
      <c r="D72" s="73">
        <v>74.951340000000002</v>
      </c>
      <c r="E72" s="73">
        <v>1455.3024800000001</v>
      </c>
      <c r="F72" s="73">
        <v>1323.9678200000001</v>
      </c>
      <c r="G72" s="73">
        <v>1440.8829099999998</v>
      </c>
      <c r="H72" s="73">
        <v>1419.6052</v>
      </c>
      <c r="I72" s="73">
        <v>1352.1979799999999</v>
      </c>
      <c r="J72" s="73">
        <f>K72/SUMPRODUCT(L72:P72,$L$4:$P$4)*SUMIFS($L$4:$P$4,L72:P72,"&gt;0")*100</f>
        <v>2.3094911004928647</v>
      </c>
      <c r="K72" s="73">
        <v>321.68115</v>
      </c>
      <c r="L72" s="73">
        <v>14932.850479999999</v>
      </c>
      <c r="M72" s="73">
        <v>12817.93413</v>
      </c>
      <c r="N72" s="73">
        <v>14359.18003</v>
      </c>
      <c r="O72" s="73">
        <v>14102.65526</v>
      </c>
      <c r="P72" s="73">
        <v>13430.67726</v>
      </c>
    </row>
  </sheetData>
  <autoFilter ref="A4:P4" xr:uid="{00000000-0009-0000-0000-000003000000}">
    <sortState xmlns:xlrd2="http://schemas.microsoft.com/office/spreadsheetml/2017/richdata2" ref="A5:P193">
      <sortCondition ref="A4"/>
    </sortState>
  </autoFilter>
  <phoneticPr fontId="1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NetdiskSupbooks xmlns="http://www.wps.cn/et/2019/netdiskSupbooks">
  <NetdiskSupbook Target="商业银行打分卡模型（22年数据）.xlsx" FileId="143482994023" NetdiskName="yunwps"/>
</NetdiskSupbooks>
</file>

<file path=customXml/itemProps1.xml><?xml version="1.0" encoding="utf-8"?>
<ds:datastoreItem xmlns:ds="http://schemas.openxmlformats.org/officeDocument/2006/customXml" ds:itemID="{8CA11897-456E-43AF-AC28-93E1BBEC0A59}">
  <ds:schemaRefs>
    <ds:schemaRef ds:uri="http://www.wps.cn/et/2019/netdiskSupbook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24</vt:lpstr>
      <vt:lpstr>22年 (2)</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叶青</dc:creator>
  <cp:lastModifiedBy>青 叶</cp:lastModifiedBy>
  <dcterms:created xsi:type="dcterms:W3CDTF">2023-05-10T10:36:00Z</dcterms:created>
  <dcterms:modified xsi:type="dcterms:W3CDTF">2024-09-04T10:04:03Z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2052-11.1.0.14036</vt:lpwstr>
  </property>
  <property fmtid="{D5CDD505-2E9C-101B-9397-08002B2CF9AE}" pid="3" name="ICV">
    <vt:lpwstr>3042AA615C0741F3B0E3D672C6779DE2_12</vt:lpwstr>
  </property>
  <property fmtid="{D5CDD505-2E9C-101B-9397-08002B2CF9AE}" pid="4" name="EM_Doc_Temp_ID">
    <vt:lpwstr>6537b0e4</vt:lpwstr>
  </property>
</Properties>
</file>