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45" windowHeight="9555" activeTab="1"/>
  </bookViews>
  <sheets>
    <sheet name="西安城投测算" sheetId="1" r:id="rId1"/>
    <sheet name="西安财政测算" sheetId="2" r:id="rId2"/>
  </sheets>
  <definedNames>
    <definedName name="_xlnm._FilterDatabase" localSheetId="1" hidden="1">西安财政测算!$A$1:$F$18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<sst xmlns="http://schemas.openxmlformats.org/spreadsheetml/2006/main" count="1200" uniqueCount="251">
  <si>
    <t>证券代码</t>
  </si>
  <si>
    <t>证券名称</t>
  </si>
  <si>
    <t>存量债券余额
[交易日期]  最新
[债券类型]  全部</t>
  </si>
  <si>
    <t>城投属性</t>
  </si>
  <si>
    <t xml:space="preserve">主营构成－项目收入（按行业）第1名
</t>
  </si>
  <si>
    <t>主营构成－项目名称（按行业）第1名</t>
  </si>
  <si>
    <t>主营构成－项目收入（按行业）第2名</t>
  </si>
  <si>
    <t>主营构成－项目名称（按行业）第3名</t>
  </si>
  <si>
    <t>主营构成－项目收入（按行业）第3名</t>
  </si>
  <si>
    <t>主营构成－项目名称（按行业）第4名</t>
  </si>
  <si>
    <t>主营构成－项目收入（按行业）第4名</t>
  </si>
  <si>
    <t>主营构成－项目名称（按行业）第5名</t>
  </si>
  <si>
    <t>主营构成－项目收入（按行业）第5名</t>
  </si>
  <si>
    <t>营业收入
[报告期]  最新一期(MRQ)
[报表类型]  合并报表
[单位]  亿元</t>
  </si>
  <si>
    <t>货币资金
[报告期]  最新一期(MRQ)
[报表类型]  合并报表
[单位]  亿元</t>
  </si>
  <si>
    <t>受限资金
[报告期]  最新一期(MRQ)
[报表类型]  合并报表
[单位]  亿元</t>
  </si>
  <si>
    <t>交易性金融资产
[报告期]  最新一期(MRQ)
[报表类型]  合并报表
[单位]  亿元</t>
  </si>
  <si>
    <t>其他应收款
[报告期]  最新一期(MRQ)
[报表类型]  合并报表
[单位]  亿元</t>
  </si>
  <si>
    <t>其他应收款合计
[报告期]  最新一期(MRQ)
[报表类型]  合并报表
[单位]  亿元</t>
  </si>
  <si>
    <t>存货
[报告期]  最新一期(MRQ)
[报表类型]  合并报表
[单位]  亿元</t>
  </si>
  <si>
    <t>一年内到期的非流动资产
[报告期]  最新一期(MRQ)
[报表类型]  合并报表
[单位]  亿元</t>
  </si>
  <si>
    <t>长期应收款
[报告期]  最新一期(MRQ)
[报表类型]  合并报表
[单位]  亿元</t>
  </si>
  <si>
    <t>投资性房地产
[报告期]  最新一期(MRQ)
[报表类型]  合并报表
[单位]  亿元</t>
  </si>
  <si>
    <t>固定资产
[报告期]  最新一期(MRQ)
[报表类型]  合并报表
[单位]  亿元</t>
  </si>
  <si>
    <t>在建工程
[报告期]  最新一期(MRQ)
[报表类型]  合并报表
[单位]  亿元</t>
  </si>
  <si>
    <t>其他非流动资产
[报告期]  最新一期(MRQ)
[报表类型]  合并报表
[单位]  亿元</t>
  </si>
  <si>
    <t>资产总计
[报告期]  最新一期(MRQ)
[报表类型]  合并报表
[单位]  亿元</t>
  </si>
  <si>
    <t>短期借款
[报告期]  最新一期(MRQ)
[报表类型]  合并报表
[单位]  亿元</t>
  </si>
  <si>
    <t>应付票据
[报告期]  最新一期(MRQ)
[报表类型]  合并报表
[单位]  亿元</t>
  </si>
  <si>
    <t>其他应付款
[报告期]  最新一期(MRQ)
[报表类型]  合并报表
[单位]  亿元</t>
  </si>
  <si>
    <t>应付短期债券
[报告期]  最新一期(MRQ)
[报表类型]  合并报表
[单位]  亿元</t>
  </si>
  <si>
    <t>长期借款
[报告期]  最新一期(MRQ)
[报表类型]  合并报表
[单位]  亿元</t>
  </si>
  <si>
    <t>经营活动产生的现金流量净额
[报告期]  最新一期(MRQ)
[报表类型]  合并报表
[单位]  亿元</t>
  </si>
  <si>
    <t>投资活动产生的现金流量净额
[报告期]  最新一期(MRQ)
[报表类型]  合并报表
[单位]  亿元</t>
  </si>
  <si>
    <t>筹资活动产生的现金流量净额
[报告期]  最新一期(MRQ)
[报表类型]  合并报表
[单位]  亿元</t>
  </si>
  <si>
    <t>最新授信额度
[截止日期]  最新
[单位]亿元</t>
  </si>
  <si>
    <t>最新未使用授信额度
[截止日期]  最新
[单位]亿元</t>
  </si>
  <si>
    <t>最新担保余额
[截止日期]  最新
[单位]万元</t>
  </si>
  <si>
    <t>最新对外担保余额
[截止日期]  最新
[单位]万元</t>
  </si>
  <si>
    <t>累计逾期发生额
[年度]  2025
[月份]  5月
[单位]  亿元</t>
  </si>
  <si>
    <t>逾期余额
[年度]  2025
[月份]  5月
[单位]  亿元</t>
  </si>
  <si>
    <t>是否存在票据逾期
[年度]  2025
[月份]  5月</t>
  </si>
  <si>
    <t>最近一次票据逾期日期</t>
  </si>
  <si>
    <t>主营构成－项目名称（按行业）
[报告期]  最新一期(MRQ)
[排名]  第2名</t>
  </si>
  <si>
    <t>带息债务
[报告期]  最新一期(MRQ)
[单位]  亿元</t>
  </si>
  <si>
    <t>Q00151115.00</t>
  </si>
  <si>
    <t>西安城市基础设施建设投资集团有限公司</t>
  </si>
  <si>
    <t>--</t>
  </si>
  <si>
    <t>Q00258290.00</t>
  </si>
  <si>
    <t>西安市轨道交通集团有限公司</t>
  </si>
  <si>
    <t>Q02881231.00</t>
  </si>
  <si>
    <t>西安市安居建设管理集团有限公司</t>
  </si>
  <si>
    <t>Q02681562.00</t>
  </si>
  <si>
    <t>西安港实业有限公司</t>
  </si>
  <si>
    <t>土地整改</t>
  </si>
  <si>
    <t>安置房销售</t>
  </si>
  <si>
    <t>经营租赁</t>
  </si>
  <si>
    <t>代建收入</t>
  </si>
  <si>
    <t>2025-04-30</t>
  </si>
  <si>
    <t>其他业务</t>
  </si>
  <si>
    <t>Q02979943.00</t>
  </si>
  <si>
    <t>西安未央城市建设控股有限公司</t>
  </si>
  <si>
    <t>物业、市政保洁等服务</t>
  </si>
  <si>
    <t>租赁业务</t>
  </si>
  <si>
    <t>其他</t>
  </si>
  <si>
    <t>贸易业务</t>
  </si>
  <si>
    <t>Q02745641.00</t>
  </si>
  <si>
    <t>西安未央城市建设集团有限公司</t>
  </si>
  <si>
    <t>工程收入</t>
  </si>
  <si>
    <t>商品销售收入</t>
  </si>
  <si>
    <t>租赁收入</t>
  </si>
  <si>
    <t>物业收入</t>
  </si>
  <si>
    <t>Q02149677.00</t>
  </si>
  <si>
    <t>陕西西咸新区发展集团有限公司</t>
  </si>
  <si>
    <t>商品贸易</t>
  </si>
  <si>
    <t>代建项目</t>
  </si>
  <si>
    <t>保障房回购</t>
  </si>
  <si>
    <t>房产销售</t>
  </si>
  <si>
    <t>Q02735262.00</t>
  </si>
  <si>
    <t>西安莲湖投资控股有限责任公司</t>
  </si>
  <si>
    <t>工程建设收入</t>
  </si>
  <si>
    <t>停车位</t>
  </si>
  <si>
    <t>不动产租赁</t>
  </si>
  <si>
    <t>物业服务收入</t>
  </si>
  <si>
    <t>商品销售</t>
  </si>
  <si>
    <t>Q02530287.00</t>
  </si>
  <si>
    <t>西安市雁塔区城市发展投资控股集团有限公司</t>
  </si>
  <si>
    <t>基础设施建设业务</t>
  </si>
  <si>
    <t>物业管理业务</t>
  </si>
  <si>
    <t>房屋租赁业务</t>
  </si>
  <si>
    <t>Q02743093.00</t>
  </si>
  <si>
    <t>西安城市发展(集团)有限公司</t>
  </si>
  <si>
    <t>Q00073341.00</t>
  </si>
  <si>
    <t>西安经发集团有限责任公司</t>
  </si>
  <si>
    <t>Q00240233.00</t>
  </si>
  <si>
    <t>西安高新控股有限公司</t>
  </si>
  <si>
    <t>Q02979034.00</t>
  </si>
  <si>
    <t>西安国际港集团有限公司</t>
  </si>
  <si>
    <t>长安号运营</t>
  </si>
  <si>
    <t>其他业务收入</t>
  </si>
  <si>
    <t>贸易收入</t>
  </si>
  <si>
    <t>土地整理</t>
  </si>
  <si>
    <t>Q00052117.00</t>
  </si>
  <si>
    <t>西安高科集团有限公司</t>
  </si>
  <si>
    <t>房地产业</t>
  </si>
  <si>
    <t>制造业</t>
  </si>
  <si>
    <t>城市运营服务业</t>
  </si>
  <si>
    <t>Q00280791.00</t>
  </si>
  <si>
    <t>西安水务(集团)有限责任公司</t>
  </si>
  <si>
    <t>Q00403386.00</t>
  </si>
  <si>
    <t>西安沣东发展集团有限公司</t>
  </si>
  <si>
    <t>Q02890685.00</t>
  </si>
  <si>
    <t>西安市雁塔区未来城市更新投资集团有限责任公司</t>
  </si>
  <si>
    <t>城市更新业务</t>
  </si>
  <si>
    <t>Q02685867.00</t>
  </si>
  <si>
    <t>西安市碑林城市开发建设投资有限责任公司</t>
  </si>
  <si>
    <t>工程与咨询业务</t>
  </si>
  <si>
    <t>Q00281212.00</t>
  </si>
  <si>
    <t>西安国际陆港投资发展集团有限公司</t>
  </si>
  <si>
    <t>Q02969903.00</t>
  </si>
  <si>
    <t>西安未来产业城投资发展集团有限公司</t>
  </si>
  <si>
    <t>Q02666574.00</t>
  </si>
  <si>
    <t>西安市长安城乡建设开发有限公司</t>
  </si>
  <si>
    <t>污水处理</t>
  </si>
  <si>
    <t>工程服务</t>
  </si>
  <si>
    <t>交通运输</t>
  </si>
  <si>
    <t>物业服务</t>
  </si>
  <si>
    <t>自来水供应</t>
  </si>
  <si>
    <t>Q00198735.00</t>
  </si>
  <si>
    <t>西安航天城投资发展集团有限公司</t>
  </si>
  <si>
    <t>整理业务收入</t>
  </si>
  <si>
    <t>让渡资产使用权收入</t>
  </si>
  <si>
    <t>建设工程收入</t>
  </si>
  <si>
    <t>农产品及化工产品销售</t>
  </si>
  <si>
    <t>房地产收入</t>
  </si>
  <si>
    <t>Q00373830.00</t>
  </si>
  <si>
    <t>西安曲江文化控股有限公司</t>
  </si>
  <si>
    <t>Q02069752.00</t>
  </si>
  <si>
    <t>西安航天城市发展控股集团有限公司</t>
  </si>
  <si>
    <t>整理业务</t>
  </si>
  <si>
    <t>农产品及化工产品收入</t>
  </si>
  <si>
    <t>物业费</t>
  </si>
  <si>
    <t>让渡资产使用权</t>
  </si>
  <si>
    <t>Q02279887.00</t>
  </si>
  <si>
    <t>西安航天高技术产业发展集团有限公司</t>
  </si>
  <si>
    <t>农产品及化工产品销售收入</t>
  </si>
  <si>
    <t>物业费收入</t>
  </si>
  <si>
    <t>其他收入</t>
  </si>
  <si>
    <t>Q02793553.00</t>
  </si>
  <si>
    <t>西安城墙投资(集团)有限公司</t>
  </si>
  <si>
    <t>征收安置补偿费收入</t>
  </si>
  <si>
    <t>文化旅游经营业务</t>
  </si>
  <si>
    <t>Q01864204.00</t>
  </si>
  <si>
    <t>西安经发控股(集团)有限责任公司</t>
  </si>
  <si>
    <t>Q02782636.00</t>
  </si>
  <si>
    <t>西安新城城市更新(集团)有限责任公司</t>
  </si>
  <si>
    <t>不动产租赁业务</t>
  </si>
  <si>
    <t>新能源业务</t>
  </si>
  <si>
    <t>物业服务业务</t>
  </si>
  <si>
    <t>拆迁服务业务</t>
  </si>
  <si>
    <t>Q02697846.00</t>
  </si>
  <si>
    <t>西安市常宁开发建设有限公司</t>
  </si>
  <si>
    <t>2024-09-30</t>
  </si>
  <si>
    <t>Q00169912.00</t>
  </si>
  <si>
    <t>西安曲江文化产业投资(集团)有限公司</t>
  </si>
  <si>
    <t>Q00209375.00</t>
  </si>
  <si>
    <t>西安世园投资(集团)有限公司</t>
  </si>
  <si>
    <t>Q00194141.00</t>
  </si>
  <si>
    <t>西安浐灞发展集团有限公司</t>
  </si>
  <si>
    <t>Q02747787.00</t>
  </si>
  <si>
    <t>西安市灞桥投资控股集团有限公司</t>
  </si>
  <si>
    <t>工程建设业务</t>
  </si>
  <si>
    <t>医疗业务</t>
  </si>
  <si>
    <t>幼教业务</t>
  </si>
  <si>
    <t>管理费收入</t>
  </si>
  <si>
    <t>水电暖物业业务</t>
  </si>
  <si>
    <t>Q02635093.00</t>
  </si>
  <si>
    <t>西安城墙文化投资发展有限公司</t>
  </si>
  <si>
    <t>利息收入</t>
  </si>
  <si>
    <t>Q00305518.00</t>
  </si>
  <si>
    <t>西安高新区草堂科技产业基地发展有限公司</t>
  </si>
  <si>
    <t>工程建设服务</t>
  </si>
  <si>
    <t>其他社会服务业</t>
  </si>
  <si>
    <t>Q01882894.00</t>
  </si>
  <si>
    <t>西安高新区创业园发展中心有限公司</t>
  </si>
  <si>
    <t>房屋租赁</t>
  </si>
  <si>
    <t>代理服务</t>
  </si>
  <si>
    <t>物业管理</t>
  </si>
  <si>
    <t>Q00267394.00</t>
  </si>
  <si>
    <t>西安市临潼区城市投资集团有限公司</t>
  </si>
  <si>
    <t>Q02530715.00</t>
  </si>
  <si>
    <t>西安高新区保障房投资建设发展有限公司</t>
  </si>
  <si>
    <t>Q02637747.00</t>
  </si>
  <si>
    <t>西安航空城建设发展(集团)有限公司</t>
  </si>
  <si>
    <t>物流贸易</t>
  </si>
  <si>
    <t>工程建设</t>
  </si>
  <si>
    <t>企业服务</t>
  </si>
  <si>
    <t>房屋出租</t>
  </si>
  <si>
    <t>Q02678805.00</t>
  </si>
  <si>
    <t>西安兴航城乡建设发展有限公司</t>
  </si>
  <si>
    <t>Q02453570.00</t>
  </si>
  <si>
    <t>西安曲江渼陂湖投资建设有限公司</t>
  </si>
  <si>
    <t>文化旅游其他收入</t>
  </si>
  <si>
    <t>Q00197380.00</t>
  </si>
  <si>
    <t>西安曲江大明宫投资(集团)有限公司</t>
  </si>
  <si>
    <t>绿化养护工程</t>
  </si>
  <si>
    <t>代建工程收入</t>
  </si>
  <si>
    <t>物业管理收入</t>
  </si>
  <si>
    <t>Q02531098.00</t>
  </si>
  <si>
    <t>西安曲江国际会展投资控股有限公司</t>
  </si>
  <si>
    <t>Q00402552.00</t>
  </si>
  <si>
    <t>西咸新区鸿通卓越科技服务有限公司</t>
  </si>
  <si>
    <t>管廊业务收入</t>
  </si>
  <si>
    <t>Q00267396.00</t>
  </si>
  <si>
    <t>西安市碑林基础建设投资管理有限公司</t>
  </si>
  <si>
    <t>Q00267392.00</t>
  </si>
  <si>
    <t>西安新城基础设施建设投资有限公司</t>
  </si>
  <si>
    <t>Q00267393.00</t>
  </si>
  <si>
    <t>西安莲湖城市投资集团有限公司</t>
  </si>
  <si>
    <t>Q00267397.00</t>
  </si>
  <si>
    <t>西安市高陵区三阳基础设施建设投资有限责任公司</t>
  </si>
  <si>
    <t>Q02965121.00</t>
  </si>
  <si>
    <t>西安城市发展临潼有限公司</t>
  </si>
  <si>
    <t>Q00267395.00</t>
  </si>
  <si>
    <t>西安市灞桥区基础设施建设投资有限公司</t>
  </si>
  <si>
    <t>城投属性资产</t>
  </si>
  <si>
    <t>占比</t>
  </si>
  <si>
    <t>城投属性债务</t>
  </si>
  <si>
    <t>区域</t>
  </si>
  <si>
    <t>城投有息债务规模 亿</t>
  </si>
  <si>
    <t>基金支出 亿</t>
  </si>
  <si>
    <t>融资成本</t>
  </si>
  <si>
    <t>付息支出 亿</t>
  </si>
  <si>
    <t>覆盖率</t>
  </si>
  <si>
    <t>西咸新区</t>
  </si>
  <si>
    <t>西安高新技术产业开发区</t>
  </si>
  <si>
    <t>西安国际港务区</t>
  </si>
  <si>
    <t>曲江新区</t>
  </si>
  <si>
    <t>陕西航天经济技术开发区</t>
  </si>
  <si>
    <t>西安经济技术开发区</t>
  </si>
  <si>
    <t>浐灞生态区</t>
  </si>
  <si>
    <t>雁塔区</t>
  </si>
  <si>
    <t>未央区</t>
  </si>
  <si>
    <t>临潼区</t>
  </si>
  <si>
    <t>莲湖区</t>
  </si>
  <si>
    <t>灞桥区</t>
  </si>
  <si>
    <t>碑林区</t>
  </si>
  <si>
    <t>新城区</t>
  </si>
  <si>
    <t>西安开发区及新区</t>
  </si>
  <si>
    <t>青岛区县</t>
  </si>
  <si>
    <t>郑州区县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</si>
</sst>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.0000"/>
  </numFmts>
  <fonts count="24">
    <font>
      <sz val="11"/>
      <color theme="1"/>
      <name val="宋体"/>
      <charset val="134"/>
      <scheme val="minor"/>
    </font>
    <font>
      <b/>
      <sz val="10.5"/>
      <color rgb="FF000000"/>
      <name val="Arial"/>
      <charset val="134"/>
    </font>
    <font>
      <sz val="10.5"/>
      <color rgb="FF000000"/>
      <name val="Arial"/>
      <charset val="134"/>
    </font>
    <font>
      <sz val="10.5"/>
      <color rgb="FF00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CEC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76" fontId="2" fillId="3" borderId="1" xfId="0" applyNumberFormat="1" applyFont="1" applyFill="1" applyBorder="1" applyAlignment="1">
      <alignment horizontal="center" wrapText="1"/>
    </xf>
    <xf numFmtId="10" fontId="2" fillId="3" borderId="1" xfId="0" applyNumberFormat="1" applyFont="1" applyFill="1" applyBorder="1" applyAlignment="1">
      <alignment horizontal="center" wrapText="1"/>
    </xf>
    <xf numFmtId="9" fontId="2" fillId="3" borderId="1" xfId="0" applyNumberFormat="1" applyFont="1" applyFill="1" applyBorder="1" applyAlignment="1">
      <alignment horizontal="center" wrapText="1"/>
    </xf>
    <xf numFmtId="0" fontId="0" fillId="0" borderId="0" xfId="0" applyFill="1" applyAlignment="1">
      <alignment vertical="center"/>
    </xf>
    <xf numFmtId="0" fontId="3" fillId="3" borderId="1" xfId="0" applyFont="1" applyFill="1" applyBorder="1" applyAlignment="1">
      <alignment horizontal="center" wrapText="1"/>
    </xf>
    <xf numFmtId="10" fontId="2" fillId="3" borderId="1" xfId="3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177" fontId="4" fillId="0" borderId="0" xfId="0" applyNumberFormat="1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西安各区县、开发区</a:t>
            </a:r>
            <a:r>
              <a:rPr lang="en-US" altLang="zh-CN"/>
              <a:t>2024</a:t>
            </a:r>
            <a:r>
              <a:rPr altLang="en-US"/>
              <a:t>年</a:t>
            </a:r>
            <a:r>
              <a:t>基金支出 亿</a:t>
            </a:r>
          </a:p>
        </c:rich>
      </c:tx>
      <c:layout>
        <c:manualLayout>
          <c:xMode val="edge"/>
          <c:yMode val="edge"/>
          <c:x val="0.389409280093617"/>
          <c:y val="0.014754519824253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61784854656545"/>
          <c:y val="0.0141952614379085"/>
          <c:w val="0.961507128309572"/>
          <c:h val="0.7924223856209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西安财政测算!$C$1</c:f>
              <c:strCache>
                <c:ptCount val="1"/>
                <c:pt idx="0">
                  <c:v>基金支出 亿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西安财政测算!$A$2:$A$15</c:f>
              <c:strCache>
                <c:ptCount val="14"/>
                <c:pt idx="0">
                  <c:v>西咸新区</c:v>
                </c:pt>
                <c:pt idx="1">
                  <c:v>西安高新技术产业开发区</c:v>
                </c:pt>
                <c:pt idx="2">
                  <c:v>西安国际港务区</c:v>
                </c:pt>
                <c:pt idx="3">
                  <c:v>曲江新区</c:v>
                </c:pt>
                <c:pt idx="4">
                  <c:v>陕西航天经济技术开发区</c:v>
                </c:pt>
                <c:pt idx="5">
                  <c:v>西安经济技术开发区</c:v>
                </c:pt>
                <c:pt idx="6">
                  <c:v>浐灞生态区</c:v>
                </c:pt>
                <c:pt idx="7">
                  <c:v>雁塔区</c:v>
                </c:pt>
                <c:pt idx="8">
                  <c:v>未央区</c:v>
                </c:pt>
                <c:pt idx="9">
                  <c:v>临潼区</c:v>
                </c:pt>
                <c:pt idx="10">
                  <c:v>莲湖区</c:v>
                </c:pt>
                <c:pt idx="11">
                  <c:v>灞桥区</c:v>
                </c:pt>
                <c:pt idx="12">
                  <c:v>碑林区</c:v>
                </c:pt>
                <c:pt idx="13">
                  <c:v>新城区</c:v>
                </c:pt>
              </c:strCache>
            </c:strRef>
          </c:cat>
          <c:val>
            <c:numRef>
              <c:f>西安财政测算!$C$2:$C$15</c:f>
              <c:numCache>
                <c:formatCode>0.00_ </c:formatCode>
                <c:ptCount val="14"/>
                <c:pt idx="0">
                  <c:v>450</c:v>
                </c:pt>
                <c:pt idx="1">
                  <c:v>190.070931846314</c:v>
                </c:pt>
                <c:pt idx="2">
                  <c:v>118.368175441667</c:v>
                </c:pt>
                <c:pt idx="3">
                  <c:v>67.1899266075693</c:v>
                </c:pt>
                <c:pt idx="4">
                  <c:v>45.0297645690852</c:v>
                </c:pt>
                <c:pt idx="5">
                  <c:v>41.8766957152324</c:v>
                </c:pt>
                <c:pt idx="6">
                  <c:v>32.8805961415836</c:v>
                </c:pt>
                <c:pt idx="7">
                  <c:v>31.974088846101</c:v>
                </c:pt>
                <c:pt idx="8">
                  <c:v>12.6615421162526</c:v>
                </c:pt>
                <c:pt idx="9">
                  <c:v>12.0801950463235</c:v>
                </c:pt>
                <c:pt idx="10">
                  <c:v>10.9667676073067</c:v>
                </c:pt>
                <c:pt idx="11">
                  <c:v>6.25687100686413</c:v>
                </c:pt>
                <c:pt idx="12">
                  <c:v>3.59646916142584</c:v>
                </c:pt>
                <c:pt idx="13">
                  <c:v>2.51260174291394</c:v>
                </c:pt>
              </c:numCache>
            </c:numRef>
          </c:val>
        </c:ser>
        <c:dLbls>
          <c:showLegendKey val="0"/>
          <c:showVal val="1"/>
          <c:showCatName val="1"/>
          <c:showSerName val="0"/>
          <c:showPercent val="0"/>
          <c:showBubbleSize val="0"/>
        </c:dLbls>
        <c:gapWidth val="100"/>
        <c:overlap val="0"/>
        <c:axId val="520266387"/>
        <c:axId val="693024631"/>
      </c:barChart>
      <c:catAx>
        <c:axId val="5202663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3024631"/>
        <c:crosses val="autoZero"/>
        <c:auto val="1"/>
        <c:lblAlgn val="ctr"/>
        <c:lblOffset val="100"/>
        <c:noMultiLvlLbl val="0"/>
      </c:catAx>
      <c:valAx>
        <c:axId val="69302463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0_ ;[Red]\-0\ 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02663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8183206813553"/>
          <c:y val="0.10008169934640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556260</xdr:colOff>
      <xdr:row>5</xdr:row>
      <xdr:rowOff>33020</xdr:rowOff>
    </xdr:from>
    <xdr:to>
      <xdr:col>30</xdr:col>
      <xdr:colOff>558800</xdr:colOff>
      <xdr:row>35</xdr:row>
      <xdr:rowOff>50165</xdr:rowOff>
    </xdr:to>
    <xdr:graphicFrame>
      <xdr:nvGraphicFramePr>
        <xdr:cNvPr id="2" name="图表 1" descr="7b0a202020202263686172745265734964223a20223530303533343432220a7d0a"/>
        <xdr:cNvGraphicFramePr/>
      </xdr:nvGraphicFramePr>
      <xdr:xfrm>
        <a:off x="9843135" y="1404620"/>
        <a:ext cx="13994765" cy="6217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65"/>
  <sheetViews>
    <sheetView workbookViewId="0">
      <pane xSplit="2" ySplit="1" topLeftCell="X34" activePane="bottomRight" state="frozen"/>
      <selection/>
      <selection pane="topRight"/>
      <selection pane="bottomLeft"/>
      <selection pane="bottomRight" activeCell="AU63" sqref="AU63"/>
    </sheetView>
  </sheetViews>
  <sheetFormatPr defaultColWidth="9" defaultRowHeight="13.5"/>
  <cols>
    <col min="2" max="2" width="34.5" customWidth="1"/>
    <col min="3" max="3" width="9.375"/>
    <col min="4" max="4" width="12.625"/>
    <col min="5" max="5" width="5.625" customWidth="1"/>
    <col min="7" max="7" width="12.625"/>
    <col min="9" max="9" width="12.625"/>
    <col min="11" max="11" width="12.625"/>
    <col min="13" max="13" width="12.625"/>
    <col min="15" max="15" width="9.375"/>
    <col min="19" max="19" width="9.375"/>
    <col min="20" max="20" width="11.5"/>
    <col min="22" max="22" width="11.5"/>
    <col min="23" max="23" width="9.375"/>
    <col min="25" max="26" width="9.375"/>
    <col min="27" max="27" width="7.125" customWidth="1"/>
    <col min="28" max="28" width="9.375"/>
    <col min="32" max="32" width="11.5"/>
    <col min="33" max="34" width="10.375"/>
    <col min="35" max="35" width="9.375"/>
    <col min="36" max="36" width="10.375"/>
    <col min="37" max="37" width="9.375"/>
    <col min="39" max="39" width="11.5"/>
    <col min="47" max="47" width="12.625"/>
  </cols>
  <sheetData>
    <row r="1" ht="54" customHeight="1" spans="1:47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9" t="s">
        <v>7</v>
      </c>
      <c r="I1" s="10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42</v>
      </c>
      <c r="AS1" s="9" t="s">
        <v>42</v>
      </c>
      <c r="AT1" s="9" t="s">
        <v>43</v>
      </c>
      <c r="AU1" s="9" t="s">
        <v>44</v>
      </c>
    </row>
    <row r="2" ht="27" spans="1:47">
      <c r="A2" s="9" t="s">
        <v>45</v>
      </c>
      <c r="B2" s="9" t="s">
        <v>46</v>
      </c>
      <c r="C2" s="11">
        <v>115</v>
      </c>
      <c r="D2" s="11">
        <v>0.1</v>
      </c>
      <c r="E2" s="9" t="e">
        <v>#VALUE!</v>
      </c>
      <c r="F2" s="9" t="s">
        <v>47</v>
      </c>
      <c r="G2" s="9" t="e">
        <v>#VALUE!</v>
      </c>
      <c r="H2" s="9" t="s">
        <v>47</v>
      </c>
      <c r="I2" s="9" t="e">
        <v>#VALUE!</v>
      </c>
      <c r="J2" s="9" t="s">
        <v>47</v>
      </c>
      <c r="K2" s="9" t="e">
        <v>#VALUE!</v>
      </c>
      <c r="L2" s="9" t="s">
        <v>47</v>
      </c>
      <c r="M2" s="9" t="e">
        <v>#VALUE!</v>
      </c>
      <c r="N2" s="11">
        <v>40.5065</v>
      </c>
      <c r="O2" s="11">
        <v>98.618</v>
      </c>
      <c r="P2" s="11">
        <v>2.6</v>
      </c>
      <c r="Q2" s="11">
        <v>0.7003</v>
      </c>
      <c r="R2" s="11" t="s">
        <v>47</v>
      </c>
      <c r="S2" s="11">
        <v>28.5542</v>
      </c>
      <c r="T2" s="11">
        <v>65.156</v>
      </c>
      <c r="U2" s="11">
        <v>36.9951</v>
      </c>
      <c r="V2" s="11">
        <v>2139.2055</v>
      </c>
      <c r="W2" s="11">
        <v>9.094</v>
      </c>
      <c r="X2" s="11" t="s">
        <v>47</v>
      </c>
      <c r="Y2" s="11" t="s">
        <v>47</v>
      </c>
      <c r="Z2" s="11">
        <v>610.3341</v>
      </c>
      <c r="AA2" s="11">
        <v>3398.7032</v>
      </c>
      <c r="AB2" s="11">
        <v>23.6341</v>
      </c>
      <c r="AC2" s="11">
        <v>8.1948</v>
      </c>
      <c r="AD2" s="11" t="s">
        <v>47</v>
      </c>
      <c r="AE2" s="11" t="s">
        <v>47</v>
      </c>
      <c r="AF2" s="11">
        <v>1338.2383</v>
      </c>
      <c r="AG2" s="11">
        <v>-9.4515</v>
      </c>
      <c r="AH2" s="11">
        <v>-11.9162</v>
      </c>
      <c r="AI2" s="11">
        <v>22.9109</v>
      </c>
      <c r="AJ2" s="9">
        <v>839.745</v>
      </c>
      <c r="AK2" s="9">
        <v>651.165</v>
      </c>
      <c r="AL2" s="9" t="s">
        <v>47</v>
      </c>
      <c r="AM2" s="9">
        <v>986613.79</v>
      </c>
      <c r="AN2" s="11" t="s">
        <v>47</v>
      </c>
      <c r="AO2" s="11" t="s">
        <v>47</v>
      </c>
      <c r="AP2" s="9" t="s">
        <v>47</v>
      </c>
      <c r="AQ2" s="9" t="s">
        <v>47</v>
      </c>
      <c r="AR2" s="9" t="s">
        <v>47</v>
      </c>
      <c r="AS2" s="9" t="s">
        <v>47</v>
      </c>
      <c r="AT2" s="9" t="s">
        <v>47</v>
      </c>
      <c r="AU2" s="11">
        <v>1662.914</v>
      </c>
    </row>
    <row r="3" ht="27" spans="1:47">
      <c r="A3" s="9" t="s">
        <v>48</v>
      </c>
      <c r="B3" s="9" t="s">
        <v>49</v>
      </c>
      <c r="C3" s="11">
        <v>45</v>
      </c>
      <c r="D3" s="11">
        <v>0.1</v>
      </c>
      <c r="E3" s="9" t="e">
        <v>#VALUE!</v>
      </c>
      <c r="F3" s="9" t="s">
        <v>47</v>
      </c>
      <c r="G3" s="9" t="e">
        <v>#VALUE!</v>
      </c>
      <c r="H3" s="9" t="s">
        <v>47</v>
      </c>
      <c r="I3" s="9" t="e">
        <v>#VALUE!</v>
      </c>
      <c r="J3" s="9" t="s">
        <v>47</v>
      </c>
      <c r="K3" s="9" t="e">
        <v>#VALUE!</v>
      </c>
      <c r="L3" s="9" t="s">
        <v>47</v>
      </c>
      <c r="M3" s="9" t="e">
        <v>#VALUE!</v>
      </c>
      <c r="N3" s="11">
        <v>33.6151</v>
      </c>
      <c r="O3" s="11">
        <v>68.0013</v>
      </c>
      <c r="P3" s="11" t="s">
        <v>47</v>
      </c>
      <c r="Q3" s="11" t="s">
        <v>47</v>
      </c>
      <c r="R3" s="11" t="s">
        <v>47</v>
      </c>
      <c r="S3" s="11">
        <v>25.2135</v>
      </c>
      <c r="T3" s="11">
        <v>39.5341</v>
      </c>
      <c r="U3" s="11">
        <v>12.2741</v>
      </c>
      <c r="V3" s="11">
        <v>3.3426</v>
      </c>
      <c r="W3" s="11">
        <v>0.3151</v>
      </c>
      <c r="X3" s="11" t="s">
        <v>47</v>
      </c>
      <c r="Y3" s="11" t="s">
        <v>47</v>
      </c>
      <c r="Z3" s="11">
        <v>137.5801</v>
      </c>
      <c r="AA3" s="11">
        <v>2179.5966</v>
      </c>
      <c r="AB3" s="11" t="s">
        <v>47</v>
      </c>
      <c r="AC3" s="11">
        <v>0.5045</v>
      </c>
      <c r="AD3" s="11" t="s">
        <v>47</v>
      </c>
      <c r="AE3" s="11" t="s">
        <v>47</v>
      </c>
      <c r="AF3" s="11">
        <v>886.8175</v>
      </c>
      <c r="AG3" s="11">
        <v>26.8192</v>
      </c>
      <c r="AH3" s="11">
        <v>-226.1646</v>
      </c>
      <c r="AI3" s="11">
        <v>173.4895</v>
      </c>
      <c r="AJ3" s="9">
        <v>1384.82</v>
      </c>
      <c r="AK3" s="9">
        <v>313.9</v>
      </c>
      <c r="AL3" s="9" t="s">
        <v>47</v>
      </c>
      <c r="AM3" s="9" t="s">
        <v>47</v>
      </c>
      <c r="AN3" s="11" t="s">
        <v>47</v>
      </c>
      <c r="AO3" s="11" t="s">
        <v>47</v>
      </c>
      <c r="AP3" s="9" t="s">
        <v>47</v>
      </c>
      <c r="AQ3" s="9" t="s">
        <v>47</v>
      </c>
      <c r="AR3" s="9" t="s">
        <v>47</v>
      </c>
      <c r="AS3" s="9" t="s">
        <v>47</v>
      </c>
      <c r="AT3" s="9" t="s">
        <v>47</v>
      </c>
      <c r="AU3" s="11">
        <v>1200.5596</v>
      </c>
    </row>
    <row r="4" ht="27" spans="1:47">
      <c r="A4" s="9" t="s">
        <v>50</v>
      </c>
      <c r="B4" s="9" t="s">
        <v>51</v>
      </c>
      <c r="C4" s="11">
        <v>45</v>
      </c>
      <c r="D4" s="11">
        <v>0.1</v>
      </c>
      <c r="E4" s="9" t="e">
        <v>#VALUE!</v>
      </c>
      <c r="F4" s="9" t="s">
        <v>47</v>
      </c>
      <c r="G4" s="9" t="e">
        <v>#VALUE!</v>
      </c>
      <c r="H4" s="9" t="s">
        <v>47</v>
      </c>
      <c r="I4" s="9" t="e">
        <v>#VALUE!</v>
      </c>
      <c r="J4" s="9" t="s">
        <v>47</v>
      </c>
      <c r="K4" s="9" t="e">
        <v>#VALUE!</v>
      </c>
      <c r="L4" s="9" t="s">
        <v>47</v>
      </c>
      <c r="M4" s="9" t="e">
        <v>#VALUE!</v>
      </c>
      <c r="N4" s="11">
        <v>4.4773</v>
      </c>
      <c r="O4" s="11">
        <v>68.6732</v>
      </c>
      <c r="P4" s="11">
        <v>0.07</v>
      </c>
      <c r="Q4" s="11">
        <v>0.3745</v>
      </c>
      <c r="R4" s="11" t="s">
        <v>47</v>
      </c>
      <c r="S4" s="11">
        <v>1.9229</v>
      </c>
      <c r="T4" s="11">
        <v>10.3782</v>
      </c>
      <c r="U4" s="11">
        <v>14.6275</v>
      </c>
      <c r="V4" s="11" t="s">
        <v>47</v>
      </c>
      <c r="W4" s="11">
        <v>740.9847</v>
      </c>
      <c r="X4" s="11" t="s">
        <v>47</v>
      </c>
      <c r="Y4" s="11" t="s">
        <v>47</v>
      </c>
      <c r="Z4" s="11">
        <v>25.1132</v>
      </c>
      <c r="AA4" s="11">
        <v>899.4308</v>
      </c>
      <c r="AB4" s="11">
        <v>2.7089</v>
      </c>
      <c r="AC4" s="11" t="s">
        <v>47</v>
      </c>
      <c r="AD4" s="11" t="s">
        <v>47</v>
      </c>
      <c r="AE4" s="11" t="s">
        <v>47</v>
      </c>
      <c r="AF4" s="11">
        <v>120.4736</v>
      </c>
      <c r="AG4" s="11">
        <v>-1.1371</v>
      </c>
      <c r="AH4" s="11">
        <v>-2.5092</v>
      </c>
      <c r="AI4" s="11">
        <v>3.7599</v>
      </c>
      <c r="AJ4" s="9">
        <v>572.62</v>
      </c>
      <c r="AK4" s="9">
        <v>405.56</v>
      </c>
      <c r="AL4" s="9" t="s">
        <v>47</v>
      </c>
      <c r="AM4" s="9">
        <v>51200</v>
      </c>
      <c r="AN4" s="11" t="s">
        <v>47</v>
      </c>
      <c r="AO4" s="11" t="s">
        <v>47</v>
      </c>
      <c r="AP4" s="9" t="s">
        <v>47</v>
      </c>
      <c r="AQ4" s="9" t="s">
        <v>47</v>
      </c>
      <c r="AR4" s="9" t="s">
        <v>47</v>
      </c>
      <c r="AS4" s="9" t="s">
        <v>47</v>
      </c>
      <c r="AT4" s="9" t="s">
        <v>47</v>
      </c>
      <c r="AU4" s="11">
        <v>273.9695</v>
      </c>
    </row>
    <row r="5" ht="27" spans="1:47">
      <c r="A5" s="9" t="s">
        <v>52</v>
      </c>
      <c r="B5" s="9" t="s">
        <v>53</v>
      </c>
      <c r="C5" s="11">
        <v>57.7</v>
      </c>
      <c r="D5" s="11">
        <v>0.44</v>
      </c>
      <c r="E5" s="9">
        <v>0.319331559407624</v>
      </c>
      <c r="F5" s="9" t="s">
        <v>54</v>
      </c>
      <c r="G5" s="9">
        <v>0.0854521470696228</v>
      </c>
      <c r="H5" s="9" t="s">
        <v>55</v>
      </c>
      <c r="I5" s="9">
        <v>0.0594635310187683</v>
      </c>
      <c r="J5" s="9" t="s">
        <v>56</v>
      </c>
      <c r="K5" s="9">
        <v>0.0333902984093598</v>
      </c>
      <c r="L5" s="9" t="s">
        <v>57</v>
      </c>
      <c r="M5" s="9">
        <v>0.00176712616479981</v>
      </c>
      <c r="N5" s="11">
        <v>66.1809</v>
      </c>
      <c r="O5" s="11">
        <v>9.4092</v>
      </c>
      <c r="P5" s="11">
        <v>1.7524</v>
      </c>
      <c r="Q5" s="11">
        <v>0.0049</v>
      </c>
      <c r="R5" s="11" t="s">
        <v>47</v>
      </c>
      <c r="S5" s="11">
        <v>141.5137</v>
      </c>
      <c r="T5" s="11">
        <v>316.008</v>
      </c>
      <c r="U5" s="11" t="s">
        <v>47</v>
      </c>
      <c r="V5" s="11">
        <v>0.81</v>
      </c>
      <c r="W5" s="11">
        <v>83.8498</v>
      </c>
      <c r="X5" s="11" t="s">
        <v>47</v>
      </c>
      <c r="Y5" s="11" t="s">
        <v>47</v>
      </c>
      <c r="Z5" s="11">
        <v>3.1335</v>
      </c>
      <c r="AA5" s="11">
        <v>762.9087</v>
      </c>
      <c r="AB5" s="11" t="s">
        <v>47</v>
      </c>
      <c r="AC5" s="11">
        <v>0.4681</v>
      </c>
      <c r="AD5" s="11" t="s">
        <v>47</v>
      </c>
      <c r="AE5" s="11" t="s">
        <v>47</v>
      </c>
      <c r="AF5" s="11">
        <v>157.6237</v>
      </c>
      <c r="AG5" s="11">
        <v>1.3464</v>
      </c>
      <c r="AH5" s="11">
        <v>-9.4141</v>
      </c>
      <c r="AI5" s="11">
        <v>-4.9936</v>
      </c>
      <c r="AJ5" s="9">
        <v>341.18</v>
      </c>
      <c r="AK5" s="9">
        <v>10.3953</v>
      </c>
      <c r="AL5" s="9" t="s">
        <v>47</v>
      </c>
      <c r="AM5" s="9">
        <v>1392400</v>
      </c>
      <c r="AN5" s="11" t="s">
        <v>47</v>
      </c>
      <c r="AO5" s="11" t="s">
        <v>47</v>
      </c>
      <c r="AP5" s="9" t="s">
        <v>47</v>
      </c>
      <c r="AQ5" s="9" t="s">
        <v>58</v>
      </c>
      <c r="AR5" s="9" t="s">
        <v>58</v>
      </c>
      <c r="AS5" s="9" t="s">
        <v>58</v>
      </c>
      <c r="AT5" s="9" t="s">
        <v>59</v>
      </c>
      <c r="AU5" s="11">
        <v>344.2781</v>
      </c>
    </row>
    <row r="6" ht="40.5" spans="1:47">
      <c r="A6" s="9" t="s">
        <v>60</v>
      </c>
      <c r="B6" s="9" t="s">
        <v>61</v>
      </c>
      <c r="C6" s="11">
        <v>16.26</v>
      </c>
      <c r="D6" s="11">
        <v>0.1</v>
      </c>
      <c r="E6" s="9">
        <v>0.016997395951124</v>
      </c>
      <c r="F6" s="9" t="s">
        <v>62</v>
      </c>
      <c r="G6" s="9">
        <v>0.00397392074128161</v>
      </c>
      <c r="H6" s="9" t="s">
        <v>63</v>
      </c>
      <c r="I6" s="9">
        <v>0.0021678868434146</v>
      </c>
      <c r="J6" s="9" t="s">
        <v>64</v>
      </c>
      <c r="K6" s="9">
        <v>0.000261697219547813</v>
      </c>
      <c r="L6" s="9" t="s">
        <v>47</v>
      </c>
      <c r="M6" s="9" t="e">
        <v>#VALUE!</v>
      </c>
      <c r="N6" s="11">
        <v>15.4759</v>
      </c>
      <c r="O6" s="11">
        <v>11.9155</v>
      </c>
      <c r="P6" s="11">
        <v>4.5253</v>
      </c>
      <c r="Q6" s="11" t="s">
        <v>47</v>
      </c>
      <c r="R6" s="11" t="s">
        <v>47</v>
      </c>
      <c r="S6" s="11">
        <v>40.7312</v>
      </c>
      <c r="T6" s="11">
        <v>344.5666</v>
      </c>
      <c r="U6" s="11">
        <v>0.1537</v>
      </c>
      <c r="V6" s="11">
        <v>0.9655</v>
      </c>
      <c r="W6" s="11">
        <v>18.6515</v>
      </c>
      <c r="X6" s="11" t="s">
        <v>47</v>
      </c>
      <c r="Y6" s="11" t="s">
        <v>47</v>
      </c>
      <c r="Z6" s="11">
        <v>11.063</v>
      </c>
      <c r="AA6" s="11">
        <v>497.7072</v>
      </c>
      <c r="AB6" s="11">
        <v>7.0244</v>
      </c>
      <c r="AC6" s="11">
        <v>0.3</v>
      </c>
      <c r="AD6" s="11" t="s">
        <v>47</v>
      </c>
      <c r="AE6" s="11" t="s">
        <v>47</v>
      </c>
      <c r="AF6" s="11">
        <v>31.3241</v>
      </c>
      <c r="AG6" s="11">
        <v>3.8497</v>
      </c>
      <c r="AH6" s="11">
        <v>-11.606</v>
      </c>
      <c r="AI6" s="11">
        <v>0.9103</v>
      </c>
      <c r="AJ6" s="9" t="s">
        <v>47</v>
      </c>
      <c r="AK6" s="9">
        <v>89.66</v>
      </c>
      <c r="AL6" s="9" t="s">
        <v>47</v>
      </c>
      <c r="AM6" s="9">
        <v>14000</v>
      </c>
      <c r="AN6" s="11" t="s">
        <v>47</v>
      </c>
      <c r="AO6" s="11" t="s">
        <v>47</v>
      </c>
      <c r="AP6" s="9" t="s">
        <v>47</v>
      </c>
      <c r="AQ6" s="9" t="s">
        <v>47</v>
      </c>
      <c r="AR6" s="9" t="s">
        <v>47</v>
      </c>
      <c r="AS6" s="9" t="s">
        <v>47</v>
      </c>
      <c r="AT6" s="9" t="s">
        <v>65</v>
      </c>
      <c r="AU6" s="11">
        <v>109.8319</v>
      </c>
    </row>
    <row r="7" ht="27" spans="1:47">
      <c r="A7" s="9" t="s">
        <v>66</v>
      </c>
      <c r="B7" s="9" t="s">
        <v>67</v>
      </c>
      <c r="C7" s="11">
        <v>13.74</v>
      </c>
      <c r="D7" s="11">
        <v>0.2</v>
      </c>
      <c r="E7" s="9">
        <v>0.152325924953219</v>
      </c>
      <c r="F7" s="9" t="s">
        <v>68</v>
      </c>
      <c r="G7" s="9">
        <v>0.0640162831161157</v>
      </c>
      <c r="H7" s="9" t="s">
        <v>69</v>
      </c>
      <c r="I7" s="9">
        <v>0.0315157086110108</v>
      </c>
      <c r="J7" s="9" t="s">
        <v>57</v>
      </c>
      <c r="K7" s="9">
        <v>0.0141164111486819</v>
      </c>
      <c r="L7" s="9" t="s">
        <v>70</v>
      </c>
      <c r="M7" s="9">
        <v>0.0131315452545878</v>
      </c>
      <c r="N7" s="11">
        <v>15.2305</v>
      </c>
      <c r="O7" s="11">
        <v>11.4831</v>
      </c>
      <c r="P7" s="11">
        <v>4.5189</v>
      </c>
      <c r="Q7" s="11" t="s">
        <v>47</v>
      </c>
      <c r="R7" s="11" t="s">
        <v>47</v>
      </c>
      <c r="S7" s="11">
        <v>37.8691</v>
      </c>
      <c r="T7" s="11">
        <v>227.5661</v>
      </c>
      <c r="U7" s="11">
        <v>0.1537</v>
      </c>
      <c r="V7" s="11">
        <v>0.9655</v>
      </c>
      <c r="W7" s="11">
        <v>18.6515</v>
      </c>
      <c r="X7" s="11" t="s">
        <v>47</v>
      </c>
      <c r="Y7" s="11" t="s">
        <v>47</v>
      </c>
      <c r="Z7" s="11">
        <v>11.063</v>
      </c>
      <c r="AA7" s="11">
        <v>386.5489</v>
      </c>
      <c r="AB7" s="11">
        <v>6.8952</v>
      </c>
      <c r="AC7" s="11">
        <v>0.3</v>
      </c>
      <c r="AD7" s="11" t="s">
        <v>47</v>
      </c>
      <c r="AE7" s="11" t="s">
        <v>47</v>
      </c>
      <c r="AF7" s="11">
        <v>31.2957</v>
      </c>
      <c r="AG7" s="11">
        <v>3.3923</v>
      </c>
      <c r="AH7" s="11">
        <v>-11.6057</v>
      </c>
      <c r="AI7" s="11">
        <v>1.6325</v>
      </c>
      <c r="AJ7" s="9" t="s">
        <v>47</v>
      </c>
      <c r="AK7" s="9">
        <v>66.79</v>
      </c>
      <c r="AL7" s="9" t="s">
        <v>47</v>
      </c>
      <c r="AM7" s="9">
        <v>14000</v>
      </c>
      <c r="AN7" s="11" t="s">
        <v>47</v>
      </c>
      <c r="AO7" s="11" t="s">
        <v>47</v>
      </c>
      <c r="AP7" s="9" t="s">
        <v>47</v>
      </c>
      <c r="AQ7" s="9" t="s">
        <v>47</v>
      </c>
      <c r="AR7" s="9" t="s">
        <v>47</v>
      </c>
      <c r="AS7" s="9" t="s">
        <v>47</v>
      </c>
      <c r="AT7" s="9" t="s">
        <v>71</v>
      </c>
      <c r="AU7" s="11">
        <v>92.626</v>
      </c>
    </row>
    <row r="8" ht="27" spans="1:47">
      <c r="A8" s="9" t="s">
        <v>72</v>
      </c>
      <c r="B8" s="9" t="s">
        <v>73</v>
      </c>
      <c r="C8" s="11">
        <v>172</v>
      </c>
      <c r="D8" s="11">
        <v>0.76</v>
      </c>
      <c r="E8" s="9">
        <v>0.538237992288891</v>
      </c>
      <c r="F8" s="9" t="s">
        <v>64</v>
      </c>
      <c r="G8" s="9">
        <v>0.291999991446357</v>
      </c>
      <c r="H8" s="9" t="s">
        <v>74</v>
      </c>
      <c r="I8" s="9">
        <v>0.257357736877108</v>
      </c>
      <c r="J8" s="9" t="s">
        <v>75</v>
      </c>
      <c r="K8" s="9">
        <v>0.239929689053689</v>
      </c>
      <c r="L8" s="9" t="s">
        <v>76</v>
      </c>
      <c r="M8" s="9">
        <v>0.229665317329467</v>
      </c>
      <c r="N8" s="11">
        <v>46.7637</v>
      </c>
      <c r="O8" s="11">
        <v>98.5785</v>
      </c>
      <c r="P8" s="11">
        <v>43.53</v>
      </c>
      <c r="Q8" s="11">
        <v>0.3072</v>
      </c>
      <c r="R8" s="11" t="s">
        <v>47</v>
      </c>
      <c r="S8" s="11">
        <v>441.7587</v>
      </c>
      <c r="T8" s="11">
        <v>1479.0428</v>
      </c>
      <c r="U8" s="11">
        <v>19.1311</v>
      </c>
      <c r="V8" s="11">
        <v>1.7333</v>
      </c>
      <c r="W8" s="11">
        <v>185.6993</v>
      </c>
      <c r="X8" s="11" t="s">
        <v>47</v>
      </c>
      <c r="Y8" s="11" t="s">
        <v>47</v>
      </c>
      <c r="Z8" s="11">
        <v>150.1046</v>
      </c>
      <c r="AA8" s="11">
        <v>3852.8626</v>
      </c>
      <c r="AB8" s="11">
        <v>291.1625</v>
      </c>
      <c r="AC8" s="11">
        <v>24.2103</v>
      </c>
      <c r="AD8" s="11" t="s">
        <v>47</v>
      </c>
      <c r="AE8" s="11" t="s">
        <v>47</v>
      </c>
      <c r="AF8" s="11">
        <v>879.7433</v>
      </c>
      <c r="AG8" s="11">
        <v>1.2386</v>
      </c>
      <c r="AH8" s="11">
        <v>-7.9514</v>
      </c>
      <c r="AI8" s="11">
        <v>-4.2277</v>
      </c>
      <c r="AJ8" s="9">
        <v>2356.5</v>
      </c>
      <c r="AK8" s="9">
        <v>843.2</v>
      </c>
      <c r="AL8" s="9" t="s">
        <v>47</v>
      </c>
      <c r="AM8" s="9">
        <v>3108700</v>
      </c>
      <c r="AN8" s="11" t="s">
        <v>47</v>
      </c>
      <c r="AO8" s="11" t="s">
        <v>47</v>
      </c>
      <c r="AP8" s="9" t="s">
        <v>47</v>
      </c>
      <c r="AQ8" s="9" t="s">
        <v>47</v>
      </c>
      <c r="AR8" s="9" t="s">
        <v>47</v>
      </c>
      <c r="AS8" s="9" t="s">
        <v>47</v>
      </c>
      <c r="AT8" s="9" t="s">
        <v>77</v>
      </c>
      <c r="AU8" s="11">
        <v>1959.0504</v>
      </c>
    </row>
    <row r="9" ht="27" spans="1:47">
      <c r="A9" s="9" t="s">
        <v>78</v>
      </c>
      <c r="B9" s="9" t="s">
        <v>79</v>
      </c>
      <c r="C9" s="11">
        <v>41.4</v>
      </c>
      <c r="D9" s="11">
        <v>0.2</v>
      </c>
      <c r="E9" s="9">
        <v>0.171429559922502</v>
      </c>
      <c r="F9" s="9" t="s">
        <v>80</v>
      </c>
      <c r="G9" s="9">
        <v>0.0179905895377802</v>
      </c>
      <c r="H9" s="9" t="s">
        <v>81</v>
      </c>
      <c r="I9" s="9">
        <v>0.00891918073623028</v>
      </c>
      <c r="J9" s="9" t="s">
        <v>82</v>
      </c>
      <c r="K9" s="9">
        <v>0.007286188762801</v>
      </c>
      <c r="L9" s="9" t="s">
        <v>83</v>
      </c>
      <c r="M9" s="9">
        <v>0.00588845834486576</v>
      </c>
      <c r="N9" s="11">
        <v>7.226</v>
      </c>
      <c r="O9" s="11">
        <v>7.5074</v>
      </c>
      <c r="P9" s="11">
        <v>0.287</v>
      </c>
      <c r="Q9" s="11" t="s">
        <v>47</v>
      </c>
      <c r="R9" s="11" t="s">
        <v>47</v>
      </c>
      <c r="S9" s="11">
        <v>36.3133</v>
      </c>
      <c r="T9" s="11">
        <v>266.8875</v>
      </c>
      <c r="U9" s="11" t="s">
        <v>47</v>
      </c>
      <c r="V9" s="11" t="s">
        <v>47</v>
      </c>
      <c r="W9" s="11">
        <v>16.1725</v>
      </c>
      <c r="X9" s="11" t="s">
        <v>47</v>
      </c>
      <c r="Y9" s="11" t="s">
        <v>47</v>
      </c>
      <c r="Z9" s="11">
        <v>0.733</v>
      </c>
      <c r="AA9" s="11">
        <v>360.973</v>
      </c>
      <c r="AB9" s="11">
        <v>14.1651</v>
      </c>
      <c r="AC9" s="11" t="s">
        <v>47</v>
      </c>
      <c r="AD9" s="11" t="s">
        <v>47</v>
      </c>
      <c r="AE9" s="11" t="s">
        <v>47</v>
      </c>
      <c r="AF9" s="11">
        <v>23.237</v>
      </c>
      <c r="AG9" s="11">
        <v>6.6904</v>
      </c>
      <c r="AH9" s="11">
        <v>-2.1357</v>
      </c>
      <c r="AI9" s="11">
        <v>-3.7458</v>
      </c>
      <c r="AJ9" s="9">
        <v>530.56</v>
      </c>
      <c r="AK9" s="9">
        <v>178.43</v>
      </c>
      <c r="AL9" s="9" t="s">
        <v>47</v>
      </c>
      <c r="AM9" s="9">
        <v>47000</v>
      </c>
      <c r="AN9" s="11" t="s">
        <v>47</v>
      </c>
      <c r="AO9" s="11" t="s">
        <v>47</v>
      </c>
      <c r="AP9" s="9" t="s">
        <v>47</v>
      </c>
      <c r="AQ9" s="9" t="s">
        <v>47</v>
      </c>
      <c r="AR9" s="9" t="s">
        <v>47</v>
      </c>
      <c r="AS9" s="9" t="s">
        <v>47</v>
      </c>
      <c r="AT9" s="9" t="s">
        <v>84</v>
      </c>
      <c r="AU9" s="11">
        <v>93.9733</v>
      </c>
    </row>
    <row r="10" ht="27" spans="1:47">
      <c r="A10" s="9" t="s">
        <v>85</v>
      </c>
      <c r="B10" s="9" t="s">
        <v>86</v>
      </c>
      <c r="C10" s="11">
        <v>26</v>
      </c>
      <c r="D10" s="11">
        <v>0.5</v>
      </c>
      <c r="E10" s="9">
        <v>0.44578530259366</v>
      </c>
      <c r="F10" s="9" t="s">
        <v>87</v>
      </c>
      <c r="G10" s="9">
        <v>0.023800946891725</v>
      </c>
      <c r="H10" s="9" t="s">
        <v>88</v>
      </c>
      <c r="I10" s="9">
        <v>0.0186547962124331</v>
      </c>
      <c r="J10" s="9" t="s">
        <v>47</v>
      </c>
      <c r="K10" s="9" t="e">
        <v>#VALUE!</v>
      </c>
      <c r="L10" s="9" t="s">
        <v>47</v>
      </c>
      <c r="M10" s="9" t="e">
        <v>#VALUE!</v>
      </c>
      <c r="N10" s="11">
        <v>7.7728</v>
      </c>
      <c r="O10" s="11">
        <v>0.7722</v>
      </c>
      <c r="P10" s="11">
        <v>1.05</v>
      </c>
      <c r="Q10" s="11" t="s">
        <v>47</v>
      </c>
      <c r="R10" s="11" t="s">
        <v>47</v>
      </c>
      <c r="S10" s="11">
        <v>6.9262</v>
      </c>
      <c r="T10" s="11">
        <v>226.7518</v>
      </c>
      <c r="U10" s="11" t="s">
        <v>47</v>
      </c>
      <c r="V10" s="11" t="s">
        <v>47</v>
      </c>
      <c r="W10" s="11" t="s">
        <v>47</v>
      </c>
      <c r="X10" s="11" t="s">
        <v>47</v>
      </c>
      <c r="Y10" s="11" t="s">
        <v>47</v>
      </c>
      <c r="Z10" s="11">
        <v>2.1861</v>
      </c>
      <c r="AA10" s="11">
        <v>314.4413</v>
      </c>
      <c r="AB10" s="11">
        <v>1.295</v>
      </c>
      <c r="AC10" s="11">
        <v>0.3</v>
      </c>
      <c r="AD10" s="11" t="s">
        <v>47</v>
      </c>
      <c r="AE10" s="11" t="s">
        <v>47</v>
      </c>
      <c r="AF10" s="11">
        <v>14.0186</v>
      </c>
      <c r="AG10" s="11">
        <v>-5.4211</v>
      </c>
      <c r="AH10" s="11">
        <v>-0.7038</v>
      </c>
      <c r="AI10" s="11">
        <v>2.9094</v>
      </c>
      <c r="AJ10" s="9">
        <v>51.6</v>
      </c>
      <c r="AK10" s="9">
        <v>22</v>
      </c>
      <c r="AL10" s="9" t="s">
        <v>47</v>
      </c>
      <c r="AM10" s="9">
        <v>485900</v>
      </c>
      <c r="AN10" s="11" t="s">
        <v>47</v>
      </c>
      <c r="AO10" s="11" t="s">
        <v>47</v>
      </c>
      <c r="AP10" s="9" t="s">
        <v>47</v>
      </c>
      <c r="AQ10" s="9" t="s">
        <v>47</v>
      </c>
      <c r="AR10" s="9" t="s">
        <v>47</v>
      </c>
      <c r="AS10" s="9" t="s">
        <v>47</v>
      </c>
      <c r="AT10" s="9" t="s">
        <v>89</v>
      </c>
      <c r="AU10" s="11">
        <v>55.5142</v>
      </c>
    </row>
    <row r="11" ht="27" spans="1:47">
      <c r="A11" s="9" t="s">
        <v>90</v>
      </c>
      <c r="B11" s="9" t="s">
        <v>91</v>
      </c>
      <c r="C11" s="11">
        <v>70</v>
      </c>
      <c r="D11" s="11">
        <v>0.2</v>
      </c>
      <c r="E11" s="9" t="e">
        <v>#VALUE!</v>
      </c>
      <c r="F11" s="9" t="s">
        <v>47</v>
      </c>
      <c r="G11" s="9" t="e">
        <v>#VALUE!</v>
      </c>
      <c r="H11" s="9" t="s">
        <v>47</v>
      </c>
      <c r="I11" s="9" t="e">
        <v>#VALUE!</v>
      </c>
      <c r="J11" s="9" t="s">
        <v>47</v>
      </c>
      <c r="K11" s="9" t="e">
        <v>#VALUE!</v>
      </c>
      <c r="L11" s="9" t="s">
        <v>47</v>
      </c>
      <c r="M11" s="9" t="e">
        <v>#VALUE!</v>
      </c>
      <c r="N11" s="11">
        <v>10.5327</v>
      </c>
      <c r="O11" s="11">
        <v>31.6773</v>
      </c>
      <c r="P11" s="11">
        <v>0.0003</v>
      </c>
      <c r="Q11" s="11">
        <v>0.5</v>
      </c>
      <c r="R11" s="11" t="s">
        <v>47</v>
      </c>
      <c r="S11" s="11">
        <v>94.2404</v>
      </c>
      <c r="T11" s="11">
        <v>209.2109</v>
      </c>
      <c r="U11" s="11" t="s">
        <v>47</v>
      </c>
      <c r="V11" s="11" t="s">
        <v>47</v>
      </c>
      <c r="W11" s="11">
        <v>20.8181</v>
      </c>
      <c r="X11" s="11" t="s">
        <v>47</v>
      </c>
      <c r="Y11" s="11" t="s">
        <v>47</v>
      </c>
      <c r="Z11" s="11">
        <v>3.6181</v>
      </c>
      <c r="AA11" s="11">
        <v>443.3317</v>
      </c>
      <c r="AB11" s="11">
        <v>17.2351</v>
      </c>
      <c r="AC11" s="11" t="s">
        <v>47</v>
      </c>
      <c r="AD11" s="11" t="s">
        <v>47</v>
      </c>
      <c r="AE11" s="11" t="s">
        <v>47</v>
      </c>
      <c r="AF11" s="11">
        <v>67.596</v>
      </c>
      <c r="AG11" s="11">
        <v>-20.0646</v>
      </c>
      <c r="AH11" s="11">
        <v>-3.9237</v>
      </c>
      <c r="AI11" s="11">
        <v>2.5647</v>
      </c>
      <c r="AJ11" s="9">
        <v>1507.89</v>
      </c>
      <c r="AK11" s="9">
        <v>1412.81</v>
      </c>
      <c r="AL11" s="9" t="s">
        <v>47</v>
      </c>
      <c r="AM11" s="9" t="s">
        <v>47</v>
      </c>
      <c r="AN11" s="11" t="s">
        <v>47</v>
      </c>
      <c r="AO11" s="11" t="s">
        <v>47</v>
      </c>
      <c r="AP11" s="9" t="s">
        <v>47</v>
      </c>
      <c r="AQ11" s="9" t="s">
        <v>47</v>
      </c>
      <c r="AR11" s="9" t="s">
        <v>47</v>
      </c>
      <c r="AS11" s="9" t="s">
        <v>47</v>
      </c>
      <c r="AT11" s="9" t="s">
        <v>47</v>
      </c>
      <c r="AU11" s="11">
        <v>158.2482</v>
      </c>
    </row>
    <row r="12" ht="27" spans="1:47">
      <c r="A12" s="9" t="s">
        <v>92</v>
      </c>
      <c r="B12" s="9" t="s">
        <v>93</v>
      </c>
      <c r="C12" s="11">
        <v>34.5</v>
      </c>
      <c r="D12" s="11">
        <v>0.2</v>
      </c>
      <c r="E12" s="9" t="e">
        <v>#VALUE!</v>
      </c>
      <c r="F12" s="9" t="s">
        <v>47</v>
      </c>
      <c r="G12" s="9" t="e">
        <v>#VALUE!</v>
      </c>
      <c r="H12" s="9" t="s">
        <v>47</v>
      </c>
      <c r="I12" s="9" t="e">
        <v>#VALUE!</v>
      </c>
      <c r="J12" s="9" t="s">
        <v>47</v>
      </c>
      <c r="K12" s="9" t="e">
        <v>#VALUE!</v>
      </c>
      <c r="L12" s="9" t="s">
        <v>47</v>
      </c>
      <c r="M12" s="9" t="e">
        <v>#VALUE!</v>
      </c>
      <c r="N12" s="11">
        <v>66.3497</v>
      </c>
      <c r="O12" s="11">
        <v>28.2668</v>
      </c>
      <c r="P12" s="11">
        <v>2.087</v>
      </c>
      <c r="Q12" s="11">
        <v>0.053</v>
      </c>
      <c r="R12" s="11" t="s">
        <v>47</v>
      </c>
      <c r="S12" s="11">
        <v>69.9941</v>
      </c>
      <c r="T12" s="11">
        <v>192.6771</v>
      </c>
      <c r="U12" s="11">
        <v>5.1072</v>
      </c>
      <c r="V12" s="11">
        <v>6.7968</v>
      </c>
      <c r="W12" s="11">
        <v>19.4598</v>
      </c>
      <c r="X12" s="11" t="s">
        <v>47</v>
      </c>
      <c r="Y12" s="11" t="s">
        <v>47</v>
      </c>
      <c r="Z12" s="11">
        <v>2.8903</v>
      </c>
      <c r="AA12" s="11">
        <v>531.7961</v>
      </c>
      <c r="AB12" s="11">
        <v>33.1277</v>
      </c>
      <c r="AC12" s="11">
        <v>4.0743</v>
      </c>
      <c r="AD12" s="11" t="s">
        <v>47</v>
      </c>
      <c r="AE12" s="11" t="s">
        <v>47</v>
      </c>
      <c r="AF12" s="11">
        <v>99.5402</v>
      </c>
      <c r="AG12" s="11">
        <v>-25.8022</v>
      </c>
      <c r="AH12" s="11">
        <v>19.0932</v>
      </c>
      <c r="AI12" s="11">
        <v>5.1371</v>
      </c>
      <c r="AJ12" s="9">
        <v>476.37</v>
      </c>
      <c r="AK12" s="9">
        <v>220.3</v>
      </c>
      <c r="AL12" s="9" t="s">
        <v>47</v>
      </c>
      <c r="AM12" s="9">
        <v>421200</v>
      </c>
      <c r="AN12" s="11" t="s">
        <v>47</v>
      </c>
      <c r="AO12" s="11" t="s">
        <v>47</v>
      </c>
      <c r="AP12" s="9" t="s">
        <v>47</v>
      </c>
      <c r="AQ12" s="9" t="s">
        <v>47</v>
      </c>
      <c r="AR12" s="9" t="s">
        <v>47</v>
      </c>
      <c r="AS12" s="9" t="s">
        <v>47</v>
      </c>
      <c r="AT12" s="9" t="s">
        <v>47</v>
      </c>
      <c r="AU12" s="11">
        <v>224.8149</v>
      </c>
    </row>
    <row r="13" ht="27" spans="1:47">
      <c r="A13" s="9" t="s">
        <v>94</v>
      </c>
      <c r="B13" s="9" t="s">
        <v>95</v>
      </c>
      <c r="C13" s="11">
        <v>662.36</v>
      </c>
      <c r="D13" s="11">
        <v>0.2</v>
      </c>
      <c r="E13" s="9" t="e">
        <v>#VALUE!</v>
      </c>
      <c r="F13" s="9" t="s">
        <v>47</v>
      </c>
      <c r="G13" s="9" t="e">
        <v>#VALUE!</v>
      </c>
      <c r="H13" s="9" t="s">
        <v>47</v>
      </c>
      <c r="I13" s="9" t="e">
        <v>#VALUE!</v>
      </c>
      <c r="J13" s="9" t="s">
        <v>47</v>
      </c>
      <c r="K13" s="9" t="e">
        <v>#VALUE!</v>
      </c>
      <c r="L13" s="9" t="s">
        <v>47</v>
      </c>
      <c r="M13" s="9" t="e">
        <v>#VALUE!</v>
      </c>
      <c r="N13" s="11">
        <v>3.9932</v>
      </c>
      <c r="O13" s="11">
        <v>58.6785</v>
      </c>
      <c r="P13" s="11">
        <v>4.502</v>
      </c>
      <c r="Q13" s="11" t="s">
        <v>47</v>
      </c>
      <c r="R13" s="11" t="s">
        <v>47</v>
      </c>
      <c r="S13" s="11">
        <v>259.3917</v>
      </c>
      <c r="T13" s="11">
        <v>865.7275</v>
      </c>
      <c r="U13" s="11">
        <v>1.9509</v>
      </c>
      <c r="V13" s="11">
        <v>1.7447</v>
      </c>
      <c r="W13" s="11">
        <v>140.4872</v>
      </c>
      <c r="X13" s="11" t="s">
        <v>47</v>
      </c>
      <c r="Y13" s="11" t="s">
        <v>47</v>
      </c>
      <c r="Z13" s="11">
        <v>286.0469</v>
      </c>
      <c r="AA13" s="11">
        <v>2337.4152</v>
      </c>
      <c r="AB13" s="11">
        <v>175.2445</v>
      </c>
      <c r="AC13" s="11" t="s">
        <v>47</v>
      </c>
      <c r="AD13" s="11" t="s">
        <v>47</v>
      </c>
      <c r="AE13" s="11" t="s">
        <v>47</v>
      </c>
      <c r="AF13" s="11">
        <v>437.8942</v>
      </c>
      <c r="AG13" s="11">
        <v>46.7564</v>
      </c>
      <c r="AH13" s="11">
        <v>-1.5961</v>
      </c>
      <c r="AI13" s="11">
        <v>0.0769</v>
      </c>
      <c r="AJ13" s="9">
        <v>1974.2</v>
      </c>
      <c r="AK13" s="9">
        <v>864.92</v>
      </c>
      <c r="AL13" s="9" t="s">
        <v>47</v>
      </c>
      <c r="AM13" s="9">
        <v>852862.77</v>
      </c>
      <c r="AN13" s="11" t="s">
        <v>47</v>
      </c>
      <c r="AO13" s="11" t="s">
        <v>47</v>
      </c>
      <c r="AP13" s="9" t="s">
        <v>47</v>
      </c>
      <c r="AQ13" s="9" t="s">
        <v>47</v>
      </c>
      <c r="AR13" s="9" t="s">
        <v>47</v>
      </c>
      <c r="AS13" s="9" t="s">
        <v>47</v>
      </c>
      <c r="AT13" s="9" t="s">
        <v>47</v>
      </c>
      <c r="AU13" s="11">
        <v>1327.8318</v>
      </c>
    </row>
    <row r="14" ht="27" spans="1:47">
      <c r="A14" s="9" t="s">
        <v>96</v>
      </c>
      <c r="B14" s="9" t="s">
        <v>97</v>
      </c>
      <c r="C14" s="11">
        <v>14.95</v>
      </c>
      <c r="D14" s="11">
        <v>0.4</v>
      </c>
      <c r="E14" s="9">
        <v>1.36719526874967</v>
      </c>
      <c r="F14" s="9" t="s">
        <v>98</v>
      </c>
      <c r="G14" s="9">
        <v>0.790048897561851</v>
      </c>
      <c r="H14" s="9" t="s">
        <v>99</v>
      </c>
      <c r="I14" s="9">
        <v>0.116827041697508</v>
      </c>
      <c r="J14" s="9" t="s">
        <v>56</v>
      </c>
      <c r="K14" s="9">
        <v>0.082609963438979</v>
      </c>
      <c r="L14" s="9" t="s">
        <v>100</v>
      </c>
      <c r="M14" s="9">
        <v>0.0451816462179156</v>
      </c>
      <c r="N14" s="11">
        <v>26.7498</v>
      </c>
      <c r="O14" s="11">
        <v>31.8303</v>
      </c>
      <c r="P14" s="11" t="s">
        <v>47</v>
      </c>
      <c r="Q14" s="11">
        <v>0.2771</v>
      </c>
      <c r="R14" s="11" t="s">
        <v>47</v>
      </c>
      <c r="S14" s="11">
        <v>175.6788</v>
      </c>
      <c r="T14" s="11">
        <v>322.3503</v>
      </c>
      <c r="U14" s="11" t="s">
        <v>47</v>
      </c>
      <c r="V14" s="11">
        <v>0.7172</v>
      </c>
      <c r="W14" s="11">
        <v>98.8381</v>
      </c>
      <c r="X14" s="11" t="s">
        <v>47</v>
      </c>
      <c r="Y14" s="11" t="s">
        <v>47</v>
      </c>
      <c r="Z14" s="11">
        <v>6.019</v>
      </c>
      <c r="AA14" s="11">
        <v>959.3974</v>
      </c>
      <c r="AB14" s="11">
        <v>13.1301</v>
      </c>
      <c r="AC14" s="11">
        <v>4.8276</v>
      </c>
      <c r="AD14" s="11" t="s">
        <v>47</v>
      </c>
      <c r="AE14" s="11" t="s">
        <v>47</v>
      </c>
      <c r="AF14" s="11">
        <v>280.1736</v>
      </c>
      <c r="AG14" s="11">
        <v>0.2426</v>
      </c>
      <c r="AH14" s="11">
        <v>-4.4926</v>
      </c>
      <c r="AI14" s="11">
        <v>20.9581</v>
      </c>
      <c r="AJ14" s="9">
        <v>404.59</v>
      </c>
      <c r="AK14" s="9">
        <v>34.95</v>
      </c>
      <c r="AL14" s="9" t="s">
        <v>47</v>
      </c>
      <c r="AM14" s="9">
        <v>1379900</v>
      </c>
      <c r="AN14" s="11" t="s">
        <v>47</v>
      </c>
      <c r="AO14" s="11" t="s">
        <v>47</v>
      </c>
      <c r="AP14" s="9" t="s">
        <v>47</v>
      </c>
      <c r="AQ14" s="9" t="s">
        <v>47</v>
      </c>
      <c r="AR14" s="9" t="s">
        <v>47</v>
      </c>
      <c r="AS14" s="9" t="s">
        <v>47</v>
      </c>
      <c r="AT14" s="9" t="s">
        <v>101</v>
      </c>
      <c r="AU14" s="11">
        <v>510.9887</v>
      </c>
    </row>
    <row r="15" ht="27" spans="1:47">
      <c r="A15" s="9" t="s">
        <v>102</v>
      </c>
      <c r="B15" s="9" t="s">
        <v>103</v>
      </c>
      <c r="C15" s="11">
        <v>39.9</v>
      </c>
      <c r="D15" s="11">
        <v>0.1</v>
      </c>
      <c r="E15" s="9">
        <v>1.72741075919636</v>
      </c>
      <c r="F15" s="9" t="s">
        <v>104</v>
      </c>
      <c r="G15" s="9">
        <v>1.33323702906172</v>
      </c>
      <c r="H15" s="9" t="s">
        <v>105</v>
      </c>
      <c r="I15" s="9">
        <v>0.510851897886987</v>
      </c>
      <c r="J15" s="9" t="s">
        <v>59</v>
      </c>
      <c r="K15" s="9">
        <v>0.0615280370140964</v>
      </c>
      <c r="L15" s="9" t="s">
        <v>47</v>
      </c>
      <c r="M15" s="9" t="e">
        <v>#VALUE!</v>
      </c>
      <c r="N15" s="11">
        <v>48.1114</v>
      </c>
      <c r="O15" s="11">
        <v>140.0725</v>
      </c>
      <c r="P15" s="11">
        <v>10.7063</v>
      </c>
      <c r="Q15" s="11">
        <v>43.8181</v>
      </c>
      <c r="R15" s="11" t="s">
        <v>47</v>
      </c>
      <c r="S15" s="11">
        <v>104.7548</v>
      </c>
      <c r="T15" s="11">
        <v>1295.6837</v>
      </c>
      <c r="U15" s="11">
        <v>0.2091</v>
      </c>
      <c r="V15" s="11">
        <v>0.55</v>
      </c>
      <c r="W15" s="11">
        <v>130.1484</v>
      </c>
      <c r="X15" s="11" t="s">
        <v>47</v>
      </c>
      <c r="Y15" s="11" t="s">
        <v>47</v>
      </c>
      <c r="Z15" s="11">
        <v>9.7171</v>
      </c>
      <c r="AA15" s="11">
        <v>2302.5848</v>
      </c>
      <c r="AB15" s="11">
        <v>82.8379</v>
      </c>
      <c r="AC15" s="11">
        <v>24.7814</v>
      </c>
      <c r="AD15" s="11" t="s">
        <v>47</v>
      </c>
      <c r="AE15" s="11" t="s">
        <v>47</v>
      </c>
      <c r="AF15" s="11">
        <v>638.8508</v>
      </c>
      <c r="AG15" s="11">
        <v>-24.6792</v>
      </c>
      <c r="AH15" s="11">
        <v>-6.5357</v>
      </c>
      <c r="AI15" s="11">
        <v>28.9705</v>
      </c>
      <c r="AJ15" s="9">
        <v>2030.5377</v>
      </c>
      <c r="AK15" s="9">
        <v>465.2213</v>
      </c>
      <c r="AL15" s="9" t="s">
        <v>47</v>
      </c>
      <c r="AM15" s="9">
        <v>440800</v>
      </c>
      <c r="AN15" s="11" t="s">
        <v>47</v>
      </c>
      <c r="AO15" s="11" t="s">
        <v>47</v>
      </c>
      <c r="AP15" s="9" t="s">
        <v>47</v>
      </c>
      <c r="AQ15" s="9" t="s">
        <v>47</v>
      </c>
      <c r="AR15" s="9" t="s">
        <v>47</v>
      </c>
      <c r="AS15" s="9" t="s">
        <v>47</v>
      </c>
      <c r="AT15" s="9" t="s">
        <v>106</v>
      </c>
      <c r="AU15" s="11">
        <v>1312.9892</v>
      </c>
    </row>
    <row r="16" ht="27" spans="1:47">
      <c r="A16" s="9" t="s">
        <v>107</v>
      </c>
      <c r="B16" s="9" t="s">
        <v>108</v>
      </c>
      <c r="C16" s="11">
        <v>10</v>
      </c>
      <c r="D16" s="11">
        <v>0.1</v>
      </c>
      <c r="E16" s="9" t="e">
        <v>#VALUE!</v>
      </c>
      <c r="F16" s="9" t="s">
        <v>47</v>
      </c>
      <c r="G16" s="9" t="e">
        <v>#VALUE!</v>
      </c>
      <c r="H16" s="9" t="s">
        <v>47</v>
      </c>
      <c r="I16" s="9" t="e">
        <v>#VALUE!</v>
      </c>
      <c r="J16" s="9" t="s">
        <v>47</v>
      </c>
      <c r="K16" s="9" t="e">
        <v>#VALUE!</v>
      </c>
      <c r="L16" s="9" t="s">
        <v>47</v>
      </c>
      <c r="M16" s="9" t="e">
        <v>#VALUE!</v>
      </c>
      <c r="N16" s="11">
        <v>37.4018</v>
      </c>
      <c r="O16" s="11">
        <v>8.5755</v>
      </c>
      <c r="P16" s="11">
        <v>2.7404</v>
      </c>
      <c r="Q16" s="11" t="s">
        <v>47</v>
      </c>
      <c r="R16" s="11" t="s">
        <v>47</v>
      </c>
      <c r="S16" s="11">
        <v>2.2899</v>
      </c>
      <c r="T16" s="11">
        <v>6.2645</v>
      </c>
      <c r="U16" s="11" t="s">
        <v>47</v>
      </c>
      <c r="V16" s="11" t="s">
        <v>47</v>
      </c>
      <c r="W16" s="11">
        <v>0.0482</v>
      </c>
      <c r="X16" s="11" t="s">
        <v>47</v>
      </c>
      <c r="Y16" s="11" t="s">
        <v>47</v>
      </c>
      <c r="Z16" s="11">
        <v>4.119</v>
      </c>
      <c r="AA16" s="11">
        <v>272.6533</v>
      </c>
      <c r="AB16" s="11">
        <v>2.3462</v>
      </c>
      <c r="AC16" s="11">
        <v>2.1874</v>
      </c>
      <c r="AD16" s="11" t="s">
        <v>47</v>
      </c>
      <c r="AE16" s="11" t="s">
        <v>47</v>
      </c>
      <c r="AF16" s="11">
        <v>66.2426</v>
      </c>
      <c r="AG16" s="11">
        <v>7.6276</v>
      </c>
      <c r="AH16" s="11">
        <v>-22.3254</v>
      </c>
      <c r="AI16" s="11">
        <v>12.9907</v>
      </c>
      <c r="AJ16" s="9">
        <v>511.25</v>
      </c>
      <c r="AK16" s="9">
        <v>394.7666</v>
      </c>
      <c r="AL16" s="9" t="s">
        <v>47</v>
      </c>
      <c r="AM16" s="9">
        <v>181500</v>
      </c>
      <c r="AN16" s="11" t="s">
        <v>47</v>
      </c>
      <c r="AO16" s="11" t="s">
        <v>47</v>
      </c>
      <c r="AP16" s="9" t="s">
        <v>47</v>
      </c>
      <c r="AQ16" s="9" t="s">
        <v>47</v>
      </c>
      <c r="AR16" s="9" t="s">
        <v>47</v>
      </c>
      <c r="AS16" s="9" t="s">
        <v>47</v>
      </c>
      <c r="AT16" s="9" t="s">
        <v>47</v>
      </c>
      <c r="AU16" s="11">
        <v>119.8496</v>
      </c>
    </row>
    <row r="17" ht="27" spans="1:47">
      <c r="A17" s="9" t="s">
        <v>109</v>
      </c>
      <c r="B17" s="9" t="s">
        <v>110</v>
      </c>
      <c r="C17" s="11">
        <v>5.5</v>
      </c>
      <c r="D17" s="11">
        <v>0.1</v>
      </c>
      <c r="E17" s="9" t="e">
        <v>#VALUE!</v>
      </c>
      <c r="F17" s="9" t="s">
        <v>47</v>
      </c>
      <c r="G17" s="9" t="e">
        <v>#VALUE!</v>
      </c>
      <c r="H17" s="9" t="s">
        <v>47</v>
      </c>
      <c r="I17" s="9" t="e">
        <v>#VALUE!</v>
      </c>
      <c r="J17" s="9" t="s">
        <v>47</v>
      </c>
      <c r="K17" s="9" t="e">
        <v>#VALUE!</v>
      </c>
      <c r="L17" s="9" t="s">
        <v>47</v>
      </c>
      <c r="M17" s="9" t="e">
        <v>#VALUE!</v>
      </c>
      <c r="N17" s="11">
        <v>7.6873</v>
      </c>
      <c r="O17" s="11">
        <v>7.9506</v>
      </c>
      <c r="P17" s="11">
        <v>0.6118</v>
      </c>
      <c r="Q17" s="11">
        <v>0.15</v>
      </c>
      <c r="R17" s="11" t="s">
        <v>47</v>
      </c>
      <c r="S17" s="11">
        <v>72.0792</v>
      </c>
      <c r="T17" s="11">
        <v>271.8852</v>
      </c>
      <c r="U17" s="11" t="s">
        <v>47</v>
      </c>
      <c r="V17" s="11">
        <v>4.2079</v>
      </c>
      <c r="W17" s="11">
        <v>26.8366</v>
      </c>
      <c r="X17" s="11" t="s">
        <v>47</v>
      </c>
      <c r="Y17" s="11" t="s">
        <v>47</v>
      </c>
      <c r="Z17" s="11">
        <v>17.9362</v>
      </c>
      <c r="AA17" s="11">
        <v>602.8734</v>
      </c>
      <c r="AB17" s="11">
        <v>45.6604</v>
      </c>
      <c r="AC17" s="11">
        <v>1.3277</v>
      </c>
      <c r="AD17" s="11" t="s">
        <v>47</v>
      </c>
      <c r="AE17" s="11" t="s">
        <v>47</v>
      </c>
      <c r="AF17" s="11">
        <v>92.2872</v>
      </c>
      <c r="AG17" s="11">
        <v>10.8986</v>
      </c>
      <c r="AH17" s="11">
        <v>-0.1063</v>
      </c>
      <c r="AI17" s="11">
        <v>-13.1308</v>
      </c>
      <c r="AJ17" s="9">
        <v>369.2076</v>
      </c>
      <c r="AK17" s="9">
        <v>139.3077</v>
      </c>
      <c r="AL17" s="9" t="s">
        <v>47</v>
      </c>
      <c r="AM17" s="9">
        <v>699793.97</v>
      </c>
      <c r="AN17" s="11" t="s">
        <v>47</v>
      </c>
      <c r="AO17" s="11" t="s">
        <v>47</v>
      </c>
      <c r="AP17" s="9" t="s">
        <v>47</v>
      </c>
      <c r="AQ17" s="9" t="s">
        <v>47</v>
      </c>
      <c r="AR17" s="9" t="s">
        <v>47</v>
      </c>
      <c r="AS17" s="9" t="s">
        <v>47</v>
      </c>
      <c r="AT17" s="9" t="s">
        <v>47</v>
      </c>
      <c r="AU17" s="11">
        <v>238.2615</v>
      </c>
    </row>
    <row r="18" ht="27" spans="1:47">
      <c r="A18" s="9" t="s">
        <v>111</v>
      </c>
      <c r="B18" s="9" t="s">
        <v>112</v>
      </c>
      <c r="C18" s="11">
        <v>30</v>
      </c>
      <c r="D18" s="11">
        <v>0.2</v>
      </c>
      <c r="E18" s="9">
        <v>0.178042368519884</v>
      </c>
      <c r="F18" s="9" t="s">
        <v>113</v>
      </c>
      <c r="G18" s="9">
        <v>0.00104321700304619</v>
      </c>
      <c r="H18" s="9" t="s">
        <v>47</v>
      </c>
      <c r="I18" s="9" t="e">
        <v>#VALUE!</v>
      </c>
      <c r="J18" s="9" t="s">
        <v>47</v>
      </c>
      <c r="K18" s="9" t="e">
        <v>#VALUE!</v>
      </c>
      <c r="L18" s="9" t="s">
        <v>47</v>
      </c>
      <c r="M18" s="9" t="e">
        <v>#VALUE!</v>
      </c>
      <c r="N18" s="11">
        <v>14.3786</v>
      </c>
      <c r="O18" s="11">
        <v>2.2995</v>
      </c>
      <c r="P18" s="11" t="s">
        <v>47</v>
      </c>
      <c r="Q18" s="11" t="s">
        <v>47</v>
      </c>
      <c r="R18" s="11" t="s">
        <v>47</v>
      </c>
      <c r="S18" s="11">
        <v>32.0473</v>
      </c>
      <c r="T18" s="11">
        <v>270.9361</v>
      </c>
      <c r="U18" s="11" t="s">
        <v>47</v>
      </c>
      <c r="V18" s="11" t="s">
        <v>47</v>
      </c>
      <c r="W18" s="11">
        <v>9.2288</v>
      </c>
      <c r="X18" s="11" t="s">
        <v>47</v>
      </c>
      <c r="Y18" s="11" t="s">
        <v>47</v>
      </c>
      <c r="Z18" s="11" t="s">
        <v>47</v>
      </c>
      <c r="AA18" s="11">
        <v>384.7309</v>
      </c>
      <c r="AB18" s="11">
        <v>13.155</v>
      </c>
      <c r="AC18" s="11" t="s">
        <v>47</v>
      </c>
      <c r="AD18" s="11" t="s">
        <v>47</v>
      </c>
      <c r="AE18" s="11" t="s">
        <v>47</v>
      </c>
      <c r="AF18" s="11">
        <v>50.3341</v>
      </c>
      <c r="AG18" s="11">
        <v>-39.4491</v>
      </c>
      <c r="AH18" s="11">
        <v>-2.4074</v>
      </c>
      <c r="AI18" s="11">
        <v>43.7787</v>
      </c>
      <c r="AJ18" s="9">
        <v>149.58</v>
      </c>
      <c r="AK18" s="9">
        <v>66.62</v>
      </c>
      <c r="AL18" s="9" t="s">
        <v>47</v>
      </c>
      <c r="AM18" s="9">
        <v>305311.5</v>
      </c>
      <c r="AN18" s="11" t="s">
        <v>47</v>
      </c>
      <c r="AO18" s="11" t="s">
        <v>47</v>
      </c>
      <c r="AP18" s="9" t="s">
        <v>47</v>
      </c>
      <c r="AQ18" s="9" t="s">
        <v>47</v>
      </c>
      <c r="AR18" s="9" t="s">
        <v>47</v>
      </c>
      <c r="AS18" s="9" t="s">
        <v>47</v>
      </c>
      <c r="AT18" s="9" t="s">
        <v>59</v>
      </c>
      <c r="AU18" s="11">
        <v>132.3097</v>
      </c>
    </row>
    <row r="19" ht="27" spans="1:47">
      <c r="A19" s="9" t="s">
        <v>114</v>
      </c>
      <c r="B19" s="9" t="s">
        <v>115</v>
      </c>
      <c r="C19" s="11">
        <v>35</v>
      </c>
      <c r="D19" s="11">
        <v>0.1</v>
      </c>
      <c r="E19" s="9">
        <v>0.0346716721812166</v>
      </c>
      <c r="F19" s="9" t="s">
        <v>87</v>
      </c>
      <c r="G19" s="9">
        <v>0.0122168490710104</v>
      </c>
      <c r="H19" s="9" t="s">
        <v>89</v>
      </c>
      <c r="I19" s="9">
        <v>0.0116887248663782</v>
      </c>
      <c r="J19" s="9" t="s">
        <v>116</v>
      </c>
      <c r="K19" s="9">
        <v>0.010950623568338</v>
      </c>
      <c r="L19" s="9" t="s">
        <v>47</v>
      </c>
      <c r="M19" s="9" t="e">
        <v>#VALUE!</v>
      </c>
      <c r="N19" s="11">
        <v>7.858</v>
      </c>
      <c r="O19" s="11">
        <v>1.6216</v>
      </c>
      <c r="P19" s="11" t="s">
        <v>47</v>
      </c>
      <c r="Q19" s="11" t="s">
        <v>47</v>
      </c>
      <c r="R19" s="11" t="s">
        <v>47</v>
      </c>
      <c r="S19" s="11">
        <v>11.8535</v>
      </c>
      <c r="T19" s="11">
        <v>207.5721</v>
      </c>
      <c r="U19" s="11" t="s">
        <v>47</v>
      </c>
      <c r="V19" s="11" t="s">
        <v>47</v>
      </c>
      <c r="W19" s="11">
        <v>11.2895</v>
      </c>
      <c r="X19" s="11" t="s">
        <v>47</v>
      </c>
      <c r="Y19" s="11" t="s">
        <v>47</v>
      </c>
      <c r="Z19" s="11">
        <v>1.539</v>
      </c>
      <c r="AA19" s="11">
        <v>274.3938</v>
      </c>
      <c r="AB19" s="11">
        <v>1.9287</v>
      </c>
      <c r="AC19" s="11" t="s">
        <v>47</v>
      </c>
      <c r="AD19" s="11" t="s">
        <v>47</v>
      </c>
      <c r="AE19" s="11" t="s">
        <v>47</v>
      </c>
      <c r="AF19" s="11">
        <v>18.6448</v>
      </c>
      <c r="AG19" s="11">
        <v>1.0166</v>
      </c>
      <c r="AH19" s="11">
        <v>-1.7706</v>
      </c>
      <c r="AI19" s="11">
        <v>-4.0735</v>
      </c>
      <c r="AJ19" s="9">
        <v>58.587</v>
      </c>
      <c r="AK19" s="9">
        <v>22.49</v>
      </c>
      <c r="AL19" s="9" t="s">
        <v>47</v>
      </c>
      <c r="AM19" s="9">
        <v>67400</v>
      </c>
      <c r="AN19" s="11" t="s">
        <v>47</v>
      </c>
      <c r="AO19" s="11" t="s">
        <v>47</v>
      </c>
      <c r="AP19" s="9" t="s">
        <v>47</v>
      </c>
      <c r="AQ19" s="9" t="s">
        <v>47</v>
      </c>
      <c r="AR19" s="9" t="s">
        <v>47</v>
      </c>
      <c r="AS19" s="9" t="s">
        <v>47</v>
      </c>
      <c r="AT19" s="9" t="s">
        <v>88</v>
      </c>
      <c r="AU19" s="11">
        <v>66.4731</v>
      </c>
    </row>
    <row r="20" ht="27" spans="1:47">
      <c r="A20" s="9" t="s">
        <v>117</v>
      </c>
      <c r="B20" s="9" t="s">
        <v>118</v>
      </c>
      <c r="C20" s="11">
        <v>9</v>
      </c>
      <c r="D20" s="11">
        <v>0.1</v>
      </c>
      <c r="E20" s="9" t="e">
        <v>#VALUE!</v>
      </c>
      <c r="F20" s="9" t="s">
        <v>47</v>
      </c>
      <c r="G20" s="9" t="e">
        <v>#VALUE!</v>
      </c>
      <c r="H20" s="9" t="s">
        <v>47</v>
      </c>
      <c r="I20" s="9" t="e">
        <v>#VALUE!</v>
      </c>
      <c r="J20" s="9" t="s">
        <v>47</v>
      </c>
      <c r="K20" s="9" t="e">
        <v>#VALUE!</v>
      </c>
      <c r="L20" s="9" t="s">
        <v>47</v>
      </c>
      <c r="M20" s="9" t="e">
        <v>#VALUE!</v>
      </c>
      <c r="N20" s="11">
        <v>17.3733</v>
      </c>
      <c r="O20" s="11">
        <v>15.4852</v>
      </c>
      <c r="P20" s="11">
        <v>2.6315</v>
      </c>
      <c r="Q20" s="11" t="s">
        <v>47</v>
      </c>
      <c r="R20" s="11" t="s">
        <v>47</v>
      </c>
      <c r="S20" s="11">
        <v>80.9059</v>
      </c>
      <c r="T20" s="11">
        <v>59.5757</v>
      </c>
      <c r="U20" s="11">
        <v>1.6252</v>
      </c>
      <c r="V20" s="11">
        <v>0.5644</v>
      </c>
      <c r="W20" s="11">
        <v>73.6521</v>
      </c>
      <c r="X20" s="11" t="s">
        <v>47</v>
      </c>
      <c r="Y20" s="11" t="s">
        <v>47</v>
      </c>
      <c r="Z20" s="11">
        <v>1.0536</v>
      </c>
      <c r="AA20" s="11">
        <v>345.5545</v>
      </c>
      <c r="AB20" s="11">
        <v>42.2057</v>
      </c>
      <c r="AC20" s="11">
        <v>6.2887</v>
      </c>
      <c r="AD20" s="11" t="s">
        <v>47</v>
      </c>
      <c r="AE20" s="11" t="s">
        <v>47</v>
      </c>
      <c r="AF20" s="11">
        <v>31.0605</v>
      </c>
      <c r="AG20" s="11">
        <v>-5.1609</v>
      </c>
      <c r="AH20" s="11">
        <v>1.1953</v>
      </c>
      <c r="AI20" s="11">
        <v>2.0876</v>
      </c>
      <c r="AJ20" s="9">
        <v>164.39</v>
      </c>
      <c r="AK20" s="9">
        <v>33.24</v>
      </c>
      <c r="AL20" s="9" t="s">
        <v>47</v>
      </c>
      <c r="AM20" s="9">
        <v>121762.41</v>
      </c>
      <c r="AN20" s="11" t="s">
        <v>47</v>
      </c>
      <c r="AO20" s="11" t="s">
        <v>47</v>
      </c>
      <c r="AP20" s="9" t="s">
        <v>47</v>
      </c>
      <c r="AQ20" s="9" t="s">
        <v>58</v>
      </c>
      <c r="AR20" s="9" t="s">
        <v>58</v>
      </c>
      <c r="AS20" s="9" t="s">
        <v>58</v>
      </c>
      <c r="AT20" s="9" t="s">
        <v>47</v>
      </c>
      <c r="AU20" s="11">
        <v>105.7826</v>
      </c>
    </row>
    <row r="21" ht="27" spans="1:47">
      <c r="A21" s="9" t="s">
        <v>119</v>
      </c>
      <c r="B21" s="9" t="s">
        <v>120</v>
      </c>
      <c r="C21" s="11">
        <v>13.65</v>
      </c>
      <c r="D21" s="11">
        <v>0.1</v>
      </c>
      <c r="E21" s="9" t="e">
        <v>#VALUE!</v>
      </c>
      <c r="F21" s="9" t="s">
        <v>47</v>
      </c>
      <c r="G21" s="9" t="e">
        <v>#VALUE!</v>
      </c>
      <c r="H21" s="9" t="s">
        <v>47</v>
      </c>
      <c r="I21" s="9" t="e">
        <v>#VALUE!</v>
      </c>
      <c r="J21" s="9" t="s">
        <v>47</v>
      </c>
      <c r="K21" s="9" t="e">
        <v>#VALUE!</v>
      </c>
      <c r="L21" s="9" t="s">
        <v>47</v>
      </c>
      <c r="M21" s="9" t="e">
        <v>#VALUE!</v>
      </c>
      <c r="N21" s="11">
        <v>13.109</v>
      </c>
      <c r="O21" s="11">
        <v>6.8246</v>
      </c>
      <c r="P21" s="11" t="s">
        <v>47</v>
      </c>
      <c r="Q21" s="11" t="s">
        <v>47</v>
      </c>
      <c r="R21" s="11" t="s">
        <v>47</v>
      </c>
      <c r="S21" s="11">
        <v>10.5882</v>
      </c>
      <c r="T21" s="11">
        <v>161.4058</v>
      </c>
      <c r="U21" s="11" t="s">
        <v>47</v>
      </c>
      <c r="V21" s="11" t="s">
        <v>47</v>
      </c>
      <c r="W21" s="11">
        <v>1.7321</v>
      </c>
      <c r="X21" s="11" t="s">
        <v>47</v>
      </c>
      <c r="Y21" s="11" t="s">
        <v>47</v>
      </c>
      <c r="Z21" s="11" t="s">
        <v>47</v>
      </c>
      <c r="AA21" s="11">
        <v>258.0682</v>
      </c>
      <c r="AB21" s="11">
        <v>1.92</v>
      </c>
      <c r="AC21" s="11" t="s">
        <v>47</v>
      </c>
      <c r="AD21" s="11" t="s">
        <v>47</v>
      </c>
      <c r="AE21" s="11" t="s">
        <v>47</v>
      </c>
      <c r="AF21" s="11">
        <v>37.3523</v>
      </c>
      <c r="AG21" s="11">
        <v>-16.7082</v>
      </c>
      <c r="AH21" s="11">
        <v>-1.0901</v>
      </c>
      <c r="AI21" s="11">
        <v>22.342</v>
      </c>
      <c r="AJ21" s="9">
        <v>82.4</v>
      </c>
      <c r="AK21" s="9">
        <v>40.9</v>
      </c>
      <c r="AL21" s="9" t="s">
        <v>47</v>
      </c>
      <c r="AM21" s="9">
        <v>405900</v>
      </c>
      <c r="AN21" s="11" t="s">
        <v>47</v>
      </c>
      <c r="AO21" s="11" t="s">
        <v>47</v>
      </c>
      <c r="AP21" s="9" t="s">
        <v>47</v>
      </c>
      <c r="AQ21" s="9" t="s">
        <v>47</v>
      </c>
      <c r="AR21" s="9" t="s">
        <v>47</v>
      </c>
      <c r="AS21" s="9" t="s">
        <v>47</v>
      </c>
      <c r="AT21" s="9" t="s">
        <v>47</v>
      </c>
      <c r="AU21" s="11">
        <v>91.8173</v>
      </c>
    </row>
    <row r="22" ht="27" spans="1:47">
      <c r="A22" s="9" t="s">
        <v>121</v>
      </c>
      <c r="B22" s="9" t="s">
        <v>122</v>
      </c>
      <c r="C22" s="11">
        <v>34.2871</v>
      </c>
      <c r="D22" s="11">
        <v>0.1</v>
      </c>
      <c r="E22" s="9">
        <v>0.0315106580166821</v>
      </c>
      <c r="F22" s="9" t="s">
        <v>123</v>
      </c>
      <c r="G22" s="9">
        <v>0.0124314923511711</v>
      </c>
      <c r="H22" s="9" t="s">
        <v>124</v>
      </c>
      <c r="I22" s="9">
        <v>0.0112587100538908</v>
      </c>
      <c r="J22" s="9" t="s">
        <v>125</v>
      </c>
      <c r="K22" s="9">
        <v>0.00775180494055996</v>
      </c>
      <c r="L22" s="9" t="s">
        <v>126</v>
      </c>
      <c r="M22" s="9">
        <v>0.00743143514227851</v>
      </c>
      <c r="N22" s="11">
        <v>8.7399</v>
      </c>
      <c r="O22" s="11">
        <v>4.1618</v>
      </c>
      <c r="P22" s="11" t="s">
        <v>47</v>
      </c>
      <c r="Q22" s="11" t="s">
        <v>47</v>
      </c>
      <c r="R22" s="11" t="s">
        <v>47</v>
      </c>
      <c r="S22" s="11">
        <v>16.3888</v>
      </c>
      <c r="T22" s="11">
        <v>211.3198</v>
      </c>
      <c r="U22" s="11" t="s">
        <v>47</v>
      </c>
      <c r="V22" s="11" t="s">
        <v>47</v>
      </c>
      <c r="W22" s="11">
        <v>2.4209</v>
      </c>
      <c r="X22" s="11" t="s">
        <v>47</v>
      </c>
      <c r="Y22" s="11" t="s">
        <v>47</v>
      </c>
      <c r="Z22" s="11">
        <v>0.3313</v>
      </c>
      <c r="AA22" s="11">
        <v>279.337</v>
      </c>
      <c r="AB22" s="11">
        <v>5.8157</v>
      </c>
      <c r="AC22" s="11" t="s">
        <v>47</v>
      </c>
      <c r="AD22" s="11" t="s">
        <v>47</v>
      </c>
      <c r="AE22" s="11" t="s">
        <v>47</v>
      </c>
      <c r="AF22" s="11">
        <v>23.2578</v>
      </c>
      <c r="AG22" s="11">
        <v>14.9923</v>
      </c>
      <c r="AH22" s="11">
        <v>-1.1329</v>
      </c>
      <c r="AI22" s="11">
        <v>-16.68</v>
      </c>
      <c r="AJ22" s="9">
        <v>58.21</v>
      </c>
      <c r="AK22" s="9">
        <v>25.83</v>
      </c>
      <c r="AL22" s="9" t="s">
        <v>47</v>
      </c>
      <c r="AM22" s="9">
        <v>431500</v>
      </c>
      <c r="AN22" s="11" t="s">
        <v>47</v>
      </c>
      <c r="AO22" s="11" t="s">
        <v>47</v>
      </c>
      <c r="AP22" s="9" t="s">
        <v>47</v>
      </c>
      <c r="AQ22" s="9" t="s">
        <v>47</v>
      </c>
      <c r="AR22" s="9" t="s">
        <v>47</v>
      </c>
      <c r="AS22" s="9" t="s">
        <v>47</v>
      </c>
      <c r="AT22" s="9" t="s">
        <v>127</v>
      </c>
      <c r="AU22" s="11">
        <v>101.2609</v>
      </c>
    </row>
    <row r="23" ht="40.5" spans="1:47">
      <c r="A23" s="9" t="s">
        <v>128</v>
      </c>
      <c r="B23" s="9" t="s">
        <v>129</v>
      </c>
      <c r="C23" s="11">
        <v>82.2</v>
      </c>
      <c r="D23" s="11">
        <v>0.3</v>
      </c>
      <c r="E23" s="9">
        <v>2.53128282070518</v>
      </c>
      <c r="F23" s="9" t="s">
        <v>130</v>
      </c>
      <c r="G23" s="9">
        <v>1.53207051762941</v>
      </c>
      <c r="H23" s="9" t="s">
        <v>131</v>
      </c>
      <c r="I23" s="9">
        <v>1.3569392348087</v>
      </c>
      <c r="J23" s="9" t="s">
        <v>132</v>
      </c>
      <c r="K23" s="9">
        <v>1.25802700675169</v>
      </c>
      <c r="L23" s="9" t="s">
        <v>133</v>
      </c>
      <c r="M23" s="9">
        <v>0.832670667666917</v>
      </c>
      <c r="N23" s="11">
        <v>1.333</v>
      </c>
      <c r="O23" s="11">
        <v>44.6167</v>
      </c>
      <c r="P23" s="11">
        <v>28.39</v>
      </c>
      <c r="Q23" s="11" t="s">
        <v>47</v>
      </c>
      <c r="R23" s="11" t="s">
        <v>47</v>
      </c>
      <c r="S23" s="11">
        <v>111.7829</v>
      </c>
      <c r="T23" s="11">
        <v>246.3425</v>
      </c>
      <c r="U23" s="11" t="s">
        <v>47</v>
      </c>
      <c r="V23" s="11">
        <v>35.6461</v>
      </c>
      <c r="W23" s="11">
        <v>39.9642</v>
      </c>
      <c r="X23" s="11" t="s">
        <v>47</v>
      </c>
      <c r="Y23" s="11" t="s">
        <v>47</v>
      </c>
      <c r="Z23" s="11">
        <v>4.8952</v>
      </c>
      <c r="AA23" s="11">
        <v>865.6599</v>
      </c>
      <c r="AB23" s="11">
        <v>79.1646</v>
      </c>
      <c r="AC23" s="11">
        <v>1.9625</v>
      </c>
      <c r="AD23" s="11" t="s">
        <v>47</v>
      </c>
      <c r="AE23" s="11" t="s">
        <v>47</v>
      </c>
      <c r="AF23" s="11">
        <v>267.9598</v>
      </c>
      <c r="AG23" s="11">
        <v>-19.0606</v>
      </c>
      <c r="AH23" s="11">
        <v>-3.5074</v>
      </c>
      <c r="AI23" s="11">
        <v>28.3602</v>
      </c>
      <c r="AJ23" s="9">
        <v>399.089</v>
      </c>
      <c r="AK23" s="9">
        <v>127.6322</v>
      </c>
      <c r="AL23" s="9" t="s">
        <v>47</v>
      </c>
      <c r="AM23" s="9">
        <v>267000</v>
      </c>
      <c r="AN23" s="11" t="s">
        <v>47</v>
      </c>
      <c r="AO23" s="11" t="s">
        <v>47</v>
      </c>
      <c r="AP23" s="9" t="s">
        <v>47</v>
      </c>
      <c r="AQ23" s="9" t="s">
        <v>47</v>
      </c>
      <c r="AR23" s="9" t="s">
        <v>47</v>
      </c>
      <c r="AS23" s="9" t="s">
        <v>47</v>
      </c>
      <c r="AT23" s="9" t="s">
        <v>134</v>
      </c>
      <c r="AU23" s="11">
        <v>584.4475</v>
      </c>
    </row>
    <row r="24" ht="27" spans="1:47">
      <c r="A24" s="9" t="s">
        <v>135</v>
      </c>
      <c r="B24" s="9" t="s">
        <v>136</v>
      </c>
      <c r="C24" s="11">
        <v>79.3</v>
      </c>
      <c r="D24" s="11">
        <v>0.1</v>
      </c>
      <c r="E24" s="9" t="e">
        <v>#VALUE!</v>
      </c>
      <c r="F24" s="9" t="s">
        <v>47</v>
      </c>
      <c r="G24" s="9" t="e">
        <v>#VALUE!</v>
      </c>
      <c r="H24" s="9" t="s">
        <v>47</v>
      </c>
      <c r="I24" s="9" t="e">
        <v>#VALUE!</v>
      </c>
      <c r="J24" s="9" t="s">
        <v>47</v>
      </c>
      <c r="K24" s="9" t="e">
        <v>#VALUE!</v>
      </c>
      <c r="L24" s="9" t="s">
        <v>47</v>
      </c>
      <c r="M24" s="9" t="e">
        <v>#VALUE!</v>
      </c>
      <c r="N24" s="11">
        <v>16.1617</v>
      </c>
      <c r="O24" s="11">
        <v>53.9915</v>
      </c>
      <c r="P24" s="11">
        <v>33.4731</v>
      </c>
      <c r="Q24" s="11">
        <v>0.0956</v>
      </c>
      <c r="R24" s="11" t="s">
        <v>47</v>
      </c>
      <c r="S24" s="11">
        <v>586.6191</v>
      </c>
      <c r="T24" s="11">
        <v>521.6171</v>
      </c>
      <c r="U24" s="11">
        <v>0.0735</v>
      </c>
      <c r="V24" s="11">
        <v>5.1646</v>
      </c>
      <c r="W24" s="11">
        <v>125.5277</v>
      </c>
      <c r="X24" s="11" t="s">
        <v>47</v>
      </c>
      <c r="Y24" s="11" t="s">
        <v>47</v>
      </c>
      <c r="Z24" s="11">
        <v>20.3187</v>
      </c>
      <c r="AA24" s="11">
        <v>1990.1495</v>
      </c>
      <c r="AB24" s="11">
        <v>158.9319</v>
      </c>
      <c r="AC24" s="11">
        <v>0.4919</v>
      </c>
      <c r="AD24" s="11" t="s">
        <v>47</v>
      </c>
      <c r="AE24" s="11" t="s">
        <v>47</v>
      </c>
      <c r="AF24" s="11">
        <v>334.7633</v>
      </c>
      <c r="AG24" s="11">
        <v>-2.5458</v>
      </c>
      <c r="AH24" s="11">
        <v>-6.3242</v>
      </c>
      <c r="AI24" s="11">
        <v>33.5728</v>
      </c>
      <c r="AJ24" s="9">
        <v>730.87</v>
      </c>
      <c r="AK24" s="9">
        <v>332.62</v>
      </c>
      <c r="AL24" s="9" t="s">
        <v>47</v>
      </c>
      <c r="AM24" s="9">
        <v>1358600</v>
      </c>
      <c r="AN24" s="11" t="s">
        <v>47</v>
      </c>
      <c r="AO24" s="11" t="s">
        <v>47</v>
      </c>
      <c r="AP24" s="9" t="s">
        <v>47</v>
      </c>
      <c r="AQ24" s="9" t="s">
        <v>47</v>
      </c>
      <c r="AR24" s="9" t="s">
        <v>47</v>
      </c>
      <c r="AS24" s="9" t="s">
        <v>47</v>
      </c>
      <c r="AT24" s="9" t="s">
        <v>47</v>
      </c>
      <c r="AU24" s="11">
        <v>816.3015</v>
      </c>
    </row>
    <row r="25" ht="40.5" spans="1:47">
      <c r="A25" s="9" t="s">
        <v>137</v>
      </c>
      <c r="B25" s="9" t="s">
        <v>138</v>
      </c>
      <c r="C25" s="11">
        <v>13</v>
      </c>
      <c r="D25" s="11">
        <v>0.26</v>
      </c>
      <c r="E25" s="9">
        <v>0.257150478222764</v>
      </c>
      <c r="F25" s="9" t="s">
        <v>139</v>
      </c>
      <c r="G25" s="9">
        <v>0.129722211637389</v>
      </c>
      <c r="H25" s="9" t="s">
        <v>140</v>
      </c>
      <c r="I25" s="9">
        <v>0.0845901764279998</v>
      </c>
      <c r="J25" s="9" t="s">
        <v>141</v>
      </c>
      <c r="K25" s="9">
        <v>0.016206226422284</v>
      </c>
      <c r="L25" s="9" t="s">
        <v>64</v>
      </c>
      <c r="M25" s="9">
        <v>0.00808596578135122</v>
      </c>
      <c r="N25" s="11">
        <v>13.1215</v>
      </c>
      <c r="O25" s="11">
        <v>28.2412</v>
      </c>
      <c r="P25" s="11">
        <v>22.38</v>
      </c>
      <c r="Q25" s="11" t="s">
        <v>47</v>
      </c>
      <c r="R25" s="11" t="s">
        <v>47</v>
      </c>
      <c r="S25" s="11">
        <v>41.4711</v>
      </c>
      <c r="T25" s="11">
        <v>144.1112</v>
      </c>
      <c r="U25" s="11" t="s">
        <v>47</v>
      </c>
      <c r="V25" s="11" t="s">
        <v>47</v>
      </c>
      <c r="W25" s="11">
        <v>25.1885</v>
      </c>
      <c r="X25" s="11" t="s">
        <v>47</v>
      </c>
      <c r="Y25" s="11" t="s">
        <v>47</v>
      </c>
      <c r="Z25" s="11">
        <v>1.5419</v>
      </c>
      <c r="AA25" s="11">
        <v>579.3967</v>
      </c>
      <c r="AB25" s="11">
        <v>44.8837</v>
      </c>
      <c r="AC25" s="11">
        <v>1.573</v>
      </c>
      <c r="AD25" s="11" t="s">
        <v>47</v>
      </c>
      <c r="AE25" s="11" t="s">
        <v>47</v>
      </c>
      <c r="AF25" s="11">
        <v>147.0012</v>
      </c>
      <c r="AG25" s="11">
        <v>5.1445</v>
      </c>
      <c r="AH25" s="11">
        <v>-12.2907</v>
      </c>
      <c r="AI25" s="11">
        <v>5.2834</v>
      </c>
      <c r="AJ25" s="9">
        <v>226.17</v>
      </c>
      <c r="AK25" s="9">
        <v>67.66</v>
      </c>
      <c r="AL25" s="9" t="s">
        <v>47</v>
      </c>
      <c r="AM25" s="9">
        <v>1091300</v>
      </c>
      <c r="AN25" s="11" t="s">
        <v>47</v>
      </c>
      <c r="AO25" s="11" t="s">
        <v>47</v>
      </c>
      <c r="AP25" s="9" t="s">
        <v>47</v>
      </c>
      <c r="AQ25" s="9" t="s">
        <v>47</v>
      </c>
      <c r="AR25" s="9" t="s">
        <v>47</v>
      </c>
      <c r="AS25" s="9" t="s">
        <v>47</v>
      </c>
      <c r="AT25" s="9" t="s">
        <v>142</v>
      </c>
      <c r="AU25" s="11">
        <v>307.7311</v>
      </c>
    </row>
    <row r="26" ht="40.5" spans="1:47">
      <c r="A26" s="9" t="s">
        <v>143</v>
      </c>
      <c r="B26" s="9" t="s">
        <v>144</v>
      </c>
      <c r="C26" s="11">
        <v>20.4</v>
      </c>
      <c r="D26" s="11">
        <v>0.28</v>
      </c>
      <c r="E26" s="9">
        <v>0.275877293390457</v>
      </c>
      <c r="F26" s="9" t="s">
        <v>130</v>
      </c>
      <c r="G26" s="9">
        <v>0.111325506099356</v>
      </c>
      <c r="H26" s="9" t="s">
        <v>145</v>
      </c>
      <c r="I26" s="9">
        <v>0.0907504006279229</v>
      </c>
      <c r="J26" s="9" t="s">
        <v>146</v>
      </c>
      <c r="K26" s="9">
        <v>0.0116999705661118</v>
      </c>
      <c r="L26" s="9" t="s">
        <v>147</v>
      </c>
      <c r="M26" s="9">
        <v>0.00681067469012657</v>
      </c>
      <c r="N26" s="11">
        <v>12.2308</v>
      </c>
      <c r="O26" s="11">
        <v>25.2725</v>
      </c>
      <c r="P26" s="11">
        <v>19.35</v>
      </c>
      <c r="Q26" s="11" t="s">
        <v>47</v>
      </c>
      <c r="R26" s="11" t="s">
        <v>47</v>
      </c>
      <c r="S26" s="11">
        <v>15.7821</v>
      </c>
      <c r="T26" s="11">
        <v>118.1683</v>
      </c>
      <c r="U26" s="11" t="s">
        <v>47</v>
      </c>
      <c r="V26" s="11" t="s">
        <v>47</v>
      </c>
      <c r="W26" s="11">
        <v>24.4678</v>
      </c>
      <c r="X26" s="11" t="s">
        <v>47</v>
      </c>
      <c r="Y26" s="11" t="s">
        <v>47</v>
      </c>
      <c r="Z26" s="11">
        <v>0.8038</v>
      </c>
      <c r="AA26" s="11">
        <v>417.0593</v>
      </c>
      <c r="AB26" s="11">
        <v>30.7268</v>
      </c>
      <c r="AC26" s="11">
        <v>1.573</v>
      </c>
      <c r="AD26" s="11" t="s">
        <v>47</v>
      </c>
      <c r="AE26" s="11" t="s">
        <v>47</v>
      </c>
      <c r="AF26" s="11">
        <v>46.0436</v>
      </c>
      <c r="AG26" s="11">
        <v>23.3564</v>
      </c>
      <c r="AH26" s="11">
        <v>-1.7556</v>
      </c>
      <c r="AI26" s="11">
        <v>-21.3717</v>
      </c>
      <c r="AJ26" s="9">
        <v>137.2</v>
      </c>
      <c r="AK26" s="9">
        <v>25.96</v>
      </c>
      <c r="AL26" s="9" t="s">
        <v>47</v>
      </c>
      <c r="AM26" s="9">
        <v>1118600</v>
      </c>
      <c r="AN26" s="11" t="s">
        <v>47</v>
      </c>
      <c r="AO26" s="11" t="s">
        <v>47</v>
      </c>
      <c r="AP26" s="9" t="s">
        <v>47</v>
      </c>
      <c r="AQ26" s="9" t="s">
        <v>47</v>
      </c>
      <c r="AR26" s="9" t="s">
        <v>47</v>
      </c>
      <c r="AS26" s="9" t="s">
        <v>47</v>
      </c>
      <c r="AT26" s="9" t="s">
        <v>131</v>
      </c>
      <c r="AU26" s="11">
        <v>151.0979</v>
      </c>
    </row>
    <row r="27" ht="40.5" spans="1:47">
      <c r="A27" s="9" t="s">
        <v>148</v>
      </c>
      <c r="B27" s="9" t="s">
        <v>149</v>
      </c>
      <c r="C27" s="11">
        <v>3</v>
      </c>
      <c r="D27" s="11">
        <v>0.1</v>
      </c>
      <c r="E27" s="9">
        <v>0.0236900734384025</v>
      </c>
      <c r="F27" s="9" t="s">
        <v>147</v>
      </c>
      <c r="G27" s="9">
        <v>0.00429078306790989</v>
      </c>
      <c r="H27" s="9" t="s">
        <v>70</v>
      </c>
      <c r="I27" s="9" t="e">
        <v>#VALUE!</v>
      </c>
      <c r="J27" s="9" t="s">
        <v>150</v>
      </c>
      <c r="K27" s="9" t="e">
        <v>#VALUE!</v>
      </c>
      <c r="L27" s="9" t="s">
        <v>47</v>
      </c>
      <c r="M27" s="9" t="e">
        <v>#VALUE!</v>
      </c>
      <c r="N27" s="11">
        <v>6.0595</v>
      </c>
      <c r="O27" s="11">
        <v>3.983</v>
      </c>
      <c r="P27" s="11">
        <v>0.0023</v>
      </c>
      <c r="Q27" s="11" t="s">
        <v>47</v>
      </c>
      <c r="R27" s="11" t="s">
        <v>47</v>
      </c>
      <c r="S27" s="11">
        <v>62.231</v>
      </c>
      <c r="T27" s="11">
        <v>37.7297</v>
      </c>
      <c r="U27" s="11">
        <v>0.0472</v>
      </c>
      <c r="V27" s="11" t="s">
        <v>47</v>
      </c>
      <c r="W27" s="11">
        <v>3.2565</v>
      </c>
      <c r="X27" s="11" t="s">
        <v>47</v>
      </c>
      <c r="Y27" s="11" t="s">
        <v>47</v>
      </c>
      <c r="Z27" s="11">
        <v>0.2861</v>
      </c>
      <c r="AA27" s="11">
        <v>170.5003</v>
      </c>
      <c r="AB27" s="11">
        <v>10.2674</v>
      </c>
      <c r="AC27" s="11" t="s">
        <v>47</v>
      </c>
      <c r="AD27" s="11" t="s">
        <v>47</v>
      </c>
      <c r="AE27" s="11" t="s">
        <v>47</v>
      </c>
      <c r="AF27" s="11">
        <v>37.6785</v>
      </c>
      <c r="AG27" s="11">
        <v>-2.4528</v>
      </c>
      <c r="AH27" s="11">
        <v>-11.749</v>
      </c>
      <c r="AI27" s="11">
        <v>9.4354</v>
      </c>
      <c r="AJ27" s="9">
        <v>90.73</v>
      </c>
      <c r="AK27" s="9">
        <v>52.38</v>
      </c>
      <c r="AL27" s="9" t="s">
        <v>47</v>
      </c>
      <c r="AM27" s="9">
        <v>106700</v>
      </c>
      <c r="AN27" s="11" t="s">
        <v>47</v>
      </c>
      <c r="AO27" s="11" t="s">
        <v>47</v>
      </c>
      <c r="AP27" s="9" t="s">
        <v>47</v>
      </c>
      <c r="AQ27" s="9" t="s">
        <v>47</v>
      </c>
      <c r="AR27" s="9" t="s">
        <v>47</v>
      </c>
      <c r="AS27" s="9" t="s">
        <v>47</v>
      </c>
      <c r="AT27" s="9" t="s">
        <v>151</v>
      </c>
      <c r="AU27" s="11">
        <v>66.1748</v>
      </c>
    </row>
    <row r="28" ht="27" spans="1:47">
      <c r="A28" s="9" t="s">
        <v>152</v>
      </c>
      <c r="B28" s="9" t="s">
        <v>153</v>
      </c>
      <c r="C28" s="11">
        <v>22</v>
      </c>
      <c r="D28" s="11">
        <v>0.1</v>
      </c>
      <c r="E28" s="9" t="e">
        <v>#VALUE!</v>
      </c>
      <c r="F28" s="9" t="s">
        <v>47</v>
      </c>
      <c r="G28" s="9" t="e">
        <v>#VALUE!</v>
      </c>
      <c r="H28" s="9" t="s">
        <v>47</v>
      </c>
      <c r="I28" s="9" t="e">
        <v>#VALUE!</v>
      </c>
      <c r="J28" s="9" t="s">
        <v>47</v>
      </c>
      <c r="K28" s="9" t="e">
        <v>#VALUE!</v>
      </c>
      <c r="L28" s="9" t="s">
        <v>47</v>
      </c>
      <c r="M28" s="9" t="e">
        <v>#VALUE!</v>
      </c>
      <c r="N28" s="11">
        <v>6.5268</v>
      </c>
      <c r="O28" s="11">
        <v>34.168</v>
      </c>
      <c r="P28" s="11">
        <v>4.1117</v>
      </c>
      <c r="Q28" s="11">
        <v>0.003</v>
      </c>
      <c r="R28" s="11" t="s">
        <v>47</v>
      </c>
      <c r="S28" s="11">
        <v>66.6581</v>
      </c>
      <c r="T28" s="11">
        <v>232.0246</v>
      </c>
      <c r="U28" s="11">
        <v>3.9487</v>
      </c>
      <c r="V28" s="11">
        <v>5.062</v>
      </c>
      <c r="W28" s="11">
        <v>103.9449</v>
      </c>
      <c r="X28" s="11" t="s">
        <v>47</v>
      </c>
      <c r="Y28" s="11" t="s">
        <v>47</v>
      </c>
      <c r="Z28" s="11">
        <v>69.4655</v>
      </c>
      <c r="AA28" s="11">
        <v>766.2212</v>
      </c>
      <c r="AB28" s="11">
        <v>41.3203</v>
      </c>
      <c r="AC28" s="11">
        <v>6.1843</v>
      </c>
      <c r="AD28" s="11" t="s">
        <v>47</v>
      </c>
      <c r="AE28" s="11" t="s">
        <v>47</v>
      </c>
      <c r="AF28" s="11">
        <v>197.7208</v>
      </c>
      <c r="AG28" s="11">
        <v>-7.5803</v>
      </c>
      <c r="AH28" s="11">
        <v>-6.1808</v>
      </c>
      <c r="AI28" s="11">
        <v>12.5068</v>
      </c>
      <c r="AJ28" s="9" t="s">
        <v>47</v>
      </c>
      <c r="AK28" s="9">
        <v>393.49</v>
      </c>
      <c r="AL28" s="9" t="s">
        <v>47</v>
      </c>
      <c r="AM28" s="9">
        <v>6000</v>
      </c>
      <c r="AN28" s="11" t="s">
        <v>47</v>
      </c>
      <c r="AO28" s="11" t="s">
        <v>47</v>
      </c>
      <c r="AP28" s="9" t="s">
        <v>47</v>
      </c>
      <c r="AQ28" s="9" t="s">
        <v>47</v>
      </c>
      <c r="AR28" s="9" t="s">
        <v>47</v>
      </c>
      <c r="AS28" s="9" t="s">
        <v>47</v>
      </c>
      <c r="AT28" s="9" t="s">
        <v>47</v>
      </c>
      <c r="AU28" s="11">
        <v>439.8873</v>
      </c>
    </row>
    <row r="29" ht="27" spans="1:47">
      <c r="A29" s="9" t="s">
        <v>154</v>
      </c>
      <c r="B29" s="9" t="s">
        <v>155</v>
      </c>
      <c r="C29" s="11">
        <v>10</v>
      </c>
      <c r="D29" s="11">
        <v>0.19</v>
      </c>
      <c r="E29" s="9">
        <v>0.190468216924462</v>
      </c>
      <c r="F29" s="9" t="s">
        <v>87</v>
      </c>
      <c r="G29" s="9">
        <v>0.0115118153086213</v>
      </c>
      <c r="H29" s="9" t="s">
        <v>156</v>
      </c>
      <c r="I29" s="9">
        <v>0.00941875797978107</v>
      </c>
      <c r="J29" s="9" t="s">
        <v>157</v>
      </c>
      <c r="K29" s="9">
        <v>0.00627917198652071</v>
      </c>
      <c r="L29" s="9" t="s">
        <v>158</v>
      </c>
      <c r="M29" s="9">
        <v>0.00313958599326035</v>
      </c>
      <c r="N29" s="11">
        <v>4.7777</v>
      </c>
      <c r="O29" s="11">
        <v>1.9762</v>
      </c>
      <c r="P29" s="11" t="s">
        <v>47</v>
      </c>
      <c r="Q29" s="11" t="s">
        <v>47</v>
      </c>
      <c r="R29" s="11" t="s">
        <v>47</v>
      </c>
      <c r="S29" s="11">
        <v>3.3818</v>
      </c>
      <c r="T29" s="11">
        <v>66.7394</v>
      </c>
      <c r="U29" s="11" t="s">
        <v>47</v>
      </c>
      <c r="V29" s="11" t="s">
        <v>47</v>
      </c>
      <c r="W29" s="11">
        <v>9.5218</v>
      </c>
      <c r="X29" s="11" t="s">
        <v>47</v>
      </c>
      <c r="Y29" s="11" t="s">
        <v>47</v>
      </c>
      <c r="Z29" s="11" t="s">
        <v>47</v>
      </c>
      <c r="AA29" s="11">
        <v>104.1027</v>
      </c>
      <c r="AB29" s="11">
        <v>0.678</v>
      </c>
      <c r="AC29" s="11" t="s">
        <v>47</v>
      </c>
      <c r="AD29" s="11" t="s">
        <v>47</v>
      </c>
      <c r="AE29" s="11" t="s">
        <v>47</v>
      </c>
      <c r="AF29" s="11">
        <v>9.749</v>
      </c>
      <c r="AG29" s="11">
        <v>-1.4541</v>
      </c>
      <c r="AH29" s="11">
        <v>-0.7692</v>
      </c>
      <c r="AI29" s="11">
        <v>-0.131</v>
      </c>
      <c r="AJ29" s="9">
        <v>19.036</v>
      </c>
      <c r="AK29" s="9">
        <v>4.4535</v>
      </c>
      <c r="AL29" s="9" t="s">
        <v>47</v>
      </c>
      <c r="AM29" s="9">
        <v>109100</v>
      </c>
      <c r="AN29" s="11" t="s">
        <v>47</v>
      </c>
      <c r="AO29" s="11" t="s">
        <v>47</v>
      </c>
      <c r="AP29" s="9" t="s">
        <v>47</v>
      </c>
      <c r="AQ29" s="9" t="s">
        <v>47</v>
      </c>
      <c r="AR29" s="9" t="s">
        <v>47</v>
      </c>
      <c r="AS29" s="9" t="s">
        <v>47</v>
      </c>
      <c r="AT29" s="9" t="s">
        <v>159</v>
      </c>
      <c r="AU29" s="11">
        <v>30.3158</v>
      </c>
    </row>
    <row r="30" ht="27" spans="1:47">
      <c r="A30" s="9" t="s">
        <v>160</v>
      </c>
      <c r="B30" s="9" t="s">
        <v>161</v>
      </c>
      <c r="C30" s="11">
        <v>15</v>
      </c>
      <c r="D30" s="11">
        <v>0.1</v>
      </c>
      <c r="E30" s="9" t="e">
        <v>#VALUE!</v>
      </c>
      <c r="F30" s="9" t="s">
        <v>47</v>
      </c>
      <c r="G30" s="9" t="e">
        <v>#VALUE!</v>
      </c>
      <c r="H30" s="9" t="s">
        <v>47</v>
      </c>
      <c r="I30" s="9" t="e">
        <v>#VALUE!</v>
      </c>
      <c r="J30" s="9" t="s">
        <v>47</v>
      </c>
      <c r="K30" s="9" t="e">
        <v>#VALUE!</v>
      </c>
      <c r="L30" s="9" t="s">
        <v>47</v>
      </c>
      <c r="M30" s="9" t="e">
        <v>#VALUE!</v>
      </c>
      <c r="N30" s="11">
        <v>4.5845</v>
      </c>
      <c r="O30" s="11">
        <v>3.067</v>
      </c>
      <c r="P30" s="11" t="s">
        <v>47</v>
      </c>
      <c r="Q30" s="11" t="s">
        <v>47</v>
      </c>
      <c r="R30" s="11" t="s">
        <v>47</v>
      </c>
      <c r="S30" s="11">
        <v>38.1296</v>
      </c>
      <c r="T30" s="11">
        <v>46.8092</v>
      </c>
      <c r="U30" s="11" t="s">
        <v>47</v>
      </c>
      <c r="V30" s="11" t="s">
        <v>47</v>
      </c>
      <c r="W30" s="11" t="s">
        <v>47</v>
      </c>
      <c r="X30" s="11" t="s">
        <v>47</v>
      </c>
      <c r="Y30" s="11" t="s">
        <v>47</v>
      </c>
      <c r="Z30" s="11" t="s">
        <v>47</v>
      </c>
      <c r="AA30" s="11">
        <v>108.946</v>
      </c>
      <c r="AB30" s="11">
        <v>8.574</v>
      </c>
      <c r="AC30" s="11">
        <v>0.326</v>
      </c>
      <c r="AD30" s="11" t="s">
        <v>47</v>
      </c>
      <c r="AE30" s="11" t="s">
        <v>47</v>
      </c>
      <c r="AF30" s="11">
        <v>29.7561</v>
      </c>
      <c r="AG30" s="11">
        <v>0.6691</v>
      </c>
      <c r="AH30" s="11">
        <v>-0.0067</v>
      </c>
      <c r="AI30" s="11">
        <v>-0.8743</v>
      </c>
      <c r="AJ30" s="9">
        <v>9.1</v>
      </c>
      <c r="AK30" s="9">
        <v>0</v>
      </c>
      <c r="AL30" s="9" t="s">
        <v>47</v>
      </c>
      <c r="AM30" s="9">
        <v>256100</v>
      </c>
      <c r="AN30" s="11" t="s">
        <v>47</v>
      </c>
      <c r="AO30" s="11" t="s">
        <v>47</v>
      </c>
      <c r="AP30" s="9" t="s">
        <v>47</v>
      </c>
      <c r="AQ30" s="9" t="s">
        <v>162</v>
      </c>
      <c r="AR30" s="9" t="s">
        <v>162</v>
      </c>
      <c r="AS30" s="9" t="s">
        <v>162</v>
      </c>
      <c r="AT30" s="9" t="s">
        <v>47</v>
      </c>
      <c r="AU30" s="11">
        <v>58.7489</v>
      </c>
    </row>
    <row r="31" ht="27" spans="1:47">
      <c r="A31" s="9" t="s">
        <v>163</v>
      </c>
      <c r="B31" s="9" t="s">
        <v>164</v>
      </c>
      <c r="C31" s="11">
        <v>77</v>
      </c>
      <c r="D31" s="11">
        <v>0.1</v>
      </c>
      <c r="E31" s="9" t="e">
        <v>#VALUE!</v>
      </c>
      <c r="F31" s="9" t="s">
        <v>47</v>
      </c>
      <c r="G31" s="9" t="e">
        <v>#VALUE!</v>
      </c>
      <c r="H31" s="9" t="s">
        <v>47</v>
      </c>
      <c r="I31" s="9" t="e">
        <v>#VALUE!</v>
      </c>
      <c r="J31" s="9" t="s">
        <v>47</v>
      </c>
      <c r="K31" s="9" t="e">
        <v>#VALUE!</v>
      </c>
      <c r="L31" s="9" t="s">
        <v>47</v>
      </c>
      <c r="M31" s="9" t="e">
        <v>#VALUE!</v>
      </c>
      <c r="N31" s="11">
        <v>12.1402</v>
      </c>
      <c r="O31" s="11">
        <v>12.4547</v>
      </c>
      <c r="P31" s="11">
        <v>4.56</v>
      </c>
      <c r="Q31" s="11">
        <v>0.02</v>
      </c>
      <c r="R31" s="11" t="s">
        <v>47</v>
      </c>
      <c r="S31" s="11">
        <v>172.61</v>
      </c>
      <c r="T31" s="11">
        <v>334.2308</v>
      </c>
      <c r="U31" s="11">
        <v>0.0735</v>
      </c>
      <c r="V31" s="11">
        <v>5.1646</v>
      </c>
      <c r="W31" s="11">
        <v>114.7</v>
      </c>
      <c r="X31" s="11" t="s">
        <v>47</v>
      </c>
      <c r="Y31" s="11" t="s">
        <v>47</v>
      </c>
      <c r="Z31" s="11">
        <v>19.9197</v>
      </c>
      <c r="AA31" s="11">
        <v>1020.1867</v>
      </c>
      <c r="AB31" s="11">
        <v>98.9515</v>
      </c>
      <c r="AC31" s="11">
        <v>0.4919</v>
      </c>
      <c r="AD31" s="11" t="s">
        <v>47</v>
      </c>
      <c r="AE31" s="11" t="s">
        <v>47</v>
      </c>
      <c r="AF31" s="11">
        <v>97.4377</v>
      </c>
      <c r="AG31" s="11">
        <v>0.0353</v>
      </c>
      <c r="AH31" s="11">
        <v>-0.4168</v>
      </c>
      <c r="AI31" s="11">
        <v>-1.4269</v>
      </c>
      <c r="AJ31" s="9">
        <v>229.8084</v>
      </c>
      <c r="AK31" s="9">
        <v>43.1195</v>
      </c>
      <c r="AL31" s="9" t="s">
        <v>47</v>
      </c>
      <c r="AM31" s="9">
        <v>1082200</v>
      </c>
      <c r="AN31" s="11" t="s">
        <v>47</v>
      </c>
      <c r="AO31" s="11" t="s">
        <v>47</v>
      </c>
      <c r="AP31" s="9" t="s">
        <v>47</v>
      </c>
      <c r="AQ31" s="9" t="s">
        <v>162</v>
      </c>
      <c r="AR31" s="9" t="s">
        <v>162</v>
      </c>
      <c r="AS31" s="9" t="s">
        <v>162</v>
      </c>
      <c r="AT31" s="9" t="s">
        <v>47</v>
      </c>
      <c r="AU31" s="11">
        <v>364.4193</v>
      </c>
    </row>
    <row r="32" ht="27" spans="1:47">
      <c r="A32" s="9" t="s">
        <v>165</v>
      </c>
      <c r="B32" s="9" t="s">
        <v>166</v>
      </c>
      <c r="C32" s="11">
        <v>25.59</v>
      </c>
      <c r="D32" s="11">
        <v>0.1</v>
      </c>
      <c r="E32" s="9" t="e">
        <v>#VALUE!</v>
      </c>
      <c r="F32" s="9" t="s">
        <v>47</v>
      </c>
      <c r="G32" s="9" t="e">
        <v>#VALUE!</v>
      </c>
      <c r="H32" s="9" t="s">
        <v>47</v>
      </c>
      <c r="I32" s="9" t="e">
        <v>#VALUE!</v>
      </c>
      <c r="J32" s="9" t="s">
        <v>47</v>
      </c>
      <c r="K32" s="9" t="e">
        <v>#VALUE!</v>
      </c>
      <c r="L32" s="9" t="s">
        <v>47</v>
      </c>
      <c r="M32" s="9" t="e">
        <v>#VALUE!</v>
      </c>
      <c r="N32" s="11">
        <v>2.2661</v>
      </c>
      <c r="O32" s="11">
        <v>13.8697</v>
      </c>
      <c r="P32" s="11" t="s">
        <v>47</v>
      </c>
      <c r="Q32" s="11">
        <v>0.0807</v>
      </c>
      <c r="R32" s="11" t="s">
        <v>47</v>
      </c>
      <c r="S32" s="11">
        <v>91.167</v>
      </c>
      <c r="T32" s="11">
        <v>94.2752</v>
      </c>
      <c r="U32" s="11" t="s">
        <v>47</v>
      </c>
      <c r="V32" s="11" t="s">
        <v>47</v>
      </c>
      <c r="W32" s="11">
        <v>78.6076</v>
      </c>
      <c r="X32" s="11" t="s">
        <v>47</v>
      </c>
      <c r="Y32" s="11" t="s">
        <v>47</v>
      </c>
      <c r="Z32" s="11">
        <v>124.9758</v>
      </c>
      <c r="AA32" s="11">
        <v>565.8251</v>
      </c>
      <c r="AB32" s="11">
        <v>15.648</v>
      </c>
      <c r="AC32" s="11" t="s">
        <v>47</v>
      </c>
      <c r="AD32" s="11" t="s">
        <v>47</v>
      </c>
      <c r="AE32" s="11" t="s">
        <v>47</v>
      </c>
      <c r="AF32" s="11">
        <v>146.1944</v>
      </c>
      <c r="AG32" s="11">
        <v>-2.7475</v>
      </c>
      <c r="AH32" s="11">
        <v>-0.0428</v>
      </c>
      <c r="AI32" s="11">
        <v>13.1585</v>
      </c>
      <c r="AJ32" s="9">
        <v>245.6847</v>
      </c>
      <c r="AK32" s="9">
        <v>72.4572</v>
      </c>
      <c r="AL32" s="9" t="s">
        <v>47</v>
      </c>
      <c r="AM32" s="9">
        <v>1267600</v>
      </c>
      <c r="AN32" s="11" t="s">
        <v>47</v>
      </c>
      <c r="AO32" s="11" t="s">
        <v>47</v>
      </c>
      <c r="AP32" s="9" t="s">
        <v>47</v>
      </c>
      <c r="AQ32" s="9" t="s">
        <v>47</v>
      </c>
      <c r="AR32" s="9" t="s">
        <v>47</v>
      </c>
      <c r="AS32" s="9" t="s">
        <v>47</v>
      </c>
      <c r="AT32" s="9" t="s">
        <v>47</v>
      </c>
      <c r="AU32" s="11">
        <v>236.1958</v>
      </c>
    </row>
    <row r="33" ht="27" spans="1:47">
      <c r="A33" s="9" t="s">
        <v>167</v>
      </c>
      <c r="B33" s="9" t="s">
        <v>168</v>
      </c>
      <c r="C33" s="11">
        <v>40.62</v>
      </c>
      <c r="D33" s="11">
        <v>0.1</v>
      </c>
      <c r="E33" s="9" t="e">
        <v>#VALUE!</v>
      </c>
      <c r="F33" s="9" t="s">
        <v>47</v>
      </c>
      <c r="G33" s="9" t="e">
        <v>#VALUE!</v>
      </c>
      <c r="H33" s="9" t="s">
        <v>47</v>
      </c>
      <c r="I33" s="9" t="e">
        <v>#VALUE!</v>
      </c>
      <c r="J33" s="9" t="s">
        <v>47</v>
      </c>
      <c r="K33" s="9" t="e">
        <v>#VALUE!</v>
      </c>
      <c r="L33" s="9" t="s">
        <v>47</v>
      </c>
      <c r="M33" s="9" t="e">
        <v>#VALUE!</v>
      </c>
      <c r="N33" s="11">
        <v>5.7187</v>
      </c>
      <c r="O33" s="11">
        <v>20.517</v>
      </c>
      <c r="P33" s="11">
        <v>2.7463</v>
      </c>
      <c r="Q33" s="11">
        <v>0.3858</v>
      </c>
      <c r="R33" s="11" t="s">
        <v>47</v>
      </c>
      <c r="S33" s="11">
        <v>91.2787</v>
      </c>
      <c r="T33" s="11">
        <v>146.9823</v>
      </c>
      <c r="U33" s="11">
        <v>1.0054</v>
      </c>
      <c r="V33" s="11">
        <v>3.4778</v>
      </c>
      <c r="W33" s="11">
        <v>48.0961</v>
      </c>
      <c r="X33" s="11" t="s">
        <v>47</v>
      </c>
      <c r="Y33" s="11" t="s">
        <v>47</v>
      </c>
      <c r="Z33" s="11">
        <v>18.5689</v>
      </c>
      <c r="AA33" s="11">
        <v>502.728</v>
      </c>
      <c r="AB33" s="11">
        <v>37.2256</v>
      </c>
      <c r="AC33" s="11">
        <v>3.9157</v>
      </c>
      <c r="AD33" s="11" t="s">
        <v>47</v>
      </c>
      <c r="AE33" s="11" t="s">
        <v>47</v>
      </c>
      <c r="AF33" s="11">
        <v>109.842</v>
      </c>
      <c r="AG33" s="11">
        <v>15.063</v>
      </c>
      <c r="AH33" s="11">
        <v>-0.001</v>
      </c>
      <c r="AI33" s="11">
        <v>-24.7308</v>
      </c>
      <c r="AJ33" s="9">
        <v>233.716</v>
      </c>
      <c r="AK33" s="9">
        <v>63.4221</v>
      </c>
      <c r="AL33" s="9" t="s">
        <v>47</v>
      </c>
      <c r="AM33" s="9">
        <v>1374946.89</v>
      </c>
      <c r="AN33" s="11" t="s">
        <v>47</v>
      </c>
      <c r="AO33" s="11" t="s">
        <v>47</v>
      </c>
      <c r="AP33" s="9" t="s">
        <v>47</v>
      </c>
      <c r="AQ33" s="9" t="s">
        <v>162</v>
      </c>
      <c r="AR33" s="9" t="s">
        <v>162</v>
      </c>
      <c r="AS33" s="9" t="s">
        <v>162</v>
      </c>
      <c r="AT33" s="9" t="s">
        <v>47</v>
      </c>
      <c r="AU33" s="11">
        <v>229.0757</v>
      </c>
    </row>
    <row r="34" ht="27" spans="1:47">
      <c r="A34" s="9" t="s">
        <v>169</v>
      </c>
      <c r="B34" s="9" t="s">
        <v>170</v>
      </c>
      <c r="C34" s="11">
        <v>20</v>
      </c>
      <c r="D34" s="11">
        <v>0.3</v>
      </c>
      <c r="E34" s="9">
        <v>0.304088546856556</v>
      </c>
      <c r="F34" s="9" t="s">
        <v>171</v>
      </c>
      <c r="G34" s="9">
        <v>0.0715304073216722</v>
      </c>
      <c r="H34" s="9" t="s">
        <v>172</v>
      </c>
      <c r="I34" s="9">
        <v>0.0303306709999847</v>
      </c>
      <c r="J34" s="9" t="s">
        <v>173</v>
      </c>
      <c r="K34" s="9">
        <v>0.0262911805736536</v>
      </c>
      <c r="L34" s="9" t="s">
        <v>174</v>
      </c>
      <c r="M34" s="9">
        <v>0.0248118225996842</v>
      </c>
      <c r="N34" s="11">
        <v>6.5231</v>
      </c>
      <c r="O34" s="11">
        <v>8.7898</v>
      </c>
      <c r="P34" s="11">
        <v>1.0459</v>
      </c>
      <c r="Q34" s="11" t="s">
        <v>47</v>
      </c>
      <c r="R34" s="11" t="s">
        <v>47</v>
      </c>
      <c r="S34" s="11">
        <v>134.5212</v>
      </c>
      <c r="T34" s="11">
        <v>48.4721</v>
      </c>
      <c r="U34" s="11" t="s">
        <v>47</v>
      </c>
      <c r="V34" s="11">
        <v>0.705</v>
      </c>
      <c r="W34" s="11">
        <v>6.6101</v>
      </c>
      <c r="X34" s="11" t="s">
        <v>47</v>
      </c>
      <c r="Y34" s="11" t="s">
        <v>47</v>
      </c>
      <c r="Z34" s="11">
        <v>66.5222</v>
      </c>
      <c r="AA34" s="11">
        <v>288.2219</v>
      </c>
      <c r="AB34" s="11">
        <v>0.8859</v>
      </c>
      <c r="AC34" s="11" t="s">
        <v>47</v>
      </c>
      <c r="AD34" s="11" t="s">
        <v>47</v>
      </c>
      <c r="AE34" s="11" t="s">
        <v>47</v>
      </c>
      <c r="AF34" s="11">
        <v>58.5599</v>
      </c>
      <c r="AG34" s="11">
        <v>11.6493</v>
      </c>
      <c r="AH34" s="11">
        <v>0.0126</v>
      </c>
      <c r="AI34" s="11">
        <v>-12.4915</v>
      </c>
      <c r="AJ34" s="9">
        <v>83.485</v>
      </c>
      <c r="AK34" s="9">
        <v>11.315</v>
      </c>
      <c r="AL34" s="9" t="s">
        <v>47</v>
      </c>
      <c r="AM34" s="9">
        <v>600017.22</v>
      </c>
      <c r="AN34" s="11" t="s">
        <v>47</v>
      </c>
      <c r="AO34" s="11" t="s">
        <v>47</v>
      </c>
      <c r="AP34" s="9" t="s">
        <v>47</v>
      </c>
      <c r="AQ34" s="9" t="s">
        <v>47</v>
      </c>
      <c r="AR34" s="9" t="s">
        <v>47</v>
      </c>
      <c r="AS34" s="9" t="s">
        <v>47</v>
      </c>
      <c r="AT34" s="9" t="s">
        <v>175</v>
      </c>
      <c r="AU34" s="11">
        <v>120.4341</v>
      </c>
    </row>
    <row r="35" ht="27" spans="1:47">
      <c r="A35" s="9" t="s">
        <v>176</v>
      </c>
      <c r="B35" s="9" t="s">
        <v>177</v>
      </c>
      <c r="C35" s="11">
        <v>2</v>
      </c>
      <c r="D35" s="11">
        <v>0.1</v>
      </c>
      <c r="E35" s="9">
        <v>0.0326025402475528</v>
      </c>
      <c r="F35" s="9" t="s">
        <v>70</v>
      </c>
      <c r="G35" s="9">
        <v>0.0254631502305639</v>
      </c>
      <c r="H35" s="9" t="s">
        <v>151</v>
      </c>
      <c r="I35" s="9">
        <v>0.0104562737642586</v>
      </c>
      <c r="J35" s="9" t="s">
        <v>64</v>
      </c>
      <c r="K35" s="9">
        <v>4.04498017959712e-5</v>
      </c>
      <c r="L35" s="9" t="s">
        <v>47</v>
      </c>
      <c r="M35" s="9" t="e">
        <v>#VALUE!</v>
      </c>
      <c r="N35" s="11">
        <v>2.4722</v>
      </c>
      <c r="O35" s="11">
        <v>3.4651</v>
      </c>
      <c r="P35" s="11" t="s">
        <v>47</v>
      </c>
      <c r="Q35" s="11" t="s">
        <v>47</v>
      </c>
      <c r="R35" s="11" t="s">
        <v>47</v>
      </c>
      <c r="S35" s="11">
        <v>65.3032</v>
      </c>
      <c r="T35" s="11">
        <v>26.616</v>
      </c>
      <c r="U35" s="11">
        <v>0.0472</v>
      </c>
      <c r="V35" s="11" t="s">
        <v>47</v>
      </c>
      <c r="W35" s="11">
        <v>2.6439</v>
      </c>
      <c r="X35" s="11" t="s">
        <v>47</v>
      </c>
      <c r="Y35" s="11" t="s">
        <v>47</v>
      </c>
      <c r="Z35" s="11" t="s">
        <v>47</v>
      </c>
      <c r="AA35" s="11">
        <v>132.4402</v>
      </c>
      <c r="AB35" s="11">
        <v>8.4701</v>
      </c>
      <c r="AC35" s="11" t="s">
        <v>47</v>
      </c>
      <c r="AD35" s="11" t="s">
        <v>47</v>
      </c>
      <c r="AE35" s="11" t="s">
        <v>47</v>
      </c>
      <c r="AF35" s="11">
        <v>20.5326</v>
      </c>
      <c r="AG35" s="11">
        <v>-1.7607</v>
      </c>
      <c r="AH35" s="11">
        <v>-5.9161</v>
      </c>
      <c r="AI35" s="11">
        <v>5.5561</v>
      </c>
      <c r="AJ35" s="9">
        <v>50.35</v>
      </c>
      <c r="AK35" s="9">
        <v>14.89</v>
      </c>
      <c r="AL35" s="9" t="s">
        <v>47</v>
      </c>
      <c r="AM35" s="9">
        <v>57400</v>
      </c>
      <c r="AN35" s="11" t="s">
        <v>47</v>
      </c>
      <c r="AO35" s="11" t="s">
        <v>47</v>
      </c>
      <c r="AP35" s="9" t="s">
        <v>47</v>
      </c>
      <c r="AQ35" s="9" t="s">
        <v>47</v>
      </c>
      <c r="AR35" s="9" t="s">
        <v>47</v>
      </c>
      <c r="AS35" s="9" t="s">
        <v>47</v>
      </c>
      <c r="AT35" s="9" t="s">
        <v>178</v>
      </c>
      <c r="AU35" s="11">
        <v>34.3124</v>
      </c>
    </row>
    <row r="36" ht="27" spans="1:47">
      <c r="A36" s="9" t="s">
        <v>179</v>
      </c>
      <c r="B36" s="9" t="s">
        <v>180</v>
      </c>
      <c r="C36" s="11" t="s">
        <v>47</v>
      </c>
      <c r="D36" s="11">
        <v>0.426</v>
      </c>
      <c r="E36" s="9">
        <v>0.425661096893974</v>
      </c>
      <c r="F36" s="9" t="s">
        <v>181</v>
      </c>
      <c r="G36" s="9">
        <v>0.0716292839580511</v>
      </c>
      <c r="H36" s="9" t="s">
        <v>59</v>
      </c>
      <c r="I36" s="9">
        <v>0.00273470821416027</v>
      </c>
      <c r="J36" s="9" t="s">
        <v>47</v>
      </c>
      <c r="K36" s="9" t="e">
        <v>#VALUE!</v>
      </c>
      <c r="L36" s="9" t="s">
        <v>47</v>
      </c>
      <c r="M36" s="9" t="e">
        <v>#VALUE!</v>
      </c>
      <c r="N36" s="11">
        <v>1.9929</v>
      </c>
      <c r="O36" s="11">
        <v>1.1132</v>
      </c>
      <c r="P36" s="11" t="s">
        <v>47</v>
      </c>
      <c r="Q36" s="11" t="s">
        <v>47</v>
      </c>
      <c r="R36" s="11">
        <v>14.4872</v>
      </c>
      <c r="S36" s="11">
        <v>14.4872</v>
      </c>
      <c r="T36" s="11">
        <v>183.5649</v>
      </c>
      <c r="U36" s="11">
        <v>0.46</v>
      </c>
      <c r="V36" s="11">
        <v>1.3721</v>
      </c>
      <c r="W36" s="11">
        <v>10.1917</v>
      </c>
      <c r="X36" s="11">
        <v>0.3664</v>
      </c>
      <c r="Y36" s="11">
        <v>3.5735</v>
      </c>
      <c r="Z36" s="11">
        <v>0.3</v>
      </c>
      <c r="AA36" s="11">
        <v>230.3425</v>
      </c>
      <c r="AB36" s="11">
        <v>13.0665</v>
      </c>
      <c r="AC36" s="11" t="s">
        <v>47</v>
      </c>
      <c r="AD36" s="11">
        <v>46.3282</v>
      </c>
      <c r="AE36" s="11" t="s">
        <v>47</v>
      </c>
      <c r="AF36" s="11">
        <v>27.7435</v>
      </c>
      <c r="AG36" s="11">
        <v>15.2194</v>
      </c>
      <c r="AH36" s="11">
        <v>-0.1241</v>
      </c>
      <c r="AI36" s="11">
        <v>-16.5754</v>
      </c>
      <c r="AJ36" s="9">
        <v>40.96</v>
      </c>
      <c r="AK36" s="9">
        <v>7.93</v>
      </c>
      <c r="AL36" s="9" t="s">
        <v>47</v>
      </c>
      <c r="AM36" s="9">
        <v>128973.03</v>
      </c>
      <c r="AN36" s="11" t="s">
        <v>47</v>
      </c>
      <c r="AO36" s="11" t="s">
        <v>47</v>
      </c>
      <c r="AP36" s="9" t="s">
        <v>47</v>
      </c>
      <c r="AQ36" s="9" t="s">
        <v>47</v>
      </c>
      <c r="AR36" s="9" t="s">
        <v>47</v>
      </c>
      <c r="AS36" s="9" t="s">
        <v>47</v>
      </c>
      <c r="AT36" s="9" t="s">
        <v>182</v>
      </c>
      <c r="AU36" s="11">
        <v>94.4332</v>
      </c>
    </row>
    <row r="37" ht="27" spans="1:47">
      <c r="A37" s="9" t="s">
        <v>183</v>
      </c>
      <c r="B37" s="9" t="s">
        <v>184</v>
      </c>
      <c r="C37" s="11" t="s">
        <v>47</v>
      </c>
      <c r="D37" s="11">
        <v>0.2</v>
      </c>
      <c r="E37" s="9">
        <v>0.448484041372575</v>
      </c>
      <c r="F37" s="9" t="s">
        <v>185</v>
      </c>
      <c r="G37" s="9">
        <v>0.0189328361521729</v>
      </c>
      <c r="H37" s="9" t="s">
        <v>186</v>
      </c>
      <c r="I37" s="9">
        <v>0.0181115994140365</v>
      </c>
      <c r="J37" s="9" t="s">
        <v>59</v>
      </c>
      <c r="K37" s="9">
        <v>0.0144715230612154</v>
      </c>
      <c r="L37" s="9" t="s">
        <v>47</v>
      </c>
      <c r="M37" s="9" t="e">
        <v>#VALUE!</v>
      </c>
      <c r="N37" s="11">
        <v>2.2527</v>
      </c>
      <c r="O37" s="11">
        <v>0.9132</v>
      </c>
      <c r="P37" s="11">
        <v>0.389</v>
      </c>
      <c r="Q37" s="11" t="s">
        <v>47</v>
      </c>
      <c r="R37" s="11">
        <v>0.2665</v>
      </c>
      <c r="S37" s="11">
        <v>0.2677</v>
      </c>
      <c r="T37" s="11" t="s">
        <v>47</v>
      </c>
      <c r="U37" s="11" t="s">
        <v>47</v>
      </c>
      <c r="V37" s="11" t="s">
        <v>47</v>
      </c>
      <c r="W37" s="11">
        <v>46.7378</v>
      </c>
      <c r="X37" s="11">
        <v>0.1137</v>
      </c>
      <c r="Y37" s="11">
        <v>0.3041</v>
      </c>
      <c r="Z37" s="11">
        <v>2.7492</v>
      </c>
      <c r="AA37" s="11">
        <v>60.4684</v>
      </c>
      <c r="AB37" s="11">
        <v>0.9</v>
      </c>
      <c r="AC37" s="11" t="s">
        <v>47</v>
      </c>
      <c r="AD37" s="11">
        <v>2.8337</v>
      </c>
      <c r="AE37" s="11" t="s">
        <v>47</v>
      </c>
      <c r="AF37" s="11">
        <v>13.8613</v>
      </c>
      <c r="AG37" s="11">
        <v>0.6515</v>
      </c>
      <c r="AH37" s="11">
        <v>-0.4802</v>
      </c>
      <c r="AI37" s="11">
        <v>0.2481</v>
      </c>
      <c r="AJ37" s="9">
        <v>16.43</v>
      </c>
      <c r="AK37" s="9">
        <v>2.19</v>
      </c>
      <c r="AL37" s="9" t="s">
        <v>47</v>
      </c>
      <c r="AM37" s="9">
        <v>4000</v>
      </c>
      <c r="AN37" s="11" t="s">
        <v>47</v>
      </c>
      <c r="AO37" s="11" t="s">
        <v>47</v>
      </c>
      <c r="AP37" s="9" t="s">
        <v>47</v>
      </c>
      <c r="AQ37" s="9" t="s">
        <v>47</v>
      </c>
      <c r="AR37" s="9" t="s">
        <v>47</v>
      </c>
      <c r="AS37" s="9" t="s">
        <v>47</v>
      </c>
      <c r="AT37" s="9" t="s">
        <v>187</v>
      </c>
      <c r="AU37" s="11">
        <v>19.3709</v>
      </c>
    </row>
    <row r="38" ht="27" spans="1:47">
      <c r="A38" s="9" t="s">
        <v>188</v>
      </c>
      <c r="B38" s="9" t="s">
        <v>189</v>
      </c>
      <c r="C38" s="11" t="s">
        <v>47</v>
      </c>
      <c r="D38" s="11">
        <v>0.1</v>
      </c>
      <c r="E38" s="9" t="e">
        <v>#VALUE!</v>
      </c>
      <c r="F38" s="9" t="s">
        <v>47</v>
      </c>
      <c r="G38" s="9" t="e">
        <v>#VALUE!</v>
      </c>
      <c r="H38" s="9" t="s">
        <v>47</v>
      </c>
      <c r="I38" s="9" t="e">
        <v>#VALUE!</v>
      </c>
      <c r="J38" s="9" t="s">
        <v>47</v>
      </c>
      <c r="K38" s="9" t="e">
        <v>#VALUE!</v>
      </c>
      <c r="L38" s="9" t="s">
        <v>47</v>
      </c>
      <c r="M38" s="9" t="e">
        <v>#VALUE!</v>
      </c>
      <c r="N38" s="11">
        <v>1.3782</v>
      </c>
      <c r="O38" s="11">
        <v>5.2648</v>
      </c>
      <c r="P38" s="11">
        <v>0.63</v>
      </c>
      <c r="Q38" s="11" t="s">
        <v>47</v>
      </c>
      <c r="R38" s="11">
        <v>28.2783</v>
      </c>
      <c r="S38" s="11">
        <v>28.2783</v>
      </c>
      <c r="T38" s="11">
        <v>40.1473</v>
      </c>
      <c r="U38" s="11" t="s">
        <v>47</v>
      </c>
      <c r="V38" s="11" t="s">
        <v>47</v>
      </c>
      <c r="W38" s="11" t="s">
        <v>47</v>
      </c>
      <c r="X38" s="11">
        <v>2.0174</v>
      </c>
      <c r="Y38" s="11">
        <v>10.0273</v>
      </c>
      <c r="Z38" s="11">
        <v>0.3922</v>
      </c>
      <c r="AA38" s="11">
        <v>132.0536</v>
      </c>
      <c r="AB38" s="11">
        <v>0.7726</v>
      </c>
      <c r="AC38" s="11" t="s">
        <v>47</v>
      </c>
      <c r="AD38" s="11">
        <v>23.9401</v>
      </c>
      <c r="AE38" s="11" t="s">
        <v>47</v>
      </c>
      <c r="AF38" s="11">
        <v>18.7026</v>
      </c>
      <c r="AG38" s="11">
        <v>-2.4935</v>
      </c>
      <c r="AH38" s="11">
        <v>-0.0847</v>
      </c>
      <c r="AI38" s="11">
        <v>0.3623</v>
      </c>
      <c r="AJ38" s="9">
        <v>5.41</v>
      </c>
      <c r="AK38" s="9">
        <v>0</v>
      </c>
      <c r="AL38" s="9" t="s">
        <v>47</v>
      </c>
      <c r="AM38" s="9">
        <v>116000</v>
      </c>
      <c r="AN38" s="11" t="s">
        <v>47</v>
      </c>
      <c r="AO38" s="11" t="s">
        <v>47</v>
      </c>
      <c r="AP38" s="9" t="s">
        <v>47</v>
      </c>
      <c r="AQ38" s="9" t="s">
        <v>47</v>
      </c>
      <c r="AR38" s="9" t="s">
        <v>47</v>
      </c>
      <c r="AS38" s="9" t="s">
        <v>47</v>
      </c>
      <c r="AT38" s="9" t="s">
        <v>47</v>
      </c>
      <c r="AU38" s="11">
        <v>41.1724</v>
      </c>
    </row>
    <row r="39" ht="27" spans="1:47">
      <c r="A39" s="9" t="s">
        <v>190</v>
      </c>
      <c r="B39" s="9" t="s">
        <v>191</v>
      </c>
      <c r="C39" s="11">
        <v>8.5896</v>
      </c>
      <c r="D39" s="11">
        <v>0.1</v>
      </c>
      <c r="E39" s="9" t="e">
        <v>#VALUE!</v>
      </c>
      <c r="F39" s="9" t="s">
        <v>47</v>
      </c>
      <c r="G39" s="9" t="e">
        <v>#VALUE!</v>
      </c>
      <c r="H39" s="9" t="s">
        <v>47</v>
      </c>
      <c r="I39" s="9" t="e">
        <v>#VALUE!</v>
      </c>
      <c r="J39" s="9" t="s">
        <v>47</v>
      </c>
      <c r="K39" s="9" t="e">
        <v>#VALUE!</v>
      </c>
      <c r="L39" s="9" t="s">
        <v>47</v>
      </c>
      <c r="M39" s="9" t="e">
        <v>#VALUE!</v>
      </c>
      <c r="N39" s="11">
        <v>1.1974</v>
      </c>
      <c r="O39" s="11">
        <v>5.1333</v>
      </c>
      <c r="P39" s="11" t="s">
        <v>47</v>
      </c>
      <c r="Q39" s="11" t="s">
        <v>47</v>
      </c>
      <c r="R39" s="11" t="s">
        <v>47</v>
      </c>
      <c r="S39" s="11">
        <v>36.2518</v>
      </c>
      <c r="T39" s="11">
        <v>0.0137</v>
      </c>
      <c r="U39" s="11" t="s">
        <v>47</v>
      </c>
      <c r="V39" s="11" t="s">
        <v>47</v>
      </c>
      <c r="W39" s="11">
        <v>37.5646</v>
      </c>
      <c r="X39" s="11" t="s">
        <v>47</v>
      </c>
      <c r="Y39" s="11" t="s">
        <v>47</v>
      </c>
      <c r="Z39" s="11">
        <v>0.5058</v>
      </c>
      <c r="AA39" s="11">
        <v>83.4109</v>
      </c>
      <c r="AB39" s="11" t="s">
        <v>47</v>
      </c>
      <c r="AC39" s="11" t="s">
        <v>47</v>
      </c>
      <c r="AD39" s="11" t="s">
        <v>47</v>
      </c>
      <c r="AE39" s="11" t="s">
        <v>47</v>
      </c>
      <c r="AF39" s="11">
        <v>13.91</v>
      </c>
      <c r="AG39" s="11">
        <v>3.4267</v>
      </c>
      <c r="AH39" s="11">
        <v>-0.2671</v>
      </c>
      <c r="AI39" s="11">
        <v>-5.1991</v>
      </c>
      <c r="AJ39" s="9">
        <v>20.5</v>
      </c>
      <c r="AK39" s="9">
        <v>0</v>
      </c>
      <c r="AL39" s="9" t="s">
        <v>47</v>
      </c>
      <c r="AM39" s="9">
        <v>60100</v>
      </c>
      <c r="AN39" s="11" t="s">
        <v>47</v>
      </c>
      <c r="AO39" s="11" t="s">
        <v>47</v>
      </c>
      <c r="AP39" s="9" t="s">
        <v>47</v>
      </c>
      <c r="AQ39" s="9" t="s">
        <v>47</v>
      </c>
      <c r="AR39" s="9" t="s">
        <v>47</v>
      </c>
      <c r="AS39" s="9" t="s">
        <v>47</v>
      </c>
      <c r="AT39" s="9" t="s">
        <v>47</v>
      </c>
      <c r="AU39" s="11">
        <v>31.712</v>
      </c>
    </row>
    <row r="40" ht="27" spans="1:47">
      <c r="A40" s="9" t="s">
        <v>192</v>
      </c>
      <c r="B40" s="9" t="s">
        <v>193</v>
      </c>
      <c r="C40" s="11">
        <v>12.66</v>
      </c>
      <c r="D40" s="11">
        <v>0.14</v>
      </c>
      <c r="E40" s="9">
        <v>0.403751566052619</v>
      </c>
      <c r="F40" s="9" t="s">
        <v>194</v>
      </c>
      <c r="G40" s="9">
        <v>0.138752262076006</v>
      </c>
      <c r="H40" s="9" t="s">
        <v>195</v>
      </c>
      <c r="I40" s="9">
        <v>0.0844624379379147</v>
      </c>
      <c r="J40" s="9" t="s">
        <v>196</v>
      </c>
      <c r="K40" s="9">
        <v>0.0483388241844926</v>
      </c>
      <c r="L40" s="9" t="s">
        <v>197</v>
      </c>
      <c r="M40" s="9">
        <v>0.0357988028397754</v>
      </c>
      <c r="N40" s="11">
        <v>4.3102</v>
      </c>
      <c r="O40" s="11">
        <v>33.3872</v>
      </c>
      <c r="P40" s="11">
        <v>25.77</v>
      </c>
      <c r="Q40" s="11" t="s">
        <v>47</v>
      </c>
      <c r="R40" s="11" t="s">
        <v>47</v>
      </c>
      <c r="S40" s="11">
        <v>80.3877</v>
      </c>
      <c r="T40" s="11">
        <v>72.6543</v>
      </c>
      <c r="U40" s="11">
        <v>0.058</v>
      </c>
      <c r="V40" s="11" t="s">
        <v>47</v>
      </c>
      <c r="W40" s="11">
        <v>24.5791</v>
      </c>
      <c r="X40" s="11" t="s">
        <v>47</v>
      </c>
      <c r="Y40" s="11" t="s">
        <v>47</v>
      </c>
      <c r="Z40" s="11">
        <v>1.9498</v>
      </c>
      <c r="AA40" s="11">
        <v>282.3646</v>
      </c>
      <c r="AB40" s="11">
        <v>19.2906</v>
      </c>
      <c r="AC40" s="11">
        <v>1.2318</v>
      </c>
      <c r="AD40" s="11" t="s">
        <v>47</v>
      </c>
      <c r="AE40" s="11" t="s">
        <v>47</v>
      </c>
      <c r="AF40" s="11">
        <v>111.8737</v>
      </c>
      <c r="AG40" s="11">
        <v>-1.8791</v>
      </c>
      <c r="AH40" s="11">
        <v>-0.5706</v>
      </c>
      <c r="AI40" s="11">
        <v>5.6749</v>
      </c>
      <c r="AJ40" s="9">
        <v>231.098</v>
      </c>
      <c r="AK40" s="9">
        <v>98.8768</v>
      </c>
      <c r="AL40" s="9" t="s">
        <v>47</v>
      </c>
      <c r="AM40" s="9">
        <v>25300</v>
      </c>
      <c r="AN40" s="11" t="s">
        <v>47</v>
      </c>
      <c r="AO40" s="11" t="s">
        <v>47</v>
      </c>
      <c r="AP40" s="9" t="s">
        <v>47</v>
      </c>
      <c r="AQ40" s="9" t="s">
        <v>47</v>
      </c>
      <c r="AR40" s="9" t="s">
        <v>47</v>
      </c>
      <c r="AS40" s="9" t="s">
        <v>47</v>
      </c>
      <c r="AT40" s="9" t="s">
        <v>77</v>
      </c>
      <c r="AU40" s="11">
        <v>177.3755</v>
      </c>
    </row>
    <row r="41" ht="27" spans="1:47">
      <c r="A41" s="9" t="s">
        <v>198</v>
      </c>
      <c r="B41" s="9" t="s">
        <v>199</v>
      </c>
      <c r="C41" s="11">
        <v>1.428</v>
      </c>
      <c r="D41" s="11">
        <v>0.1</v>
      </c>
      <c r="E41" s="9" t="e">
        <v>#VALUE!</v>
      </c>
      <c r="F41" s="9" t="s">
        <v>47</v>
      </c>
      <c r="G41" s="9" t="e">
        <v>#VALUE!</v>
      </c>
      <c r="H41" s="9" t="s">
        <v>47</v>
      </c>
      <c r="I41" s="9" t="e">
        <v>#VALUE!</v>
      </c>
      <c r="J41" s="9" t="s">
        <v>47</v>
      </c>
      <c r="K41" s="9" t="e">
        <v>#VALUE!</v>
      </c>
      <c r="L41" s="9" t="s">
        <v>47</v>
      </c>
      <c r="M41" s="9" t="e">
        <v>#VALUE!</v>
      </c>
      <c r="N41" s="11">
        <v>3.5782</v>
      </c>
      <c r="O41" s="11">
        <v>1.6137</v>
      </c>
      <c r="P41" s="11">
        <v>1.1332</v>
      </c>
      <c r="Q41" s="11" t="s">
        <v>47</v>
      </c>
      <c r="R41" s="11" t="s">
        <v>47</v>
      </c>
      <c r="S41" s="11">
        <v>27.9291</v>
      </c>
      <c r="T41" s="11">
        <v>34.1798</v>
      </c>
      <c r="U41" s="11" t="s">
        <v>47</v>
      </c>
      <c r="V41" s="11" t="s">
        <v>47</v>
      </c>
      <c r="W41" s="11">
        <v>24.4678</v>
      </c>
      <c r="X41" s="11" t="s">
        <v>47</v>
      </c>
      <c r="Y41" s="11" t="s">
        <v>47</v>
      </c>
      <c r="Z41" s="11">
        <v>0.07</v>
      </c>
      <c r="AA41" s="11">
        <v>101.8735</v>
      </c>
      <c r="AB41" s="11">
        <v>7.4665</v>
      </c>
      <c r="AC41" s="11" t="s">
        <v>47</v>
      </c>
      <c r="AD41" s="11" t="s">
        <v>47</v>
      </c>
      <c r="AE41" s="11" t="s">
        <v>47</v>
      </c>
      <c r="AF41" s="11">
        <v>25.9385</v>
      </c>
      <c r="AG41" s="11">
        <v>10.1642</v>
      </c>
      <c r="AH41" s="11">
        <v>-1.5338</v>
      </c>
      <c r="AI41" s="11">
        <v>-8.3806</v>
      </c>
      <c r="AJ41" s="9">
        <v>35.91</v>
      </c>
      <c r="AK41" s="9">
        <v>4.8</v>
      </c>
      <c r="AL41" s="9" t="s">
        <v>47</v>
      </c>
      <c r="AM41" s="9" t="s">
        <v>47</v>
      </c>
      <c r="AN41" s="11" t="s">
        <v>47</v>
      </c>
      <c r="AO41" s="11" t="s">
        <v>47</v>
      </c>
      <c r="AP41" s="9" t="s">
        <v>47</v>
      </c>
      <c r="AQ41" s="9" t="s">
        <v>47</v>
      </c>
      <c r="AR41" s="9" t="s">
        <v>47</v>
      </c>
      <c r="AS41" s="9" t="s">
        <v>47</v>
      </c>
      <c r="AT41" s="9" t="s">
        <v>47</v>
      </c>
      <c r="AU41" s="11">
        <v>41.6039</v>
      </c>
    </row>
    <row r="42" ht="27" spans="1:47">
      <c r="A42" s="9" t="s">
        <v>200</v>
      </c>
      <c r="B42" s="9" t="s">
        <v>201</v>
      </c>
      <c r="C42" s="11">
        <v>1.235</v>
      </c>
      <c r="D42" s="11">
        <v>0.1</v>
      </c>
      <c r="E42" s="9">
        <v>0.0609756097560976</v>
      </c>
      <c r="F42" s="9" t="s">
        <v>202</v>
      </c>
      <c r="G42" s="9" t="e">
        <v>#VALUE!</v>
      </c>
      <c r="H42" s="9" t="s">
        <v>47</v>
      </c>
      <c r="I42" s="9" t="e">
        <v>#VALUE!</v>
      </c>
      <c r="J42" s="9" t="s">
        <v>47</v>
      </c>
      <c r="K42" s="9" t="e">
        <v>#VALUE!</v>
      </c>
      <c r="L42" s="9" t="s">
        <v>47</v>
      </c>
      <c r="M42" s="9" t="e">
        <v>#VALUE!</v>
      </c>
      <c r="N42" s="11">
        <v>0.0041</v>
      </c>
      <c r="O42" s="11">
        <v>0.003</v>
      </c>
      <c r="P42" s="11" t="s">
        <v>47</v>
      </c>
      <c r="Q42" s="11" t="s">
        <v>47</v>
      </c>
      <c r="R42" s="11" t="s">
        <v>47</v>
      </c>
      <c r="S42" s="11">
        <v>30.123</v>
      </c>
      <c r="T42" s="11">
        <v>53.1349</v>
      </c>
      <c r="U42" s="11" t="s">
        <v>47</v>
      </c>
      <c r="V42" s="11" t="s">
        <v>47</v>
      </c>
      <c r="W42" s="11" t="s">
        <v>47</v>
      </c>
      <c r="X42" s="11" t="s">
        <v>47</v>
      </c>
      <c r="Y42" s="11" t="s">
        <v>47</v>
      </c>
      <c r="Z42" s="11" t="s">
        <v>47</v>
      </c>
      <c r="AA42" s="11">
        <v>84.6386</v>
      </c>
      <c r="AB42" s="11" t="s">
        <v>47</v>
      </c>
      <c r="AC42" s="11" t="s">
        <v>47</v>
      </c>
      <c r="AD42" s="11" t="s">
        <v>47</v>
      </c>
      <c r="AE42" s="11" t="s">
        <v>47</v>
      </c>
      <c r="AF42" s="11">
        <v>13.1535</v>
      </c>
      <c r="AG42" s="11">
        <v>-1.7762</v>
      </c>
      <c r="AH42" s="11">
        <v>-0.0086</v>
      </c>
      <c r="AI42" s="11">
        <v>1.4791</v>
      </c>
      <c r="AJ42" s="9">
        <v>50.5</v>
      </c>
      <c r="AK42" s="9">
        <v>0</v>
      </c>
      <c r="AL42" s="9" t="s">
        <v>47</v>
      </c>
      <c r="AM42" s="9" t="s">
        <v>47</v>
      </c>
      <c r="AN42" s="11" t="s">
        <v>47</v>
      </c>
      <c r="AO42" s="11" t="s">
        <v>47</v>
      </c>
      <c r="AP42" s="9" t="s">
        <v>47</v>
      </c>
      <c r="AQ42" s="9" t="s">
        <v>47</v>
      </c>
      <c r="AR42" s="9" t="s">
        <v>47</v>
      </c>
      <c r="AS42" s="9" t="s">
        <v>47</v>
      </c>
      <c r="AT42" s="9" t="s">
        <v>47</v>
      </c>
      <c r="AU42" s="11">
        <v>18.9683</v>
      </c>
    </row>
    <row r="43" ht="27" spans="1:47">
      <c r="A43" s="9" t="s">
        <v>203</v>
      </c>
      <c r="B43" s="9" t="s">
        <v>204</v>
      </c>
      <c r="C43" s="11">
        <v>8</v>
      </c>
      <c r="D43" s="11">
        <v>0.1</v>
      </c>
      <c r="E43" s="9">
        <v>0.0136027020993682</v>
      </c>
      <c r="F43" s="9" t="s">
        <v>205</v>
      </c>
      <c r="G43" s="9">
        <v>0.00725995088856752</v>
      </c>
      <c r="H43" s="9" t="s">
        <v>147</v>
      </c>
      <c r="I43" s="9">
        <v>0.00479467344779726</v>
      </c>
      <c r="J43" s="9" t="s">
        <v>59</v>
      </c>
      <c r="K43" s="9">
        <v>0.0029408624588716</v>
      </c>
      <c r="L43" s="9" t="s">
        <v>206</v>
      </c>
      <c r="M43" s="9">
        <v>0.000218380875658782</v>
      </c>
      <c r="N43" s="11">
        <v>10.3031</v>
      </c>
      <c r="O43" s="11">
        <v>2.1037</v>
      </c>
      <c r="P43" s="11">
        <v>0.37</v>
      </c>
      <c r="Q43" s="11" t="s">
        <v>47</v>
      </c>
      <c r="R43" s="11" t="s">
        <v>47</v>
      </c>
      <c r="S43" s="11">
        <v>209.3773</v>
      </c>
      <c r="T43" s="11">
        <v>94.5804</v>
      </c>
      <c r="U43" s="11" t="s">
        <v>47</v>
      </c>
      <c r="V43" s="11" t="s">
        <v>47</v>
      </c>
      <c r="W43" s="11">
        <v>0.9921</v>
      </c>
      <c r="X43" s="11" t="s">
        <v>47</v>
      </c>
      <c r="Y43" s="11" t="s">
        <v>47</v>
      </c>
      <c r="Z43" s="11">
        <v>0.079</v>
      </c>
      <c r="AA43" s="11">
        <v>435.0854</v>
      </c>
      <c r="AB43" s="11">
        <v>12.2376</v>
      </c>
      <c r="AC43" s="11" t="s">
        <v>47</v>
      </c>
      <c r="AD43" s="11" t="s">
        <v>47</v>
      </c>
      <c r="AE43" s="11" t="s">
        <v>47</v>
      </c>
      <c r="AF43" s="11">
        <v>26.8794</v>
      </c>
      <c r="AG43" s="11">
        <v>3.9612</v>
      </c>
      <c r="AH43" s="11">
        <v>-0.0146</v>
      </c>
      <c r="AI43" s="11">
        <v>-5.1073</v>
      </c>
      <c r="AJ43" s="9">
        <v>67.41</v>
      </c>
      <c r="AK43" s="9">
        <v>2.64</v>
      </c>
      <c r="AL43" s="9" t="s">
        <v>47</v>
      </c>
      <c r="AM43" s="9">
        <v>168800</v>
      </c>
      <c r="AN43" s="11" t="s">
        <v>47</v>
      </c>
      <c r="AO43" s="11" t="s">
        <v>47</v>
      </c>
      <c r="AP43" s="9" t="s">
        <v>47</v>
      </c>
      <c r="AQ43" s="9" t="s">
        <v>47</v>
      </c>
      <c r="AR43" s="9" t="s">
        <v>47</v>
      </c>
      <c r="AS43" s="9" t="s">
        <v>47</v>
      </c>
      <c r="AT43" s="9" t="s">
        <v>207</v>
      </c>
      <c r="AU43" s="11">
        <v>81.1331</v>
      </c>
    </row>
    <row r="44" ht="27" spans="1:47">
      <c r="A44" s="9" t="s">
        <v>208</v>
      </c>
      <c r="B44" s="9" t="s">
        <v>209</v>
      </c>
      <c r="C44" s="11">
        <v>0.9</v>
      </c>
      <c r="D44" s="11">
        <v>0.1</v>
      </c>
      <c r="E44" s="9" t="e">
        <v>#VALUE!</v>
      </c>
      <c r="F44" s="9" t="s">
        <v>47</v>
      </c>
      <c r="G44" s="9" t="e">
        <v>#VALUE!</v>
      </c>
      <c r="H44" s="9" t="s">
        <v>47</v>
      </c>
      <c r="I44" s="9" t="e">
        <v>#VALUE!</v>
      </c>
      <c r="J44" s="9" t="s">
        <v>47</v>
      </c>
      <c r="K44" s="9" t="e">
        <v>#VALUE!</v>
      </c>
      <c r="L44" s="9" t="s">
        <v>47</v>
      </c>
      <c r="M44" s="9" t="e">
        <v>#VALUE!</v>
      </c>
      <c r="N44" s="11">
        <v>8.1619</v>
      </c>
      <c r="O44" s="11">
        <v>1.3105</v>
      </c>
      <c r="P44" s="11">
        <v>0.06</v>
      </c>
      <c r="Q44" s="11" t="s">
        <v>47</v>
      </c>
      <c r="R44" s="11" t="s">
        <v>47</v>
      </c>
      <c r="S44" s="11">
        <v>9.7836</v>
      </c>
      <c r="T44" s="11">
        <v>19.6061</v>
      </c>
      <c r="U44" s="11" t="s">
        <v>47</v>
      </c>
      <c r="V44" s="11" t="s">
        <v>47</v>
      </c>
      <c r="W44" s="11">
        <v>2.6133</v>
      </c>
      <c r="X44" s="11" t="s">
        <v>47</v>
      </c>
      <c r="Y44" s="11" t="s">
        <v>47</v>
      </c>
      <c r="Z44" s="11" t="s">
        <v>47</v>
      </c>
      <c r="AA44" s="11">
        <v>66.4399</v>
      </c>
      <c r="AB44" s="11">
        <v>1.299</v>
      </c>
      <c r="AC44" s="11" t="s">
        <v>47</v>
      </c>
      <c r="AD44" s="11" t="s">
        <v>47</v>
      </c>
      <c r="AE44" s="11" t="s">
        <v>47</v>
      </c>
      <c r="AF44" s="11">
        <v>1.6021</v>
      </c>
      <c r="AG44" s="11">
        <v>-0.3917</v>
      </c>
      <c r="AH44" s="11">
        <v>-0.0071</v>
      </c>
      <c r="AI44" s="11">
        <v>0.2118</v>
      </c>
      <c r="AJ44" s="9">
        <v>6</v>
      </c>
      <c r="AK44" s="9">
        <v>0.5</v>
      </c>
      <c r="AL44" s="9" t="s">
        <v>47</v>
      </c>
      <c r="AM44" s="9" t="s">
        <v>47</v>
      </c>
      <c r="AN44" s="11" t="s">
        <v>47</v>
      </c>
      <c r="AO44" s="11" t="s">
        <v>47</v>
      </c>
      <c r="AP44" s="9" t="s">
        <v>47</v>
      </c>
      <c r="AQ44" s="9" t="s">
        <v>47</v>
      </c>
      <c r="AR44" s="9" t="s">
        <v>47</v>
      </c>
      <c r="AS44" s="9" t="s">
        <v>47</v>
      </c>
      <c r="AT44" s="9" t="s">
        <v>47</v>
      </c>
      <c r="AU44" s="11">
        <v>17.9777</v>
      </c>
    </row>
    <row r="45" ht="27" spans="1:47">
      <c r="A45" s="9" t="s">
        <v>210</v>
      </c>
      <c r="B45" s="9" t="s">
        <v>211</v>
      </c>
      <c r="C45" s="11">
        <v>1</v>
      </c>
      <c r="D45" s="11">
        <v>0.5</v>
      </c>
      <c r="E45" s="9">
        <v>0.5</v>
      </c>
      <c r="F45" s="9" t="s">
        <v>212</v>
      </c>
      <c r="G45" s="9" t="e">
        <v>#VALUE!</v>
      </c>
      <c r="H45" s="9" t="s">
        <v>47</v>
      </c>
      <c r="I45" s="9" t="e">
        <v>#VALUE!</v>
      </c>
      <c r="J45" s="9" t="s">
        <v>47</v>
      </c>
      <c r="K45" s="9" t="e">
        <v>#VALUE!</v>
      </c>
      <c r="L45" s="9" t="s">
        <v>47</v>
      </c>
      <c r="M45" s="9" t="e">
        <v>#VALUE!</v>
      </c>
      <c r="N45" s="11">
        <v>0.3072</v>
      </c>
      <c r="O45" s="11">
        <v>0.0378</v>
      </c>
      <c r="P45" s="11" t="s">
        <v>47</v>
      </c>
      <c r="Q45" s="11" t="s">
        <v>47</v>
      </c>
      <c r="R45" s="11">
        <v>2.9952</v>
      </c>
      <c r="S45" s="11">
        <v>2.9952</v>
      </c>
      <c r="T45" s="11">
        <v>5.4707</v>
      </c>
      <c r="U45" s="11" t="s">
        <v>47</v>
      </c>
      <c r="V45" s="11" t="s">
        <v>47</v>
      </c>
      <c r="W45" s="11" t="s">
        <v>47</v>
      </c>
      <c r="X45" s="11">
        <v>0.4753</v>
      </c>
      <c r="Y45" s="11" t="s">
        <v>47</v>
      </c>
      <c r="Z45" s="11" t="s">
        <v>47</v>
      </c>
      <c r="AA45" s="11">
        <v>12.8467</v>
      </c>
      <c r="AB45" s="11">
        <v>0.2453</v>
      </c>
      <c r="AC45" s="11" t="s">
        <v>47</v>
      </c>
      <c r="AD45" s="11">
        <v>1.9744</v>
      </c>
      <c r="AE45" s="11" t="s">
        <v>47</v>
      </c>
      <c r="AF45" s="11">
        <v>0.07</v>
      </c>
      <c r="AG45" s="11">
        <v>2.0252</v>
      </c>
      <c r="AH45" s="11">
        <v>-2.2</v>
      </c>
      <c r="AI45" s="11">
        <v>0.2025</v>
      </c>
      <c r="AJ45" s="9">
        <v>105</v>
      </c>
      <c r="AK45" s="9" t="s">
        <v>47</v>
      </c>
      <c r="AL45" s="9">
        <v>306900</v>
      </c>
      <c r="AM45" s="9" t="s">
        <v>47</v>
      </c>
      <c r="AN45" s="11" t="s">
        <v>47</v>
      </c>
      <c r="AO45" s="11" t="s">
        <v>47</v>
      </c>
      <c r="AP45" s="9" t="s">
        <v>47</v>
      </c>
      <c r="AQ45" s="9" t="s">
        <v>47</v>
      </c>
      <c r="AR45" s="9" t="s">
        <v>47</v>
      </c>
      <c r="AS45" s="9" t="s">
        <v>47</v>
      </c>
      <c r="AT45" s="9" t="s">
        <v>47</v>
      </c>
      <c r="AU45" s="11">
        <v>4.6138</v>
      </c>
    </row>
    <row r="46" ht="27" spans="1:47">
      <c r="A46" s="9" t="s">
        <v>213</v>
      </c>
      <c r="B46" s="9" t="s">
        <v>214</v>
      </c>
      <c r="C46" s="11" t="s">
        <v>47</v>
      </c>
      <c r="D46" s="11">
        <v>0.1</v>
      </c>
      <c r="E46" s="9" t="e">
        <v>#VALUE!</v>
      </c>
      <c r="F46" s="9" t="s">
        <v>47</v>
      </c>
      <c r="G46" s="9" t="e">
        <v>#VALUE!</v>
      </c>
      <c r="H46" s="9" t="s">
        <v>47</v>
      </c>
      <c r="I46" s="9" t="e">
        <v>#VALUE!</v>
      </c>
      <c r="J46" s="9" t="s">
        <v>47</v>
      </c>
      <c r="K46" s="9" t="e">
        <v>#VALUE!</v>
      </c>
      <c r="L46" s="9" t="s">
        <v>47</v>
      </c>
      <c r="M46" s="9" t="e">
        <v>#VALUE!</v>
      </c>
      <c r="N46" s="11">
        <v>0.0152</v>
      </c>
      <c r="O46" s="11">
        <v>8.5069</v>
      </c>
      <c r="P46" s="11" t="s">
        <v>47</v>
      </c>
      <c r="Q46" s="11" t="s">
        <v>47</v>
      </c>
      <c r="R46" s="11">
        <v>6.5176</v>
      </c>
      <c r="S46" s="11">
        <v>6.5176</v>
      </c>
      <c r="T46" s="11">
        <v>25.1507</v>
      </c>
      <c r="U46" s="11" t="s">
        <v>47</v>
      </c>
      <c r="V46" s="11" t="s">
        <v>47</v>
      </c>
      <c r="W46" s="11" t="s">
        <v>47</v>
      </c>
      <c r="X46" s="11">
        <v>1.8566</v>
      </c>
      <c r="Y46" s="11" t="s">
        <v>47</v>
      </c>
      <c r="Z46" s="11" t="s">
        <v>47</v>
      </c>
      <c r="AA46" s="11">
        <v>44.2038</v>
      </c>
      <c r="AB46" s="11" t="s">
        <v>47</v>
      </c>
      <c r="AC46" s="11" t="s">
        <v>47</v>
      </c>
      <c r="AD46" s="11">
        <v>27.4384</v>
      </c>
      <c r="AE46" s="11" t="s">
        <v>47</v>
      </c>
      <c r="AF46" s="11">
        <v>7.7222</v>
      </c>
      <c r="AG46" s="11">
        <v>4.5926</v>
      </c>
      <c r="AH46" s="11">
        <v>-0.0449</v>
      </c>
      <c r="AI46" s="11">
        <v>0.6715</v>
      </c>
      <c r="AJ46" s="9">
        <v>25.55</v>
      </c>
      <c r="AK46" s="9">
        <v>25.55</v>
      </c>
      <c r="AL46" s="9" t="s">
        <v>47</v>
      </c>
      <c r="AM46" s="9">
        <v>90000</v>
      </c>
      <c r="AN46" s="11" t="s">
        <v>47</v>
      </c>
      <c r="AO46" s="11" t="s">
        <v>47</v>
      </c>
      <c r="AP46" s="9" t="s">
        <v>47</v>
      </c>
      <c r="AQ46" s="9" t="s">
        <v>47</v>
      </c>
      <c r="AR46" s="9" t="s">
        <v>47</v>
      </c>
      <c r="AS46" s="9" t="s">
        <v>47</v>
      </c>
      <c r="AT46" s="9" t="s">
        <v>47</v>
      </c>
      <c r="AU46" s="11" t="s">
        <v>47</v>
      </c>
    </row>
    <row r="47" ht="27" spans="1:47">
      <c r="A47" s="9" t="s">
        <v>215</v>
      </c>
      <c r="B47" s="9" t="s">
        <v>216</v>
      </c>
      <c r="C47" s="11" t="s">
        <v>47</v>
      </c>
      <c r="D47" s="11">
        <v>0.1</v>
      </c>
      <c r="E47" s="9" t="e">
        <v>#VALUE!</v>
      </c>
      <c r="F47" s="9" t="s">
        <v>47</v>
      </c>
      <c r="G47" s="9" t="e">
        <v>#VALUE!</v>
      </c>
      <c r="H47" s="9" t="s">
        <v>47</v>
      </c>
      <c r="I47" s="9" t="e">
        <v>#VALUE!</v>
      </c>
      <c r="J47" s="9" t="s">
        <v>47</v>
      </c>
      <c r="K47" s="9" t="e">
        <v>#VALUE!</v>
      </c>
      <c r="L47" s="9" t="s">
        <v>47</v>
      </c>
      <c r="M47" s="9" t="e">
        <v>#VALUE!</v>
      </c>
      <c r="N47" s="11" t="s">
        <v>47</v>
      </c>
      <c r="O47" s="11">
        <v>2.6871</v>
      </c>
      <c r="P47" s="11" t="s">
        <v>47</v>
      </c>
      <c r="Q47" s="11" t="s">
        <v>47</v>
      </c>
      <c r="R47" s="11">
        <v>11.0489</v>
      </c>
      <c r="S47" s="11">
        <v>11.0489</v>
      </c>
      <c r="T47" s="11">
        <v>3.5587</v>
      </c>
      <c r="U47" s="11" t="s">
        <v>47</v>
      </c>
      <c r="V47" s="11" t="s">
        <v>47</v>
      </c>
      <c r="W47" s="11" t="s">
        <v>47</v>
      </c>
      <c r="X47" s="11">
        <v>1.1959</v>
      </c>
      <c r="Y47" s="11" t="s">
        <v>47</v>
      </c>
      <c r="Z47" s="11">
        <v>1.12</v>
      </c>
      <c r="AA47" s="11">
        <v>21.4718</v>
      </c>
      <c r="AB47" s="11" t="s">
        <v>47</v>
      </c>
      <c r="AC47" s="11" t="s">
        <v>47</v>
      </c>
      <c r="AD47" s="11">
        <v>10.857</v>
      </c>
      <c r="AE47" s="11" t="s">
        <v>47</v>
      </c>
      <c r="AF47" s="11" t="s">
        <v>47</v>
      </c>
      <c r="AG47" s="11">
        <v>-1.2417</v>
      </c>
      <c r="AH47" s="11">
        <v>0.0756</v>
      </c>
      <c r="AI47" s="11">
        <v>-0.055</v>
      </c>
      <c r="AJ47" s="9" t="s">
        <v>47</v>
      </c>
      <c r="AK47" s="9" t="s">
        <v>47</v>
      </c>
      <c r="AL47" s="9" t="s">
        <v>47</v>
      </c>
      <c r="AM47" s="9" t="s">
        <v>47</v>
      </c>
      <c r="AN47" s="11" t="s">
        <v>47</v>
      </c>
      <c r="AO47" s="11" t="s">
        <v>47</v>
      </c>
      <c r="AP47" s="9" t="s">
        <v>47</v>
      </c>
      <c r="AQ47" s="9" t="s">
        <v>47</v>
      </c>
      <c r="AR47" s="9" t="s">
        <v>47</v>
      </c>
      <c r="AS47" s="9" t="s">
        <v>47</v>
      </c>
      <c r="AT47" s="9" t="s">
        <v>47</v>
      </c>
      <c r="AU47" s="11" t="s">
        <v>47</v>
      </c>
    </row>
    <row r="48" ht="27" spans="1:47">
      <c r="A48" s="9" t="s">
        <v>217</v>
      </c>
      <c r="B48" s="9" t="s">
        <v>218</v>
      </c>
      <c r="C48" s="11" t="s">
        <v>47</v>
      </c>
      <c r="D48" s="11">
        <v>0.1</v>
      </c>
      <c r="E48" s="9" t="e">
        <v>#VALUE!</v>
      </c>
      <c r="F48" s="9" t="s">
        <v>47</v>
      </c>
      <c r="G48" s="9" t="e">
        <v>#VALUE!</v>
      </c>
      <c r="H48" s="9" t="s">
        <v>47</v>
      </c>
      <c r="I48" s="9" t="e">
        <v>#VALUE!</v>
      </c>
      <c r="J48" s="9" t="s">
        <v>47</v>
      </c>
      <c r="K48" s="9" t="e">
        <v>#VALUE!</v>
      </c>
      <c r="L48" s="9" t="s">
        <v>47</v>
      </c>
      <c r="M48" s="9" t="e">
        <v>#VALUE!</v>
      </c>
      <c r="N48" s="11">
        <v>0.289</v>
      </c>
      <c r="O48" s="11">
        <v>48.0009</v>
      </c>
      <c r="P48" s="11" t="s">
        <v>47</v>
      </c>
      <c r="Q48" s="11" t="s">
        <v>47</v>
      </c>
      <c r="R48" s="11">
        <v>15.7446</v>
      </c>
      <c r="S48" s="11">
        <v>15.7446</v>
      </c>
      <c r="T48" s="11">
        <v>40.7838</v>
      </c>
      <c r="U48" s="11" t="s">
        <v>47</v>
      </c>
      <c r="V48" s="11" t="s">
        <v>47</v>
      </c>
      <c r="W48" s="11">
        <v>0.0764</v>
      </c>
      <c r="X48" s="11">
        <v>0.1319</v>
      </c>
      <c r="Y48" s="11">
        <v>40.0307</v>
      </c>
      <c r="Z48" s="11">
        <v>3.3295</v>
      </c>
      <c r="AA48" s="11">
        <v>160.238</v>
      </c>
      <c r="AB48" s="11" t="s">
        <v>47</v>
      </c>
      <c r="AC48" s="11" t="s">
        <v>47</v>
      </c>
      <c r="AD48" s="11">
        <v>8.6477</v>
      </c>
      <c r="AE48" s="11" t="s">
        <v>47</v>
      </c>
      <c r="AF48" s="11">
        <v>110.541</v>
      </c>
      <c r="AG48" s="11">
        <v>1.7632</v>
      </c>
      <c r="AH48" s="11">
        <v>-0.594</v>
      </c>
      <c r="AI48" s="11">
        <v>-4.4511</v>
      </c>
      <c r="AJ48" s="9">
        <v>176.42</v>
      </c>
      <c r="AK48" s="9">
        <v>121.345</v>
      </c>
      <c r="AL48" s="9" t="s">
        <v>47</v>
      </c>
      <c r="AM48" s="9">
        <v>25220</v>
      </c>
      <c r="AN48" s="11" t="s">
        <v>47</v>
      </c>
      <c r="AO48" s="11" t="s">
        <v>47</v>
      </c>
      <c r="AP48" s="9" t="s">
        <v>47</v>
      </c>
      <c r="AQ48" s="9" t="s">
        <v>47</v>
      </c>
      <c r="AR48" s="9" t="s">
        <v>47</v>
      </c>
      <c r="AS48" s="9" t="s">
        <v>47</v>
      </c>
      <c r="AT48" s="9" t="s">
        <v>47</v>
      </c>
      <c r="AU48" s="11" t="s">
        <v>47</v>
      </c>
    </row>
    <row r="49" ht="27" spans="1:47">
      <c r="A49" s="9" t="s">
        <v>219</v>
      </c>
      <c r="B49" s="9" t="s">
        <v>220</v>
      </c>
      <c r="C49" s="11" t="s">
        <v>47</v>
      </c>
      <c r="D49" s="11">
        <v>0.1</v>
      </c>
      <c r="E49" s="9" t="e">
        <v>#VALUE!</v>
      </c>
      <c r="F49" s="9" t="s">
        <v>47</v>
      </c>
      <c r="G49" s="9" t="e">
        <v>#VALUE!</v>
      </c>
      <c r="H49" s="9" t="s">
        <v>47</v>
      </c>
      <c r="I49" s="9" t="e">
        <v>#VALUE!</v>
      </c>
      <c r="J49" s="9" t="s">
        <v>47</v>
      </c>
      <c r="K49" s="9" t="e">
        <v>#VALUE!</v>
      </c>
      <c r="L49" s="9" t="s">
        <v>47</v>
      </c>
      <c r="M49" s="9" t="e">
        <v>#VALUE!</v>
      </c>
      <c r="N49" s="11">
        <v>0.1336</v>
      </c>
      <c r="O49" s="11">
        <v>2.3423</v>
      </c>
      <c r="P49" s="11" t="s">
        <v>47</v>
      </c>
      <c r="Q49" s="11" t="s">
        <v>47</v>
      </c>
      <c r="R49" s="11">
        <v>0.0724</v>
      </c>
      <c r="S49" s="11">
        <v>0.0724</v>
      </c>
      <c r="T49" s="11">
        <v>0.9009</v>
      </c>
      <c r="U49" s="11" t="s">
        <v>47</v>
      </c>
      <c r="V49" s="11" t="s">
        <v>47</v>
      </c>
      <c r="W49" s="11" t="s">
        <v>47</v>
      </c>
      <c r="X49" s="11">
        <v>4.2298</v>
      </c>
      <c r="Y49" s="11">
        <v>24.8314</v>
      </c>
      <c r="Z49" s="11" t="s">
        <v>47</v>
      </c>
      <c r="AA49" s="11">
        <v>32.5858</v>
      </c>
      <c r="AB49" s="11">
        <v>0.018</v>
      </c>
      <c r="AC49" s="11" t="s">
        <v>47</v>
      </c>
      <c r="AD49" s="11">
        <v>0.8734</v>
      </c>
      <c r="AE49" s="11" t="s">
        <v>47</v>
      </c>
      <c r="AF49" s="11">
        <v>0.9213</v>
      </c>
      <c r="AG49" s="11">
        <v>0.0094</v>
      </c>
      <c r="AH49" s="11">
        <v>-1.8647</v>
      </c>
      <c r="AI49" s="11">
        <v>-0.4099</v>
      </c>
      <c r="AJ49" s="9" t="s">
        <v>47</v>
      </c>
      <c r="AK49" s="9" t="s">
        <v>47</v>
      </c>
      <c r="AL49" s="9" t="s">
        <v>47</v>
      </c>
      <c r="AM49" s="9" t="s">
        <v>47</v>
      </c>
      <c r="AN49" s="11" t="s">
        <v>47</v>
      </c>
      <c r="AO49" s="11" t="s">
        <v>47</v>
      </c>
      <c r="AP49" s="9" t="s">
        <v>47</v>
      </c>
      <c r="AQ49" s="9" t="s">
        <v>47</v>
      </c>
      <c r="AR49" s="9" t="s">
        <v>47</v>
      </c>
      <c r="AS49" s="9" t="s">
        <v>47</v>
      </c>
      <c r="AT49" s="9" t="s">
        <v>47</v>
      </c>
      <c r="AU49" s="11" t="s">
        <v>47</v>
      </c>
    </row>
    <row r="50" ht="27" spans="1:47">
      <c r="A50" s="9" t="s">
        <v>221</v>
      </c>
      <c r="B50" s="9" t="s">
        <v>222</v>
      </c>
      <c r="C50" s="11" t="s">
        <v>47</v>
      </c>
      <c r="D50" s="11">
        <v>0.1</v>
      </c>
      <c r="E50" s="9" t="e">
        <v>#VALUE!</v>
      </c>
      <c r="F50" s="9" t="s">
        <v>47</v>
      </c>
      <c r="G50" s="9" t="e">
        <v>#VALUE!</v>
      </c>
      <c r="H50" s="9" t="s">
        <v>47</v>
      </c>
      <c r="I50" s="9" t="e">
        <v>#VALUE!</v>
      </c>
      <c r="J50" s="9" t="s">
        <v>47</v>
      </c>
      <c r="K50" s="9" t="e">
        <v>#VALUE!</v>
      </c>
      <c r="L50" s="9" t="s">
        <v>47</v>
      </c>
      <c r="M50" s="9" t="e">
        <v>#VALUE!</v>
      </c>
      <c r="N50" s="11">
        <v>0.1095</v>
      </c>
      <c r="O50" s="11">
        <v>1.1539</v>
      </c>
      <c r="P50" s="11" t="s">
        <v>47</v>
      </c>
      <c r="Q50" s="11" t="s">
        <v>47</v>
      </c>
      <c r="R50" s="11" t="s">
        <v>47</v>
      </c>
      <c r="S50" s="11">
        <v>1.3949</v>
      </c>
      <c r="T50" s="11">
        <v>15.2985</v>
      </c>
      <c r="U50" s="11" t="s">
        <v>47</v>
      </c>
      <c r="V50" s="11" t="s">
        <v>47</v>
      </c>
      <c r="W50" s="11">
        <v>7.1497</v>
      </c>
      <c r="X50" s="11" t="s">
        <v>47</v>
      </c>
      <c r="Y50" s="11" t="s">
        <v>47</v>
      </c>
      <c r="Z50" s="11" t="s">
        <v>47</v>
      </c>
      <c r="AA50" s="11">
        <v>40.6006</v>
      </c>
      <c r="AB50" s="11">
        <v>0.7688</v>
      </c>
      <c r="AC50" s="11" t="s">
        <v>47</v>
      </c>
      <c r="AD50" s="11" t="s">
        <v>47</v>
      </c>
      <c r="AE50" s="11" t="s">
        <v>47</v>
      </c>
      <c r="AF50" s="11">
        <v>9.3755</v>
      </c>
      <c r="AG50" s="11">
        <v>-3.396</v>
      </c>
      <c r="AH50" s="11">
        <v>-10.0156</v>
      </c>
      <c r="AI50" s="11">
        <v>13.1552</v>
      </c>
      <c r="AJ50" s="9">
        <v>12.24</v>
      </c>
      <c r="AK50" s="9">
        <v>2.11</v>
      </c>
      <c r="AL50" s="9" t="s">
        <v>47</v>
      </c>
      <c r="AM50" s="9" t="s">
        <v>47</v>
      </c>
      <c r="AN50" s="11" t="s">
        <v>47</v>
      </c>
      <c r="AO50" s="11" t="s">
        <v>47</v>
      </c>
      <c r="AP50" s="9" t="s">
        <v>47</v>
      </c>
      <c r="AQ50" s="9" t="s">
        <v>47</v>
      </c>
      <c r="AR50" s="9" t="s">
        <v>47</v>
      </c>
      <c r="AS50" s="9" t="s">
        <v>47</v>
      </c>
      <c r="AT50" s="9" t="s">
        <v>47</v>
      </c>
      <c r="AU50" s="11">
        <v>14.2914</v>
      </c>
    </row>
    <row r="51" ht="27" spans="1:47">
      <c r="A51" s="9" t="s">
        <v>223</v>
      </c>
      <c r="B51" s="9" t="s">
        <v>224</v>
      </c>
      <c r="C51" s="11" t="s">
        <v>47</v>
      </c>
      <c r="D51" s="11">
        <v>0.1</v>
      </c>
      <c r="E51" s="9" t="e">
        <v>#VALUE!</v>
      </c>
      <c r="F51" s="9" t="s">
        <v>47</v>
      </c>
      <c r="G51" s="9" t="e">
        <v>#VALUE!</v>
      </c>
      <c r="H51" s="9" t="s">
        <v>47</v>
      </c>
      <c r="I51" s="9" t="e">
        <v>#VALUE!</v>
      </c>
      <c r="J51" s="9" t="s">
        <v>47</v>
      </c>
      <c r="K51" s="9" t="e">
        <v>#VALUE!</v>
      </c>
      <c r="L51" s="9" t="s">
        <v>47</v>
      </c>
      <c r="M51" s="9" t="e">
        <v>#VALUE!</v>
      </c>
      <c r="N51" s="11">
        <v>0.0396</v>
      </c>
      <c r="O51" s="11">
        <v>30.2194</v>
      </c>
      <c r="P51" s="11" t="s">
        <v>47</v>
      </c>
      <c r="Q51" s="11" t="s">
        <v>47</v>
      </c>
      <c r="R51" s="11">
        <v>8.1172</v>
      </c>
      <c r="S51" s="11">
        <v>8.1172</v>
      </c>
      <c r="T51" s="11">
        <v>7.622</v>
      </c>
      <c r="U51" s="11" t="s">
        <v>47</v>
      </c>
      <c r="V51" s="11" t="s">
        <v>47</v>
      </c>
      <c r="W51" s="11">
        <v>3.9105</v>
      </c>
      <c r="X51" s="11">
        <v>0.3361</v>
      </c>
      <c r="Y51" s="11">
        <v>118.9274</v>
      </c>
      <c r="Z51" s="11" t="s">
        <v>47</v>
      </c>
      <c r="AA51" s="11">
        <v>187.1626</v>
      </c>
      <c r="AB51" s="11">
        <v>0.5</v>
      </c>
      <c r="AC51" s="11">
        <v>0.3596</v>
      </c>
      <c r="AD51" s="11">
        <v>5.8499</v>
      </c>
      <c r="AE51" s="11" t="s">
        <v>47</v>
      </c>
      <c r="AF51" s="11">
        <v>47.9934</v>
      </c>
      <c r="AG51" s="11">
        <v>-5.2623</v>
      </c>
      <c r="AH51" s="11">
        <v>-15.1475</v>
      </c>
      <c r="AI51" s="11">
        <v>23.215</v>
      </c>
      <c r="AJ51" s="9" t="s">
        <v>47</v>
      </c>
      <c r="AK51" s="9" t="s">
        <v>47</v>
      </c>
      <c r="AL51" s="9" t="s">
        <v>47</v>
      </c>
      <c r="AM51" s="9" t="s">
        <v>47</v>
      </c>
      <c r="AN51" s="11" t="s">
        <v>47</v>
      </c>
      <c r="AO51" s="11" t="s">
        <v>47</v>
      </c>
      <c r="AP51" s="9" t="s">
        <v>47</v>
      </c>
      <c r="AQ51" s="9" t="s">
        <v>47</v>
      </c>
      <c r="AR51" s="9" t="s">
        <v>47</v>
      </c>
      <c r="AS51" s="9" t="s">
        <v>47</v>
      </c>
      <c r="AT51" s="9" t="s">
        <v>47</v>
      </c>
      <c r="AU51" s="11" t="s">
        <v>47</v>
      </c>
    </row>
    <row r="53" spans="1:49">
      <c r="A53">
        <f t="shared" ref="A53:AU53" si="0">SUM(A2:A51)</f>
        <v>0</v>
      </c>
      <c r="B53">
        <f t="shared" si="0"/>
        <v>0</v>
      </c>
      <c r="C53">
        <f t="shared" si="0"/>
        <v>1935.1697</v>
      </c>
      <c r="D53">
        <f t="shared" si="0"/>
        <v>8.99599999999999</v>
      </c>
      <c r="E53" t="e">
        <f t="shared" si="0"/>
        <v>#VALUE!</v>
      </c>
      <c r="F53">
        <f t="shared" si="0"/>
        <v>0</v>
      </c>
      <c r="G53" t="e">
        <f t="shared" si="0"/>
        <v>#VALUE!</v>
      </c>
      <c r="H53">
        <f t="shared" si="0"/>
        <v>0</v>
      </c>
      <c r="I53" t="e">
        <f t="shared" si="0"/>
        <v>#VALUE!</v>
      </c>
      <c r="J53">
        <f t="shared" si="0"/>
        <v>0</v>
      </c>
      <c r="K53" t="e">
        <f t="shared" si="0"/>
        <v>#VALUE!</v>
      </c>
      <c r="L53">
        <f t="shared" si="0"/>
        <v>0</v>
      </c>
      <c r="M53" t="e">
        <f t="shared" si="0"/>
        <v>#VALUE!</v>
      </c>
      <c r="N53">
        <f t="shared" si="0"/>
        <v>627.522</v>
      </c>
      <c r="O53">
        <f t="shared" si="0"/>
        <v>1110.6059</v>
      </c>
      <c r="P53">
        <f t="shared" si="0"/>
        <v>226.0244</v>
      </c>
      <c r="Q53">
        <f t="shared" si="0"/>
        <v>46.7702</v>
      </c>
      <c r="R53">
        <f t="shared" si="0"/>
        <v>87.5279</v>
      </c>
      <c r="S53">
        <f t="shared" si="0"/>
        <v>3654.7277</v>
      </c>
      <c r="T53">
        <f t="shared" si="0"/>
        <v>9711.2849</v>
      </c>
      <c r="U53">
        <f t="shared" si="0"/>
        <v>97.9411</v>
      </c>
      <c r="V53">
        <f t="shared" si="0"/>
        <v>2218.1956</v>
      </c>
      <c r="W53">
        <f t="shared" si="0"/>
        <v>2349.1903</v>
      </c>
      <c r="X53">
        <f t="shared" si="0"/>
        <v>10.7231</v>
      </c>
      <c r="Y53">
        <f t="shared" si="0"/>
        <v>197.6944</v>
      </c>
      <c r="Z53">
        <f t="shared" si="0"/>
        <v>1622.3744</v>
      </c>
      <c r="AA53">
        <f t="shared" si="0"/>
        <v>31132.5328</v>
      </c>
      <c r="AB53">
        <f t="shared" si="0"/>
        <v>1373.7849</v>
      </c>
      <c r="AC53">
        <f t="shared" si="0"/>
        <v>95.8745</v>
      </c>
      <c r="AD53">
        <f t="shared" si="0"/>
        <v>128.7428</v>
      </c>
      <c r="AE53">
        <f t="shared" si="0"/>
        <v>0</v>
      </c>
      <c r="AF53">
        <f t="shared" si="0"/>
        <v>7259.5328</v>
      </c>
      <c r="AG53">
        <f t="shared" si="0"/>
        <v>20.6855</v>
      </c>
      <c r="AH53">
        <f t="shared" si="0"/>
        <v>-390.9286</v>
      </c>
      <c r="AI53">
        <f t="shared" si="0"/>
        <v>349.5564</v>
      </c>
      <c r="AJ53">
        <f t="shared" si="0"/>
        <v>17112.9044</v>
      </c>
      <c r="AK53">
        <f t="shared" si="0"/>
        <v>7777.7972</v>
      </c>
      <c r="AL53">
        <f t="shared" si="0"/>
        <v>306900</v>
      </c>
      <c r="AM53">
        <f t="shared" si="0"/>
        <v>20721701.58</v>
      </c>
      <c r="AN53">
        <f t="shared" si="0"/>
        <v>0</v>
      </c>
      <c r="AO53">
        <f t="shared" si="0"/>
        <v>0</v>
      </c>
      <c r="AP53">
        <f t="shared" si="0"/>
        <v>0</v>
      </c>
      <c r="AQ53">
        <f t="shared" si="0"/>
        <v>0</v>
      </c>
      <c r="AR53">
        <f t="shared" si="0"/>
        <v>0</v>
      </c>
      <c r="AS53">
        <f t="shared" si="0"/>
        <v>0</v>
      </c>
      <c r="AT53">
        <f t="shared" si="0"/>
        <v>0</v>
      </c>
      <c r="AU53">
        <f t="shared" si="0"/>
        <v>14165.1388</v>
      </c>
      <c r="AW53">
        <v>14110</v>
      </c>
    </row>
    <row r="54" spans="47:47">
      <c r="AU54">
        <f>AU53*4.7%</f>
        <v>665.7615236</v>
      </c>
    </row>
    <row r="55" spans="4:4">
      <c r="D55" t="s">
        <v>225</v>
      </c>
    </row>
    <row r="56" spans="4:33">
      <c r="D56" cm="1">
        <f t="array" ref="D56">SUMPRODUCT($D$2:$D$51,AA2:AA51)</f>
        <v>7279.098382</v>
      </c>
      <c r="AG56">
        <f>AG53*0.77</f>
        <v>15.927835</v>
      </c>
    </row>
    <row r="57" spans="4:4">
      <c r="D57" t="s">
        <v>226</v>
      </c>
    </row>
    <row r="58" spans="4:47">
      <c r="D58">
        <f>D56/AA53</f>
        <v>0.233810028524245</v>
      </c>
      <c r="AU58">
        <f>AW53*0.0421</f>
        <v>594.031</v>
      </c>
    </row>
    <row r="60" spans="4:4">
      <c r="D60" t="s">
        <v>227</v>
      </c>
    </row>
    <row r="61" spans="4:4">
      <c r="D61" cm="1">
        <f t="array" ref="D61">SUMPRODUCT($D$2:$D$51,AU3:AU52)</f>
        <v>2444.8446724</v>
      </c>
    </row>
    <row r="62" spans="4:47">
      <c r="D62" t="s">
        <v>226</v>
      </c>
      <c r="AU62">
        <f>AW53*3.71%</f>
        <v>523.481</v>
      </c>
    </row>
    <row r="63" spans="4:4">
      <c r="D63">
        <f>D61/AU53</f>
        <v>0.17259588535765</v>
      </c>
    </row>
    <row r="65" spans="4:4">
      <c r="D65">
        <f>D61*4.5%</f>
        <v>110.018010258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5"/>
  <sheetViews>
    <sheetView tabSelected="1" workbookViewId="0">
      <selection activeCell="B18" sqref="B18"/>
    </sheetView>
  </sheetViews>
  <sheetFormatPr defaultColWidth="9" defaultRowHeight="13.5"/>
  <cols>
    <col min="2" max="2" width="21.625" customWidth="1"/>
    <col min="3" max="3" width="17.5" customWidth="1"/>
    <col min="5" max="5" width="16.125" customWidth="1"/>
    <col min="8" max="8" width="12.625"/>
    <col min="16" max="16" width="12.625"/>
  </cols>
  <sheetData>
    <row r="1" ht="14.25" spans="1:6">
      <c r="A1" s="1" t="s">
        <v>228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233</v>
      </c>
    </row>
    <row r="2" ht="14.25" spans="1:6">
      <c r="A2" s="2" t="s">
        <v>234</v>
      </c>
      <c r="B2" s="3">
        <v>4890.64611632945</v>
      </c>
      <c r="C2" s="3">
        <v>450</v>
      </c>
      <c r="D2" s="4">
        <v>0.0493</v>
      </c>
      <c r="E2" s="3">
        <v>241.108853535042</v>
      </c>
      <c r="F2" s="5">
        <v>1.86637692229995</v>
      </c>
    </row>
    <row r="3" ht="39" spans="1:6">
      <c r="A3" s="2" t="s">
        <v>235</v>
      </c>
      <c r="B3" s="3">
        <v>3206.64912307983</v>
      </c>
      <c r="C3" s="3">
        <v>190.070931846314</v>
      </c>
      <c r="D3" s="4">
        <v>0.05</v>
      </c>
      <c r="E3" s="3">
        <v>160.332456153991</v>
      </c>
      <c r="F3" s="5">
        <v>1.18548007312855</v>
      </c>
    </row>
    <row r="4" ht="26.25" spans="1:6">
      <c r="A4" s="2" t="s">
        <v>236</v>
      </c>
      <c r="B4" s="3">
        <v>578.137556919813</v>
      </c>
      <c r="C4" s="3">
        <v>118.368175441667</v>
      </c>
      <c r="D4" s="4">
        <v>0.0487</v>
      </c>
      <c r="E4" s="3">
        <v>28.1552990219949</v>
      </c>
      <c r="F4" s="5">
        <v>4.20411714857648</v>
      </c>
    </row>
    <row r="5" ht="14.25" spans="1:6">
      <c r="A5" s="2" t="s">
        <v>237</v>
      </c>
      <c r="B5" s="3">
        <v>1685.90739368826</v>
      </c>
      <c r="C5" s="3">
        <v>67.1899266075693</v>
      </c>
      <c r="D5" s="4">
        <v>0.0469</v>
      </c>
      <c r="E5" s="3">
        <v>79.0690567639794</v>
      </c>
      <c r="F5" s="5">
        <v>0.849762591807953</v>
      </c>
    </row>
    <row r="6" ht="39" spans="1:6">
      <c r="A6" s="2" t="s">
        <v>238</v>
      </c>
      <c r="B6" s="3">
        <v>1142.72386677213</v>
      </c>
      <c r="C6" s="3">
        <v>45.0297645690852</v>
      </c>
      <c r="D6" s="4">
        <v>0.0369</v>
      </c>
      <c r="E6" s="3">
        <v>42.1665106838917</v>
      </c>
      <c r="F6" s="5">
        <v>1.0679035053827</v>
      </c>
    </row>
    <row r="7" ht="39" spans="1:6">
      <c r="A7" s="2" t="s">
        <v>239</v>
      </c>
      <c r="B7" s="3">
        <v>672.870325923795</v>
      </c>
      <c r="C7" s="3">
        <v>41.8766957152324</v>
      </c>
      <c r="D7" s="4">
        <v>0.0421</v>
      </c>
      <c r="E7" s="3">
        <v>28.3278407213918</v>
      </c>
      <c r="F7" s="5">
        <v>1.47828760148348</v>
      </c>
    </row>
    <row r="8" ht="26.25" spans="1:6">
      <c r="A8" s="2" t="s">
        <v>240</v>
      </c>
      <c r="B8" s="3">
        <v>269.796826782199</v>
      </c>
      <c r="C8" s="3">
        <v>32.8805961415836</v>
      </c>
      <c r="D8" s="4">
        <v>0.0476</v>
      </c>
      <c r="E8" s="3">
        <v>12.8423289548327</v>
      </c>
      <c r="F8" s="5">
        <v>2.5603296923188</v>
      </c>
    </row>
    <row r="9" ht="14.25" spans="1:6">
      <c r="A9" s="2" t="s">
        <v>241</v>
      </c>
      <c r="B9" s="3">
        <v>147.520702003541</v>
      </c>
      <c r="C9" s="3">
        <v>31.974088846101</v>
      </c>
      <c r="D9" s="4">
        <v>0.0424</v>
      </c>
      <c r="E9" s="3">
        <v>6.25487776495016</v>
      </c>
      <c r="F9" s="5">
        <v>5.11186469946239</v>
      </c>
    </row>
    <row r="10" ht="14.25" spans="1:6">
      <c r="A10" s="2" t="s">
        <v>242</v>
      </c>
      <c r="B10" s="3">
        <v>195.858031783413</v>
      </c>
      <c r="C10" s="3">
        <v>12.6615421162526</v>
      </c>
      <c r="D10" s="4">
        <v>0.0393</v>
      </c>
      <c r="E10" s="3">
        <v>7.69722064908812</v>
      </c>
      <c r="F10" s="5">
        <v>1.64494987132175</v>
      </c>
    </row>
    <row r="11" ht="14.25" spans="1:6">
      <c r="A11" s="2" t="s">
        <v>243</v>
      </c>
      <c r="B11" s="3">
        <v>47.1512020350013</v>
      </c>
      <c r="C11" s="3">
        <v>12.0801950463235</v>
      </c>
      <c r="D11" s="4">
        <v>0.027</v>
      </c>
      <c r="E11" s="3">
        <v>1.27308245494504</v>
      </c>
      <c r="F11" s="5">
        <v>9.48893372884088</v>
      </c>
    </row>
    <row r="12" ht="14.25" spans="1:6">
      <c r="A12" s="2" t="s">
        <v>244</v>
      </c>
      <c r="B12" s="3">
        <v>112.640148939804</v>
      </c>
      <c r="C12" s="3">
        <v>10.9667676073067</v>
      </c>
      <c r="D12" s="4">
        <v>0.0373</v>
      </c>
      <c r="E12" s="3">
        <v>4.20147755545469</v>
      </c>
      <c r="F12" s="5">
        <v>2.6102168731257</v>
      </c>
    </row>
    <row r="13" ht="14.25" spans="1:6">
      <c r="A13" s="2" t="s">
        <v>245</v>
      </c>
      <c r="B13" s="3">
        <v>128.700108671227</v>
      </c>
      <c r="C13" s="3">
        <v>6.25687100686413</v>
      </c>
      <c r="D13" s="4">
        <v>0.0288</v>
      </c>
      <c r="E13" s="3">
        <v>3.70656312973133</v>
      </c>
      <c r="F13" s="5">
        <v>1.68805191976257</v>
      </c>
    </row>
    <row r="14" ht="14.25" spans="1:6">
      <c r="A14" s="2" t="s">
        <v>246</v>
      </c>
      <c r="B14" s="3">
        <v>71.0102141065859</v>
      </c>
      <c r="C14" s="3">
        <v>3.59646916142584</v>
      </c>
      <c r="D14" s="4">
        <v>0.0488</v>
      </c>
      <c r="E14" s="3">
        <v>3.46529844840139</v>
      </c>
      <c r="F14" s="5">
        <v>1.03785264529956</v>
      </c>
    </row>
    <row r="15" ht="14.25" spans="1:6">
      <c r="A15" s="2" t="s">
        <v>247</v>
      </c>
      <c r="B15" s="3">
        <v>36.1611511599687</v>
      </c>
      <c r="C15" s="3">
        <v>2.51260174291394</v>
      </c>
      <c r="D15" s="4">
        <v>0.0448</v>
      </c>
      <c r="E15" s="3">
        <v>1.6200195719666</v>
      </c>
      <c r="F15" s="5">
        <v>1.55096999221053</v>
      </c>
    </row>
    <row r="16" spans="2:2">
      <c r="B16" s="6">
        <v>3415.5</v>
      </c>
    </row>
    <row r="17" spans="2:2">
      <c r="B17">
        <f>(B2+B3+B4+B5+B6+B7+B8)/SUM(B2:B16)</f>
        <v>0.749745599827811</v>
      </c>
    </row>
    <row r="24" ht="26.25" spans="1:6">
      <c r="A24" s="7" t="s">
        <v>248</v>
      </c>
      <c r="B24" s="3">
        <v>12446.7312094955</v>
      </c>
      <c r="C24" s="3">
        <v>945.416090321451</v>
      </c>
      <c r="D24" s="8">
        <v>0.0459285714285714</v>
      </c>
      <c r="E24" s="3">
        <v>571.660583407542</v>
      </c>
      <c r="F24" s="5">
        <v>1.65380667788224</v>
      </c>
    </row>
    <row r="25" ht="14.25" spans="1:6">
      <c r="A25" s="2" t="s">
        <v>249</v>
      </c>
      <c r="B25" s="3">
        <v>14418.2749588775</v>
      </c>
      <c r="C25" s="3">
        <v>747.454678486141</v>
      </c>
      <c r="D25" s="4">
        <v>0.0368</v>
      </c>
      <c r="E25" s="3">
        <v>530.592518486693</v>
      </c>
      <c r="F25" s="5">
        <v>1.40871695782286</v>
      </c>
    </row>
    <row r="26" ht="14.25" spans="1:6">
      <c r="A26" s="2" t="s">
        <v>250</v>
      </c>
      <c r="B26" s="3">
        <v>4422.26211428006</v>
      </c>
      <c r="C26" s="3">
        <v>270.178587414511</v>
      </c>
      <c r="D26" s="4">
        <v>0.0371</v>
      </c>
      <c r="E26" s="3">
        <v>164.06592443979</v>
      </c>
      <c r="F26" s="5">
        <v>1.64676844589787</v>
      </c>
    </row>
    <row r="42" spans="16:18">
      <c r="P42">
        <v>467.17</v>
      </c>
      <c r="R42">
        <v>8416</v>
      </c>
    </row>
    <row r="43" spans="16:18">
      <c r="P43">
        <v>1316.76</v>
      </c>
      <c r="R43">
        <v>13317</v>
      </c>
    </row>
    <row r="45" spans="16:18">
      <c r="P45">
        <f>P42/P43</f>
        <v>0.354787508733558</v>
      </c>
      <c r="R45">
        <f>R42/R43</f>
        <v>0.631974168356236</v>
      </c>
    </row>
  </sheetData>
  <autoFilter xmlns:etc="http://www.wps.cn/officeDocument/2017/etCustomData" ref="A1:F18" etc:filterBottomFollowUsedRange="0">
    <sortState ref="A2:F18">
      <sortCondition ref="C1" descending="1"/>
    </sortState>
    <extLst/>
  </autoFilter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西安城投测算</vt:lpstr>
      <vt:lpstr>西安财政测算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叶青</cp:lastModifiedBy>
  <dcterms:created xsi:type="dcterms:W3CDTF">2025-05-20T10:51:00Z</dcterms:created>
  <dcterms:modified xsi:type="dcterms:W3CDTF">2025-05-23T08:40:31Z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E6E56EA29DC24F56ADBA5665BC5FBCD0_12</vt:lpwstr>
  </property>
  <property fmtid="{D5CDD505-2E9C-101B-9397-08002B2CF9AE}" pid="3" name="KSOProductBuildVer">
    <vt:lpwstr>2052-12.1.0.20305</vt:lpwstr>
  </property>
</Properties>
</file>